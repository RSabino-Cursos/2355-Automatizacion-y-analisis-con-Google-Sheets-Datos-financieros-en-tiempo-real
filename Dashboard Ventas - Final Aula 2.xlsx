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tos Ventas" sheetId="1" r:id="rId5"/>
    <sheet state="visible" name="Productos" sheetId="2" r:id="rId6"/>
    <sheet state="visible" name="Vendedores" sheetId="3" r:id="rId7"/>
    <sheet state="visible" name="Datos Ventas CSV" sheetId="4" r:id="rId8"/>
    <sheet state="visible" name="Datos Ventas Dashboard" sheetId="5" r:id="rId9"/>
  </sheets>
  <definedNames/>
  <calcPr/>
</workbook>
</file>

<file path=xl/sharedStrings.xml><?xml version="1.0" encoding="utf-8"?>
<sst xmlns="http://schemas.openxmlformats.org/spreadsheetml/2006/main" count="6572" uniqueCount="108">
  <si>
    <t>Productos</t>
  </si>
  <si>
    <t>Vendedor</t>
  </si>
  <si>
    <t>Cantidad</t>
  </si>
  <si>
    <t>Real Brasileño</t>
  </si>
  <si>
    <t>Peso Mexicano</t>
  </si>
  <si>
    <t>Sol Peruano</t>
  </si>
  <si>
    <t>Nombre</t>
  </si>
  <si>
    <t>Ciudad</t>
  </si>
  <si>
    <t>Región</t>
  </si>
  <si>
    <t>S</t>
  </si>
  <si>
    <t>Ropa</t>
  </si>
  <si>
    <t>$35,59</t>
  </si>
  <si>
    <t>$65,90</t>
  </si>
  <si>
    <t>$113,40</t>
  </si>
  <si>
    <t>$180,00</t>
  </si>
  <si>
    <t>$164,95</t>
  </si>
  <si>
    <t>$299,90</t>
  </si>
  <si>
    <t>M</t>
  </si>
  <si>
    <t>$46,61</t>
  </si>
  <si>
    <t>$91,40</t>
  </si>
  <si>
    <t>$13,21</t>
  </si>
  <si>
    <t>$25,90</t>
  </si>
  <si>
    <t>L</t>
  </si>
  <si>
    <t>$20,73</t>
  </si>
  <si>
    <t>$32,90</t>
  </si>
  <si>
    <t>$29,65</t>
  </si>
  <si>
    <t>$54,90</t>
  </si>
  <si>
    <t>$22,37</t>
  </si>
  <si>
    <t>$95,40</t>
  </si>
  <si>
    <t>Única</t>
  </si>
  <si>
    <t>Accesorios</t>
  </si>
  <si>
    <t>$34,43</t>
  </si>
  <si>
    <t>$49,90</t>
  </si>
  <si>
    <t>Calzado</t>
  </si>
  <si>
    <t>$58,44</t>
  </si>
  <si>
    <t>$89,90</t>
  </si>
  <si>
    <t>$31,94</t>
  </si>
  <si>
    <t>$20,75</t>
  </si>
  <si>
    <t>$39,90</t>
  </si>
  <si>
    <t>$42,78</t>
  </si>
  <si>
    <t>$72,50</t>
  </si>
  <si>
    <t>$28,94</t>
  </si>
  <si>
    <t>$34,93</t>
  </si>
  <si>
    <t>$194,23</t>
  </si>
  <si>
    <t>$289,90</t>
  </si>
  <si>
    <t>$45,38</t>
  </si>
  <si>
    <t>$70,90</t>
  </si>
  <si>
    <t>$18,75</t>
  </si>
  <si>
    <t>$27,13</t>
  </si>
  <si>
    <t>$39,14</t>
  </si>
  <si>
    <t>$69,90</t>
  </si>
  <si>
    <t>$98,60</t>
  </si>
  <si>
    <t>$142,90</t>
  </si>
  <si>
    <t>$66,00</t>
  </si>
  <si>
    <t>$120,00</t>
  </si>
  <si>
    <t>$154,94</t>
  </si>
  <si>
    <t>$249,90</t>
  </si>
  <si>
    <t>$17,77</t>
  </si>
  <si>
    <t>$48,55</t>
  </si>
  <si>
    <t>$92,80</t>
  </si>
  <si>
    <t>$145,00</t>
  </si>
  <si>
    <t>$152,50</t>
  </si>
  <si>
    <t>$250,00</t>
  </si>
  <si>
    <t>$153,34</t>
  </si>
  <si>
    <t>$259,90</t>
  </si>
  <si>
    <t>$55,74</t>
  </si>
  <si>
    <t>$27,53</t>
  </si>
  <si>
    <t>$23,92</t>
  </si>
  <si>
    <t>$46,90</t>
  </si>
  <si>
    <t>$37,70</t>
  </si>
  <si>
    <t>$70,00</t>
  </si>
  <si>
    <t>$140,00</t>
  </si>
  <si>
    <t>$167,43</t>
  </si>
  <si>
    <t>$90,52</t>
  </si>
  <si>
    <t>$146,00</t>
  </si>
  <si>
    <t>$120,60</t>
  </si>
  <si>
    <t>$64,10</t>
  </si>
  <si>
    <t>$92,90</t>
  </si>
  <si>
    <t>$186,00</t>
  </si>
  <si>
    <t>$300,00</t>
  </si>
  <si>
    <t>$178,71</t>
  </si>
  <si>
    <t>$302,90</t>
  </si>
  <si>
    <t>$52,36</t>
  </si>
  <si>
    <t>$93,50</t>
  </si>
  <si>
    <t>$156,80</t>
  </si>
  <si>
    <t>$245,00</t>
  </si>
  <si>
    <t>$27,39</t>
  </si>
  <si>
    <t>$44,90</t>
  </si>
  <si>
    <t>$28,85</t>
  </si>
  <si>
    <t>$48,90</t>
  </si>
  <si>
    <t>$199,44</t>
  </si>
  <si>
    <t>$349,90</t>
  </si>
  <si>
    <t>$168,94</t>
  </si>
  <si>
    <t>$59,33</t>
  </si>
  <si>
    <t>$171,04</t>
  </si>
  <si>
    <t>$34,04</t>
  </si>
  <si>
    <t>$145,35</t>
  </si>
  <si>
    <t>$255,00</t>
  </si>
  <si>
    <t>$17,34</t>
  </si>
  <si>
    <t>$29,90</t>
  </si>
  <si>
    <t>$155,94</t>
  </si>
  <si>
    <t>$25,50</t>
  </si>
  <si>
    <t>$42,50</t>
  </si>
  <si>
    <t>$60,13</t>
  </si>
  <si>
    <t>$85,90</t>
  </si>
  <si>
    <t>$50,03</t>
  </si>
  <si>
    <t>$45,85</t>
  </si>
  <si>
    <t>$155,95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</si>
</sst>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&quot;$&quot;#,##0.00"/>
  </numFmts>
  <fonts count="3">
    <font>
      <sz val="10.0"/>
      <color rgb="FF000000"/>
      <name val="Arial"/>
      <scheme val="minor"/>
    </font>
    <font>
      <color theme="1"/>
      <name val="Arial"/>
      <scheme val="minor"/>
    </font>
    <font>
      <b/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0" xfId="0" applyFont="1"/>
    <xf borderId="0" fillId="0" fontId="1" numFmtId="0" xfId="0" applyAlignment="1" applyFont="1">
      <alignment readingOrder="0"/>
    </xf>
    <xf borderId="0" fillId="0" fontId="2" numFmtId="0" xfId="0" applyAlignment="1" applyFont="1">
      <alignment horizontal="center" readingOrder="0"/>
    </xf>
    <xf borderId="0" fillId="0" fontId="2" numFmtId="0" xfId="0" applyAlignment="1" applyFont="1">
      <alignment horizontal="center"/>
    </xf>
    <xf borderId="0" fillId="0" fontId="1" numFmtId="164" xfId="0" applyFont="1" applyNumberFormat="1"/>
    <xf borderId="0" fillId="0" fontId="1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0" max="10" width="22.13"/>
    <col customWidth="1" min="11" max="11" width="23.88"/>
  </cols>
  <sheetData>
    <row r="1">
      <c r="A1" s="2" t="str">
        <f>IFERROR(__xludf.DUMMYFUNCTION("importdata(""https://drive.google.com/uc?export=download&amp;id=1U1AR8u12BH41vb1Uvb31WaPc4KTs4qQo&amp;v=2"","";"")"),"Empresa")</f>
        <v>Empresa</v>
      </c>
      <c r="B1" s="2" t="str">
        <f>IFERROR(__xludf.DUMMYFUNCTION("""COMPUTED_VALUE"""),"Número de Documento")</f>
        <v>Número de Documento</v>
      </c>
      <c r="C1" s="2" t="str">
        <f>IFERROR(__xludf.DUMMYFUNCTION("""COMPUTED_VALUE"""),"Año Fiscal")</f>
        <v>Año Fiscal</v>
      </c>
      <c r="D1" s="2" t="str">
        <f>IFERROR(__xludf.DUMMYFUNCTION("""COMPUTED_VALUE"""),"Fecha")</f>
        <v>Fecha</v>
      </c>
      <c r="E1" s="2" t="str">
        <f>IFERROR(__xludf.DUMMYFUNCTION("""COMPUTED_VALUE"""),"Tipo de Documento")</f>
        <v>Tipo de Documento</v>
      </c>
      <c r="F1" s="2" t="str">
        <f>IFERROR(__xludf.DUMMYFUNCTION("""COMPUTED_VALUE"""),"Número de Artículo")</f>
        <v>Número de Artículo</v>
      </c>
      <c r="G1" s="2" t="str">
        <f>IFERROR(__xludf.DUMMYFUNCTION("""COMPUTED_VALUE"""),"Material")</f>
        <v>Material</v>
      </c>
      <c r="H1" s="2" t="str">
        <f>IFERROR(__xludf.DUMMYFUNCTION("""COMPUTED_VALUE"""),"Vendedor")</f>
        <v>Vendedor</v>
      </c>
      <c r="I1" s="2" t="str">
        <f>IFERROR(__xludf.DUMMYFUNCTION("""COMPUTED_VALUE"""),"Cantidad")</f>
        <v>Cantidad</v>
      </c>
      <c r="J1" s="2" t="str">
        <f>IFERROR(__xludf.DUMMYFUNCTION("""COMPUTED_VALUE"""),"Valor en Moneda Local")</f>
        <v>Valor en Moneda Local</v>
      </c>
      <c r="K1" s="2" t="str">
        <f>IFERROR(__xludf.DUMMYFUNCTION("""COMPUTED_VALUE"""),"Valor en Moneda Extranjera")</f>
        <v>Valor en Moneda Extranjera</v>
      </c>
    </row>
    <row r="2">
      <c r="A2" s="2">
        <f>IFERROR(__xludf.DUMMYFUNCTION("""COMPUTED_VALUE"""),1000.0)</f>
        <v>1000</v>
      </c>
      <c r="B2" s="2">
        <f>IFERROR(__xludf.DUMMYFUNCTION("""COMPUTED_VALUE"""),183456.0)</f>
        <v>183456</v>
      </c>
      <c r="C2" s="2">
        <f>IFERROR(__xludf.DUMMYFUNCTION("""COMPUTED_VALUE"""),2026.0)</f>
        <v>2026</v>
      </c>
      <c r="D2" s="2">
        <f>IFERROR(__xludf.DUMMYFUNCTION("""COMPUTED_VALUE"""),46387.0)</f>
        <v>46387</v>
      </c>
      <c r="E2" s="2" t="str">
        <f>IFERROR(__xludf.DUMMYFUNCTION("""COMPUTED_VALUE"""),"VF")</f>
        <v>VF</v>
      </c>
      <c r="F2" s="2">
        <f>IFERROR(__xludf.DUMMYFUNCTION("""COMPUTED_VALUE"""),1.0)</f>
        <v>1</v>
      </c>
      <c r="G2" s="2" t="str">
        <f>IFERROR(__xludf.DUMMYFUNCTION("""COMPUTED_VALUE"""),"PR001")</f>
        <v>PR001</v>
      </c>
      <c r="H2" s="2" t="str">
        <f>IFERROR(__xludf.DUMMYFUNCTION("""COMPUTED_VALUE"""),"VD026")</f>
        <v>VD026</v>
      </c>
      <c r="I2" s="2">
        <f>IFERROR(__xludf.DUMMYFUNCTION("""COMPUTED_VALUE"""),27.0)</f>
        <v>27</v>
      </c>
      <c r="J2" s="2">
        <f>IFERROR(__xludf.DUMMYFUNCTION("""COMPUTED_VALUE"""),1957.23)</f>
        <v>1957.23</v>
      </c>
      <c r="K2" s="2">
        <f>IFERROR(__xludf.DUMMYFUNCTION("""COMPUTED_VALUE"""),1957.23)</f>
        <v>1957.23</v>
      </c>
    </row>
    <row r="3">
      <c r="A3" s="2">
        <f>IFERROR(__xludf.DUMMYFUNCTION("""COMPUTED_VALUE"""),1000.0)</f>
        <v>1000</v>
      </c>
      <c r="B3" s="2">
        <f>IFERROR(__xludf.DUMMYFUNCTION("""COMPUTED_VALUE"""),183456.0)</f>
        <v>183456</v>
      </c>
      <c r="C3" s="2">
        <f>IFERROR(__xludf.DUMMYFUNCTION("""COMPUTED_VALUE"""),2026.0)</f>
        <v>2026</v>
      </c>
      <c r="D3" s="2">
        <f>IFERROR(__xludf.DUMMYFUNCTION("""COMPUTED_VALUE"""),46387.0)</f>
        <v>46387</v>
      </c>
      <c r="E3" s="2" t="str">
        <f>IFERROR(__xludf.DUMMYFUNCTION("""COMPUTED_VALUE"""),"VF")</f>
        <v>VF</v>
      </c>
      <c r="F3" s="2">
        <f>IFERROR(__xludf.DUMMYFUNCTION("""COMPUTED_VALUE"""),2.0)</f>
        <v>2</v>
      </c>
      <c r="G3" s="2" t="str">
        <f>IFERROR(__xludf.DUMMYFUNCTION("""COMPUTED_VALUE"""),"PR058")</f>
        <v>PR058</v>
      </c>
      <c r="H3" s="2" t="str">
        <f>IFERROR(__xludf.DUMMYFUNCTION("""COMPUTED_VALUE"""),"VD037")</f>
        <v>VD037</v>
      </c>
      <c r="I3" s="2">
        <f>IFERROR(__xludf.DUMMYFUNCTION("""COMPUTED_VALUE"""),14.0)</f>
        <v>14</v>
      </c>
      <c r="J3" s="2">
        <f>IFERROR(__xludf.DUMMYFUNCTION("""COMPUTED_VALUE"""),2872.8)</f>
        <v>2872.8</v>
      </c>
      <c r="K3" s="2">
        <f>IFERROR(__xludf.DUMMYFUNCTION("""COMPUTED_VALUE"""),2872.8)</f>
        <v>2872.8</v>
      </c>
    </row>
    <row r="4">
      <c r="A4" s="2">
        <f>IFERROR(__xludf.DUMMYFUNCTION("""COMPUTED_VALUE"""),1000.0)</f>
        <v>1000</v>
      </c>
      <c r="B4" s="2">
        <f>IFERROR(__xludf.DUMMYFUNCTION("""COMPUTED_VALUE"""),183457.0)</f>
        <v>183457</v>
      </c>
      <c r="C4" s="2">
        <f>IFERROR(__xludf.DUMMYFUNCTION("""COMPUTED_VALUE"""),2026.0)</f>
        <v>2026</v>
      </c>
      <c r="D4" s="2">
        <f>IFERROR(__xludf.DUMMYFUNCTION("""COMPUTED_VALUE"""),46387.0)</f>
        <v>46387</v>
      </c>
      <c r="E4" s="2" t="str">
        <f>IFERROR(__xludf.DUMMYFUNCTION("""COMPUTED_VALUE"""),"VF")</f>
        <v>VF</v>
      </c>
      <c r="F4" s="2">
        <f>IFERROR(__xludf.DUMMYFUNCTION("""COMPUTED_VALUE"""),1.0)</f>
        <v>1</v>
      </c>
      <c r="G4" s="2" t="str">
        <f>IFERROR(__xludf.DUMMYFUNCTION("""COMPUTED_VALUE"""),"PR020")</f>
        <v>PR020</v>
      </c>
      <c r="H4" s="2" t="str">
        <f>IFERROR(__xludf.DUMMYFUNCTION("""COMPUTED_VALUE"""),"VD034")</f>
        <v>VD034</v>
      </c>
      <c r="I4" s="2">
        <f>IFERROR(__xludf.DUMMYFUNCTION("""COMPUTED_VALUE"""),20.0)</f>
        <v>20</v>
      </c>
      <c r="J4" s="2">
        <f>IFERROR(__xludf.DUMMYFUNCTION("""COMPUTED_VALUE"""),7137.62)</f>
        <v>7137.62</v>
      </c>
      <c r="K4" s="2">
        <f>IFERROR(__xludf.DUMMYFUNCTION("""COMPUTED_VALUE"""),7137.62)</f>
        <v>7137.62</v>
      </c>
    </row>
    <row r="5">
      <c r="A5" s="2">
        <f>IFERROR(__xludf.DUMMYFUNCTION("""COMPUTED_VALUE"""),1000.0)</f>
        <v>1000</v>
      </c>
      <c r="B5" s="2">
        <f>IFERROR(__xludf.DUMMYFUNCTION("""COMPUTED_VALUE"""),183458.0)</f>
        <v>183458</v>
      </c>
      <c r="C5" s="2">
        <f>IFERROR(__xludf.DUMMYFUNCTION("""COMPUTED_VALUE"""),2026.0)</f>
        <v>2026</v>
      </c>
      <c r="D5" s="3">
        <f>IFERROR(__xludf.DUMMYFUNCTION("""COMPUTED_VALUE"""),46387.0)</f>
        <v>46387</v>
      </c>
      <c r="E5" s="2" t="str">
        <f>IFERROR(__xludf.DUMMYFUNCTION("""COMPUTED_VALUE"""),"VF")</f>
        <v>VF</v>
      </c>
      <c r="F5" s="2">
        <f>IFERROR(__xludf.DUMMYFUNCTION("""COMPUTED_VALUE"""),1.0)</f>
        <v>1</v>
      </c>
      <c r="G5" s="2" t="str">
        <f>IFERROR(__xludf.DUMMYFUNCTION("""COMPUTED_VALUE"""),"PR035")</f>
        <v>PR035</v>
      </c>
      <c r="H5" s="2" t="str">
        <f>IFERROR(__xludf.DUMMYFUNCTION("""COMPUTED_VALUE"""),"VD021")</f>
        <v>VD021</v>
      </c>
      <c r="I5" s="2">
        <f>IFERROR(__xludf.DUMMYFUNCTION("""COMPUTED_VALUE"""),24.0)</f>
        <v>24</v>
      </c>
      <c r="J5" s="2">
        <f>IFERROR(__xludf.DUMMYFUNCTION("""COMPUTED_VALUE"""),2478.77)</f>
        <v>2478.77</v>
      </c>
      <c r="K5" s="2">
        <f>IFERROR(__xludf.DUMMYFUNCTION("""COMPUTED_VALUE"""),2478.77)</f>
        <v>2478.77</v>
      </c>
    </row>
    <row r="6">
      <c r="A6" s="2">
        <f>IFERROR(__xludf.DUMMYFUNCTION("""COMPUTED_VALUE"""),1000.0)</f>
        <v>1000</v>
      </c>
      <c r="B6" s="2">
        <f>IFERROR(__xludf.DUMMYFUNCTION("""COMPUTED_VALUE"""),183459.0)</f>
        <v>183459</v>
      </c>
      <c r="C6" s="2">
        <f>IFERROR(__xludf.DUMMYFUNCTION("""COMPUTED_VALUE"""),2026.0)</f>
        <v>2026</v>
      </c>
      <c r="D6" s="2">
        <f>IFERROR(__xludf.DUMMYFUNCTION("""COMPUTED_VALUE"""),46387.0)</f>
        <v>46387</v>
      </c>
      <c r="E6" s="2" t="str">
        <f>IFERROR(__xludf.DUMMYFUNCTION("""COMPUTED_VALUE"""),"VF")</f>
        <v>VF</v>
      </c>
      <c r="F6" s="2">
        <f>IFERROR(__xludf.DUMMYFUNCTION("""COMPUTED_VALUE"""),1.0)</f>
        <v>1</v>
      </c>
      <c r="G6" s="2" t="str">
        <f>IFERROR(__xludf.DUMMYFUNCTION("""COMPUTED_VALUE"""),"PR016")</f>
        <v>PR016</v>
      </c>
      <c r="H6" s="2" t="str">
        <f>IFERROR(__xludf.DUMMYFUNCTION("""COMPUTED_VALUE"""),"VD027")</f>
        <v>VD027</v>
      </c>
      <c r="I6" s="2">
        <f>IFERROR(__xludf.DUMMYFUNCTION("""COMPUTED_VALUE"""),10.0)</f>
        <v>10</v>
      </c>
      <c r="J6" s="2">
        <f>IFERROR(__xludf.DUMMYFUNCTION("""COMPUTED_VALUE"""),303.03)</f>
        <v>303.03</v>
      </c>
      <c r="K6" s="2">
        <f>IFERROR(__xludf.DUMMYFUNCTION("""COMPUTED_VALUE"""),303.03)</f>
        <v>303.03</v>
      </c>
    </row>
    <row r="7">
      <c r="A7" s="2">
        <f>IFERROR(__xludf.DUMMYFUNCTION("""COMPUTED_VALUE"""),1000.0)</f>
        <v>1000</v>
      </c>
      <c r="B7" s="2">
        <f>IFERROR(__xludf.DUMMYFUNCTION("""COMPUTED_VALUE"""),183460.0)</f>
        <v>183460</v>
      </c>
      <c r="C7" s="2">
        <f>IFERROR(__xludf.DUMMYFUNCTION("""COMPUTED_VALUE"""),2026.0)</f>
        <v>2026</v>
      </c>
      <c r="D7" s="3">
        <f>IFERROR(__xludf.DUMMYFUNCTION("""COMPUTED_VALUE"""),46387.0)</f>
        <v>46387</v>
      </c>
      <c r="E7" s="2" t="str">
        <f>IFERROR(__xludf.DUMMYFUNCTION("""COMPUTED_VALUE"""),"VF")</f>
        <v>VF</v>
      </c>
      <c r="F7" s="2">
        <f>IFERROR(__xludf.DUMMYFUNCTION("""COMPUTED_VALUE"""),1.0)</f>
        <v>1</v>
      </c>
      <c r="G7" s="2" t="str">
        <f>IFERROR(__xludf.DUMMYFUNCTION("""COMPUTED_VALUE"""),"PR051")</f>
        <v>PR051</v>
      </c>
      <c r="H7" s="2" t="str">
        <f>IFERROR(__xludf.DUMMYFUNCTION("""COMPUTED_VALUE"""),"VD048")</f>
        <v>VD048</v>
      </c>
      <c r="I7" s="2">
        <f>IFERROR(__xludf.DUMMYFUNCTION("""COMPUTED_VALUE"""),18.0)</f>
        <v>18</v>
      </c>
      <c r="J7" s="2">
        <f>IFERROR(__xludf.DUMMYFUNCTION("""COMPUTED_VALUE"""),704.72)</f>
        <v>704.72</v>
      </c>
      <c r="K7" s="2">
        <f>IFERROR(__xludf.DUMMYFUNCTION("""COMPUTED_VALUE"""),704.72)</f>
        <v>704.72</v>
      </c>
    </row>
    <row r="8">
      <c r="A8" s="2">
        <f>IFERROR(__xludf.DUMMYFUNCTION("""COMPUTED_VALUE"""),1000.0)</f>
        <v>1000</v>
      </c>
      <c r="B8" s="2">
        <f>IFERROR(__xludf.DUMMYFUNCTION("""COMPUTED_VALUE"""),183461.0)</f>
        <v>183461</v>
      </c>
      <c r="C8" s="2">
        <f>IFERROR(__xludf.DUMMYFUNCTION("""COMPUTED_VALUE"""),2026.0)</f>
        <v>2026</v>
      </c>
      <c r="D8" s="2">
        <f>IFERROR(__xludf.DUMMYFUNCTION("""COMPUTED_VALUE"""),46387.0)</f>
        <v>46387</v>
      </c>
      <c r="E8" s="2" t="str">
        <f>IFERROR(__xludf.DUMMYFUNCTION("""COMPUTED_VALUE"""),"VF")</f>
        <v>VF</v>
      </c>
      <c r="F8" s="2">
        <f>IFERROR(__xludf.DUMMYFUNCTION("""COMPUTED_VALUE"""),1.0)</f>
        <v>1</v>
      </c>
      <c r="G8" s="2" t="str">
        <f>IFERROR(__xludf.DUMMYFUNCTION("""COMPUTED_VALUE"""),"PR042")</f>
        <v>PR042</v>
      </c>
      <c r="H8" s="2" t="str">
        <f>IFERROR(__xludf.DUMMYFUNCTION("""COMPUTED_VALUE"""),"VD025")</f>
        <v>VD025</v>
      </c>
      <c r="I8" s="2">
        <f>IFERROR(__xludf.DUMMYFUNCTION("""COMPUTED_VALUE"""),27.0)</f>
        <v>27</v>
      </c>
      <c r="J8" s="2">
        <f>IFERROR(__xludf.DUMMYFUNCTION("""COMPUTED_VALUE"""),1778.76)</f>
        <v>1778.76</v>
      </c>
      <c r="K8" s="2">
        <f>IFERROR(__xludf.DUMMYFUNCTION("""COMPUTED_VALUE"""),1778.76)</f>
        <v>1778.76</v>
      </c>
    </row>
    <row r="9">
      <c r="A9" s="2">
        <f>IFERROR(__xludf.DUMMYFUNCTION("""COMPUTED_VALUE"""),1000.0)</f>
        <v>1000</v>
      </c>
      <c r="B9" s="2">
        <f>IFERROR(__xludf.DUMMYFUNCTION("""COMPUTED_VALUE"""),183462.0)</f>
        <v>183462</v>
      </c>
      <c r="C9" s="2">
        <f>IFERROR(__xludf.DUMMYFUNCTION("""COMPUTED_VALUE"""),2026.0)</f>
        <v>2026</v>
      </c>
      <c r="D9" s="2">
        <f>IFERROR(__xludf.DUMMYFUNCTION("""COMPUTED_VALUE"""),46387.0)</f>
        <v>46387</v>
      </c>
      <c r="E9" s="2" t="str">
        <f>IFERROR(__xludf.DUMMYFUNCTION("""COMPUTED_VALUE"""),"VF")</f>
        <v>VF</v>
      </c>
      <c r="F9" s="2">
        <f>IFERROR(__xludf.DUMMYFUNCTION("""COMPUTED_VALUE"""),1.0)</f>
        <v>1</v>
      </c>
      <c r="G9" s="2" t="str">
        <f>IFERROR(__xludf.DUMMYFUNCTION("""COMPUTED_VALUE"""),"PR050")</f>
        <v>PR050</v>
      </c>
      <c r="H9" s="2" t="str">
        <f>IFERROR(__xludf.DUMMYFUNCTION("""COMPUTED_VALUE"""),"VD037")</f>
        <v>VD037</v>
      </c>
      <c r="I9" s="2">
        <f>IFERROR(__xludf.DUMMYFUNCTION("""COMPUTED_VALUE"""),14.0)</f>
        <v>14</v>
      </c>
      <c r="J9" s="2">
        <f>IFERROR(__xludf.DUMMYFUNCTION("""COMPUTED_VALUE"""),511.27)</f>
        <v>511.27</v>
      </c>
      <c r="K9" s="2">
        <f>IFERROR(__xludf.DUMMYFUNCTION("""COMPUTED_VALUE"""),511.27)</f>
        <v>511.27</v>
      </c>
    </row>
    <row r="10">
      <c r="A10" s="2">
        <f>IFERROR(__xludf.DUMMYFUNCTION("""COMPUTED_VALUE"""),1000.0)</f>
        <v>1000</v>
      </c>
      <c r="B10" s="2">
        <f>IFERROR(__xludf.DUMMYFUNCTION("""COMPUTED_VALUE"""),183463.0)</f>
        <v>183463</v>
      </c>
      <c r="C10" s="2">
        <f>IFERROR(__xludf.DUMMYFUNCTION("""COMPUTED_VALUE"""),2026.0)</f>
        <v>2026</v>
      </c>
      <c r="D10" s="2">
        <f>IFERROR(__xludf.DUMMYFUNCTION("""COMPUTED_VALUE"""),46387.0)</f>
        <v>46387</v>
      </c>
      <c r="E10" s="2" t="str">
        <f>IFERROR(__xludf.DUMMYFUNCTION("""COMPUTED_VALUE"""),"VF")</f>
        <v>VF</v>
      </c>
      <c r="F10" s="2">
        <f>IFERROR(__xludf.DUMMYFUNCTION("""COMPUTED_VALUE"""),1.0)</f>
        <v>1</v>
      </c>
      <c r="G10" s="2" t="str">
        <f>IFERROR(__xludf.DUMMYFUNCTION("""COMPUTED_VALUE"""),"PR001")</f>
        <v>PR001</v>
      </c>
      <c r="H10" s="2" t="str">
        <f>IFERROR(__xludf.DUMMYFUNCTION("""COMPUTED_VALUE"""),"VD036")</f>
        <v>VD036</v>
      </c>
      <c r="I10" s="2">
        <f>IFERROR(__xludf.DUMMYFUNCTION("""COMPUTED_VALUE"""),12.0)</f>
        <v>12</v>
      </c>
      <c r="J10" s="2">
        <f>IFERROR(__xludf.DUMMYFUNCTION("""COMPUTED_VALUE"""),901.51)</f>
        <v>901.51</v>
      </c>
      <c r="K10" s="2">
        <f>IFERROR(__xludf.DUMMYFUNCTION("""COMPUTED_VALUE"""),901.51)</f>
        <v>901.51</v>
      </c>
    </row>
    <row r="11">
      <c r="A11" s="2">
        <f>IFERROR(__xludf.DUMMYFUNCTION("""COMPUTED_VALUE"""),1000.0)</f>
        <v>1000</v>
      </c>
      <c r="B11" s="2">
        <f>IFERROR(__xludf.DUMMYFUNCTION("""COMPUTED_VALUE"""),183464.0)</f>
        <v>183464</v>
      </c>
      <c r="C11" s="2">
        <f>IFERROR(__xludf.DUMMYFUNCTION("""COMPUTED_VALUE"""),2026.0)</f>
        <v>2026</v>
      </c>
      <c r="D11" s="2">
        <f>IFERROR(__xludf.DUMMYFUNCTION("""COMPUTED_VALUE"""),46387.0)</f>
        <v>46387</v>
      </c>
      <c r="E11" s="2" t="str">
        <f>IFERROR(__xludf.DUMMYFUNCTION("""COMPUTED_VALUE"""),"VF")</f>
        <v>VF</v>
      </c>
      <c r="F11" s="2">
        <f>IFERROR(__xludf.DUMMYFUNCTION("""COMPUTED_VALUE"""),1.0)</f>
        <v>1</v>
      </c>
      <c r="G11" s="2" t="str">
        <f>IFERROR(__xludf.DUMMYFUNCTION("""COMPUTED_VALUE"""),"PR059")</f>
        <v>PR059</v>
      </c>
      <c r="H11" s="2" t="str">
        <f>IFERROR(__xludf.DUMMYFUNCTION("""COMPUTED_VALUE"""),"VD049")</f>
        <v>VD049</v>
      </c>
      <c r="I11" s="2">
        <f>IFERROR(__xludf.DUMMYFUNCTION("""COMPUTED_VALUE"""),27.0)</f>
        <v>27</v>
      </c>
      <c r="J11" s="2">
        <f>IFERROR(__xludf.DUMMYFUNCTION("""COMPUTED_VALUE"""),5783.4)</f>
        <v>5783.4</v>
      </c>
      <c r="K11" s="2">
        <f>IFERROR(__xludf.DUMMYFUNCTION("""COMPUTED_VALUE"""),5783.4)</f>
        <v>5783.4</v>
      </c>
    </row>
    <row r="12">
      <c r="A12" s="2">
        <f>IFERROR(__xludf.DUMMYFUNCTION("""COMPUTED_VALUE"""),1000.0)</f>
        <v>1000</v>
      </c>
      <c r="B12" s="2">
        <f>IFERROR(__xludf.DUMMYFUNCTION("""COMPUTED_VALUE"""),183465.0)</f>
        <v>183465</v>
      </c>
      <c r="C12" s="2">
        <f>IFERROR(__xludf.DUMMYFUNCTION("""COMPUTED_VALUE"""),2026.0)</f>
        <v>2026</v>
      </c>
      <c r="D12" s="2">
        <f>IFERROR(__xludf.DUMMYFUNCTION("""COMPUTED_VALUE"""),46387.0)</f>
        <v>46387</v>
      </c>
      <c r="E12" s="2" t="str">
        <f>IFERROR(__xludf.DUMMYFUNCTION("""COMPUTED_VALUE"""),"VF")</f>
        <v>VF</v>
      </c>
      <c r="F12" s="2">
        <f>IFERROR(__xludf.DUMMYFUNCTION("""COMPUTED_VALUE"""),1.0)</f>
        <v>1</v>
      </c>
      <c r="G12" s="2" t="str">
        <f>IFERROR(__xludf.DUMMYFUNCTION("""COMPUTED_VALUE"""),"PR019")</f>
        <v>PR019</v>
      </c>
      <c r="H12" s="2" t="str">
        <f>IFERROR(__xludf.DUMMYFUNCTION("""COMPUTED_VALUE"""),"VD021")</f>
        <v>VD021</v>
      </c>
      <c r="I12" s="2">
        <f>IFERROR(__xludf.DUMMYFUNCTION("""COMPUTED_VALUE"""),15.0)</f>
        <v>15</v>
      </c>
      <c r="J12" s="2">
        <f>IFERROR(__xludf.DUMMYFUNCTION("""COMPUTED_VALUE"""),845.81)</f>
        <v>845.81</v>
      </c>
      <c r="K12" s="2">
        <f>IFERROR(__xludf.DUMMYFUNCTION("""COMPUTED_VALUE"""),845.81)</f>
        <v>845.81</v>
      </c>
    </row>
    <row r="13">
      <c r="A13" s="2">
        <f>IFERROR(__xludf.DUMMYFUNCTION("""COMPUTED_VALUE"""),1000.0)</f>
        <v>1000</v>
      </c>
      <c r="B13" s="2">
        <f>IFERROR(__xludf.DUMMYFUNCTION("""COMPUTED_VALUE"""),183466.0)</f>
        <v>183466</v>
      </c>
      <c r="C13" s="2">
        <f>IFERROR(__xludf.DUMMYFUNCTION("""COMPUTED_VALUE"""),2026.0)</f>
        <v>2026</v>
      </c>
      <c r="D13" s="2">
        <f>IFERROR(__xludf.DUMMYFUNCTION("""COMPUTED_VALUE"""),46387.0)</f>
        <v>46387</v>
      </c>
      <c r="E13" s="2" t="str">
        <f>IFERROR(__xludf.DUMMYFUNCTION("""COMPUTED_VALUE"""),"VF")</f>
        <v>VF</v>
      </c>
      <c r="F13" s="2">
        <f>IFERROR(__xludf.DUMMYFUNCTION("""COMPUTED_VALUE"""),1.0)</f>
        <v>1</v>
      </c>
      <c r="G13" s="2" t="str">
        <f>IFERROR(__xludf.DUMMYFUNCTION("""COMPUTED_VALUE"""),"PR055")</f>
        <v>PR055</v>
      </c>
      <c r="H13" s="2" t="str">
        <f>IFERROR(__xludf.DUMMYFUNCTION("""COMPUTED_VALUE"""),"VD015")</f>
        <v>VD015</v>
      </c>
      <c r="I13" s="2">
        <f>IFERROR(__xludf.DUMMYFUNCTION("""COMPUTED_VALUE"""),18.0)</f>
        <v>18</v>
      </c>
      <c r="J13" s="2">
        <f>IFERROR(__xludf.DUMMYFUNCTION("""COMPUTED_VALUE"""),1844.75)</f>
        <v>1844.75</v>
      </c>
      <c r="K13" s="2">
        <f>IFERROR(__xludf.DUMMYFUNCTION("""COMPUTED_VALUE"""),1844.75)</f>
        <v>1844.75</v>
      </c>
    </row>
    <row r="14">
      <c r="A14" s="2">
        <f>IFERROR(__xludf.DUMMYFUNCTION("""COMPUTED_VALUE"""),1000.0)</f>
        <v>1000</v>
      </c>
      <c r="B14" s="2">
        <f>IFERROR(__xludf.DUMMYFUNCTION("""COMPUTED_VALUE"""),183466.0)</f>
        <v>183466</v>
      </c>
      <c r="C14" s="2">
        <f>IFERROR(__xludf.DUMMYFUNCTION("""COMPUTED_VALUE"""),2026.0)</f>
        <v>2026</v>
      </c>
      <c r="D14" s="2">
        <f>IFERROR(__xludf.DUMMYFUNCTION("""COMPUTED_VALUE"""),46387.0)</f>
        <v>46387</v>
      </c>
      <c r="E14" s="2" t="str">
        <f>IFERROR(__xludf.DUMMYFUNCTION("""COMPUTED_VALUE"""),"VF")</f>
        <v>VF</v>
      </c>
      <c r="F14" s="2">
        <f>IFERROR(__xludf.DUMMYFUNCTION("""COMPUTED_VALUE"""),2.0)</f>
        <v>2</v>
      </c>
      <c r="G14" s="2" t="str">
        <f>IFERROR(__xludf.DUMMYFUNCTION("""COMPUTED_VALUE"""),"PR052")</f>
        <v>PR052</v>
      </c>
      <c r="H14" s="2" t="str">
        <f>IFERROR(__xludf.DUMMYFUNCTION("""COMPUTED_VALUE"""),"VD012")</f>
        <v>VD012</v>
      </c>
      <c r="I14" s="2">
        <f>IFERROR(__xludf.DUMMYFUNCTION("""COMPUTED_VALUE"""),16.0)</f>
        <v>16</v>
      </c>
      <c r="J14" s="2">
        <f>IFERROR(__xludf.DUMMYFUNCTION("""COMPUTED_VALUE"""),950.1)</f>
        <v>950.1</v>
      </c>
      <c r="K14" s="2">
        <f>IFERROR(__xludf.DUMMYFUNCTION("""COMPUTED_VALUE"""),950.1)</f>
        <v>950.1</v>
      </c>
    </row>
    <row r="15">
      <c r="A15" s="2">
        <f>IFERROR(__xludf.DUMMYFUNCTION("""COMPUTED_VALUE"""),1000.0)</f>
        <v>1000</v>
      </c>
      <c r="B15" s="2">
        <f>IFERROR(__xludf.DUMMYFUNCTION("""COMPUTED_VALUE"""),183466.0)</f>
        <v>183466</v>
      </c>
      <c r="C15" s="2">
        <f>IFERROR(__xludf.DUMMYFUNCTION("""COMPUTED_VALUE"""),2026.0)</f>
        <v>2026</v>
      </c>
      <c r="D15" s="2">
        <f>IFERROR(__xludf.DUMMYFUNCTION("""COMPUTED_VALUE"""),46387.0)</f>
        <v>46387</v>
      </c>
      <c r="E15" s="2" t="str">
        <f>IFERROR(__xludf.DUMMYFUNCTION("""COMPUTED_VALUE"""),"VF")</f>
        <v>VF</v>
      </c>
      <c r="F15" s="2">
        <f>IFERROR(__xludf.DUMMYFUNCTION("""COMPUTED_VALUE"""),3.0)</f>
        <v>3</v>
      </c>
      <c r="G15" s="2" t="str">
        <f>IFERROR(__xludf.DUMMYFUNCTION("""COMPUTED_VALUE"""),"PR052")</f>
        <v>PR052</v>
      </c>
      <c r="H15" s="2" t="str">
        <f>IFERROR(__xludf.DUMMYFUNCTION("""COMPUTED_VALUE"""),"VD043")</f>
        <v>VD043</v>
      </c>
      <c r="I15" s="2">
        <f>IFERROR(__xludf.DUMMYFUNCTION("""COMPUTED_VALUE"""),9.0)</f>
        <v>9</v>
      </c>
      <c r="J15" s="2">
        <f>IFERROR(__xludf.DUMMYFUNCTION("""COMPUTED_VALUE"""),511.97)</f>
        <v>511.97</v>
      </c>
      <c r="K15" s="2">
        <f>IFERROR(__xludf.DUMMYFUNCTION("""COMPUTED_VALUE"""),511.97)</f>
        <v>511.97</v>
      </c>
    </row>
    <row r="16">
      <c r="A16" s="2">
        <f>IFERROR(__xludf.DUMMYFUNCTION("""COMPUTED_VALUE"""),1000.0)</f>
        <v>1000</v>
      </c>
      <c r="B16" s="2">
        <f>IFERROR(__xludf.DUMMYFUNCTION("""COMPUTED_VALUE"""),183467.0)</f>
        <v>183467</v>
      </c>
      <c r="C16" s="2">
        <f>IFERROR(__xludf.DUMMYFUNCTION("""COMPUTED_VALUE"""),2026.0)</f>
        <v>2026</v>
      </c>
      <c r="D16" s="2">
        <f>IFERROR(__xludf.DUMMYFUNCTION("""COMPUTED_VALUE"""),46386.0)</f>
        <v>46386</v>
      </c>
      <c r="E16" s="2" t="str">
        <f>IFERROR(__xludf.DUMMYFUNCTION("""COMPUTED_VALUE"""),"VF")</f>
        <v>VF</v>
      </c>
      <c r="F16" s="2">
        <f>IFERROR(__xludf.DUMMYFUNCTION("""COMPUTED_VALUE"""),1.0)</f>
        <v>1</v>
      </c>
      <c r="G16" s="2" t="str">
        <f>IFERROR(__xludf.DUMMYFUNCTION("""COMPUTED_VALUE"""),"PR014")</f>
        <v>PR014</v>
      </c>
      <c r="H16" s="2" t="str">
        <f>IFERROR(__xludf.DUMMYFUNCTION("""COMPUTED_VALUE"""),"VD020")</f>
        <v>VD020</v>
      </c>
      <c r="I16" s="2">
        <f>IFERROR(__xludf.DUMMYFUNCTION("""COMPUTED_VALUE"""),9.0)</f>
        <v>9</v>
      </c>
      <c r="J16" s="2">
        <f>IFERROR(__xludf.DUMMYFUNCTION("""COMPUTED_VALUE"""),420.15)</f>
        <v>420.15</v>
      </c>
      <c r="K16" s="2">
        <f>IFERROR(__xludf.DUMMYFUNCTION("""COMPUTED_VALUE"""),420.15)</f>
        <v>420.15</v>
      </c>
    </row>
    <row r="17">
      <c r="A17" s="2">
        <f>IFERROR(__xludf.DUMMYFUNCTION("""COMPUTED_VALUE"""),1000.0)</f>
        <v>1000</v>
      </c>
      <c r="B17" s="2">
        <f>IFERROR(__xludf.DUMMYFUNCTION("""COMPUTED_VALUE"""),183468.0)</f>
        <v>183468</v>
      </c>
      <c r="C17" s="2">
        <f>IFERROR(__xludf.DUMMYFUNCTION("""COMPUTED_VALUE"""),2026.0)</f>
        <v>2026</v>
      </c>
      <c r="D17" s="2">
        <f>IFERROR(__xludf.DUMMYFUNCTION("""COMPUTED_VALUE"""),46386.0)</f>
        <v>46386</v>
      </c>
      <c r="E17" s="2" t="str">
        <f>IFERROR(__xludf.DUMMYFUNCTION("""COMPUTED_VALUE"""),"VF")</f>
        <v>VF</v>
      </c>
      <c r="F17" s="2">
        <f>IFERROR(__xludf.DUMMYFUNCTION("""COMPUTED_VALUE"""),1.0)</f>
        <v>1</v>
      </c>
      <c r="G17" s="2" t="str">
        <f>IFERROR(__xludf.DUMMYFUNCTION("""COMPUTED_VALUE"""),"PR055")</f>
        <v>PR055</v>
      </c>
      <c r="H17" s="2" t="str">
        <f>IFERROR(__xludf.DUMMYFUNCTION("""COMPUTED_VALUE"""),"VD019")</f>
        <v>VD019</v>
      </c>
      <c r="I17" s="2">
        <f>IFERROR(__xludf.DUMMYFUNCTION("""COMPUTED_VALUE"""),9.0)</f>
        <v>9</v>
      </c>
      <c r="J17" s="2">
        <f>IFERROR(__xludf.DUMMYFUNCTION("""COMPUTED_VALUE"""),890.01)</f>
        <v>890.01</v>
      </c>
      <c r="K17" s="2">
        <f>IFERROR(__xludf.DUMMYFUNCTION("""COMPUTED_VALUE"""),890.01)</f>
        <v>890.01</v>
      </c>
    </row>
    <row r="18">
      <c r="A18" s="2">
        <f>IFERROR(__xludf.DUMMYFUNCTION("""COMPUTED_VALUE"""),1000.0)</f>
        <v>1000</v>
      </c>
      <c r="B18" s="2">
        <f>IFERROR(__xludf.DUMMYFUNCTION("""COMPUTED_VALUE"""),183469.0)</f>
        <v>183469</v>
      </c>
      <c r="C18" s="2">
        <f>IFERROR(__xludf.DUMMYFUNCTION("""COMPUTED_VALUE"""),2026.0)</f>
        <v>2026</v>
      </c>
      <c r="D18" s="2">
        <f>IFERROR(__xludf.DUMMYFUNCTION("""COMPUTED_VALUE"""),46386.0)</f>
        <v>46386</v>
      </c>
      <c r="E18" s="2" t="str">
        <f>IFERROR(__xludf.DUMMYFUNCTION("""COMPUTED_VALUE"""),"VF")</f>
        <v>VF</v>
      </c>
      <c r="F18" s="2">
        <f>IFERROR(__xludf.DUMMYFUNCTION("""COMPUTED_VALUE"""),1.0)</f>
        <v>1</v>
      </c>
      <c r="G18" s="2" t="str">
        <f>IFERROR(__xludf.DUMMYFUNCTION("""COMPUTED_VALUE"""),"PR045")</f>
        <v>PR045</v>
      </c>
      <c r="H18" s="2" t="str">
        <f>IFERROR(__xludf.DUMMYFUNCTION("""COMPUTED_VALUE"""),"VD041")</f>
        <v>VD041</v>
      </c>
      <c r="I18" s="2">
        <f>IFERROR(__xludf.DUMMYFUNCTION("""COMPUTED_VALUE"""),14.0)</f>
        <v>14</v>
      </c>
      <c r="J18" s="2">
        <f>IFERROR(__xludf.DUMMYFUNCTION("""COMPUTED_VALUE"""),1157.1)</f>
        <v>1157.1</v>
      </c>
      <c r="K18" s="2">
        <f>IFERROR(__xludf.DUMMYFUNCTION("""COMPUTED_VALUE"""),1157.1)</f>
        <v>1157.1</v>
      </c>
    </row>
    <row r="19">
      <c r="A19" s="2">
        <f>IFERROR(__xludf.DUMMYFUNCTION("""COMPUTED_VALUE"""),1000.0)</f>
        <v>1000</v>
      </c>
      <c r="B19" s="2">
        <f>IFERROR(__xludf.DUMMYFUNCTION("""COMPUTED_VALUE"""),183470.0)</f>
        <v>183470</v>
      </c>
      <c r="C19" s="2">
        <f>IFERROR(__xludf.DUMMYFUNCTION("""COMPUTED_VALUE"""),2026.0)</f>
        <v>2026</v>
      </c>
      <c r="D19" s="2">
        <f>IFERROR(__xludf.DUMMYFUNCTION("""COMPUTED_VALUE"""),46386.0)</f>
        <v>46386</v>
      </c>
      <c r="E19" s="2" t="str">
        <f>IFERROR(__xludf.DUMMYFUNCTION("""COMPUTED_VALUE"""),"VF")</f>
        <v>VF</v>
      </c>
      <c r="F19" s="2">
        <f>IFERROR(__xludf.DUMMYFUNCTION("""COMPUTED_VALUE"""),1.0)</f>
        <v>1</v>
      </c>
      <c r="G19" s="2" t="str">
        <f>IFERROR(__xludf.DUMMYFUNCTION("""COMPUTED_VALUE"""),"PR053")</f>
        <v>PR053</v>
      </c>
      <c r="H19" s="2" t="str">
        <f>IFERROR(__xludf.DUMMYFUNCTION("""COMPUTED_VALUE"""),"VD013")</f>
        <v>VD013</v>
      </c>
      <c r="I19" s="2">
        <f>IFERROR(__xludf.DUMMYFUNCTION("""COMPUTED_VALUE"""),9.0)</f>
        <v>9</v>
      </c>
      <c r="J19" s="2">
        <f>IFERROR(__xludf.DUMMYFUNCTION("""COMPUTED_VALUE"""),511.97)</f>
        <v>511.97</v>
      </c>
      <c r="K19" s="2">
        <f>IFERROR(__xludf.DUMMYFUNCTION("""COMPUTED_VALUE"""),511.97)</f>
        <v>511.97</v>
      </c>
    </row>
    <row r="20">
      <c r="A20" s="2">
        <f>IFERROR(__xludf.DUMMYFUNCTION("""COMPUTED_VALUE"""),1000.0)</f>
        <v>1000</v>
      </c>
      <c r="B20" s="2">
        <f>IFERROR(__xludf.DUMMYFUNCTION("""COMPUTED_VALUE"""),183471.0)</f>
        <v>183471</v>
      </c>
      <c r="C20" s="2">
        <f>IFERROR(__xludf.DUMMYFUNCTION("""COMPUTED_VALUE"""),2026.0)</f>
        <v>2026</v>
      </c>
      <c r="D20" s="2">
        <f>IFERROR(__xludf.DUMMYFUNCTION("""COMPUTED_VALUE"""),46386.0)</f>
        <v>46386</v>
      </c>
      <c r="E20" s="2" t="str">
        <f>IFERROR(__xludf.DUMMYFUNCTION("""COMPUTED_VALUE"""),"VF")</f>
        <v>VF</v>
      </c>
      <c r="F20" s="2">
        <f>IFERROR(__xludf.DUMMYFUNCTION("""COMPUTED_VALUE"""),1.0)</f>
        <v>1</v>
      </c>
      <c r="G20" s="2" t="str">
        <f>IFERROR(__xludf.DUMMYFUNCTION("""COMPUTED_VALUE"""),"PR054")</f>
        <v>PR054</v>
      </c>
      <c r="H20" s="2" t="str">
        <f>IFERROR(__xludf.DUMMYFUNCTION("""COMPUTED_VALUE"""),"VD028")</f>
        <v>VD028</v>
      </c>
      <c r="I20" s="2">
        <f>IFERROR(__xludf.DUMMYFUNCTION("""COMPUTED_VALUE"""),9.0)</f>
        <v>9</v>
      </c>
      <c r="J20" s="2">
        <f>IFERROR(__xludf.DUMMYFUNCTION("""COMPUTED_VALUE"""),538.92)</f>
        <v>538.92</v>
      </c>
      <c r="K20" s="2">
        <f>IFERROR(__xludf.DUMMYFUNCTION("""COMPUTED_VALUE"""),538.92)</f>
        <v>538.92</v>
      </c>
    </row>
    <row r="21">
      <c r="A21" s="2">
        <f>IFERROR(__xludf.DUMMYFUNCTION("""COMPUTED_VALUE"""),2000.0)</f>
        <v>2000</v>
      </c>
      <c r="B21" s="2">
        <f>IFERROR(__xludf.DUMMYFUNCTION("""COMPUTED_VALUE"""),183472.0)</f>
        <v>183472</v>
      </c>
      <c r="C21" s="2">
        <f>IFERROR(__xludf.DUMMYFUNCTION("""COMPUTED_VALUE"""),2026.0)</f>
        <v>2026</v>
      </c>
      <c r="D21" s="2">
        <f>IFERROR(__xludf.DUMMYFUNCTION("""COMPUTED_VALUE"""),46386.0)</f>
        <v>46386</v>
      </c>
      <c r="E21" s="2" t="str">
        <f>IFERROR(__xludf.DUMMYFUNCTION("""COMPUTED_VALUE"""),"VF")</f>
        <v>VF</v>
      </c>
      <c r="F21" s="2">
        <f>IFERROR(__xludf.DUMMYFUNCTION("""COMPUTED_VALUE"""),1.0)</f>
        <v>1</v>
      </c>
      <c r="G21" s="2" t="str">
        <f>IFERROR(__xludf.DUMMYFUNCTION("""COMPUTED_VALUE"""),"PR020")</f>
        <v>PR020</v>
      </c>
      <c r="H21" s="2" t="str">
        <f>IFERROR(__xludf.DUMMYFUNCTION("""COMPUTED_VALUE"""),"VD047")</f>
        <v>VD047</v>
      </c>
      <c r="I21" s="2">
        <f>IFERROR(__xludf.DUMMYFUNCTION("""COMPUTED_VALUE"""),27.0)</f>
        <v>27</v>
      </c>
      <c r="J21" s="2">
        <f>IFERROR(__xludf.DUMMYFUNCTION("""COMPUTED_VALUE"""),8907.03)</f>
        <v>8907.03</v>
      </c>
      <c r="K21" s="2">
        <f>IFERROR(__xludf.DUMMYFUNCTION("""COMPUTED_VALUE"""),8907.03)</f>
        <v>8907.03</v>
      </c>
    </row>
    <row r="22">
      <c r="A22" s="2">
        <f>IFERROR(__xludf.DUMMYFUNCTION("""COMPUTED_VALUE"""),1000.0)</f>
        <v>1000</v>
      </c>
      <c r="B22" s="2">
        <f>IFERROR(__xludf.DUMMYFUNCTION("""COMPUTED_VALUE"""),183472.0)</f>
        <v>183472</v>
      </c>
      <c r="C22" s="2">
        <f>IFERROR(__xludf.DUMMYFUNCTION("""COMPUTED_VALUE"""),2026.0)</f>
        <v>2026</v>
      </c>
      <c r="D22" s="2">
        <f>IFERROR(__xludf.DUMMYFUNCTION("""COMPUTED_VALUE"""),46386.0)</f>
        <v>46386</v>
      </c>
      <c r="E22" s="2" t="str">
        <f>IFERROR(__xludf.DUMMYFUNCTION("""COMPUTED_VALUE"""),"VF")</f>
        <v>VF</v>
      </c>
      <c r="F22" s="2">
        <f>IFERROR(__xludf.DUMMYFUNCTION("""COMPUTED_VALUE"""),2.0)</f>
        <v>2</v>
      </c>
      <c r="G22" s="2" t="str">
        <f>IFERROR(__xludf.DUMMYFUNCTION("""COMPUTED_VALUE"""),"PR047")</f>
        <v>PR047</v>
      </c>
      <c r="H22" s="2" t="str">
        <f>IFERROR(__xludf.DUMMYFUNCTION("""COMPUTED_VALUE"""),"VD017")</f>
        <v>VD017</v>
      </c>
      <c r="I22" s="2">
        <f>IFERROR(__xludf.DUMMYFUNCTION("""COMPUTED_VALUE"""),12.0)</f>
        <v>12</v>
      </c>
      <c r="J22" s="2">
        <f>IFERROR(__xludf.DUMMYFUNCTION("""COMPUTED_VALUE"""),4174.56)</f>
        <v>4174.56</v>
      </c>
      <c r="K22" s="2">
        <f>IFERROR(__xludf.DUMMYFUNCTION("""COMPUTED_VALUE"""),4174.56)</f>
        <v>4174.56</v>
      </c>
    </row>
    <row r="23">
      <c r="A23" s="2">
        <f>IFERROR(__xludf.DUMMYFUNCTION("""COMPUTED_VALUE"""),2000.0)</f>
        <v>2000</v>
      </c>
      <c r="B23" s="2">
        <f>IFERROR(__xludf.DUMMYFUNCTION("""COMPUTED_VALUE"""),183473.0)</f>
        <v>183473</v>
      </c>
      <c r="C23" s="2">
        <f>IFERROR(__xludf.DUMMYFUNCTION("""COMPUTED_VALUE"""),2026.0)</f>
        <v>2026</v>
      </c>
      <c r="D23" s="2">
        <f>IFERROR(__xludf.DUMMYFUNCTION("""COMPUTED_VALUE"""),46386.0)</f>
        <v>46386</v>
      </c>
      <c r="E23" s="2" t="str">
        <f>IFERROR(__xludf.DUMMYFUNCTION("""COMPUTED_VALUE"""),"VF")</f>
        <v>VF</v>
      </c>
      <c r="F23" s="2">
        <f>IFERROR(__xludf.DUMMYFUNCTION("""COMPUTED_VALUE"""),1.0)</f>
        <v>1</v>
      </c>
      <c r="G23" s="2" t="str">
        <f>IFERROR(__xludf.DUMMYFUNCTION("""COMPUTED_VALUE"""),"PR047")</f>
        <v>PR047</v>
      </c>
      <c r="H23" s="2" t="str">
        <f>IFERROR(__xludf.DUMMYFUNCTION("""COMPUTED_VALUE"""),"VD040")</f>
        <v>VD040</v>
      </c>
      <c r="I23" s="2">
        <f>IFERROR(__xludf.DUMMYFUNCTION("""COMPUTED_VALUE"""),15.0)</f>
        <v>15</v>
      </c>
      <c r="J23" s="2">
        <f>IFERROR(__xludf.DUMMYFUNCTION("""COMPUTED_VALUE"""),4826.84)</f>
        <v>4826.84</v>
      </c>
      <c r="K23" s="2">
        <f>IFERROR(__xludf.DUMMYFUNCTION("""COMPUTED_VALUE"""),4826.84)</f>
        <v>4826.84</v>
      </c>
    </row>
    <row r="24">
      <c r="A24" s="2">
        <f>IFERROR(__xludf.DUMMYFUNCTION("""COMPUTED_VALUE"""),1000.0)</f>
        <v>1000</v>
      </c>
      <c r="B24" s="2">
        <f>IFERROR(__xludf.DUMMYFUNCTION("""COMPUTED_VALUE"""),183474.0)</f>
        <v>183474</v>
      </c>
      <c r="C24" s="2">
        <f>IFERROR(__xludf.DUMMYFUNCTION("""COMPUTED_VALUE"""),2026.0)</f>
        <v>2026</v>
      </c>
      <c r="D24" s="2">
        <f>IFERROR(__xludf.DUMMYFUNCTION("""COMPUTED_VALUE"""),46386.0)</f>
        <v>46386</v>
      </c>
      <c r="E24" s="2" t="str">
        <f>IFERROR(__xludf.DUMMYFUNCTION("""COMPUTED_VALUE"""),"VF")</f>
        <v>VF</v>
      </c>
      <c r="F24" s="2">
        <f>IFERROR(__xludf.DUMMYFUNCTION("""COMPUTED_VALUE"""),1.0)</f>
        <v>1</v>
      </c>
      <c r="G24" s="2" t="str">
        <f>IFERROR(__xludf.DUMMYFUNCTION("""COMPUTED_VALUE"""),"PR003")</f>
        <v>PR003</v>
      </c>
      <c r="H24" s="2" t="str">
        <f>IFERROR(__xludf.DUMMYFUNCTION("""COMPUTED_VALUE"""),"VD033")</f>
        <v>VD033</v>
      </c>
      <c r="I24" s="2">
        <f>IFERROR(__xludf.DUMMYFUNCTION("""COMPUTED_VALUE"""),8.0)</f>
        <v>8</v>
      </c>
      <c r="J24" s="2">
        <f>IFERROR(__xludf.DUMMYFUNCTION("""COMPUTED_VALUE"""),629.59)</f>
        <v>629.59</v>
      </c>
      <c r="K24" s="2">
        <f>IFERROR(__xludf.DUMMYFUNCTION("""COMPUTED_VALUE"""),629.59)</f>
        <v>629.59</v>
      </c>
    </row>
    <row r="25">
      <c r="A25" s="2">
        <f>IFERROR(__xludf.DUMMYFUNCTION("""COMPUTED_VALUE"""),1000.0)</f>
        <v>1000</v>
      </c>
      <c r="B25" s="2">
        <f>IFERROR(__xludf.DUMMYFUNCTION("""COMPUTED_VALUE"""),183475.0)</f>
        <v>183475</v>
      </c>
      <c r="C25" s="2">
        <f>IFERROR(__xludf.DUMMYFUNCTION("""COMPUTED_VALUE"""),2026.0)</f>
        <v>2026</v>
      </c>
      <c r="D25" s="2">
        <f>IFERROR(__xludf.DUMMYFUNCTION("""COMPUTED_VALUE"""),46386.0)</f>
        <v>46386</v>
      </c>
      <c r="E25" s="2" t="str">
        <f>IFERROR(__xludf.DUMMYFUNCTION("""COMPUTED_VALUE"""),"VF")</f>
        <v>VF</v>
      </c>
      <c r="F25" s="2">
        <f>IFERROR(__xludf.DUMMYFUNCTION("""COMPUTED_VALUE"""),1.0)</f>
        <v>1</v>
      </c>
      <c r="G25" s="2" t="str">
        <f>IFERROR(__xludf.DUMMYFUNCTION("""COMPUTED_VALUE"""),"PR058")</f>
        <v>PR058</v>
      </c>
      <c r="H25" s="2" t="str">
        <f>IFERROR(__xludf.DUMMYFUNCTION("""COMPUTED_VALUE"""),"VD014")</f>
        <v>VD014</v>
      </c>
      <c r="I25" s="2">
        <f>IFERROR(__xludf.DUMMYFUNCTION("""COMPUTED_VALUE"""),21.0)</f>
        <v>21</v>
      </c>
      <c r="J25" s="2">
        <f>IFERROR(__xludf.DUMMYFUNCTION("""COMPUTED_VALUE"""),4536.0)</f>
        <v>4536</v>
      </c>
      <c r="K25" s="2">
        <f>IFERROR(__xludf.DUMMYFUNCTION("""COMPUTED_VALUE"""),4536.0)</f>
        <v>4536</v>
      </c>
    </row>
    <row r="26">
      <c r="A26" s="2">
        <f>IFERROR(__xludf.DUMMYFUNCTION("""COMPUTED_VALUE"""),2000.0)</f>
        <v>2000</v>
      </c>
      <c r="B26" s="2">
        <f>IFERROR(__xludf.DUMMYFUNCTION("""COMPUTED_VALUE"""),183476.0)</f>
        <v>183476</v>
      </c>
      <c r="C26" s="2">
        <f>IFERROR(__xludf.DUMMYFUNCTION("""COMPUTED_VALUE"""),2026.0)</f>
        <v>2026</v>
      </c>
      <c r="D26" s="2">
        <f>IFERROR(__xludf.DUMMYFUNCTION("""COMPUTED_VALUE"""),46386.0)</f>
        <v>46386</v>
      </c>
      <c r="E26" s="2" t="str">
        <f>IFERROR(__xludf.DUMMYFUNCTION("""COMPUTED_VALUE"""),"VF")</f>
        <v>VF</v>
      </c>
      <c r="F26" s="2">
        <f>IFERROR(__xludf.DUMMYFUNCTION("""COMPUTED_VALUE"""),1.0)</f>
        <v>1</v>
      </c>
      <c r="G26" s="2" t="str">
        <f>IFERROR(__xludf.DUMMYFUNCTION("""COMPUTED_VALUE"""),"PR049")</f>
        <v>PR049</v>
      </c>
      <c r="H26" s="2" t="str">
        <f>IFERROR(__xludf.DUMMYFUNCTION("""COMPUTED_VALUE"""),"VD029")</f>
        <v>VD029</v>
      </c>
      <c r="I26" s="2">
        <f>IFERROR(__xludf.DUMMYFUNCTION("""COMPUTED_VALUE"""),12.0)</f>
        <v>12</v>
      </c>
      <c r="J26" s="2">
        <f>IFERROR(__xludf.DUMMYFUNCTION("""COMPUTED_VALUE"""),473.76)</f>
        <v>473.76</v>
      </c>
      <c r="K26" s="2">
        <f>IFERROR(__xludf.DUMMYFUNCTION("""COMPUTED_VALUE"""),473.76)</f>
        <v>473.76</v>
      </c>
    </row>
    <row r="27">
      <c r="A27" s="2">
        <f>IFERROR(__xludf.DUMMYFUNCTION("""COMPUTED_VALUE"""),1000.0)</f>
        <v>1000</v>
      </c>
      <c r="B27" s="2">
        <f>IFERROR(__xludf.DUMMYFUNCTION("""COMPUTED_VALUE"""),183477.0)</f>
        <v>183477</v>
      </c>
      <c r="C27" s="2">
        <f>IFERROR(__xludf.DUMMYFUNCTION("""COMPUTED_VALUE"""),2026.0)</f>
        <v>2026</v>
      </c>
      <c r="D27" s="2">
        <f>IFERROR(__xludf.DUMMYFUNCTION("""COMPUTED_VALUE"""),46386.0)</f>
        <v>46386</v>
      </c>
      <c r="E27" s="2" t="str">
        <f>IFERROR(__xludf.DUMMYFUNCTION("""COMPUTED_VALUE"""),"VF")</f>
        <v>VF</v>
      </c>
      <c r="F27" s="2">
        <f>IFERROR(__xludf.DUMMYFUNCTION("""COMPUTED_VALUE"""),1.0)</f>
        <v>1</v>
      </c>
      <c r="G27" s="2" t="str">
        <f>IFERROR(__xludf.DUMMYFUNCTION("""COMPUTED_VALUE"""),"PR035")</f>
        <v>PR035</v>
      </c>
      <c r="H27" s="2" t="str">
        <f>IFERROR(__xludf.DUMMYFUNCTION("""COMPUTED_VALUE"""),"VD010")</f>
        <v>VD010</v>
      </c>
      <c r="I27" s="2">
        <f>IFERROR(__xludf.DUMMYFUNCTION("""COMPUTED_VALUE"""),27.0)</f>
        <v>27</v>
      </c>
      <c r="J27" s="2">
        <f>IFERROR(__xludf.DUMMYFUNCTION("""COMPUTED_VALUE"""),2763.94)</f>
        <v>2763.94</v>
      </c>
      <c r="K27" s="2">
        <f>IFERROR(__xludf.DUMMYFUNCTION("""COMPUTED_VALUE"""),2763.94)</f>
        <v>2763.94</v>
      </c>
    </row>
    <row r="28">
      <c r="A28" s="2">
        <f>IFERROR(__xludf.DUMMYFUNCTION("""COMPUTED_VALUE"""),2000.0)</f>
        <v>2000</v>
      </c>
      <c r="B28" s="2">
        <f>IFERROR(__xludf.DUMMYFUNCTION("""COMPUTED_VALUE"""),183478.0)</f>
        <v>183478</v>
      </c>
      <c r="C28" s="2">
        <f>IFERROR(__xludf.DUMMYFUNCTION("""COMPUTED_VALUE"""),2026.0)</f>
        <v>2026</v>
      </c>
      <c r="D28" s="2">
        <f>IFERROR(__xludf.DUMMYFUNCTION("""COMPUTED_VALUE"""),46386.0)</f>
        <v>46386</v>
      </c>
      <c r="E28" s="2" t="str">
        <f>IFERROR(__xludf.DUMMYFUNCTION("""COMPUTED_VALUE"""),"VF")</f>
        <v>VF</v>
      </c>
      <c r="F28" s="2">
        <f>IFERROR(__xludf.DUMMYFUNCTION("""COMPUTED_VALUE"""),1.0)</f>
        <v>1</v>
      </c>
      <c r="G28" s="2" t="str">
        <f>IFERROR(__xludf.DUMMYFUNCTION("""COMPUTED_VALUE"""),"PR003")</f>
        <v>PR003</v>
      </c>
      <c r="H28" s="2" t="str">
        <f>IFERROR(__xludf.DUMMYFUNCTION("""COMPUTED_VALUE"""),"VD024")</f>
        <v>VD024</v>
      </c>
      <c r="I28" s="2">
        <f>IFERROR(__xludf.DUMMYFUNCTION("""COMPUTED_VALUE"""),18.0)</f>
        <v>18</v>
      </c>
      <c r="J28" s="2">
        <f>IFERROR(__xludf.DUMMYFUNCTION("""COMPUTED_VALUE"""),1480.39)</f>
        <v>1480.39</v>
      </c>
      <c r="K28" s="2">
        <f>IFERROR(__xludf.DUMMYFUNCTION("""COMPUTED_VALUE"""),1480.39)</f>
        <v>1480.39</v>
      </c>
    </row>
    <row r="29">
      <c r="A29" s="2">
        <f>IFERROR(__xludf.DUMMYFUNCTION("""COMPUTED_VALUE"""),2000.0)</f>
        <v>2000</v>
      </c>
      <c r="B29" s="2">
        <f>IFERROR(__xludf.DUMMYFUNCTION("""COMPUTED_VALUE"""),183479.0)</f>
        <v>183479</v>
      </c>
      <c r="C29" s="2">
        <f>IFERROR(__xludf.DUMMYFUNCTION("""COMPUTED_VALUE"""),2026.0)</f>
        <v>2026</v>
      </c>
      <c r="D29" s="2">
        <f>IFERROR(__xludf.DUMMYFUNCTION("""COMPUTED_VALUE"""),46385.0)</f>
        <v>46385</v>
      </c>
      <c r="E29" s="2" t="str">
        <f>IFERROR(__xludf.DUMMYFUNCTION("""COMPUTED_VALUE"""),"VF")</f>
        <v>VF</v>
      </c>
      <c r="F29" s="2">
        <f>IFERROR(__xludf.DUMMYFUNCTION("""COMPUTED_VALUE"""),1.0)</f>
        <v>1</v>
      </c>
      <c r="G29" s="2" t="str">
        <f>IFERROR(__xludf.DUMMYFUNCTION("""COMPUTED_VALUE"""),"PR006")</f>
        <v>PR006</v>
      </c>
      <c r="H29" s="2" t="str">
        <f>IFERROR(__xludf.DUMMYFUNCTION("""COMPUTED_VALUE"""),"VD021")</f>
        <v>VD021</v>
      </c>
      <c r="I29" s="2">
        <f>IFERROR(__xludf.DUMMYFUNCTION("""COMPUTED_VALUE"""),27.0)</f>
        <v>27</v>
      </c>
      <c r="J29" s="2">
        <f>IFERROR(__xludf.DUMMYFUNCTION("""COMPUTED_VALUE"""),1249.67)</f>
        <v>1249.67</v>
      </c>
      <c r="K29" s="2">
        <f>IFERROR(__xludf.DUMMYFUNCTION("""COMPUTED_VALUE"""),1249.67)</f>
        <v>1249.67</v>
      </c>
    </row>
    <row r="30">
      <c r="A30" s="2">
        <f>IFERROR(__xludf.DUMMYFUNCTION("""COMPUTED_VALUE"""),1000.0)</f>
        <v>1000</v>
      </c>
      <c r="B30" s="2">
        <f>IFERROR(__xludf.DUMMYFUNCTION("""COMPUTED_VALUE"""),183479.0)</f>
        <v>183479</v>
      </c>
      <c r="C30" s="2">
        <f>IFERROR(__xludf.DUMMYFUNCTION("""COMPUTED_VALUE"""),2026.0)</f>
        <v>2026</v>
      </c>
      <c r="D30" s="2">
        <f>IFERROR(__xludf.DUMMYFUNCTION("""COMPUTED_VALUE"""),46385.0)</f>
        <v>46385</v>
      </c>
      <c r="E30" s="2" t="str">
        <f>IFERROR(__xludf.DUMMYFUNCTION("""COMPUTED_VALUE"""),"VF")</f>
        <v>VF</v>
      </c>
      <c r="F30" s="2">
        <f>IFERROR(__xludf.DUMMYFUNCTION("""COMPUTED_VALUE"""),2.0)</f>
        <v>2</v>
      </c>
      <c r="G30" s="2" t="str">
        <f>IFERROR(__xludf.DUMMYFUNCTION("""COMPUTED_VALUE"""),"PR002")</f>
        <v>PR002</v>
      </c>
      <c r="H30" s="2" t="str">
        <f>IFERROR(__xludf.DUMMYFUNCTION("""COMPUTED_VALUE"""),"VD040")</f>
        <v>VD040</v>
      </c>
      <c r="I30" s="2">
        <f>IFERROR(__xludf.DUMMYFUNCTION("""COMPUTED_VALUE"""),24.0)</f>
        <v>24</v>
      </c>
      <c r="J30" s="2">
        <f>IFERROR(__xludf.DUMMYFUNCTION("""COMPUTED_VALUE"""),1996.34)</f>
        <v>1996.34</v>
      </c>
      <c r="K30" s="2">
        <f>IFERROR(__xludf.DUMMYFUNCTION("""COMPUTED_VALUE"""),1996.34)</f>
        <v>1996.34</v>
      </c>
    </row>
    <row r="31">
      <c r="A31" s="2">
        <f>IFERROR(__xludf.DUMMYFUNCTION("""COMPUTED_VALUE"""),1000.0)</f>
        <v>1000</v>
      </c>
      <c r="B31" s="2">
        <f>IFERROR(__xludf.DUMMYFUNCTION("""COMPUTED_VALUE"""),183479.0)</f>
        <v>183479</v>
      </c>
      <c r="C31" s="2">
        <f>IFERROR(__xludf.DUMMYFUNCTION("""COMPUTED_VALUE"""),2026.0)</f>
        <v>2026</v>
      </c>
      <c r="D31" s="2">
        <f>IFERROR(__xludf.DUMMYFUNCTION("""COMPUTED_VALUE"""),46384.0)</f>
        <v>46384</v>
      </c>
      <c r="E31" s="2" t="str">
        <f>IFERROR(__xludf.DUMMYFUNCTION("""COMPUTED_VALUE"""),"VF")</f>
        <v>VF</v>
      </c>
      <c r="F31" s="2">
        <f>IFERROR(__xludf.DUMMYFUNCTION("""COMPUTED_VALUE"""),3.0)</f>
        <v>3</v>
      </c>
      <c r="G31" s="2" t="str">
        <f>IFERROR(__xludf.DUMMYFUNCTION("""COMPUTED_VALUE"""),"PR038")</f>
        <v>PR038</v>
      </c>
      <c r="H31" s="2" t="str">
        <f>IFERROR(__xludf.DUMMYFUNCTION("""COMPUTED_VALUE"""),"VD016")</f>
        <v>VD016</v>
      </c>
      <c r="I31" s="2">
        <f>IFERROR(__xludf.DUMMYFUNCTION("""COMPUTED_VALUE"""),12.0)</f>
        <v>12</v>
      </c>
      <c r="J31" s="2">
        <f>IFERROR(__xludf.DUMMYFUNCTION("""COMPUTED_VALUE"""),1972.02)</f>
        <v>1972.02</v>
      </c>
      <c r="K31" s="2">
        <f>IFERROR(__xludf.DUMMYFUNCTION("""COMPUTED_VALUE"""),1972.02)</f>
        <v>1972.02</v>
      </c>
    </row>
    <row r="32">
      <c r="A32" s="2">
        <f>IFERROR(__xludf.DUMMYFUNCTION("""COMPUTED_VALUE"""),1000.0)</f>
        <v>1000</v>
      </c>
      <c r="B32" s="2">
        <f>IFERROR(__xludf.DUMMYFUNCTION("""COMPUTED_VALUE"""),183480.0)</f>
        <v>183480</v>
      </c>
      <c r="C32" s="2">
        <f>IFERROR(__xludf.DUMMYFUNCTION("""COMPUTED_VALUE"""),2026.0)</f>
        <v>2026</v>
      </c>
      <c r="D32" s="2">
        <f>IFERROR(__xludf.DUMMYFUNCTION("""COMPUTED_VALUE"""),46384.0)</f>
        <v>46384</v>
      </c>
      <c r="E32" s="2" t="str">
        <f>IFERROR(__xludf.DUMMYFUNCTION("""COMPUTED_VALUE"""),"VF")</f>
        <v>VF</v>
      </c>
      <c r="F32" s="2">
        <f>IFERROR(__xludf.DUMMYFUNCTION("""COMPUTED_VALUE"""),1.0)</f>
        <v>1</v>
      </c>
      <c r="G32" s="2" t="str">
        <f>IFERROR(__xludf.DUMMYFUNCTION("""COMPUTED_VALUE"""),"PR027")</f>
        <v>PR027</v>
      </c>
      <c r="H32" s="2" t="str">
        <f>IFERROR(__xludf.DUMMYFUNCTION("""COMPUTED_VALUE"""),"VD035")</f>
        <v>VD035</v>
      </c>
      <c r="I32" s="2">
        <f>IFERROR(__xludf.DUMMYFUNCTION("""COMPUTED_VALUE"""),30.0)</f>
        <v>30</v>
      </c>
      <c r="J32" s="2">
        <f>IFERROR(__xludf.DUMMYFUNCTION("""COMPUTED_VALUE"""),3996.0)</f>
        <v>3996</v>
      </c>
      <c r="K32" s="2">
        <f>IFERROR(__xludf.DUMMYFUNCTION("""COMPUTED_VALUE"""),3996.0)</f>
        <v>3996</v>
      </c>
    </row>
    <row r="33">
      <c r="A33" s="2">
        <f>IFERROR(__xludf.DUMMYFUNCTION("""COMPUTED_VALUE"""),1000.0)</f>
        <v>1000</v>
      </c>
      <c r="B33" s="2">
        <f>IFERROR(__xludf.DUMMYFUNCTION("""COMPUTED_VALUE"""),183480.0)</f>
        <v>183480</v>
      </c>
      <c r="C33" s="2">
        <f>IFERROR(__xludf.DUMMYFUNCTION("""COMPUTED_VALUE"""),2026.0)</f>
        <v>2026</v>
      </c>
      <c r="D33" s="2">
        <f>IFERROR(__xludf.DUMMYFUNCTION("""COMPUTED_VALUE"""),46384.0)</f>
        <v>46384</v>
      </c>
      <c r="E33" s="2" t="str">
        <f>IFERROR(__xludf.DUMMYFUNCTION("""COMPUTED_VALUE"""),"VF")</f>
        <v>VF</v>
      </c>
      <c r="F33" s="2">
        <f>IFERROR(__xludf.DUMMYFUNCTION("""COMPUTED_VALUE"""),2.0)</f>
        <v>2</v>
      </c>
      <c r="G33" s="2" t="str">
        <f>IFERROR(__xludf.DUMMYFUNCTION("""COMPUTED_VALUE"""),"PR059")</f>
        <v>PR059</v>
      </c>
      <c r="H33" s="2" t="str">
        <f>IFERROR(__xludf.DUMMYFUNCTION("""COMPUTED_VALUE"""),"VD049")</f>
        <v>VD049</v>
      </c>
      <c r="I33" s="2">
        <f>IFERROR(__xludf.DUMMYFUNCTION("""COMPUTED_VALUE"""),12.0)</f>
        <v>12</v>
      </c>
      <c r="J33" s="2">
        <f>IFERROR(__xludf.DUMMYFUNCTION("""COMPUTED_VALUE"""),2419.2)</f>
        <v>2419.2</v>
      </c>
      <c r="K33" s="2">
        <f>IFERROR(__xludf.DUMMYFUNCTION("""COMPUTED_VALUE"""),2419.2)</f>
        <v>2419.2</v>
      </c>
    </row>
    <row r="34">
      <c r="A34" s="2">
        <f>IFERROR(__xludf.DUMMYFUNCTION("""COMPUTED_VALUE"""),1000.0)</f>
        <v>1000</v>
      </c>
      <c r="B34" s="2">
        <f>IFERROR(__xludf.DUMMYFUNCTION("""COMPUTED_VALUE"""),183480.0)</f>
        <v>183480</v>
      </c>
      <c r="C34" s="2">
        <f>IFERROR(__xludf.DUMMYFUNCTION("""COMPUTED_VALUE"""),2026.0)</f>
        <v>2026</v>
      </c>
      <c r="D34" s="2">
        <f>IFERROR(__xludf.DUMMYFUNCTION("""COMPUTED_VALUE"""),46383.0)</f>
        <v>46383</v>
      </c>
      <c r="E34" s="2" t="str">
        <f>IFERROR(__xludf.DUMMYFUNCTION("""COMPUTED_VALUE"""),"VF")</f>
        <v>VF</v>
      </c>
      <c r="F34" s="2">
        <f>IFERROR(__xludf.DUMMYFUNCTION("""COMPUTED_VALUE"""),3.0)</f>
        <v>3</v>
      </c>
      <c r="G34" s="2" t="str">
        <f>IFERROR(__xludf.DUMMYFUNCTION("""COMPUTED_VALUE"""),"PR035")</f>
        <v>PR035</v>
      </c>
      <c r="H34" s="2" t="str">
        <f>IFERROR(__xludf.DUMMYFUNCTION("""COMPUTED_VALUE"""),"VD019")</f>
        <v>VD019</v>
      </c>
      <c r="I34" s="2">
        <f>IFERROR(__xludf.DUMMYFUNCTION("""COMPUTED_VALUE"""),21.0)</f>
        <v>21</v>
      </c>
      <c r="J34" s="2">
        <f>IFERROR(__xludf.DUMMYFUNCTION("""COMPUTED_VALUE"""),2207.31)</f>
        <v>2207.31</v>
      </c>
      <c r="K34" s="2">
        <f>IFERROR(__xludf.DUMMYFUNCTION("""COMPUTED_VALUE"""),2207.31)</f>
        <v>2207.31</v>
      </c>
    </row>
    <row r="35">
      <c r="A35" s="2">
        <f>IFERROR(__xludf.DUMMYFUNCTION("""COMPUTED_VALUE"""),1000.0)</f>
        <v>1000</v>
      </c>
      <c r="B35" s="2">
        <f>IFERROR(__xludf.DUMMYFUNCTION("""COMPUTED_VALUE"""),183481.0)</f>
        <v>183481</v>
      </c>
      <c r="C35" s="2">
        <f>IFERROR(__xludf.DUMMYFUNCTION("""COMPUTED_VALUE"""),2026.0)</f>
        <v>2026</v>
      </c>
      <c r="D35" s="2">
        <f>IFERROR(__xludf.DUMMYFUNCTION("""COMPUTED_VALUE"""),46383.0)</f>
        <v>46383</v>
      </c>
      <c r="E35" s="2" t="str">
        <f>IFERROR(__xludf.DUMMYFUNCTION("""COMPUTED_VALUE"""),"VF")</f>
        <v>VF</v>
      </c>
      <c r="F35" s="2">
        <f>IFERROR(__xludf.DUMMYFUNCTION("""COMPUTED_VALUE"""),1.0)</f>
        <v>1</v>
      </c>
      <c r="G35" s="2" t="str">
        <f>IFERROR(__xludf.DUMMYFUNCTION("""COMPUTED_VALUE"""),"PR028")</f>
        <v>PR028</v>
      </c>
      <c r="H35" s="2" t="str">
        <f>IFERROR(__xludf.DUMMYFUNCTION("""COMPUTED_VALUE"""),"VD011")</f>
        <v>VD011</v>
      </c>
      <c r="I35" s="2">
        <f>IFERROR(__xludf.DUMMYFUNCTION("""COMPUTED_VALUE"""),16.0)</f>
        <v>16</v>
      </c>
      <c r="J35" s="2">
        <f>IFERROR(__xludf.DUMMYFUNCTION("""COMPUTED_VALUE"""),4718.11)</f>
        <v>4718.11</v>
      </c>
      <c r="K35" s="2">
        <f>IFERROR(__xludf.DUMMYFUNCTION("""COMPUTED_VALUE"""),4718.11)</f>
        <v>4718.11</v>
      </c>
    </row>
    <row r="36">
      <c r="A36" s="2">
        <f>IFERROR(__xludf.DUMMYFUNCTION("""COMPUTED_VALUE"""),1000.0)</f>
        <v>1000</v>
      </c>
      <c r="B36" s="2">
        <f>IFERROR(__xludf.DUMMYFUNCTION("""COMPUTED_VALUE"""),183482.0)</f>
        <v>183482</v>
      </c>
      <c r="C36" s="2">
        <f>IFERROR(__xludf.DUMMYFUNCTION("""COMPUTED_VALUE"""),2026.0)</f>
        <v>2026</v>
      </c>
      <c r="D36" s="2">
        <f>IFERROR(__xludf.DUMMYFUNCTION("""COMPUTED_VALUE"""),46382.0)</f>
        <v>46382</v>
      </c>
      <c r="E36" s="2" t="str">
        <f>IFERROR(__xludf.DUMMYFUNCTION("""COMPUTED_VALUE"""),"VF")</f>
        <v>VF</v>
      </c>
      <c r="F36" s="2">
        <f>IFERROR(__xludf.DUMMYFUNCTION("""COMPUTED_VALUE"""),1.0)</f>
        <v>1</v>
      </c>
      <c r="G36" s="2" t="str">
        <f>IFERROR(__xludf.DUMMYFUNCTION("""COMPUTED_VALUE"""),"PR018")</f>
        <v>PR018</v>
      </c>
      <c r="H36" s="2" t="str">
        <f>IFERROR(__xludf.DUMMYFUNCTION("""COMPUTED_VALUE"""),"VD016")</f>
        <v>VD016</v>
      </c>
      <c r="I36" s="2">
        <f>IFERROR(__xludf.DUMMYFUNCTION("""COMPUTED_VALUE"""),10.0)</f>
        <v>10</v>
      </c>
      <c r="J36" s="2">
        <f>IFERROR(__xludf.DUMMYFUNCTION("""COMPUTED_VALUE"""),378.35)</f>
        <v>378.35</v>
      </c>
      <c r="K36" s="2">
        <f>IFERROR(__xludf.DUMMYFUNCTION("""COMPUTED_VALUE"""),378.35)</f>
        <v>378.35</v>
      </c>
    </row>
    <row r="37">
      <c r="A37" s="2">
        <f>IFERROR(__xludf.DUMMYFUNCTION("""COMPUTED_VALUE"""),2000.0)</f>
        <v>2000</v>
      </c>
      <c r="B37" s="2">
        <f>IFERROR(__xludf.DUMMYFUNCTION("""COMPUTED_VALUE"""),183483.0)</f>
        <v>183483</v>
      </c>
      <c r="C37" s="2">
        <f>IFERROR(__xludf.DUMMYFUNCTION("""COMPUTED_VALUE"""),2026.0)</f>
        <v>2026</v>
      </c>
      <c r="D37" s="2">
        <f>IFERROR(__xludf.DUMMYFUNCTION("""COMPUTED_VALUE"""),46382.0)</f>
        <v>46382</v>
      </c>
      <c r="E37" s="2" t="str">
        <f>IFERROR(__xludf.DUMMYFUNCTION("""COMPUTED_VALUE"""),"VF")</f>
        <v>VF</v>
      </c>
      <c r="F37" s="2">
        <f>IFERROR(__xludf.DUMMYFUNCTION("""COMPUTED_VALUE"""),1.0)</f>
        <v>1</v>
      </c>
      <c r="G37" s="2" t="str">
        <f>IFERROR(__xludf.DUMMYFUNCTION("""COMPUTED_VALUE"""),"PR035")</f>
        <v>PR035</v>
      </c>
      <c r="H37" s="2" t="str">
        <f>IFERROR(__xludf.DUMMYFUNCTION("""COMPUTED_VALUE"""),"VD018")</f>
        <v>VD018</v>
      </c>
      <c r="I37" s="2">
        <f>IFERROR(__xludf.DUMMYFUNCTION("""COMPUTED_VALUE"""),28.0)</f>
        <v>28</v>
      </c>
      <c r="J37" s="2">
        <f>IFERROR(__xludf.DUMMYFUNCTION("""COMPUTED_VALUE"""),2149.73)</f>
        <v>2149.73</v>
      </c>
      <c r="K37" s="2">
        <f>IFERROR(__xludf.DUMMYFUNCTION("""COMPUTED_VALUE"""),2149.73)</f>
        <v>2149.73</v>
      </c>
    </row>
    <row r="38">
      <c r="A38" s="2">
        <f>IFERROR(__xludf.DUMMYFUNCTION("""COMPUTED_VALUE"""),1000.0)</f>
        <v>1000</v>
      </c>
      <c r="B38" s="2">
        <f>IFERROR(__xludf.DUMMYFUNCTION("""COMPUTED_VALUE"""),183483.0)</f>
        <v>183483</v>
      </c>
      <c r="C38" s="2">
        <f>IFERROR(__xludf.DUMMYFUNCTION("""COMPUTED_VALUE"""),2026.0)</f>
        <v>2026</v>
      </c>
      <c r="D38" s="2">
        <f>IFERROR(__xludf.DUMMYFUNCTION("""COMPUTED_VALUE"""),46381.0)</f>
        <v>46381</v>
      </c>
      <c r="E38" s="2" t="str">
        <f>IFERROR(__xludf.DUMMYFUNCTION("""COMPUTED_VALUE"""),"VF")</f>
        <v>VF</v>
      </c>
      <c r="F38" s="2">
        <f>IFERROR(__xludf.DUMMYFUNCTION("""COMPUTED_VALUE"""),2.0)</f>
        <v>2</v>
      </c>
      <c r="G38" s="2" t="str">
        <f>IFERROR(__xludf.DUMMYFUNCTION("""COMPUTED_VALUE"""),"PR057")</f>
        <v>PR057</v>
      </c>
      <c r="H38" s="2" t="str">
        <f>IFERROR(__xludf.DUMMYFUNCTION("""COMPUTED_VALUE"""),"VD034")</f>
        <v>VD034</v>
      </c>
      <c r="I38" s="2">
        <f>IFERROR(__xludf.DUMMYFUNCTION("""COMPUTED_VALUE"""),9.0)</f>
        <v>9</v>
      </c>
      <c r="J38" s="2">
        <f>IFERROR(__xludf.DUMMYFUNCTION("""COMPUTED_VALUE"""),906.19)</f>
        <v>906.19</v>
      </c>
      <c r="K38" s="2">
        <f>IFERROR(__xludf.DUMMYFUNCTION("""COMPUTED_VALUE"""),906.19)</f>
        <v>906.19</v>
      </c>
    </row>
    <row r="39">
      <c r="A39" s="2">
        <f>IFERROR(__xludf.DUMMYFUNCTION("""COMPUTED_VALUE"""),1000.0)</f>
        <v>1000</v>
      </c>
      <c r="B39" s="2">
        <f>IFERROR(__xludf.DUMMYFUNCTION("""COMPUTED_VALUE"""),183484.0)</f>
        <v>183484</v>
      </c>
      <c r="C39" s="2">
        <f>IFERROR(__xludf.DUMMYFUNCTION("""COMPUTED_VALUE"""),2026.0)</f>
        <v>2026</v>
      </c>
      <c r="D39" s="2">
        <f>IFERROR(__xludf.DUMMYFUNCTION("""COMPUTED_VALUE"""),46381.0)</f>
        <v>46381</v>
      </c>
      <c r="E39" s="2" t="str">
        <f>IFERROR(__xludf.DUMMYFUNCTION("""COMPUTED_VALUE"""),"VF")</f>
        <v>VF</v>
      </c>
      <c r="F39" s="2">
        <f>IFERROR(__xludf.DUMMYFUNCTION("""COMPUTED_VALUE"""),1.0)</f>
        <v>1</v>
      </c>
      <c r="G39" s="2" t="str">
        <f>IFERROR(__xludf.DUMMYFUNCTION("""COMPUTED_VALUE"""),"PR004")</f>
        <v>PR004</v>
      </c>
      <c r="H39" s="2" t="str">
        <f>IFERROR(__xludf.DUMMYFUNCTION("""COMPUTED_VALUE"""),"VD024")</f>
        <v>VD024</v>
      </c>
      <c r="I39" s="2">
        <f>IFERROR(__xludf.DUMMYFUNCTION("""COMPUTED_VALUE"""),15.0)</f>
        <v>15</v>
      </c>
      <c r="J39" s="2">
        <f>IFERROR(__xludf.DUMMYFUNCTION("""COMPUTED_VALUE"""),2610.0)</f>
        <v>2610</v>
      </c>
      <c r="K39" s="2">
        <f>IFERROR(__xludf.DUMMYFUNCTION("""COMPUTED_VALUE"""),2610.0)</f>
        <v>2610</v>
      </c>
    </row>
    <row r="40">
      <c r="A40" s="2">
        <f>IFERROR(__xludf.DUMMYFUNCTION("""COMPUTED_VALUE"""),1000.0)</f>
        <v>1000</v>
      </c>
      <c r="B40" s="2">
        <f>IFERROR(__xludf.DUMMYFUNCTION("""COMPUTED_VALUE"""),183485.0)</f>
        <v>183485</v>
      </c>
      <c r="C40" s="2">
        <f>IFERROR(__xludf.DUMMYFUNCTION("""COMPUTED_VALUE"""),2026.0)</f>
        <v>2026</v>
      </c>
      <c r="D40" s="2">
        <f>IFERROR(__xludf.DUMMYFUNCTION("""COMPUTED_VALUE"""),46381.0)</f>
        <v>46381</v>
      </c>
      <c r="E40" s="2" t="str">
        <f>IFERROR(__xludf.DUMMYFUNCTION("""COMPUTED_VALUE"""),"VF")</f>
        <v>VF</v>
      </c>
      <c r="F40" s="2">
        <f>IFERROR(__xludf.DUMMYFUNCTION("""COMPUTED_VALUE"""),1.0)</f>
        <v>1</v>
      </c>
      <c r="G40" s="2" t="str">
        <f>IFERROR(__xludf.DUMMYFUNCTION("""COMPUTED_VALUE"""),"PR014")</f>
        <v>PR014</v>
      </c>
      <c r="H40" s="2" t="str">
        <f>IFERROR(__xludf.DUMMYFUNCTION("""COMPUTED_VALUE"""),"VD011")</f>
        <v>VD011</v>
      </c>
      <c r="I40" s="2">
        <f>IFERROR(__xludf.DUMMYFUNCTION("""COMPUTED_VALUE"""),12.0)</f>
        <v>12</v>
      </c>
      <c r="J40" s="2">
        <f>IFERROR(__xludf.DUMMYFUNCTION("""COMPUTED_VALUE"""),560.2)</f>
        <v>560.2</v>
      </c>
      <c r="K40" s="2">
        <f>IFERROR(__xludf.DUMMYFUNCTION("""COMPUTED_VALUE"""),560.2)</f>
        <v>560.2</v>
      </c>
    </row>
    <row r="41">
      <c r="A41" s="2">
        <f>IFERROR(__xludf.DUMMYFUNCTION("""COMPUTED_VALUE"""),2000.0)</f>
        <v>2000</v>
      </c>
      <c r="B41" s="2">
        <f>IFERROR(__xludf.DUMMYFUNCTION("""COMPUTED_VALUE"""),183486.0)</f>
        <v>183486</v>
      </c>
      <c r="C41" s="2">
        <f>IFERROR(__xludf.DUMMYFUNCTION("""COMPUTED_VALUE"""),2026.0)</f>
        <v>2026</v>
      </c>
      <c r="D41" s="2">
        <f>IFERROR(__xludf.DUMMYFUNCTION("""COMPUTED_VALUE"""),46381.0)</f>
        <v>46381</v>
      </c>
      <c r="E41" s="2" t="str">
        <f>IFERROR(__xludf.DUMMYFUNCTION("""COMPUTED_VALUE"""),"VF")</f>
        <v>VF</v>
      </c>
      <c r="F41" s="2">
        <f>IFERROR(__xludf.DUMMYFUNCTION("""COMPUTED_VALUE"""),1.0)</f>
        <v>1</v>
      </c>
      <c r="G41" s="2" t="str">
        <f>IFERROR(__xludf.DUMMYFUNCTION("""COMPUTED_VALUE"""),"PR027")</f>
        <v>PR027</v>
      </c>
      <c r="H41" s="2" t="str">
        <f>IFERROR(__xludf.DUMMYFUNCTION("""COMPUTED_VALUE"""),"VD018")</f>
        <v>VD018</v>
      </c>
      <c r="I41" s="2">
        <f>IFERROR(__xludf.DUMMYFUNCTION("""COMPUTED_VALUE"""),27.0)</f>
        <v>27</v>
      </c>
      <c r="J41" s="2">
        <f>IFERROR(__xludf.DUMMYFUNCTION("""COMPUTED_VALUE"""),3888.0)</f>
        <v>3888</v>
      </c>
      <c r="K41" s="2">
        <f>IFERROR(__xludf.DUMMYFUNCTION("""COMPUTED_VALUE"""),3888.0)</f>
        <v>3888</v>
      </c>
    </row>
    <row r="42">
      <c r="A42" s="2">
        <f>IFERROR(__xludf.DUMMYFUNCTION("""COMPUTED_VALUE"""),1000.0)</f>
        <v>1000</v>
      </c>
      <c r="B42" s="2">
        <f>IFERROR(__xludf.DUMMYFUNCTION("""COMPUTED_VALUE"""),183487.0)</f>
        <v>183487</v>
      </c>
      <c r="C42" s="2">
        <f>IFERROR(__xludf.DUMMYFUNCTION("""COMPUTED_VALUE"""),2026.0)</f>
        <v>2026</v>
      </c>
      <c r="D42" s="2">
        <f>IFERROR(__xludf.DUMMYFUNCTION("""COMPUTED_VALUE"""),46381.0)</f>
        <v>46381</v>
      </c>
      <c r="E42" s="2" t="str">
        <f>IFERROR(__xludf.DUMMYFUNCTION("""COMPUTED_VALUE"""),"VF")</f>
        <v>VF</v>
      </c>
      <c r="F42" s="2">
        <f>IFERROR(__xludf.DUMMYFUNCTION("""COMPUTED_VALUE"""),1.0)</f>
        <v>1</v>
      </c>
      <c r="G42" s="2" t="str">
        <f>IFERROR(__xludf.DUMMYFUNCTION("""COMPUTED_VALUE"""),"PR032")</f>
        <v>PR032</v>
      </c>
      <c r="H42" s="2" t="str">
        <f>IFERROR(__xludf.DUMMYFUNCTION("""COMPUTED_VALUE"""),"VD011")</f>
        <v>VD011</v>
      </c>
      <c r="I42" s="2">
        <f>IFERROR(__xludf.DUMMYFUNCTION("""COMPUTED_VALUE"""),24.0)</f>
        <v>24</v>
      </c>
      <c r="J42" s="2">
        <f>IFERROR(__xludf.DUMMYFUNCTION("""COMPUTED_VALUE"""),6600.0)</f>
        <v>6600</v>
      </c>
      <c r="K42" s="2">
        <f>IFERROR(__xludf.DUMMYFUNCTION("""COMPUTED_VALUE"""),6600.0)</f>
        <v>6600</v>
      </c>
    </row>
    <row r="43">
      <c r="A43" s="2">
        <f>IFERROR(__xludf.DUMMYFUNCTION("""COMPUTED_VALUE"""),2000.0)</f>
        <v>2000</v>
      </c>
      <c r="B43" s="2">
        <f>IFERROR(__xludf.DUMMYFUNCTION("""COMPUTED_VALUE"""),183487.0)</f>
        <v>183487</v>
      </c>
      <c r="C43" s="2">
        <f>IFERROR(__xludf.DUMMYFUNCTION("""COMPUTED_VALUE"""),2026.0)</f>
        <v>2026</v>
      </c>
      <c r="D43" s="2">
        <f>IFERROR(__xludf.DUMMYFUNCTION("""COMPUTED_VALUE"""),46381.0)</f>
        <v>46381</v>
      </c>
      <c r="E43" s="2" t="str">
        <f>IFERROR(__xludf.DUMMYFUNCTION("""COMPUTED_VALUE"""),"VF")</f>
        <v>VF</v>
      </c>
      <c r="F43" s="2">
        <f>IFERROR(__xludf.DUMMYFUNCTION("""COMPUTED_VALUE"""),2.0)</f>
        <v>2</v>
      </c>
      <c r="G43" s="2" t="str">
        <f>IFERROR(__xludf.DUMMYFUNCTION("""COMPUTED_VALUE"""),"PR006")</f>
        <v>PR006</v>
      </c>
      <c r="H43" s="2" t="str">
        <f>IFERROR(__xludf.DUMMYFUNCTION("""COMPUTED_VALUE"""),"VD015")</f>
        <v>VD015</v>
      </c>
      <c r="I43" s="2">
        <f>IFERROR(__xludf.DUMMYFUNCTION("""COMPUTED_VALUE"""),27.0)</f>
        <v>27</v>
      </c>
      <c r="J43" s="2">
        <f>IFERROR(__xludf.DUMMYFUNCTION("""COMPUTED_VALUE"""),1260.44)</f>
        <v>1260.44</v>
      </c>
      <c r="K43" s="2">
        <f>IFERROR(__xludf.DUMMYFUNCTION("""COMPUTED_VALUE"""),1260.44)</f>
        <v>1260.44</v>
      </c>
    </row>
    <row r="44">
      <c r="A44" s="2">
        <f>IFERROR(__xludf.DUMMYFUNCTION("""COMPUTED_VALUE"""),2000.0)</f>
        <v>2000</v>
      </c>
      <c r="B44" s="2">
        <f>IFERROR(__xludf.DUMMYFUNCTION("""COMPUTED_VALUE"""),183488.0)</f>
        <v>183488</v>
      </c>
      <c r="C44" s="2">
        <f>IFERROR(__xludf.DUMMYFUNCTION("""COMPUTED_VALUE"""),2026.0)</f>
        <v>2026</v>
      </c>
      <c r="D44" s="2">
        <f>IFERROR(__xludf.DUMMYFUNCTION("""COMPUTED_VALUE"""),46381.0)</f>
        <v>46381</v>
      </c>
      <c r="E44" s="2" t="str">
        <f>IFERROR(__xludf.DUMMYFUNCTION("""COMPUTED_VALUE"""),"VF")</f>
        <v>VF</v>
      </c>
      <c r="F44" s="2">
        <f>IFERROR(__xludf.DUMMYFUNCTION("""COMPUTED_VALUE"""),1.0)</f>
        <v>1</v>
      </c>
      <c r="G44" s="2" t="str">
        <f>IFERROR(__xludf.DUMMYFUNCTION("""COMPUTED_VALUE"""),"PR028")</f>
        <v>PR028</v>
      </c>
      <c r="H44" s="2" t="str">
        <f>IFERROR(__xludf.DUMMYFUNCTION("""COMPUTED_VALUE"""),"VD048")</f>
        <v>VD048</v>
      </c>
      <c r="I44" s="2">
        <f>IFERROR(__xludf.DUMMYFUNCTION("""COMPUTED_VALUE"""),20.0)</f>
        <v>20</v>
      </c>
      <c r="J44" s="2">
        <f>IFERROR(__xludf.DUMMYFUNCTION("""COMPUTED_VALUE"""),5597.76)</f>
        <v>5597.76</v>
      </c>
      <c r="K44" s="2">
        <f>IFERROR(__xludf.DUMMYFUNCTION("""COMPUTED_VALUE"""),5597.76)</f>
        <v>5597.76</v>
      </c>
    </row>
    <row r="45">
      <c r="A45" s="2">
        <f>IFERROR(__xludf.DUMMYFUNCTION("""COMPUTED_VALUE"""),1000.0)</f>
        <v>1000</v>
      </c>
      <c r="B45" s="2">
        <f>IFERROR(__xludf.DUMMYFUNCTION("""COMPUTED_VALUE"""),183489.0)</f>
        <v>183489</v>
      </c>
      <c r="C45" s="2">
        <f>IFERROR(__xludf.DUMMYFUNCTION("""COMPUTED_VALUE"""),2026.0)</f>
        <v>2026</v>
      </c>
      <c r="D45" s="2">
        <f>IFERROR(__xludf.DUMMYFUNCTION("""COMPUTED_VALUE"""),46381.0)</f>
        <v>46381</v>
      </c>
      <c r="E45" s="2" t="str">
        <f>IFERROR(__xludf.DUMMYFUNCTION("""COMPUTED_VALUE"""),"VF")</f>
        <v>VF</v>
      </c>
      <c r="F45" s="2">
        <f>IFERROR(__xludf.DUMMYFUNCTION("""COMPUTED_VALUE"""),1.0)</f>
        <v>1</v>
      </c>
      <c r="G45" s="2" t="str">
        <f>IFERROR(__xludf.DUMMYFUNCTION("""COMPUTED_VALUE"""),"PR033")</f>
        <v>PR033</v>
      </c>
      <c r="H45" s="2" t="str">
        <f>IFERROR(__xludf.DUMMYFUNCTION("""COMPUTED_VALUE"""),"VD024")</f>
        <v>VD024</v>
      </c>
      <c r="I45" s="2">
        <f>IFERROR(__xludf.DUMMYFUNCTION("""COMPUTED_VALUE"""),24.0)</f>
        <v>24</v>
      </c>
      <c r="J45" s="2">
        <f>IFERROR(__xludf.DUMMYFUNCTION("""COMPUTED_VALUE"""),7485.12)</f>
        <v>7485.12</v>
      </c>
      <c r="K45" s="2">
        <f>IFERROR(__xludf.DUMMYFUNCTION("""COMPUTED_VALUE"""),7485.12)</f>
        <v>7485.12</v>
      </c>
    </row>
    <row r="46">
      <c r="A46" s="2">
        <f>IFERROR(__xludf.DUMMYFUNCTION("""COMPUTED_VALUE"""),1000.0)</f>
        <v>1000</v>
      </c>
      <c r="B46" s="2">
        <f>IFERROR(__xludf.DUMMYFUNCTION("""COMPUTED_VALUE"""),183490.0)</f>
        <v>183490</v>
      </c>
      <c r="C46" s="2">
        <f>IFERROR(__xludf.DUMMYFUNCTION("""COMPUTED_VALUE"""),2026.0)</f>
        <v>2026</v>
      </c>
      <c r="D46" s="2">
        <f>IFERROR(__xludf.DUMMYFUNCTION("""COMPUTED_VALUE"""),46381.0)</f>
        <v>46381</v>
      </c>
      <c r="E46" s="2" t="str">
        <f>IFERROR(__xludf.DUMMYFUNCTION("""COMPUTED_VALUE"""),"VF")</f>
        <v>VF</v>
      </c>
      <c r="F46" s="2">
        <f>IFERROR(__xludf.DUMMYFUNCTION("""COMPUTED_VALUE"""),1.0)</f>
        <v>1</v>
      </c>
      <c r="G46" s="2" t="str">
        <f>IFERROR(__xludf.DUMMYFUNCTION("""COMPUTED_VALUE"""),"PR008")</f>
        <v>PR008</v>
      </c>
      <c r="H46" s="2" t="str">
        <f>IFERROR(__xludf.DUMMYFUNCTION("""COMPUTED_VALUE"""),"VD027")</f>
        <v>VD027</v>
      </c>
      <c r="I46" s="2">
        <f>IFERROR(__xludf.DUMMYFUNCTION("""COMPUTED_VALUE"""),20.0)</f>
        <v>20</v>
      </c>
      <c r="J46" s="2">
        <f>IFERROR(__xludf.DUMMYFUNCTION("""COMPUTED_VALUE"""),2049.72)</f>
        <v>2049.72</v>
      </c>
      <c r="K46" s="2">
        <f>IFERROR(__xludf.DUMMYFUNCTION("""COMPUTED_VALUE"""),2049.72)</f>
        <v>2049.72</v>
      </c>
    </row>
    <row r="47">
      <c r="A47" s="2">
        <f>IFERROR(__xludf.DUMMYFUNCTION("""COMPUTED_VALUE"""),1000.0)</f>
        <v>1000</v>
      </c>
      <c r="B47" s="2">
        <f>IFERROR(__xludf.DUMMYFUNCTION("""COMPUTED_VALUE"""),183491.0)</f>
        <v>183491</v>
      </c>
      <c r="C47" s="2">
        <f>IFERROR(__xludf.DUMMYFUNCTION("""COMPUTED_VALUE"""),2026.0)</f>
        <v>2026</v>
      </c>
      <c r="D47" s="2">
        <f>IFERROR(__xludf.DUMMYFUNCTION("""COMPUTED_VALUE"""),46381.0)</f>
        <v>46381</v>
      </c>
      <c r="E47" s="2" t="str">
        <f>IFERROR(__xludf.DUMMYFUNCTION("""COMPUTED_VALUE"""),"VF")</f>
        <v>VF</v>
      </c>
      <c r="F47" s="2">
        <f>IFERROR(__xludf.DUMMYFUNCTION("""COMPUTED_VALUE"""),1.0)</f>
        <v>1</v>
      </c>
      <c r="G47" s="2" t="str">
        <f>IFERROR(__xludf.DUMMYFUNCTION("""COMPUTED_VALUE"""),"PR013")</f>
        <v>PR013</v>
      </c>
      <c r="H47" s="2" t="str">
        <f>IFERROR(__xludf.DUMMYFUNCTION("""COMPUTED_VALUE"""),"VD048")</f>
        <v>VD048</v>
      </c>
      <c r="I47" s="2">
        <f>IFERROR(__xludf.DUMMYFUNCTION("""COMPUTED_VALUE"""),27.0)</f>
        <v>27</v>
      </c>
      <c r="J47" s="2">
        <f>IFERROR(__xludf.DUMMYFUNCTION("""COMPUTED_VALUE"""),1238.9)</f>
        <v>1238.9</v>
      </c>
      <c r="K47" s="2">
        <f>IFERROR(__xludf.DUMMYFUNCTION("""COMPUTED_VALUE"""),1238.9)</f>
        <v>1238.9</v>
      </c>
    </row>
    <row r="48">
      <c r="A48" s="2">
        <f>IFERROR(__xludf.DUMMYFUNCTION("""COMPUTED_VALUE"""),1000.0)</f>
        <v>1000</v>
      </c>
      <c r="B48" s="2">
        <f>IFERROR(__xludf.DUMMYFUNCTION("""COMPUTED_VALUE"""),183492.0)</f>
        <v>183492</v>
      </c>
      <c r="C48" s="2">
        <f>IFERROR(__xludf.DUMMYFUNCTION("""COMPUTED_VALUE"""),2026.0)</f>
        <v>2026</v>
      </c>
      <c r="D48" s="2">
        <f>IFERROR(__xludf.DUMMYFUNCTION("""COMPUTED_VALUE"""),46381.0)</f>
        <v>46381</v>
      </c>
      <c r="E48" s="2" t="str">
        <f>IFERROR(__xludf.DUMMYFUNCTION("""COMPUTED_VALUE"""),"VF")</f>
        <v>VF</v>
      </c>
      <c r="F48" s="2">
        <f>IFERROR(__xludf.DUMMYFUNCTION("""COMPUTED_VALUE"""),1.0)</f>
        <v>1</v>
      </c>
      <c r="G48" s="2" t="str">
        <f>IFERROR(__xludf.DUMMYFUNCTION("""COMPUTED_VALUE"""),"PR011")</f>
        <v>PR011</v>
      </c>
      <c r="H48" s="2" t="str">
        <f>IFERROR(__xludf.DUMMYFUNCTION("""COMPUTED_VALUE"""),"VD026")</f>
        <v>VD026</v>
      </c>
      <c r="I48" s="2">
        <f>IFERROR(__xludf.DUMMYFUNCTION("""COMPUTED_VALUE"""),18.0)</f>
        <v>18</v>
      </c>
      <c r="J48" s="2">
        <f>IFERROR(__xludf.DUMMYFUNCTION("""COMPUTED_VALUE"""),1013.04)</f>
        <v>1013.04</v>
      </c>
      <c r="K48" s="2">
        <f>IFERROR(__xludf.DUMMYFUNCTION("""COMPUTED_VALUE"""),1013.04)</f>
        <v>1013.04</v>
      </c>
    </row>
    <row r="49">
      <c r="A49" s="2">
        <f>IFERROR(__xludf.DUMMYFUNCTION("""COMPUTED_VALUE"""),1000.0)</f>
        <v>1000</v>
      </c>
      <c r="B49" s="2">
        <f>IFERROR(__xludf.DUMMYFUNCTION("""COMPUTED_VALUE"""),183493.0)</f>
        <v>183493</v>
      </c>
      <c r="C49" s="2">
        <f>IFERROR(__xludf.DUMMYFUNCTION("""COMPUTED_VALUE"""),2026.0)</f>
        <v>2026</v>
      </c>
      <c r="D49" s="2">
        <f>IFERROR(__xludf.DUMMYFUNCTION("""COMPUTED_VALUE"""),46381.0)</f>
        <v>46381</v>
      </c>
      <c r="E49" s="2" t="str">
        <f>IFERROR(__xludf.DUMMYFUNCTION("""COMPUTED_VALUE"""),"VF")</f>
        <v>VF</v>
      </c>
      <c r="F49" s="2">
        <f>IFERROR(__xludf.DUMMYFUNCTION("""COMPUTED_VALUE"""),1.0)</f>
        <v>1</v>
      </c>
      <c r="G49" s="2" t="str">
        <f>IFERROR(__xludf.DUMMYFUNCTION("""COMPUTED_VALUE"""),"PR014")</f>
        <v>PR014</v>
      </c>
      <c r="H49" s="2" t="str">
        <f>IFERROR(__xludf.DUMMYFUNCTION("""COMPUTED_VALUE"""),"VD040")</f>
        <v>VD040</v>
      </c>
      <c r="I49" s="2">
        <f>IFERROR(__xludf.DUMMYFUNCTION("""COMPUTED_VALUE"""),24.0)</f>
        <v>24</v>
      </c>
      <c r="J49" s="2">
        <f>IFERROR(__xludf.DUMMYFUNCTION("""COMPUTED_VALUE"""),1139.54)</f>
        <v>1139.54</v>
      </c>
      <c r="K49" s="2">
        <f>IFERROR(__xludf.DUMMYFUNCTION("""COMPUTED_VALUE"""),1139.54)</f>
        <v>1139.54</v>
      </c>
    </row>
    <row r="50">
      <c r="A50" s="2">
        <f>IFERROR(__xludf.DUMMYFUNCTION("""COMPUTED_VALUE"""),2000.0)</f>
        <v>2000</v>
      </c>
      <c r="B50" s="2">
        <f>IFERROR(__xludf.DUMMYFUNCTION("""COMPUTED_VALUE"""),183494.0)</f>
        <v>183494</v>
      </c>
      <c r="C50" s="2">
        <f>IFERROR(__xludf.DUMMYFUNCTION("""COMPUTED_VALUE"""),2026.0)</f>
        <v>2026</v>
      </c>
      <c r="D50" s="2">
        <f>IFERROR(__xludf.DUMMYFUNCTION("""COMPUTED_VALUE"""),46380.0)</f>
        <v>46380</v>
      </c>
      <c r="E50" s="2" t="str">
        <f>IFERROR(__xludf.DUMMYFUNCTION("""COMPUTED_VALUE"""),"VF")</f>
        <v>VF</v>
      </c>
      <c r="F50" s="2">
        <f>IFERROR(__xludf.DUMMYFUNCTION("""COMPUTED_VALUE"""),1.0)</f>
        <v>1</v>
      </c>
      <c r="G50" s="2" t="str">
        <f>IFERROR(__xludf.DUMMYFUNCTION("""COMPUTED_VALUE"""),"PR043")</f>
        <v>PR043</v>
      </c>
      <c r="H50" s="2" t="str">
        <f>IFERROR(__xludf.DUMMYFUNCTION("""COMPUTED_VALUE"""),"VD035")</f>
        <v>VD035</v>
      </c>
      <c r="I50" s="2">
        <f>IFERROR(__xludf.DUMMYFUNCTION("""COMPUTED_VALUE"""),18.0)</f>
        <v>18</v>
      </c>
      <c r="J50" s="2">
        <f>IFERROR(__xludf.DUMMYFUNCTION("""COMPUTED_VALUE"""),1435.5)</f>
        <v>1435.5</v>
      </c>
      <c r="K50" s="2">
        <f>IFERROR(__xludf.DUMMYFUNCTION("""COMPUTED_VALUE"""),1435.5)</f>
        <v>1435.5</v>
      </c>
    </row>
    <row r="51">
      <c r="A51" s="2">
        <f>IFERROR(__xludf.DUMMYFUNCTION("""COMPUTED_VALUE"""),1000.0)</f>
        <v>1000</v>
      </c>
      <c r="B51" s="2">
        <f>IFERROR(__xludf.DUMMYFUNCTION("""COMPUTED_VALUE"""),183494.0)</f>
        <v>183494</v>
      </c>
      <c r="C51" s="2">
        <f>IFERROR(__xludf.DUMMYFUNCTION("""COMPUTED_VALUE"""),2026.0)</f>
        <v>2026</v>
      </c>
      <c r="D51" s="2">
        <f>IFERROR(__xludf.DUMMYFUNCTION("""COMPUTED_VALUE"""),46380.0)</f>
        <v>46380</v>
      </c>
      <c r="E51" s="2" t="str">
        <f>IFERROR(__xludf.DUMMYFUNCTION("""COMPUTED_VALUE"""),"VF")</f>
        <v>VF</v>
      </c>
      <c r="F51" s="2">
        <f>IFERROR(__xludf.DUMMYFUNCTION("""COMPUTED_VALUE"""),2.0)</f>
        <v>2</v>
      </c>
      <c r="G51" s="2" t="str">
        <f>IFERROR(__xludf.DUMMYFUNCTION("""COMPUTED_VALUE"""),"PR037")</f>
        <v>PR037</v>
      </c>
      <c r="H51" s="2" t="str">
        <f>IFERROR(__xludf.DUMMYFUNCTION("""COMPUTED_VALUE"""),"VD036")</f>
        <v>VD036</v>
      </c>
      <c r="I51" s="2">
        <f>IFERROR(__xludf.DUMMYFUNCTION("""COMPUTED_VALUE"""),30.0)</f>
        <v>30</v>
      </c>
      <c r="J51" s="2">
        <f>IFERROR(__xludf.DUMMYFUNCTION("""COMPUTED_VALUE"""),5040.0)</f>
        <v>5040</v>
      </c>
      <c r="K51" s="2">
        <f>IFERROR(__xludf.DUMMYFUNCTION("""COMPUTED_VALUE"""),5040.0)</f>
        <v>5040</v>
      </c>
    </row>
    <row r="52">
      <c r="A52" s="2">
        <f>IFERROR(__xludf.DUMMYFUNCTION("""COMPUTED_VALUE"""),1000.0)</f>
        <v>1000</v>
      </c>
      <c r="B52" s="2">
        <f>IFERROR(__xludf.DUMMYFUNCTION("""COMPUTED_VALUE"""),183494.0)</f>
        <v>183494</v>
      </c>
      <c r="C52" s="2">
        <f>IFERROR(__xludf.DUMMYFUNCTION("""COMPUTED_VALUE"""),2026.0)</f>
        <v>2026</v>
      </c>
      <c r="D52" s="2">
        <f>IFERROR(__xludf.DUMMYFUNCTION("""COMPUTED_VALUE"""),46380.0)</f>
        <v>46380</v>
      </c>
      <c r="E52" s="2" t="str">
        <f>IFERROR(__xludf.DUMMYFUNCTION("""COMPUTED_VALUE"""),"VF")</f>
        <v>VF</v>
      </c>
      <c r="F52" s="2">
        <f>IFERROR(__xludf.DUMMYFUNCTION("""COMPUTED_VALUE"""),3.0)</f>
        <v>3</v>
      </c>
      <c r="G52" s="2" t="str">
        <f>IFERROR(__xludf.DUMMYFUNCTION("""COMPUTED_VALUE"""),"PR020")</f>
        <v>PR020</v>
      </c>
      <c r="H52" s="2" t="str">
        <f>IFERROR(__xludf.DUMMYFUNCTION("""COMPUTED_VALUE"""),"VD026")</f>
        <v>VD026</v>
      </c>
      <c r="I52" s="2">
        <f>IFERROR(__xludf.DUMMYFUNCTION("""COMPUTED_VALUE"""),20.0)</f>
        <v>20</v>
      </c>
      <c r="J52" s="2">
        <f>IFERROR(__xludf.DUMMYFUNCTION("""COMPUTED_VALUE"""),6657.78)</f>
        <v>6657.78</v>
      </c>
      <c r="K52" s="2">
        <f>IFERROR(__xludf.DUMMYFUNCTION("""COMPUTED_VALUE"""),6657.78)</f>
        <v>6657.78</v>
      </c>
    </row>
    <row r="53">
      <c r="A53" s="2">
        <f>IFERROR(__xludf.DUMMYFUNCTION("""COMPUTED_VALUE"""),1000.0)</f>
        <v>1000</v>
      </c>
      <c r="B53" s="2">
        <f>IFERROR(__xludf.DUMMYFUNCTION("""COMPUTED_VALUE"""),183495.0)</f>
        <v>183495</v>
      </c>
      <c r="C53" s="2">
        <f>IFERROR(__xludf.DUMMYFUNCTION("""COMPUTED_VALUE"""),2026.0)</f>
        <v>2026</v>
      </c>
      <c r="D53" s="2">
        <f>IFERROR(__xludf.DUMMYFUNCTION("""COMPUTED_VALUE"""),46380.0)</f>
        <v>46380</v>
      </c>
      <c r="E53" s="2" t="str">
        <f>IFERROR(__xludf.DUMMYFUNCTION("""COMPUTED_VALUE"""),"VF")</f>
        <v>VF</v>
      </c>
      <c r="F53" s="2">
        <f>IFERROR(__xludf.DUMMYFUNCTION("""COMPUTED_VALUE"""),1.0)</f>
        <v>1</v>
      </c>
      <c r="G53" s="2" t="str">
        <f>IFERROR(__xludf.DUMMYFUNCTION("""COMPUTED_VALUE"""),"PR052")</f>
        <v>PR052</v>
      </c>
      <c r="H53" s="2" t="str">
        <f>IFERROR(__xludf.DUMMYFUNCTION("""COMPUTED_VALUE"""),"VD035")</f>
        <v>VD035</v>
      </c>
      <c r="I53" s="2">
        <f>IFERROR(__xludf.DUMMYFUNCTION("""COMPUTED_VALUE"""),12.0)</f>
        <v>12</v>
      </c>
      <c r="J53" s="2">
        <f>IFERROR(__xludf.DUMMYFUNCTION("""COMPUTED_VALUE"""),658.68)</f>
        <v>658.68</v>
      </c>
      <c r="K53" s="2">
        <f>IFERROR(__xludf.DUMMYFUNCTION("""COMPUTED_VALUE"""),658.68)</f>
        <v>658.68</v>
      </c>
    </row>
    <row r="54">
      <c r="A54" s="2">
        <f>IFERROR(__xludf.DUMMYFUNCTION("""COMPUTED_VALUE"""),1000.0)</f>
        <v>1000</v>
      </c>
      <c r="B54" s="2">
        <f>IFERROR(__xludf.DUMMYFUNCTION("""COMPUTED_VALUE"""),183495.0)</f>
        <v>183495</v>
      </c>
      <c r="C54" s="2">
        <f>IFERROR(__xludf.DUMMYFUNCTION("""COMPUTED_VALUE"""),2026.0)</f>
        <v>2026</v>
      </c>
      <c r="D54" s="2">
        <f>IFERROR(__xludf.DUMMYFUNCTION("""COMPUTED_VALUE"""),46380.0)</f>
        <v>46380</v>
      </c>
      <c r="E54" s="2" t="str">
        <f>IFERROR(__xludf.DUMMYFUNCTION("""COMPUTED_VALUE"""),"VF")</f>
        <v>VF</v>
      </c>
      <c r="F54" s="2">
        <f>IFERROR(__xludf.DUMMYFUNCTION("""COMPUTED_VALUE"""),2.0)</f>
        <v>2</v>
      </c>
      <c r="G54" s="2" t="str">
        <f>IFERROR(__xludf.DUMMYFUNCTION("""COMPUTED_VALUE"""),"PR023")</f>
        <v>PR023</v>
      </c>
      <c r="H54" s="2" t="str">
        <f>IFERROR(__xludf.DUMMYFUNCTION("""COMPUTED_VALUE"""),"VD016")</f>
        <v>VD016</v>
      </c>
      <c r="I54" s="2">
        <f>IFERROR(__xludf.DUMMYFUNCTION("""COMPUTED_VALUE"""),27.0)</f>
        <v>27</v>
      </c>
      <c r="J54" s="2">
        <f>IFERROR(__xludf.DUMMYFUNCTION("""COMPUTED_VALUE"""),7894.34)</f>
        <v>7894.34</v>
      </c>
      <c r="K54" s="2">
        <f>IFERROR(__xludf.DUMMYFUNCTION("""COMPUTED_VALUE"""),7894.34)</f>
        <v>7894.34</v>
      </c>
    </row>
    <row r="55">
      <c r="A55" s="2">
        <f>IFERROR(__xludf.DUMMYFUNCTION("""COMPUTED_VALUE"""),1000.0)</f>
        <v>1000</v>
      </c>
      <c r="B55" s="2">
        <f>IFERROR(__xludf.DUMMYFUNCTION("""COMPUTED_VALUE"""),183496.0)</f>
        <v>183496</v>
      </c>
      <c r="C55" s="2">
        <f>IFERROR(__xludf.DUMMYFUNCTION("""COMPUTED_VALUE"""),2026.0)</f>
        <v>2026</v>
      </c>
      <c r="D55" s="2">
        <f>IFERROR(__xludf.DUMMYFUNCTION("""COMPUTED_VALUE"""),46380.0)</f>
        <v>46380</v>
      </c>
      <c r="E55" s="2" t="str">
        <f>IFERROR(__xludf.DUMMYFUNCTION("""COMPUTED_VALUE"""),"VF")</f>
        <v>VF</v>
      </c>
      <c r="F55" s="2">
        <f>IFERROR(__xludf.DUMMYFUNCTION("""COMPUTED_VALUE"""),1.0)</f>
        <v>1</v>
      </c>
      <c r="G55" s="2" t="str">
        <f>IFERROR(__xludf.DUMMYFUNCTION("""COMPUTED_VALUE"""),"PR002")</f>
        <v>PR002</v>
      </c>
      <c r="H55" s="2" t="str">
        <f>IFERROR(__xludf.DUMMYFUNCTION("""COMPUTED_VALUE"""),"VD018")</f>
        <v>VD018</v>
      </c>
      <c r="I55" s="2">
        <f>IFERROR(__xludf.DUMMYFUNCTION("""COMPUTED_VALUE"""),9.0)</f>
        <v>9</v>
      </c>
      <c r="J55" s="2">
        <f>IFERROR(__xludf.DUMMYFUNCTION("""COMPUTED_VALUE"""),717.17)</f>
        <v>717.17</v>
      </c>
      <c r="K55" s="2">
        <f>IFERROR(__xludf.DUMMYFUNCTION("""COMPUTED_VALUE"""),717.17)</f>
        <v>717.17</v>
      </c>
    </row>
    <row r="56">
      <c r="A56" s="2">
        <f>IFERROR(__xludf.DUMMYFUNCTION("""COMPUTED_VALUE"""),1000.0)</f>
        <v>1000</v>
      </c>
      <c r="B56" s="2">
        <f>IFERROR(__xludf.DUMMYFUNCTION("""COMPUTED_VALUE"""),183496.0)</f>
        <v>183496</v>
      </c>
      <c r="C56" s="2">
        <f>IFERROR(__xludf.DUMMYFUNCTION("""COMPUTED_VALUE"""),2026.0)</f>
        <v>2026</v>
      </c>
      <c r="D56" s="2">
        <f>IFERROR(__xludf.DUMMYFUNCTION("""COMPUTED_VALUE"""),46379.0)</f>
        <v>46379</v>
      </c>
      <c r="E56" s="2" t="str">
        <f>IFERROR(__xludf.DUMMYFUNCTION("""COMPUTED_VALUE"""),"VF")</f>
        <v>VF</v>
      </c>
      <c r="F56" s="2">
        <f>IFERROR(__xludf.DUMMYFUNCTION("""COMPUTED_VALUE"""),2.0)</f>
        <v>2</v>
      </c>
      <c r="G56" s="2" t="str">
        <f>IFERROR(__xludf.DUMMYFUNCTION("""COMPUTED_VALUE"""),"PR039")</f>
        <v>PR039</v>
      </c>
      <c r="H56" s="2" t="str">
        <f>IFERROR(__xludf.DUMMYFUNCTION("""COMPUTED_VALUE"""),"VD014")</f>
        <v>VD014</v>
      </c>
      <c r="I56" s="2">
        <f>IFERROR(__xludf.DUMMYFUNCTION("""COMPUTED_VALUE"""),16.0)</f>
        <v>16</v>
      </c>
      <c r="J56" s="2">
        <f>IFERROR(__xludf.DUMMYFUNCTION("""COMPUTED_VALUE"""),2663.04)</f>
        <v>2663.04</v>
      </c>
      <c r="K56" s="2">
        <f>IFERROR(__xludf.DUMMYFUNCTION("""COMPUTED_VALUE"""),2663.04)</f>
        <v>2663.04</v>
      </c>
    </row>
    <row r="57">
      <c r="A57" s="2">
        <f>IFERROR(__xludf.DUMMYFUNCTION("""COMPUTED_VALUE"""),2000.0)</f>
        <v>2000</v>
      </c>
      <c r="B57" s="2">
        <f>IFERROR(__xludf.DUMMYFUNCTION("""COMPUTED_VALUE"""),183497.0)</f>
        <v>183497</v>
      </c>
      <c r="C57" s="2">
        <f>IFERROR(__xludf.DUMMYFUNCTION("""COMPUTED_VALUE"""),2026.0)</f>
        <v>2026</v>
      </c>
      <c r="D57" s="2">
        <f>IFERROR(__xludf.DUMMYFUNCTION("""COMPUTED_VALUE"""),46379.0)</f>
        <v>46379</v>
      </c>
      <c r="E57" s="2" t="str">
        <f>IFERROR(__xludf.DUMMYFUNCTION("""COMPUTED_VALUE"""),"VF")</f>
        <v>VF</v>
      </c>
      <c r="F57" s="2">
        <f>IFERROR(__xludf.DUMMYFUNCTION("""COMPUTED_VALUE"""),1.0)</f>
        <v>1</v>
      </c>
      <c r="G57" s="2" t="str">
        <f>IFERROR(__xludf.DUMMYFUNCTION("""COMPUTED_VALUE"""),"PR060")</f>
        <v>PR060</v>
      </c>
      <c r="H57" s="2" t="str">
        <f>IFERROR(__xludf.DUMMYFUNCTION("""COMPUTED_VALUE"""),"VD044")</f>
        <v>VD044</v>
      </c>
      <c r="I57" s="2">
        <f>IFERROR(__xludf.DUMMYFUNCTION("""COMPUTED_VALUE"""),6.0)</f>
        <v>6</v>
      </c>
      <c r="J57" s="2">
        <f>IFERROR(__xludf.DUMMYFUNCTION("""COMPUTED_VALUE"""),1252.8)</f>
        <v>1252.8</v>
      </c>
      <c r="K57" s="2">
        <f>IFERROR(__xludf.DUMMYFUNCTION("""COMPUTED_VALUE"""),1252.8)</f>
        <v>1252.8</v>
      </c>
    </row>
    <row r="58">
      <c r="A58" s="2">
        <f>IFERROR(__xludf.DUMMYFUNCTION("""COMPUTED_VALUE"""),1000.0)</f>
        <v>1000</v>
      </c>
      <c r="B58" s="2">
        <f>IFERROR(__xludf.DUMMYFUNCTION("""COMPUTED_VALUE"""),183498.0)</f>
        <v>183498</v>
      </c>
      <c r="C58" s="2">
        <f>IFERROR(__xludf.DUMMYFUNCTION("""COMPUTED_VALUE"""),2026.0)</f>
        <v>2026</v>
      </c>
      <c r="D58" s="2">
        <f>IFERROR(__xludf.DUMMYFUNCTION("""COMPUTED_VALUE"""),46378.0)</f>
        <v>46378</v>
      </c>
      <c r="E58" s="2" t="str">
        <f>IFERROR(__xludf.DUMMYFUNCTION("""COMPUTED_VALUE"""),"VF")</f>
        <v>VF</v>
      </c>
      <c r="F58" s="2">
        <f>IFERROR(__xludf.DUMMYFUNCTION("""COMPUTED_VALUE"""),1.0)</f>
        <v>1</v>
      </c>
      <c r="G58" s="2" t="str">
        <f>IFERROR(__xludf.DUMMYFUNCTION("""COMPUTED_VALUE"""),"PR009")</f>
        <v>PR009</v>
      </c>
      <c r="H58" s="2" t="str">
        <f>IFERROR(__xludf.DUMMYFUNCTION("""COMPUTED_VALUE"""),"VD041")</f>
        <v>VD041</v>
      </c>
      <c r="I58" s="2">
        <f>IFERROR(__xludf.DUMMYFUNCTION("""COMPUTED_VALUE"""),15.0)</f>
        <v>15</v>
      </c>
      <c r="J58" s="2">
        <f>IFERROR(__xludf.DUMMYFUNCTION("""COMPUTED_VALUE"""),1560.72)</f>
        <v>1560.72</v>
      </c>
      <c r="K58" s="2">
        <f>IFERROR(__xludf.DUMMYFUNCTION("""COMPUTED_VALUE"""),1560.72)</f>
        <v>1560.72</v>
      </c>
    </row>
    <row r="59">
      <c r="A59" s="2">
        <f>IFERROR(__xludf.DUMMYFUNCTION("""COMPUTED_VALUE"""),2000.0)</f>
        <v>2000</v>
      </c>
      <c r="B59" s="2">
        <f>IFERROR(__xludf.DUMMYFUNCTION("""COMPUTED_VALUE"""),183498.0)</f>
        <v>183498</v>
      </c>
      <c r="C59" s="2">
        <f>IFERROR(__xludf.DUMMYFUNCTION("""COMPUTED_VALUE"""),2026.0)</f>
        <v>2026</v>
      </c>
      <c r="D59" s="2">
        <f>IFERROR(__xludf.DUMMYFUNCTION("""COMPUTED_VALUE"""),46378.0)</f>
        <v>46378</v>
      </c>
      <c r="E59" s="2" t="str">
        <f>IFERROR(__xludf.DUMMYFUNCTION("""COMPUTED_VALUE"""),"VF")</f>
        <v>VF</v>
      </c>
      <c r="F59" s="2">
        <f>IFERROR(__xludf.DUMMYFUNCTION("""COMPUTED_VALUE"""),2.0)</f>
        <v>2</v>
      </c>
      <c r="G59" s="2" t="str">
        <f>IFERROR(__xludf.DUMMYFUNCTION("""COMPUTED_VALUE"""),"PR057")</f>
        <v>PR057</v>
      </c>
      <c r="H59" s="2" t="str">
        <f>IFERROR(__xludf.DUMMYFUNCTION("""COMPUTED_VALUE"""),"VD046")</f>
        <v>VD046</v>
      </c>
      <c r="I59" s="2">
        <f>IFERROR(__xludf.DUMMYFUNCTION("""COMPUTED_VALUE"""),15.0)</f>
        <v>15</v>
      </c>
      <c r="J59" s="2">
        <f>IFERROR(__xludf.DUMMYFUNCTION("""COMPUTED_VALUE"""),1591.23)</f>
        <v>1591.23</v>
      </c>
      <c r="K59" s="2">
        <f>IFERROR(__xludf.DUMMYFUNCTION("""COMPUTED_VALUE"""),1591.23)</f>
        <v>1591.23</v>
      </c>
    </row>
    <row r="60">
      <c r="A60" s="2">
        <f>IFERROR(__xludf.DUMMYFUNCTION("""COMPUTED_VALUE"""),1000.0)</f>
        <v>1000</v>
      </c>
      <c r="B60" s="2">
        <f>IFERROR(__xludf.DUMMYFUNCTION("""COMPUTED_VALUE"""),183498.0)</f>
        <v>183498</v>
      </c>
      <c r="C60" s="2">
        <f>IFERROR(__xludf.DUMMYFUNCTION("""COMPUTED_VALUE"""),2026.0)</f>
        <v>2026</v>
      </c>
      <c r="D60" s="2">
        <f>IFERROR(__xludf.DUMMYFUNCTION("""COMPUTED_VALUE"""),46377.0)</f>
        <v>46377</v>
      </c>
      <c r="E60" s="2" t="str">
        <f>IFERROR(__xludf.DUMMYFUNCTION("""COMPUTED_VALUE"""),"VF")</f>
        <v>VF</v>
      </c>
      <c r="F60" s="2">
        <f>IFERROR(__xludf.DUMMYFUNCTION("""COMPUTED_VALUE"""),3.0)</f>
        <v>3</v>
      </c>
      <c r="G60" s="2" t="str">
        <f>IFERROR(__xludf.DUMMYFUNCTION("""COMPUTED_VALUE"""),"PR018")</f>
        <v>PR018</v>
      </c>
      <c r="H60" s="2" t="str">
        <f>IFERROR(__xludf.DUMMYFUNCTION("""COMPUTED_VALUE"""),"VD037")</f>
        <v>VD037</v>
      </c>
      <c r="I60" s="2">
        <f>IFERROR(__xludf.DUMMYFUNCTION("""COMPUTED_VALUE"""),10.0)</f>
        <v>10</v>
      </c>
      <c r="J60" s="2">
        <f>IFERROR(__xludf.DUMMYFUNCTION("""COMPUTED_VALUE"""),361.9)</f>
        <v>361.9</v>
      </c>
      <c r="K60" s="2">
        <f>IFERROR(__xludf.DUMMYFUNCTION("""COMPUTED_VALUE"""),361.9)</f>
        <v>361.9</v>
      </c>
    </row>
    <row r="61">
      <c r="A61" s="2">
        <f>IFERROR(__xludf.DUMMYFUNCTION("""COMPUTED_VALUE"""),1000.0)</f>
        <v>1000</v>
      </c>
      <c r="B61" s="2">
        <f>IFERROR(__xludf.DUMMYFUNCTION("""COMPUTED_VALUE"""),183499.0)</f>
        <v>183499</v>
      </c>
      <c r="C61" s="2">
        <f>IFERROR(__xludf.DUMMYFUNCTION("""COMPUTED_VALUE"""),2026.0)</f>
        <v>2026</v>
      </c>
      <c r="D61" s="2">
        <f>IFERROR(__xludf.DUMMYFUNCTION("""COMPUTED_VALUE"""),46377.0)</f>
        <v>46377</v>
      </c>
      <c r="E61" s="2" t="str">
        <f>IFERROR(__xludf.DUMMYFUNCTION("""COMPUTED_VALUE"""),"VF")</f>
        <v>VF</v>
      </c>
      <c r="F61" s="2">
        <f>IFERROR(__xludf.DUMMYFUNCTION("""COMPUTED_VALUE"""),1.0)</f>
        <v>1</v>
      </c>
      <c r="G61" s="2" t="str">
        <f>IFERROR(__xludf.DUMMYFUNCTION("""COMPUTED_VALUE"""),"PR022")</f>
        <v>PR022</v>
      </c>
      <c r="H61" s="2" t="str">
        <f>IFERROR(__xludf.DUMMYFUNCTION("""COMPUTED_VALUE"""),"VD023")</f>
        <v>VD023</v>
      </c>
      <c r="I61" s="2">
        <f>IFERROR(__xludf.DUMMYFUNCTION("""COMPUTED_VALUE"""),16.0)</f>
        <v>16</v>
      </c>
      <c r="J61" s="2">
        <f>IFERROR(__xludf.DUMMYFUNCTION("""COMPUTED_VALUE"""),5424.0)</f>
        <v>5424</v>
      </c>
      <c r="K61" s="2">
        <f>IFERROR(__xludf.DUMMYFUNCTION("""COMPUTED_VALUE"""),5424.0)</f>
        <v>5424</v>
      </c>
    </row>
    <row r="62">
      <c r="A62" s="2">
        <f>IFERROR(__xludf.DUMMYFUNCTION("""COMPUTED_VALUE"""),1000.0)</f>
        <v>1000</v>
      </c>
      <c r="B62" s="2">
        <f>IFERROR(__xludf.DUMMYFUNCTION("""COMPUTED_VALUE"""),183499.0)</f>
        <v>183499</v>
      </c>
      <c r="C62" s="2">
        <f>IFERROR(__xludf.DUMMYFUNCTION("""COMPUTED_VALUE"""),2026.0)</f>
        <v>2026</v>
      </c>
      <c r="D62" s="2">
        <f>IFERROR(__xludf.DUMMYFUNCTION("""COMPUTED_VALUE"""),46377.0)</f>
        <v>46377</v>
      </c>
      <c r="E62" s="2" t="str">
        <f>IFERROR(__xludf.DUMMYFUNCTION("""COMPUTED_VALUE"""),"VF")</f>
        <v>VF</v>
      </c>
      <c r="F62" s="2">
        <f>IFERROR(__xludf.DUMMYFUNCTION("""COMPUTED_VALUE"""),2.0)</f>
        <v>2</v>
      </c>
      <c r="G62" s="2" t="str">
        <f>IFERROR(__xludf.DUMMYFUNCTION("""COMPUTED_VALUE"""),"PR020")</f>
        <v>PR020</v>
      </c>
      <c r="H62" s="2" t="str">
        <f>IFERROR(__xludf.DUMMYFUNCTION("""COMPUTED_VALUE"""),"VD023")</f>
        <v>VD023</v>
      </c>
      <c r="I62" s="2">
        <f>IFERROR(__xludf.DUMMYFUNCTION("""COMPUTED_VALUE"""),21.0)</f>
        <v>21</v>
      </c>
      <c r="J62" s="2">
        <f>IFERROR(__xludf.DUMMYFUNCTION("""COMPUTED_VALUE"""),7242.59)</f>
        <v>7242.59</v>
      </c>
      <c r="K62" s="2">
        <f>IFERROR(__xludf.DUMMYFUNCTION("""COMPUTED_VALUE"""),7242.59)</f>
        <v>7242.59</v>
      </c>
    </row>
    <row r="63">
      <c r="A63" s="2">
        <f>IFERROR(__xludf.DUMMYFUNCTION("""COMPUTED_VALUE"""),1000.0)</f>
        <v>1000</v>
      </c>
      <c r="B63" s="2">
        <f>IFERROR(__xludf.DUMMYFUNCTION("""COMPUTED_VALUE"""),183500.0)</f>
        <v>183500</v>
      </c>
      <c r="C63" s="2">
        <f>IFERROR(__xludf.DUMMYFUNCTION("""COMPUTED_VALUE"""),2026.0)</f>
        <v>2026</v>
      </c>
      <c r="D63" s="2">
        <f>IFERROR(__xludf.DUMMYFUNCTION("""COMPUTED_VALUE"""),46377.0)</f>
        <v>46377</v>
      </c>
      <c r="E63" s="2" t="str">
        <f>IFERROR(__xludf.DUMMYFUNCTION("""COMPUTED_VALUE"""),"VF")</f>
        <v>VF</v>
      </c>
      <c r="F63" s="2">
        <f>IFERROR(__xludf.DUMMYFUNCTION("""COMPUTED_VALUE"""),1.0)</f>
        <v>1</v>
      </c>
      <c r="G63" s="2" t="str">
        <f>IFERROR(__xludf.DUMMYFUNCTION("""COMPUTED_VALUE"""),"PR043")</f>
        <v>PR043</v>
      </c>
      <c r="H63" s="2" t="str">
        <f>IFERROR(__xludf.DUMMYFUNCTION("""COMPUTED_VALUE"""),"VD039")</f>
        <v>VD039</v>
      </c>
      <c r="I63" s="2">
        <f>IFERROR(__xludf.DUMMYFUNCTION("""COMPUTED_VALUE"""),16.0)</f>
        <v>16</v>
      </c>
      <c r="J63" s="2">
        <f>IFERROR(__xludf.DUMMYFUNCTION("""COMPUTED_VALUE"""),1368.8)</f>
        <v>1368.8</v>
      </c>
      <c r="K63" s="2">
        <f>IFERROR(__xludf.DUMMYFUNCTION("""COMPUTED_VALUE"""),1368.8)</f>
        <v>1368.8</v>
      </c>
    </row>
    <row r="64">
      <c r="A64" s="2">
        <f>IFERROR(__xludf.DUMMYFUNCTION("""COMPUTED_VALUE"""),1000.0)</f>
        <v>1000</v>
      </c>
      <c r="B64" s="2">
        <f>IFERROR(__xludf.DUMMYFUNCTION("""COMPUTED_VALUE"""),183501.0)</f>
        <v>183501</v>
      </c>
      <c r="C64" s="2">
        <f>IFERROR(__xludf.DUMMYFUNCTION("""COMPUTED_VALUE"""),2026.0)</f>
        <v>2026</v>
      </c>
      <c r="D64" s="2">
        <f>IFERROR(__xludf.DUMMYFUNCTION("""COMPUTED_VALUE"""),46377.0)</f>
        <v>46377</v>
      </c>
      <c r="E64" s="2" t="str">
        <f>IFERROR(__xludf.DUMMYFUNCTION("""COMPUTED_VALUE"""),"VF")</f>
        <v>VF</v>
      </c>
      <c r="F64" s="2">
        <f>IFERROR(__xludf.DUMMYFUNCTION("""COMPUTED_VALUE"""),1.0)</f>
        <v>1</v>
      </c>
      <c r="G64" s="2" t="str">
        <f>IFERROR(__xludf.DUMMYFUNCTION("""COMPUTED_VALUE"""),"PR040")</f>
        <v>PR040</v>
      </c>
      <c r="H64" s="2" t="str">
        <f>IFERROR(__xludf.DUMMYFUNCTION("""COMPUTED_VALUE"""),"VD014")</f>
        <v>VD014</v>
      </c>
      <c r="I64" s="2">
        <f>IFERROR(__xludf.DUMMYFUNCTION("""COMPUTED_VALUE"""),20.0)</f>
        <v>20</v>
      </c>
      <c r="J64" s="2">
        <f>IFERROR(__xludf.DUMMYFUNCTION("""COMPUTED_VALUE"""),1624.0)</f>
        <v>1624</v>
      </c>
      <c r="K64" s="2">
        <f>IFERROR(__xludf.DUMMYFUNCTION("""COMPUTED_VALUE"""),1624.0)</f>
        <v>1624</v>
      </c>
    </row>
    <row r="65">
      <c r="A65" s="2">
        <f>IFERROR(__xludf.DUMMYFUNCTION("""COMPUTED_VALUE"""),1000.0)</f>
        <v>1000</v>
      </c>
      <c r="B65" s="2">
        <f>IFERROR(__xludf.DUMMYFUNCTION("""COMPUTED_VALUE"""),183502.0)</f>
        <v>183502</v>
      </c>
      <c r="C65" s="2">
        <f>IFERROR(__xludf.DUMMYFUNCTION("""COMPUTED_VALUE"""),2026.0)</f>
        <v>2026</v>
      </c>
      <c r="D65" s="2">
        <f>IFERROR(__xludf.DUMMYFUNCTION("""COMPUTED_VALUE"""),46377.0)</f>
        <v>46377</v>
      </c>
      <c r="E65" s="2" t="str">
        <f>IFERROR(__xludf.DUMMYFUNCTION("""COMPUTED_VALUE"""),"VF")</f>
        <v>VF</v>
      </c>
      <c r="F65" s="2">
        <f>IFERROR(__xludf.DUMMYFUNCTION("""COMPUTED_VALUE"""),1.0)</f>
        <v>1</v>
      </c>
      <c r="G65" s="2" t="str">
        <f>IFERROR(__xludf.DUMMYFUNCTION("""COMPUTED_VALUE"""),"PR052")</f>
        <v>PR052</v>
      </c>
      <c r="H65" s="2" t="str">
        <f>IFERROR(__xludf.DUMMYFUNCTION("""COMPUTED_VALUE"""),"VD035")</f>
        <v>VD035</v>
      </c>
      <c r="I65" s="2">
        <f>IFERROR(__xludf.DUMMYFUNCTION("""COMPUTED_VALUE"""),30.0)</f>
        <v>30</v>
      </c>
      <c r="J65" s="2">
        <f>IFERROR(__xludf.DUMMYFUNCTION("""COMPUTED_VALUE"""),1721.55)</f>
        <v>1721.55</v>
      </c>
      <c r="K65" s="2">
        <f>IFERROR(__xludf.DUMMYFUNCTION("""COMPUTED_VALUE"""),1721.55)</f>
        <v>1721.55</v>
      </c>
    </row>
    <row r="66">
      <c r="A66" s="2">
        <f>IFERROR(__xludf.DUMMYFUNCTION("""COMPUTED_VALUE"""),2000.0)</f>
        <v>2000</v>
      </c>
      <c r="B66" s="2">
        <f>IFERROR(__xludf.DUMMYFUNCTION("""COMPUTED_VALUE"""),183502.0)</f>
        <v>183502</v>
      </c>
      <c r="C66" s="2">
        <f>IFERROR(__xludf.DUMMYFUNCTION("""COMPUTED_VALUE"""),2026.0)</f>
        <v>2026</v>
      </c>
      <c r="D66" s="2">
        <f>IFERROR(__xludf.DUMMYFUNCTION("""COMPUTED_VALUE"""),46377.0)</f>
        <v>46377</v>
      </c>
      <c r="E66" s="2" t="str">
        <f>IFERROR(__xludf.DUMMYFUNCTION("""COMPUTED_VALUE"""),"VF")</f>
        <v>VF</v>
      </c>
      <c r="F66" s="2">
        <f>IFERROR(__xludf.DUMMYFUNCTION("""COMPUTED_VALUE"""),2.0)</f>
        <v>2</v>
      </c>
      <c r="G66" s="2" t="str">
        <f>IFERROR(__xludf.DUMMYFUNCTION("""COMPUTED_VALUE"""),"PR021")</f>
        <v>PR021</v>
      </c>
      <c r="H66" s="2" t="str">
        <f>IFERROR(__xludf.DUMMYFUNCTION("""COMPUTED_VALUE"""),"VD013")</f>
        <v>VD013</v>
      </c>
      <c r="I66" s="2">
        <f>IFERROR(__xludf.DUMMYFUNCTION("""COMPUTED_VALUE"""),8.0)</f>
        <v>8</v>
      </c>
      <c r="J66" s="2">
        <f>IFERROR(__xludf.DUMMYFUNCTION("""COMPUTED_VALUE"""),2689.75)</f>
        <v>2689.75</v>
      </c>
      <c r="K66" s="2">
        <f>IFERROR(__xludf.DUMMYFUNCTION("""COMPUTED_VALUE"""),2689.75)</f>
        <v>2689.75</v>
      </c>
    </row>
    <row r="67">
      <c r="A67" s="2">
        <f>IFERROR(__xludf.DUMMYFUNCTION("""COMPUTED_VALUE"""),1000.0)</f>
        <v>1000</v>
      </c>
      <c r="B67" s="2">
        <f>IFERROR(__xludf.DUMMYFUNCTION("""COMPUTED_VALUE"""),183503.0)</f>
        <v>183503</v>
      </c>
      <c r="C67" s="2">
        <f>IFERROR(__xludf.DUMMYFUNCTION("""COMPUTED_VALUE"""),2026.0)</f>
        <v>2026</v>
      </c>
      <c r="D67" s="2">
        <f>IFERROR(__xludf.DUMMYFUNCTION("""COMPUTED_VALUE"""),46377.0)</f>
        <v>46377</v>
      </c>
      <c r="E67" s="2" t="str">
        <f>IFERROR(__xludf.DUMMYFUNCTION("""COMPUTED_VALUE"""),"VF")</f>
        <v>VF</v>
      </c>
      <c r="F67" s="2">
        <f>IFERROR(__xludf.DUMMYFUNCTION("""COMPUTED_VALUE"""),1.0)</f>
        <v>1</v>
      </c>
      <c r="G67" s="2" t="str">
        <f>IFERROR(__xludf.DUMMYFUNCTION("""COMPUTED_VALUE"""),"PR050")</f>
        <v>PR050</v>
      </c>
      <c r="H67" s="2" t="str">
        <f>IFERROR(__xludf.DUMMYFUNCTION("""COMPUTED_VALUE"""),"VD015")</f>
        <v>VD015</v>
      </c>
      <c r="I67" s="2">
        <f>IFERROR(__xludf.DUMMYFUNCTION("""COMPUTED_VALUE"""),24.0)</f>
        <v>24</v>
      </c>
      <c r="J67" s="2">
        <f>IFERROR(__xludf.DUMMYFUNCTION("""COMPUTED_VALUE"""),915.94)</f>
        <v>915.94</v>
      </c>
      <c r="K67" s="2">
        <f>IFERROR(__xludf.DUMMYFUNCTION("""COMPUTED_VALUE"""),915.94)</f>
        <v>915.94</v>
      </c>
    </row>
    <row r="68">
      <c r="A68" s="2">
        <f>IFERROR(__xludf.DUMMYFUNCTION("""COMPUTED_VALUE"""),1000.0)</f>
        <v>1000</v>
      </c>
      <c r="B68" s="2">
        <f>IFERROR(__xludf.DUMMYFUNCTION("""COMPUTED_VALUE"""),183504.0)</f>
        <v>183504</v>
      </c>
      <c r="C68" s="2">
        <f>IFERROR(__xludf.DUMMYFUNCTION("""COMPUTED_VALUE"""),2026.0)</f>
        <v>2026</v>
      </c>
      <c r="D68" s="2">
        <f>IFERROR(__xludf.DUMMYFUNCTION("""COMPUTED_VALUE"""),46377.0)</f>
        <v>46377</v>
      </c>
      <c r="E68" s="2" t="str">
        <f>IFERROR(__xludf.DUMMYFUNCTION("""COMPUTED_VALUE"""),"VF")</f>
        <v>VF</v>
      </c>
      <c r="F68" s="2">
        <f>IFERROR(__xludf.DUMMYFUNCTION("""COMPUTED_VALUE"""),1.0)</f>
        <v>1</v>
      </c>
      <c r="G68" s="2" t="str">
        <f>IFERROR(__xludf.DUMMYFUNCTION("""COMPUTED_VALUE"""),"PR036")</f>
        <v>PR036</v>
      </c>
      <c r="H68" s="2" t="str">
        <f>IFERROR(__xludf.DUMMYFUNCTION("""COMPUTED_VALUE"""),"VD040")</f>
        <v>VD040</v>
      </c>
      <c r="I68" s="2">
        <f>IFERROR(__xludf.DUMMYFUNCTION("""COMPUTED_VALUE"""),12.0)</f>
        <v>12</v>
      </c>
      <c r="J68" s="2">
        <f>IFERROR(__xludf.DUMMYFUNCTION("""COMPUTED_VALUE"""),1301.52)</f>
        <v>1301.52</v>
      </c>
      <c r="K68" s="2">
        <f>IFERROR(__xludf.DUMMYFUNCTION("""COMPUTED_VALUE"""),1301.52)</f>
        <v>1301.52</v>
      </c>
    </row>
    <row r="69">
      <c r="A69" s="2">
        <f>IFERROR(__xludf.DUMMYFUNCTION("""COMPUTED_VALUE"""),1000.0)</f>
        <v>1000</v>
      </c>
      <c r="B69" s="2">
        <f>IFERROR(__xludf.DUMMYFUNCTION("""COMPUTED_VALUE"""),183505.0)</f>
        <v>183505</v>
      </c>
      <c r="C69" s="2">
        <f>IFERROR(__xludf.DUMMYFUNCTION("""COMPUTED_VALUE"""),2026.0)</f>
        <v>2026</v>
      </c>
      <c r="D69" s="2">
        <f>IFERROR(__xludf.DUMMYFUNCTION("""COMPUTED_VALUE"""),46376.0)</f>
        <v>46376</v>
      </c>
      <c r="E69" s="2" t="str">
        <f>IFERROR(__xludf.DUMMYFUNCTION("""COMPUTED_VALUE"""),"VF")</f>
        <v>VF</v>
      </c>
      <c r="F69" s="2">
        <f>IFERROR(__xludf.DUMMYFUNCTION("""COMPUTED_VALUE"""),1.0)</f>
        <v>1</v>
      </c>
      <c r="G69" s="2" t="str">
        <f>IFERROR(__xludf.DUMMYFUNCTION("""COMPUTED_VALUE"""),"PR023")</f>
        <v>PR023</v>
      </c>
      <c r="H69" s="2" t="str">
        <f>IFERROR(__xludf.DUMMYFUNCTION("""COMPUTED_VALUE"""),"VD037")</f>
        <v>VD037</v>
      </c>
      <c r="I69" s="2">
        <f>IFERROR(__xludf.DUMMYFUNCTION("""COMPUTED_VALUE"""),12.0)</f>
        <v>12</v>
      </c>
      <c r="J69" s="2">
        <f>IFERROR(__xludf.DUMMYFUNCTION("""COMPUTED_VALUE"""),3298.68)</f>
        <v>3298.68</v>
      </c>
      <c r="K69" s="2">
        <f>IFERROR(__xludf.DUMMYFUNCTION("""COMPUTED_VALUE"""),3298.68)</f>
        <v>3298.68</v>
      </c>
    </row>
    <row r="70">
      <c r="A70" s="2">
        <f>IFERROR(__xludf.DUMMYFUNCTION("""COMPUTED_VALUE"""),1000.0)</f>
        <v>1000</v>
      </c>
      <c r="B70" s="2">
        <f>IFERROR(__xludf.DUMMYFUNCTION("""COMPUTED_VALUE"""),183506.0)</f>
        <v>183506</v>
      </c>
      <c r="C70" s="2">
        <f>IFERROR(__xludf.DUMMYFUNCTION("""COMPUTED_VALUE"""),2026.0)</f>
        <v>2026</v>
      </c>
      <c r="D70" s="2">
        <f>IFERROR(__xludf.DUMMYFUNCTION("""COMPUTED_VALUE"""),46376.0)</f>
        <v>46376</v>
      </c>
      <c r="E70" s="2" t="str">
        <f>IFERROR(__xludf.DUMMYFUNCTION("""COMPUTED_VALUE"""),"VF")</f>
        <v>VF</v>
      </c>
      <c r="F70" s="2">
        <f>IFERROR(__xludf.DUMMYFUNCTION("""COMPUTED_VALUE"""),1.0)</f>
        <v>1</v>
      </c>
      <c r="G70" s="2" t="str">
        <f>IFERROR(__xludf.DUMMYFUNCTION("""COMPUTED_VALUE"""),"PR052")</f>
        <v>PR052</v>
      </c>
      <c r="H70" s="2" t="str">
        <f>IFERROR(__xludf.DUMMYFUNCTION("""COMPUTED_VALUE"""),"VD014")</f>
        <v>VD014</v>
      </c>
      <c r="I70" s="2">
        <f>IFERROR(__xludf.DUMMYFUNCTION("""COMPUTED_VALUE"""),20.0)</f>
        <v>20</v>
      </c>
      <c r="J70" s="2">
        <f>IFERROR(__xludf.DUMMYFUNCTION("""COMPUTED_VALUE"""),1127.74)</f>
        <v>1127.74</v>
      </c>
      <c r="K70" s="2">
        <f>IFERROR(__xludf.DUMMYFUNCTION("""COMPUTED_VALUE"""),1127.74)</f>
        <v>1127.74</v>
      </c>
    </row>
    <row r="71">
      <c r="A71" s="2">
        <f>IFERROR(__xludf.DUMMYFUNCTION("""COMPUTED_VALUE"""),1000.0)</f>
        <v>1000</v>
      </c>
      <c r="B71" s="2">
        <f>IFERROR(__xludf.DUMMYFUNCTION("""COMPUTED_VALUE"""),183506.0)</f>
        <v>183506</v>
      </c>
      <c r="C71" s="2">
        <f>IFERROR(__xludf.DUMMYFUNCTION("""COMPUTED_VALUE"""),2026.0)</f>
        <v>2026</v>
      </c>
      <c r="D71" s="2">
        <f>IFERROR(__xludf.DUMMYFUNCTION("""COMPUTED_VALUE"""),46375.0)</f>
        <v>46375</v>
      </c>
      <c r="E71" s="2" t="str">
        <f>IFERROR(__xludf.DUMMYFUNCTION("""COMPUTED_VALUE"""),"VF")</f>
        <v>VF</v>
      </c>
      <c r="F71" s="2">
        <f>IFERROR(__xludf.DUMMYFUNCTION("""COMPUTED_VALUE"""),2.0)</f>
        <v>2</v>
      </c>
      <c r="G71" s="2" t="str">
        <f>IFERROR(__xludf.DUMMYFUNCTION("""COMPUTED_VALUE"""),"PR051")</f>
        <v>PR051</v>
      </c>
      <c r="H71" s="2" t="str">
        <f>IFERROR(__xludf.DUMMYFUNCTION("""COMPUTED_VALUE"""),"VD018")</f>
        <v>VD018</v>
      </c>
      <c r="I71" s="2">
        <f>IFERROR(__xludf.DUMMYFUNCTION("""COMPUTED_VALUE"""),6.0)</f>
        <v>6</v>
      </c>
      <c r="J71" s="2">
        <f>IFERROR(__xludf.DUMMYFUNCTION("""COMPUTED_VALUE"""),221.09)</f>
        <v>221.09</v>
      </c>
      <c r="K71" s="2">
        <f>IFERROR(__xludf.DUMMYFUNCTION("""COMPUTED_VALUE"""),221.09)</f>
        <v>221.09</v>
      </c>
    </row>
    <row r="72">
      <c r="A72" s="2">
        <f>IFERROR(__xludf.DUMMYFUNCTION("""COMPUTED_VALUE"""),2000.0)</f>
        <v>2000</v>
      </c>
      <c r="B72" s="2">
        <f>IFERROR(__xludf.DUMMYFUNCTION("""COMPUTED_VALUE"""),183507.0)</f>
        <v>183507</v>
      </c>
      <c r="C72" s="2">
        <f>IFERROR(__xludf.DUMMYFUNCTION("""COMPUTED_VALUE"""),2026.0)</f>
        <v>2026</v>
      </c>
      <c r="D72" s="2">
        <f>IFERROR(__xludf.DUMMYFUNCTION("""COMPUTED_VALUE"""),46375.0)</f>
        <v>46375</v>
      </c>
      <c r="E72" s="2" t="str">
        <f>IFERROR(__xludf.DUMMYFUNCTION("""COMPUTED_VALUE"""),"VF")</f>
        <v>VF</v>
      </c>
      <c r="F72" s="2">
        <f>IFERROR(__xludf.DUMMYFUNCTION("""COMPUTED_VALUE"""),1.0)</f>
        <v>1</v>
      </c>
      <c r="G72" s="2" t="str">
        <f>IFERROR(__xludf.DUMMYFUNCTION("""COMPUTED_VALUE"""),"PR019")</f>
        <v>PR019</v>
      </c>
      <c r="H72" s="2" t="str">
        <f>IFERROR(__xludf.DUMMYFUNCTION("""COMPUTED_VALUE"""),"VD010")</f>
        <v>VD010</v>
      </c>
      <c r="I72" s="2">
        <f>IFERROR(__xludf.DUMMYFUNCTION("""COMPUTED_VALUE"""),20.0)</f>
        <v>20</v>
      </c>
      <c r="J72" s="2">
        <f>IFERROR(__xludf.DUMMYFUNCTION("""COMPUTED_VALUE"""),1197.6)</f>
        <v>1197.6</v>
      </c>
      <c r="K72" s="2">
        <f>IFERROR(__xludf.DUMMYFUNCTION("""COMPUTED_VALUE"""),1197.6)</f>
        <v>1197.6</v>
      </c>
    </row>
    <row r="73">
      <c r="A73" s="2">
        <f>IFERROR(__xludf.DUMMYFUNCTION("""COMPUTED_VALUE"""),1000.0)</f>
        <v>1000</v>
      </c>
      <c r="B73" s="2">
        <f>IFERROR(__xludf.DUMMYFUNCTION("""COMPUTED_VALUE"""),183508.0)</f>
        <v>183508</v>
      </c>
      <c r="C73" s="2">
        <f>IFERROR(__xludf.DUMMYFUNCTION("""COMPUTED_VALUE"""),2026.0)</f>
        <v>2026</v>
      </c>
      <c r="D73" s="2">
        <f>IFERROR(__xludf.DUMMYFUNCTION("""COMPUTED_VALUE"""),46375.0)</f>
        <v>46375</v>
      </c>
      <c r="E73" s="2" t="str">
        <f>IFERROR(__xludf.DUMMYFUNCTION("""COMPUTED_VALUE"""),"VF")</f>
        <v>VF</v>
      </c>
      <c r="F73" s="2">
        <f>IFERROR(__xludf.DUMMYFUNCTION("""COMPUTED_VALUE"""),1.0)</f>
        <v>1</v>
      </c>
      <c r="G73" s="2" t="str">
        <f>IFERROR(__xludf.DUMMYFUNCTION("""COMPUTED_VALUE"""),"PR053")</f>
        <v>PR053</v>
      </c>
      <c r="H73" s="2" t="str">
        <f>IFERROR(__xludf.DUMMYFUNCTION("""COMPUTED_VALUE"""),"VD043")</f>
        <v>VD043</v>
      </c>
      <c r="I73" s="2">
        <f>IFERROR(__xludf.DUMMYFUNCTION("""COMPUTED_VALUE"""),16.0)</f>
        <v>16</v>
      </c>
      <c r="J73" s="2">
        <f>IFERROR(__xludf.DUMMYFUNCTION("""COMPUTED_VALUE"""),950.1)</f>
        <v>950.1</v>
      </c>
      <c r="K73" s="2">
        <f>IFERROR(__xludf.DUMMYFUNCTION("""COMPUTED_VALUE"""),950.1)</f>
        <v>950.1</v>
      </c>
    </row>
    <row r="74">
      <c r="A74" s="2">
        <f>IFERROR(__xludf.DUMMYFUNCTION("""COMPUTED_VALUE"""),1000.0)</f>
        <v>1000</v>
      </c>
      <c r="B74" s="2">
        <f>IFERROR(__xludf.DUMMYFUNCTION("""COMPUTED_VALUE"""),183509.0)</f>
        <v>183509</v>
      </c>
      <c r="C74" s="2">
        <f>IFERROR(__xludf.DUMMYFUNCTION("""COMPUTED_VALUE"""),2026.0)</f>
        <v>2026</v>
      </c>
      <c r="D74" s="2">
        <f>IFERROR(__xludf.DUMMYFUNCTION("""COMPUTED_VALUE"""),46375.0)</f>
        <v>46375</v>
      </c>
      <c r="E74" s="2" t="str">
        <f>IFERROR(__xludf.DUMMYFUNCTION("""COMPUTED_VALUE"""),"VF")</f>
        <v>VF</v>
      </c>
      <c r="F74" s="2">
        <f>IFERROR(__xludf.DUMMYFUNCTION("""COMPUTED_VALUE"""),1.0)</f>
        <v>1</v>
      </c>
      <c r="G74" s="2" t="str">
        <f>IFERROR(__xludf.DUMMYFUNCTION("""COMPUTED_VALUE"""),"PR031")</f>
        <v>PR031</v>
      </c>
      <c r="H74" s="2" t="str">
        <f>IFERROR(__xludf.DUMMYFUNCTION("""COMPUTED_VALUE"""),"VD035")</f>
        <v>VD035</v>
      </c>
      <c r="I74" s="2">
        <f>IFERROR(__xludf.DUMMYFUNCTION("""COMPUTED_VALUE"""),21.0)</f>
        <v>21</v>
      </c>
      <c r="J74" s="2">
        <f>IFERROR(__xludf.DUMMYFUNCTION("""COMPUTED_VALUE"""),6122.55)</f>
        <v>6122.55</v>
      </c>
      <c r="K74" s="2">
        <f>IFERROR(__xludf.DUMMYFUNCTION("""COMPUTED_VALUE"""),6122.55)</f>
        <v>6122.55</v>
      </c>
    </row>
    <row r="75">
      <c r="A75" s="2">
        <f>IFERROR(__xludf.DUMMYFUNCTION("""COMPUTED_VALUE"""),1000.0)</f>
        <v>1000</v>
      </c>
      <c r="B75" s="2">
        <f>IFERROR(__xludf.DUMMYFUNCTION("""COMPUTED_VALUE"""),183509.0)</f>
        <v>183509</v>
      </c>
      <c r="C75" s="2">
        <f>IFERROR(__xludf.DUMMYFUNCTION("""COMPUTED_VALUE"""),2026.0)</f>
        <v>2026</v>
      </c>
      <c r="D75" s="2">
        <f>IFERROR(__xludf.DUMMYFUNCTION("""COMPUTED_VALUE"""),46375.0)</f>
        <v>46375</v>
      </c>
      <c r="E75" s="2" t="str">
        <f>IFERROR(__xludf.DUMMYFUNCTION("""COMPUTED_VALUE"""),"VF")</f>
        <v>VF</v>
      </c>
      <c r="F75" s="2">
        <f>IFERROR(__xludf.DUMMYFUNCTION("""COMPUTED_VALUE"""),2.0)</f>
        <v>2</v>
      </c>
      <c r="G75" s="2" t="str">
        <f>IFERROR(__xludf.DUMMYFUNCTION("""COMPUTED_VALUE"""),"PR008")</f>
        <v>PR008</v>
      </c>
      <c r="H75" s="2" t="str">
        <f>IFERROR(__xludf.DUMMYFUNCTION("""COMPUTED_VALUE"""),"VD037")</f>
        <v>VD037</v>
      </c>
      <c r="I75" s="2">
        <f>IFERROR(__xludf.DUMMYFUNCTION("""COMPUTED_VALUE"""),10.0)</f>
        <v>10</v>
      </c>
      <c r="J75" s="2">
        <f>IFERROR(__xludf.DUMMYFUNCTION("""COMPUTED_VALUE"""),1078.8)</f>
        <v>1078.8</v>
      </c>
      <c r="K75" s="2">
        <f>IFERROR(__xludf.DUMMYFUNCTION("""COMPUTED_VALUE"""),1078.8)</f>
        <v>1078.8</v>
      </c>
    </row>
    <row r="76">
      <c r="A76" s="2">
        <f>IFERROR(__xludf.DUMMYFUNCTION("""COMPUTED_VALUE"""),1000.0)</f>
        <v>1000</v>
      </c>
      <c r="B76" s="2">
        <f>IFERROR(__xludf.DUMMYFUNCTION("""COMPUTED_VALUE"""),183510.0)</f>
        <v>183510</v>
      </c>
      <c r="C76" s="2">
        <f>IFERROR(__xludf.DUMMYFUNCTION("""COMPUTED_VALUE"""),2026.0)</f>
        <v>2026</v>
      </c>
      <c r="D76" s="2">
        <f>IFERROR(__xludf.DUMMYFUNCTION("""COMPUTED_VALUE"""),46375.0)</f>
        <v>46375</v>
      </c>
      <c r="E76" s="2" t="str">
        <f>IFERROR(__xludf.DUMMYFUNCTION("""COMPUTED_VALUE"""),"VF")</f>
        <v>VF</v>
      </c>
      <c r="F76" s="2">
        <f>IFERROR(__xludf.DUMMYFUNCTION("""COMPUTED_VALUE"""),1.0)</f>
        <v>1</v>
      </c>
      <c r="G76" s="2" t="str">
        <f>IFERROR(__xludf.DUMMYFUNCTION("""COMPUTED_VALUE"""),"PR010")</f>
        <v>PR010</v>
      </c>
      <c r="H76" s="2" t="str">
        <f>IFERROR(__xludf.DUMMYFUNCTION("""COMPUTED_VALUE"""),"VD023")</f>
        <v>VD023</v>
      </c>
      <c r="I76" s="2">
        <f>IFERROR(__xludf.DUMMYFUNCTION("""COMPUTED_VALUE"""),14.0)</f>
        <v>14</v>
      </c>
      <c r="J76" s="2">
        <f>IFERROR(__xludf.DUMMYFUNCTION("""COMPUTED_VALUE"""),704.03)</f>
        <v>704.03</v>
      </c>
      <c r="K76" s="2">
        <f>IFERROR(__xludf.DUMMYFUNCTION("""COMPUTED_VALUE"""),704.03)</f>
        <v>704.03</v>
      </c>
    </row>
    <row r="77">
      <c r="A77" s="2">
        <f>IFERROR(__xludf.DUMMYFUNCTION("""COMPUTED_VALUE"""),1000.0)</f>
        <v>1000</v>
      </c>
      <c r="B77" s="2">
        <f>IFERROR(__xludf.DUMMYFUNCTION("""COMPUTED_VALUE"""),183511.0)</f>
        <v>183511</v>
      </c>
      <c r="C77" s="2">
        <f>IFERROR(__xludf.DUMMYFUNCTION("""COMPUTED_VALUE"""),2026.0)</f>
        <v>2026</v>
      </c>
      <c r="D77" s="2">
        <f>IFERROR(__xludf.DUMMYFUNCTION("""COMPUTED_VALUE"""),46375.0)</f>
        <v>46375</v>
      </c>
      <c r="E77" s="2" t="str">
        <f>IFERROR(__xludf.DUMMYFUNCTION("""COMPUTED_VALUE"""),"VF")</f>
        <v>VF</v>
      </c>
      <c r="F77" s="2">
        <f>IFERROR(__xludf.DUMMYFUNCTION("""COMPUTED_VALUE"""),1.0)</f>
        <v>1</v>
      </c>
      <c r="G77" s="2" t="str">
        <f>IFERROR(__xludf.DUMMYFUNCTION("""COMPUTED_VALUE"""),"PR012")</f>
        <v>PR012</v>
      </c>
      <c r="H77" s="2" t="str">
        <f>IFERROR(__xludf.DUMMYFUNCTION("""COMPUTED_VALUE"""),"VD018")</f>
        <v>VD018</v>
      </c>
      <c r="I77" s="2">
        <f>IFERROR(__xludf.DUMMYFUNCTION("""COMPUTED_VALUE"""),10.0)</f>
        <v>10</v>
      </c>
      <c r="J77" s="2">
        <f>IFERROR(__xludf.DUMMYFUNCTION("""COMPUTED_VALUE"""),577.02)</f>
        <v>577.02</v>
      </c>
      <c r="K77" s="2">
        <f>IFERROR(__xludf.DUMMYFUNCTION("""COMPUTED_VALUE"""),577.02)</f>
        <v>577.02</v>
      </c>
    </row>
    <row r="78">
      <c r="A78" s="2">
        <f>IFERROR(__xludf.DUMMYFUNCTION("""COMPUTED_VALUE"""),2000.0)</f>
        <v>2000</v>
      </c>
      <c r="B78" s="2">
        <f>IFERROR(__xludf.DUMMYFUNCTION("""COMPUTED_VALUE"""),183512.0)</f>
        <v>183512</v>
      </c>
      <c r="C78" s="2">
        <f>IFERROR(__xludf.DUMMYFUNCTION("""COMPUTED_VALUE"""),2026.0)</f>
        <v>2026</v>
      </c>
      <c r="D78" s="2">
        <f>IFERROR(__xludf.DUMMYFUNCTION("""COMPUTED_VALUE"""),46375.0)</f>
        <v>46375</v>
      </c>
      <c r="E78" s="2" t="str">
        <f>IFERROR(__xludf.DUMMYFUNCTION("""COMPUTED_VALUE"""),"VF")</f>
        <v>VF</v>
      </c>
      <c r="F78" s="2">
        <f>IFERROR(__xludf.DUMMYFUNCTION("""COMPUTED_VALUE"""),1.0)</f>
        <v>1</v>
      </c>
      <c r="G78" s="2" t="str">
        <f>IFERROR(__xludf.DUMMYFUNCTION("""COMPUTED_VALUE"""),"PR043")</f>
        <v>PR043</v>
      </c>
      <c r="H78" s="2" t="str">
        <f>IFERROR(__xludf.DUMMYFUNCTION("""COMPUTED_VALUE"""),"VD033")</f>
        <v>VD033</v>
      </c>
      <c r="I78" s="2">
        <f>IFERROR(__xludf.DUMMYFUNCTION("""COMPUTED_VALUE"""),12.0)</f>
        <v>12</v>
      </c>
      <c r="J78" s="2">
        <f>IFERROR(__xludf.DUMMYFUNCTION("""COMPUTED_VALUE"""),983.1)</f>
        <v>983.1</v>
      </c>
      <c r="K78" s="2">
        <f>IFERROR(__xludf.DUMMYFUNCTION("""COMPUTED_VALUE"""),983.1)</f>
        <v>983.1</v>
      </c>
    </row>
    <row r="79">
      <c r="A79" s="2">
        <f>IFERROR(__xludf.DUMMYFUNCTION("""COMPUTED_VALUE"""),2000.0)</f>
        <v>2000</v>
      </c>
      <c r="B79" s="2">
        <f>IFERROR(__xludf.DUMMYFUNCTION("""COMPUTED_VALUE"""),183513.0)</f>
        <v>183513</v>
      </c>
      <c r="C79" s="2">
        <f>IFERROR(__xludf.DUMMYFUNCTION("""COMPUTED_VALUE"""),2026.0)</f>
        <v>2026</v>
      </c>
      <c r="D79" s="2">
        <f>IFERROR(__xludf.DUMMYFUNCTION("""COMPUTED_VALUE"""),46375.0)</f>
        <v>46375</v>
      </c>
      <c r="E79" s="2" t="str">
        <f>IFERROR(__xludf.DUMMYFUNCTION("""COMPUTED_VALUE"""),"VF")</f>
        <v>VF</v>
      </c>
      <c r="F79" s="2">
        <f>IFERROR(__xludf.DUMMYFUNCTION("""COMPUTED_VALUE"""),1.0)</f>
        <v>1</v>
      </c>
      <c r="G79" s="2" t="str">
        <f>IFERROR(__xludf.DUMMYFUNCTION("""COMPUTED_VALUE"""),"PR004")</f>
        <v>PR004</v>
      </c>
      <c r="H79" s="2" t="str">
        <f>IFERROR(__xludf.DUMMYFUNCTION("""COMPUTED_VALUE"""),"VD015")</f>
        <v>VD015</v>
      </c>
      <c r="I79" s="2">
        <f>IFERROR(__xludf.DUMMYFUNCTION("""COMPUTED_VALUE"""),10.0)</f>
        <v>10</v>
      </c>
      <c r="J79" s="2">
        <f>IFERROR(__xludf.DUMMYFUNCTION("""COMPUTED_VALUE"""),1725.5)</f>
        <v>1725.5</v>
      </c>
      <c r="K79" s="2">
        <f>IFERROR(__xludf.DUMMYFUNCTION("""COMPUTED_VALUE"""),1725.5)</f>
        <v>1725.5</v>
      </c>
    </row>
    <row r="80">
      <c r="A80" s="2">
        <f>IFERROR(__xludf.DUMMYFUNCTION("""COMPUTED_VALUE"""),1000.0)</f>
        <v>1000</v>
      </c>
      <c r="B80" s="2">
        <f>IFERROR(__xludf.DUMMYFUNCTION("""COMPUTED_VALUE"""),183513.0)</f>
        <v>183513</v>
      </c>
      <c r="C80" s="2">
        <f>IFERROR(__xludf.DUMMYFUNCTION("""COMPUTED_VALUE"""),2026.0)</f>
        <v>2026</v>
      </c>
      <c r="D80" s="2">
        <f>IFERROR(__xludf.DUMMYFUNCTION("""COMPUTED_VALUE"""),46375.0)</f>
        <v>46375</v>
      </c>
      <c r="E80" s="2" t="str">
        <f>IFERROR(__xludf.DUMMYFUNCTION("""COMPUTED_VALUE"""),"VF")</f>
        <v>VF</v>
      </c>
      <c r="F80" s="2">
        <f>IFERROR(__xludf.DUMMYFUNCTION("""COMPUTED_VALUE"""),2.0)</f>
        <v>2</v>
      </c>
      <c r="G80" s="2" t="str">
        <f>IFERROR(__xludf.DUMMYFUNCTION("""COMPUTED_VALUE"""),"PR045")</f>
        <v>PR045</v>
      </c>
      <c r="H80" s="2" t="str">
        <f>IFERROR(__xludf.DUMMYFUNCTION("""COMPUTED_VALUE"""),"VD027")</f>
        <v>VD027</v>
      </c>
      <c r="I80" s="2">
        <f>IFERROR(__xludf.DUMMYFUNCTION("""COMPUTED_VALUE"""),16.0)</f>
        <v>16</v>
      </c>
      <c r="J80" s="2">
        <f>IFERROR(__xludf.DUMMYFUNCTION("""COMPUTED_VALUE"""),1334.0)</f>
        <v>1334</v>
      </c>
      <c r="K80" s="2">
        <f>IFERROR(__xludf.DUMMYFUNCTION("""COMPUTED_VALUE"""),1334.0)</f>
        <v>1334</v>
      </c>
    </row>
    <row r="81">
      <c r="A81" s="2">
        <f>IFERROR(__xludf.DUMMYFUNCTION("""COMPUTED_VALUE"""),1000.0)</f>
        <v>1000</v>
      </c>
      <c r="B81" s="2">
        <f>IFERROR(__xludf.DUMMYFUNCTION("""COMPUTED_VALUE"""),183514.0)</f>
        <v>183514</v>
      </c>
      <c r="C81" s="2">
        <f>IFERROR(__xludf.DUMMYFUNCTION("""COMPUTED_VALUE"""),2026.0)</f>
        <v>2026</v>
      </c>
      <c r="D81" s="2">
        <f>IFERROR(__xludf.DUMMYFUNCTION("""COMPUTED_VALUE"""),46374.0)</f>
        <v>46374</v>
      </c>
      <c r="E81" s="2" t="str">
        <f>IFERROR(__xludf.DUMMYFUNCTION("""COMPUTED_VALUE"""),"VF")</f>
        <v>VF</v>
      </c>
      <c r="F81" s="2">
        <f>IFERROR(__xludf.DUMMYFUNCTION("""COMPUTED_VALUE"""),1.0)</f>
        <v>1</v>
      </c>
      <c r="G81" s="2" t="str">
        <f>IFERROR(__xludf.DUMMYFUNCTION("""COMPUTED_VALUE"""),"PR014")</f>
        <v>PR014</v>
      </c>
      <c r="H81" s="2" t="str">
        <f>IFERROR(__xludf.DUMMYFUNCTION("""COMPUTED_VALUE"""),"VD035")</f>
        <v>VD035</v>
      </c>
      <c r="I81" s="2">
        <f>IFERROR(__xludf.DUMMYFUNCTION("""COMPUTED_VALUE"""),20.0)</f>
        <v>20</v>
      </c>
      <c r="J81" s="2">
        <f>IFERROR(__xludf.DUMMYFUNCTION("""COMPUTED_VALUE"""),877.8)</f>
        <v>877.8</v>
      </c>
      <c r="K81" s="2">
        <f>IFERROR(__xludf.DUMMYFUNCTION("""COMPUTED_VALUE"""),877.8)</f>
        <v>877.8</v>
      </c>
    </row>
    <row r="82">
      <c r="A82" s="2">
        <f>IFERROR(__xludf.DUMMYFUNCTION("""COMPUTED_VALUE"""),1000.0)</f>
        <v>1000</v>
      </c>
      <c r="B82" s="2">
        <f>IFERROR(__xludf.DUMMYFUNCTION("""COMPUTED_VALUE"""),183515.0)</f>
        <v>183515</v>
      </c>
      <c r="C82" s="2">
        <f>IFERROR(__xludf.DUMMYFUNCTION("""COMPUTED_VALUE"""),2026.0)</f>
        <v>2026</v>
      </c>
      <c r="D82" s="2">
        <f>IFERROR(__xludf.DUMMYFUNCTION("""COMPUTED_VALUE"""),46374.0)</f>
        <v>46374</v>
      </c>
      <c r="E82" s="2" t="str">
        <f>IFERROR(__xludf.DUMMYFUNCTION("""COMPUTED_VALUE"""),"VF")</f>
        <v>VF</v>
      </c>
      <c r="F82" s="2">
        <f>IFERROR(__xludf.DUMMYFUNCTION("""COMPUTED_VALUE"""),1.0)</f>
        <v>1</v>
      </c>
      <c r="G82" s="2" t="str">
        <f>IFERROR(__xludf.DUMMYFUNCTION("""COMPUTED_VALUE"""),"PR026")</f>
        <v>PR026</v>
      </c>
      <c r="H82" s="2" t="str">
        <f>IFERROR(__xludf.DUMMYFUNCTION("""COMPUTED_VALUE"""),"VD011")</f>
        <v>VD011</v>
      </c>
      <c r="I82" s="2">
        <f>IFERROR(__xludf.DUMMYFUNCTION("""COMPUTED_VALUE"""),15.0)</f>
        <v>15</v>
      </c>
      <c r="J82" s="2">
        <f>IFERROR(__xludf.DUMMYFUNCTION("""COMPUTED_VALUE"""),6035.78)</f>
        <v>6035.78</v>
      </c>
      <c r="K82" s="2">
        <f>IFERROR(__xludf.DUMMYFUNCTION("""COMPUTED_VALUE"""),6035.78)</f>
        <v>6035.78</v>
      </c>
    </row>
    <row r="83">
      <c r="A83" s="2">
        <f>IFERROR(__xludf.DUMMYFUNCTION("""COMPUTED_VALUE"""),1000.0)</f>
        <v>1000</v>
      </c>
      <c r="B83" s="2">
        <f>IFERROR(__xludf.DUMMYFUNCTION("""COMPUTED_VALUE"""),183516.0)</f>
        <v>183516</v>
      </c>
      <c r="C83" s="2">
        <f>IFERROR(__xludf.DUMMYFUNCTION("""COMPUTED_VALUE"""),2026.0)</f>
        <v>2026</v>
      </c>
      <c r="D83" s="2">
        <f>IFERROR(__xludf.DUMMYFUNCTION("""COMPUTED_VALUE"""),46374.0)</f>
        <v>46374</v>
      </c>
      <c r="E83" s="2" t="str">
        <f>IFERROR(__xludf.DUMMYFUNCTION("""COMPUTED_VALUE"""),"VF")</f>
        <v>VF</v>
      </c>
      <c r="F83" s="2">
        <f>IFERROR(__xludf.DUMMYFUNCTION("""COMPUTED_VALUE"""),1.0)</f>
        <v>1</v>
      </c>
      <c r="G83" s="2" t="str">
        <f>IFERROR(__xludf.DUMMYFUNCTION("""COMPUTED_VALUE"""),"PR014")</f>
        <v>PR014</v>
      </c>
      <c r="H83" s="2" t="str">
        <f>IFERROR(__xludf.DUMMYFUNCTION("""COMPUTED_VALUE"""),"VD028")</f>
        <v>VD028</v>
      </c>
      <c r="I83" s="2">
        <f>IFERROR(__xludf.DUMMYFUNCTION("""COMPUTED_VALUE"""),30.0)</f>
        <v>30</v>
      </c>
      <c r="J83" s="2">
        <f>IFERROR(__xludf.DUMMYFUNCTION("""COMPUTED_VALUE"""),1328.67)</f>
        <v>1328.67</v>
      </c>
      <c r="K83" s="2">
        <f>IFERROR(__xludf.DUMMYFUNCTION("""COMPUTED_VALUE"""),1328.67)</f>
        <v>1328.67</v>
      </c>
    </row>
    <row r="84">
      <c r="A84" s="2">
        <f>IFERROR(__xludf.DUMMYFUNCTION("""COMPUTED_VALUE"""),1000.0)</f>
        <v>1000</v>
      </c>
      <c r="B84" s="2">
        <f>IFERROR(__xludf.DUMMYFUNCTION("""COMPUTED_VALUE"""),183516.0)</f>
        <v>183516</v>
      </c>
      <c r="C84" s="2">
        <f>IFERROR(__xludf.DUMMYFUNCTION("""COMPUTED_VALUE"""),2026.0)</f>
        <v>2026</v>
      </c>
      <c r="D84" s="2">
        <f>IFERROR(__xludf.DUMMYFUNCTION("""COMPUTED_VALUE"""),46373.0)</f>
        <v>46373</v>
      </c>
      <c r="E84" s="2" t="str">
        <f>IFERROR(__xludf.DUMMYFUNCTION("""COMPUTED_VALUE"""),"VF")</f>
        <v>VF</v>
      </c>
      <c r="F84" s="2">
        <f>IFERROR(__xludf.DUMMYFUNCTION("""COMPUTED_VALUE"""),2.0)</f>
        <v>2</v>
      </c>
      <c r="G84" s="2" t="str">
        <f>IFERROR(__xludf.DUMMYFUNCTION("""COMPUTED_VALUE"""),"PR024")</f>
        <v>PR024</v>
      </c>
      <c r="H84" s="2" t="str">
        <f>IFERROR(__xludf.DUMMYFUNCTION("""COMPUTED_VALUE"""),"VD019")</f>
        <v>VD019</v>
      </c>
      <c r="I84" s="2">
        <f>IFERROR(__xludf.DUMMYFUNCTION("""COMPUTED_VALUE"""),30.0)</f>
        <v>30</v>
      </c>
      <c r="J84" s="2">
        <f>IFERROR(__xludf.DUMMYFUNCTION("""COMPUTED_VALUE"""),8810.61)</f>
        <v>8810.61</v>
      </c>
      <c r="K84" s="2">
        <f>IFERROR(__xludf.DUMMYFUNCTION("""COMPUTED_VALUE"""),8810.61)</f>
        <v>8810.61</v>
      </c>
    </row>
    <row r="85">
      <c r="A85" s="2">
        <f>IFERROR(__xludf.DUMMYFUNCTION("""COMPUTED_VALUE"""),1000.0)</f>
        <v>1000</v>
      </c>
      <c r="B85" s="2">
        <f>IFERROR(__xludf.DUMMYFUNCTION("""COMPUTED_VALUE"""),183517.0)</f>
        <v>183517</v>
      </c>
      <c r="C85" s="2">
        <f>IFERROR(__xludf.DUMMYFUNCTION("""COMPUTED_VALUE"""),2026.0)</f>
        <v>2026</v>
      </c>
      <c r="D85" s="2">
        <f>IFERROR(__xludf.DUMMYFUNCTION("""COMPUTED_VALUE"""),46373.0)</f>
        <v>46373</v>
      </c>
      <c r="E85" s="2" t="str">
        <f>IFERROR(__xludf.DUMMYFUNCTION("""COMPUTED_VALUE"""),"VF")</f>
        <v>VF</v>
      </c>
      <c r="F85" s="2">
        <f>IFERROR(__xludf.DUMMYFUNCTION("""COMPUTED_VALUE"""),1.0)</f>
        <v>1</v>
      </c>
      <c r="G85" s="2" t="str">
        <f>IFERROR(__xludf.DUMMYFUNCTION("""COMPUTED_VALUE"""),"PR023")</f>
        <v>PR023</v>
      </c>
      <c r="H85" s="2" t="str">
        <f>IFERROR(__xludf.DUMMYFUNCTION("""COMPUTED_VALUE"""),"VD034")</f>
        <v>VD034</v>
      </c>
      <c r="I85" s="2">
        <f>IFERROR(__xludf.DUMMYFUNCTION("""COMPUTED_VALUE"""),18.0)</f>
        <v>18</v>
      </c>
      <c r="J85" s="2">
        <f>IFERROR(__xludf.DUMMYFUNCTION("""COMPUTED_VALUE"""),5082.97)</f>
        <v>5082.97</v>
      </c>
      <c r="K85" s="2">
        <f>IFERROR(__xludf.DUMMYFUNCTION("""COMPUTED_VALUE"""),5082.97)</f>
        <v>5082.97</v>
      </c>
    </row>
    <row r="86">
      <c r="A86" s="2">
        <f>IFERROR(__xludf.DUMMYFUNCTION("""COMPUTED_VALUE"""),1000.0)</f>
        <v>1000</v>
      </c>
      <c r="B86" s="2">
        <f>IFERROR(__xludf.DUMMYFUNCTION("""COMPUTED_VALUE"""),183517.0)</f>
        <v>183517</v>
      </c>
      <c r="C86" s="2">
        <f>IFERROR(__xludf.DUMMYFUNCTION("""COMPUTED_VALUE"""),2026.0)</f>
        <v>2026</v>
      </c>
      <c r="D86" s="2">
        <f>IFERROR(__xludf.DUMMYFUNCTION("""COMPUTED_VALUE"""),46373.0)</f>
        <v>46373</v>
      </c>
      <c r="E86" s="2" t="str">
        <f>IFERROR(__xludf.DUMMYFUNCTION("""COMPUTED_VALUE"""),"VF")</f>
        <v>VF</v>
      </c>
      <c r="F86" s="2">
        <f>IFERROR(__xludf.DUMMYFUNCTION("""COMPUTED_VALUE"""),2.0)</f>
        <v>2</v>
      </c>
      <c r="G86" s="2" t="str">
        <f>IFERROR(__xludf.DUMMYFUNCTION("""COMPUTED_VALUE"""),"PR010")</f>
        <v>PR010</v>
      </c>
      <c r="H86" s="2" t="str">
        <f>IFERROR(__xludf.DUMMYFUNCTION("""COMPUTED_VALUE"""),"VD028")</f>
        <v>VD028</v>
      </c>
      <c r="I86" s="2">
        <f>IFERROR(__xludf.DUMMYFUNCTION("""COMPUTED_VALUE"""),20.0)</f>
        <v>20</v>
      </c>
      <c r="J86" s="2">
        <f>IFERROR(__xludf.DUMMYFUNCTION("""COMPUTED_VALUE"""),1050.66)</f>
        <v>1050.66</v>
      </c>
      <c r="K86" s="2">
        <f>IFERROR(__xludf.DUMMYFUNCTION("""COMPUTED_VALUE"""),1050.66)</f>
        <v>1050.66</v>
      </c>
    </row>
    <row r="87">
      <c r="A87" s="2">
        <f>IFERROR(__xludf.DUMMYFUNCTION("""COMPUTED_VALUE"""),1000.0)</f>
        <v>1000</v>
      </c>
      <c r="B87" s="2">
        <f>IFERROR(__xludf.DUMMYFUNCTION("""COMPUTED_VALUE"""),183517.0)</f>
        <v>183517</v>
      </c>
      <c r="C87" s="2">
        <f>IFERROR(__xludf.DUMMYFUNCTION("""COMPUTED_VALUE"""),2026.0)</f>
        <v>2026</v>
      </c>
      <c r="D87" s="2">
        <f>IFERROR(__xludf.DUMMYFUNCTION("""COMPUTED_VALUE"""),46373.0)</f>
        <v>46373</v>
      </c>
      <c r="E87" s="2" t="str">
        <f>IFERROR(__xludf.DUMMYFUNCTION("""COMPUTED_VALUE"""),"VF")</f>
        <v>VF</v>
      </c>
      <c r="F87" s="2">
        <f>IFERROR(__xludf.DUMMYFUNCTION("""COMPUTED_VALUE"""),3.0)</f>
        <v>3</v>
      </c>
      <c r="G87" s="2" t="str">
        <f>IFERROR(__xludf.DUMMYFUNCTION("""COMPUTED_VALUE"""),"PR042")</f>
        <v>PR042</v>
      </c>
      <c r="H87" s="2" t="str">
        <f>IFERROR(__xludf.DUMMYFUNCTION("""COMPUTED_VALUE"""),"VD041")</f>
        <v>VD041</v>
      </c>
      <c r="I87" s="2">
        <f>IFERROR(__xludf.DUMMYFUNCTION("""COMPUTED_VALUE"""),24.0)</f>
        <v>24</v>
      </c>
      <c r="J87" s="2">
        <f>IFERROR(__xludf.DUMMYFUNCTION("""COMPUTED_VALUE"""),1502.06)</f>
        <v>1502.06</v>
      </c>
      <c r="K87" s="2">
        <f>IFERROR(__xludf.DUMMYFUNCTION("""COMPUTED_VALUE"""),1502.06)</f>
        <v>1502.06</v>
      </c>
    </row>
    <row r="88">
      <c r="A88" s="2">
        <f>IFERROR(__xludf.DUMMYFUNCTION("""COMPUTED_VALUE"""),1000.0)</f>
        <v>1000</v>
      </c>
      <c r="B88" s="2">
        <f>IFERROR(__xludf.DUMMYFUNCTION("""COMPUTED_VALUE"""),183518.0)</f>
        <v>183518</v>
      </c>
      <c r="C88" s="2">
        <f>IFERROR(__xludf.DUMMYFUNCTION("""COMPUTED_VALUE"""),2026.0)</f>
        <v>2026</v>
      </c>
      <c r="D88" s="2">
        <f>IFERROR(__xludf.DUMMYFUNCTION("""COMPUTED_VALUE"""),46373.0)</f>
        <v>46373</v>
      </c>
      <c r="E88" s="2" t="str">
        <f>IFERROR(__xludf.DUMMYFUNCTION("""COMPUTED_VALUE"""),"VF")</f>
        <v>VF</v>
      </c>
      <c r="F88" s="2">
        <f>IFERROR(__xludf.DUMMYFUNCTION("""COMPUTED_VALUE"""),1.0)</f>
        <v>1</v>
      </c>
      <c r="G88" s="2" t="str">
        <f>IFERROR(__xludf.DUMMYFUNCTION("""COMPUTED_VALUE"""),"PR057")</f>
        <v>PR057</v>
      </c>
      <c r="H88" s="2" t="str">
        <f>IFERROR(__xludf.DUMMYFUNCTION("""COMPUTED_VALUE"""),"VD015")</f>
        <v>VD015</v>
      </c>
      <c r="I88" s="2">
        <f>IFERROR(__xludf.DUMMYFUNCTION("""COMPUTED_VALUE"""),24.0)</f>
        <v>24</v>
      </c>
      <c r="J88" s="2">
        <f>IFERROR(__xludf.DUMMYFUNCTION("""COMPUTED_VALUE"""),2373.36)</f>
        <v>2373.36</v>
      </c>
      <c r="K88" s="2">
        <f>IFERROR(__xludf.DUMMYFUNCTION("""COMPUTED_VALUE"""),2373.36)</f>
        <v>2373.36</v>
      </c>
    </row>
    <row r="89">
      <c r="A89" s="2">
        <f>IFERROR(__xludf.DUMMYFUNCTION("""COMPUTED_VALUE"""),1000.0)</f>
        <v>1000</v>
      </c>
      <c r="B89" s="2">
        <f>IFERROR(__xludf.DUMMYFUNCTION("""COMPUTED_VALUE"""),183519.0)</f>
        <v>183519</v>
      </c>
      <c r="C89" s="2">
        <f>IFERROR(__xludf.DUMMYFUNCTION("""COMPUTED_VALUE"""),2026.0)</f>
        <v>2026</v>
      </c>
      <c r="D89" s="2">
        <f>IFERROR(__xludf.DUMMYFUNCTION("""COMPUTED_VALUE"""),46373.0)</f>
        <v>46373</v>
      </c>
      <c r="E89" s="2" t="str">
        <f>IFERROR(__xludf.DUMMYFUNCTION("""COMPUTED_VALUE"""),"VF")</f>
        <v>VF</v>
      </c>
      <c r="F89" s="2">
        <f>IFERROR(__xludf.DUMMYFUNCTION("""COMPUTED_VALUE"""),1.0)</f>
        <v>1</v>
      </c>
      <c r="G89" s="2" t="str">
        <f>IFERROR(__xludf.DUMMYFUNCTION("""COMPUTED_VALUE"""),"PR034")</f>
        <v>PR034</v>
      </c>
      <c r="H89" s="2" t="str">
        <f>IFERROR(__xludf.DUMMYFUNCTION("""COMPUTED_VALUE"""),"VD027")</f>
        <v>VD027</v>
      </c>
      <c r="I89" s="2">
        <f>IFERROR(__xludf.DUMMYFUNCTION("""COMPUTED_VALUE"""),6.0)</f>
        <v>6</v>
      </c>
      <c r="J89" s="2">
        <f>IFERROR(__xludf.DUMMYFUNCTION("""COMPUTED_VALUE"""),598.73)</f>
        <v>598.73</v>
      </c>
      <c r="K89" s="2">
        <f>IFERROR(__xludf.DUMMYFUNCTION("""COMPUTED_VALUE"""),598.73)</f>
        <v>598.73</v>
      </c>
    </row>
    <row r="90">
      <c r="A90" s="2">
        <f>IFERROR(__xludf.DUMMYFUNCTION("""COMPUTED_VALUE"""),1000.0)</f>
        <v>1000</v>
      </c>
      <c r="B90" s="2">
        <f>IFERROR(__xludf.DUMMYFUNCTION("""COMPUTED_VALUE"""),183520.0)</f>
        <v>183520</v>
      </c>
      <c r="C90" s="2">
        <f>IFERROR(__xludf.DUMMYFUNCTION("""COMPUTED_VALUE"""),2026.0)</f>
        <v>2026</v>
      </c>
      <c r="D90" s="2">
        <f>IFERROR(__xludf.DUMMYFUNCTION("""COMPUTED_VALUE"""),46373.0)</f>
        <v>46373</v>
      </c>
      <c r="E90" s="2" t="str">
        <f>IFERROR(__xludf.DUMMYFUNCTION("""COMPUTED_VALUE"""),"VF")</f>
        <v>VF</v>
      </c>
      <c r="F90" s="2">
        <f>IFERROR(__xludf.DUMMYFUNCTION("""COMPUTED_VALUE"""),1.0)</f>
        <v>1</v>
      </c>
      <c r="G90" s="2" t="str">
        <f>IFERROR(__xludf.DUMMYFUNCTION("""COMPUTED_VALUE"""),"PR031")</f>
        <v>PR031</v>
      </c>
      <c r="H90" s="2" t="str">
        <f>IFERROR(__xludf.DUMMYFUNCTION("""COMPUTED_VALUE"""),"VD024")</f>
        <v>VD024</v>
      </c>
      <c r="I90" s="2">
        <f>IFERROR(__xludf.DUMMYFUNCTION("""COMPUTED_VALUE"""),6.0)</f>
        <v>6</v>
      </c>
      <c r="J90" s="2">
        <f>IFERROR(__xludf.DUMMYFUNCTION("""COMPUTED_VALUE"""),1675.8)</f>
        <v>1675.8</v>
      </c>
      <c r="K90" s="2">
        <f>IFERROR(__xludf.DUMMYFUNCTION("""COMPUTED_VALUE"""),1675.8)</f>
        <v>1675.8</v>
      </c>
    </row>
    <row r="91">
      <c r="A91" s="2">
        <f>IFERROR(__xludf.DUMMYFUNCTION("""COMPUTED_VALUE"""),1000.0)</f>
        <v>1000</v>
      </c>
      <c r="B91" s="2">
        <f>IFERROR(__xludf.DUMMYFUNCTION("""COMPUTED_VALUE"""),183521.0)</f>
        <v>183521</v>
      </c>
      <c r="C91" s="2">
        <f>IFERROR(__xludf.DUMMYFUNCTION("""COMPUTED_VALUE"""),2026.0)</f>
        <v>2026</v>
      </c>
      <c r="D91" s="2">
        <f>IFERROR(__xludf.DUMMYFUNCTION("""COMPUTED_VALUE"""),46373.0)</f>
        <v>46373</v>
      </c>
      <c r="E91" s="2" t="str">
        <f>IFERROR(__xludf.DUMMYFUNCTION("""COMPUTED_VALUE"""),"VF")</f>
        <v>VF</v>
      </c>
      <c r="F91" s="2">
        <f>IFERROR(__xludf.DUMMYFUNCTION("""COMPUTED_VALUE"""),1.0)</f>
        <v>1</v>
      </c>
      <c r="G91" s="2" t="str">
        <f>IFERROR(__xludf.DUMMYFUNCTION("""COMPUTED_VALUE"""),"PR046")</f>
        <v>PR046</v>
      </c>
      <c r="H91" s="2" t="str">
        <f>IFERROR(__xludf.DUMMYFUNCTION("""COMPUTED_VALUE"""),"VD038")</f>
        <v>VD038</v>
      </c>
      <c r="I91" s="2">
        <f>IFERROR(__xludf.DUMMYFUNCTION("""COMPUTED_VALUE"""),8.0)</f>
        <v>8</v>
      </c>
      <c r="J91" s="2">
        <f>IFERROR(__xludf.DUMMYFUNCTION("""COMPUTED_VALUE"""),2620.7)</f>
        <v>2620.7</v>
      </c>
      <c r="K91" s="2">
        <f>IFERROR(__xludf.DUMMYFUNCTION("""COMPUTED_VALUE"""),2620.7)</f>
        <v>2620.7</v>
      </c>
    </row>
    <row r="92">
      <c r="A92" s="2">
        <f>IFERROR(__xludf.DUMMYFUNCTION("""COMPUTED_VALUE"""),1000.0)</f>
        <v>1000</v>
      </c>
      <c r="B92" s="2">
        <f>IFERROR(__xludf.DUMMYFUNCTION("""COMPUTED_VALUE"""),183522.0)</f>
        <v>183522</v>
      </c>
      <c r="C92" s="2">
        <f>IFERROR(__xludf.DUMMYFUNCTION("""COMPUTED_VALUE"""),2026.0)</f>
        <v>2026</v>
      </c>
      <c r="D92" s="2">
        <f>IFERROR(__xludf.DUMMYFUNCTION("""COMPUTED_VALUE"""),46372.0)</f>
        <v>46372</v>
      </c>
      <c r="E92" s="2" t="str">
        <f>IFERROR(__xludf.DUMMYFUNCTION("""COMPUTED_VALUE"""),"VF")</f>
        <v>VF</v>
      </c>
      <c r="F92" s="2">
        <f>IFERROR(__xludf.DUMMYFUNCTION("""COMPUTED_VALUE"""),1.0)</f>
        <v>1</v>
      </c>
      <c r="G92" s="2" t="str">
        <f>IFERROR(__xludf.DUMMYFUNCTION("""COMPUTED_VALUE"""),"PR033")</f>
        <v>PR033</v>
      </c>
      <c r="H92" s="2" t="str">
        <f>IFERROR(__xludf.DUMMYFUNCTION("""COMPUTED_VALUE"""),"VD014")</f>
        <v>VD014</v>
      </c>
      <c r="I92" s="2">
        <f>IFERROR(__xludf.DUMMYFUNCTION("""COMPUTED_VALUE"""),12.0)</f>
        <v>12</v>
      </c>
      <c r="J92" s="2">
        <f>IFERROR(__xludf.DUMMYFUNCTION("""COMPUTED_VALUE"""),3649.0)</f>
        <v>3649</v>
      </c>
      <c r="K92" s="2">
        <f>IFERROR(__xludf.DUMMYFUNCTION("""COMPUTED_VALUE"""),3649.0)</f>
        <v>3649</v>
      </c>
    </row>
    <row r="93">
      <c r="A93" s="2">
        <f>IFERROR(__xludf.DUMMYFUNCTION("""COMPUTED_VALUE"""),1000.0)</f>
        <v>1000</v>
      </c>
      <c r="B93" s="2">
        <f>IFERROR(__xludf.DUMMYFUNCTION("""COMPUTED_VALUE"""),183523.0)</f>
        <v>183523</v>
      </c>
      <c r="C93" s="2">
        <f>IFERROR(__xludf.DUMMYFUNCTION("""COMPUTED_VALUE"""),2026.0)</f>
        <v>2026</v>
      </c>
      <c r="D93" s="2">
        <f>IFERROR(__xludf.DUMMYFUNCTION("""COMPUTED_VALUE"""),46372.0)</f>
        <v>46372</v>
      </c>
      <c r="E93" s="2" t="str">
        <f>IFERROR(__xludf.DUMMYFUNCTION("""COMPUTED_VALUE"""),"VF")</f>
        <v>VF</v>
      </c>
      <c r="F93" s="2">
        <f>IFERROR(__xludf.DUMMYFUNCTION("""COMPUTED_VALUE"""),1.0)</f>
        <v>1</v>
      </c>
      <c r="G93" s="2" t="str">
        <f>IFERROR(__xludf.DUMMYFUNCTION("""COMPUTED_VALUE"""),"PR041")</f>
        <v>PR041</v>
      </c>
      <c r="H93" s="2" t="str">
        <f>IFERROR(__xludf.DUMMYFUNCTION("""COMPUTED_VALUE"""),"VD035")</f>
        <v>VD035</v>
      </c>
      <c r="I93" s="2">
        <f>IFERROR(__xludf.DUMMYFUNCTION("""COMPUTED_VALUE"""),18.0)</f>
        <v>18</v>
      </c>
      <c r="J93" s="2">
        <f>IFERROR(__xludf.DUMMYFUNCTION("""COMPUTED_VALUE"""),1166.08)</f>
        <v>1166.08</v>
      </c>
      <c r="K93" s="2">
        <f>IFERROR(__xludf.DUMMYFUNCTION("""COMPUTED_VALUE"""),1166.08)</f>
        <v>1166.08</v>
      </c>
    </row>
    <row r="94">
      <c r="A94" s="2">
        <f>IFERROR(__xludf.DUMMYFUNCTION("""COMPUTED_VALUE"""),1000.0)</f>
        <v>1000</v>
      </c>
      <c r="B94" s="2">
        <f>IFERROR(__xludf.DUMMYFUNCTION("""COMPUTED_VALUE"""),183524.0)</f>
        <v>183524</v>
      </c>
      <c r="C94" s="2">
        <f>IFERROR(__xludf.DUMMYFUNCTION("""COMPUTED_VALUE"""),2026.0)</f>
        <v>2026</v>
      </c>
      <c r="D94" s="2">
        <f>IFERROR(__xludf.DUMMYFUNCTION("""COMPUTED_VALUE"""),46372.0)</f>
        <v>46372</v>
      </c>
      <c r="E94" s="2" t="str">
        <f>IFERROR(__xludf.DUMMYFUNCTION("""COMPUTED_VALUE"""),"VF")</f>
        <v>VF</v>
      </c>
      <c r="F94" s="2">
        <f>IFERROR(__xludf.DUMMYFUNCTION("""COMPUTED_VALUE"""),1.0)</f>
        <v>1</v>
      </c>
      <c r="G94" s="2" t="str">
        <f>IFERROR(__xludf.DUMMYFUNCTION("""COMPUTED_VALUE"""),"PR001")</f>
        <v>PR001</v>
      </c>
      <c r="H94" s="2" t="str">
        <f>IFERROR(__xludf.DUMMYFUNCTION("""COMPUTED_VALUE"""),"VD045")</f>
        <v>VD045</v>
      </c>
      <c r="I94" s="2">
        <f>IFERROR(__xludf.DUMMYFUNCTION("""COMPUTED_VALUE"""),12.0)</f>
        <v>12</v>
      </c>
      <c r="J94" s="2">
        <f>IFERROR(__xludf.DUMMYFUNCTION("""COMPUTED_VALUE"""),941.05)</f>
        <v>941.05</v>
      </c>
      <c r="K94" s="2">
        <f>IFERROR(__xludf.DUMMYFUNCTION("""COMPUTED_VALUE"""),941.05)</f>
        <v>941.05</v>
      </c>
    </row>
    <row r="95">
      <c r="A95" s="2">
        <f>IFERROR(__xludf.DUMMYFUNCTION("""COMPUTED_VALUE"""),1000.0)</f>
        <v>1000</v>
      </c>
      <c r="B95" s="2">
        <f>IFERROR(__xludf.DUMMYFUNCTION("""COMPUTED_VALUE"""),183525.0)</f>
        <v>183525</v>
      </c>
      <c r="C95" s="2">
        <f>IFERROR(__xludf.DUMMYFUNCTION("""COMPUTED_VALUE"""),2026.0)</f>
        <v>2026</v>
      </c>
      <c r="D95" s="2">
        <f>IFERROR(__xludf.DUMMYFUNCTION("""COMPUTED_VALUE"""),46372.0)</f>
        <v>46372</v>
      </c>
      <c r="E95" s="2" t="str">
        <f>IFERROR(__xludf.DUMMYFUNCTION("""COMPUTED_VALUE"""),"VF")</f>
        <v>VF</v>
      </c>
      <c r="F95" s="2">
        <f>IFERROR(__xludf.DUMMYFUNCTION("""COMPUTED_VALUE"""),1.0)</f>
        <v>1</v>
      </c>
      <c r="G95" s="2" t="str">
        <f>IFERROR(__xludf.DUMMYFUNCTION("""COMPUTED_VALUE"""),"PR006")</f>
        <v>PR006</v>
      </c>
      <c r="H95" s="2" t="str">
        <f>IFERROR(__xludf.DUMMYFUNCTION("""COMPUTED_VALUE"""),"VD035")</f>
        <v>VD035</v>
      </c>
      <c r="I95" s="2">
        <f>IFERROR(__xludf.DUMMYFUNCTION("""COMPUTED_VALUE"""),12.0)</f>
        <v>12</v>
      </c>
      <c r="J95" s="2">
        <f>IFERROR(__xludf.DUMMYFUNCTION("""COMPUTED_VALUE"""),541.04)</f>
        <v>541.04</v>
      </c>
      <c r="K95" s="2">
        <f>IFERROR(__xludf.DUMMYFUNCTION("""COMPUTED_VALUE"""),541.04)</f>
        <v>541.04</v>
      </c>
    </row>
    <row r="96">
      <c r="A96" s="2">
        <f>IFERROR(__xludf.DUMMYFUNCTION("""COMPUTED_VALUE"""),1000.0)</f>
        <v>1000</v>
      </c>
      <c r="B96" s="2">
        <f>IFERROR(__xludf.DUMMYFUNCTION("""COMPUTED_VALUE"""),183526.0)</f>
        <v>183526</v>
      </c>
      <c r="C96" s="2">
        <f>IFERROR(__xludf.DUMMYFUNCTION("""COMPUTED_VALUE"""),2026.0)</f>
        <v>2026</v>
      </c>
      <c r="D96" s="2">
        <f>IFERROR(__xludf.DUMMYFUNCTION("""COMPUTED_VALUE"""),46372.0)</f>
        <v>46372</v>
      </c>
      <c r="E96" s="2" t="str">
        <f>IFERROR(__xludf.DUMMYFUNCTION("""COMPUTED_VALUE"""),"VF")</f>
        <v>VF</v>
      </c>
      <c r="F96" s="2">
        <f>IFERROR(__xludf.DUMMYFUNCTION("""COMPUTED_VALUE"""),1.0)</f>
        <v>1</v>
      </c>
      <c r="G96" s="2" t="str">
        <f>IFERROR(__xludf.DUMMYFUNCTION("""COMPUTED_VALUE"""),"PR049")</f>
        <v>PR049</v>
      </c>
      <c r="H96" s="2" t="str">
        <f>IFERROR(__xludf.DUMMYFUNCTION("""COMPUTED_VALUE"""),"VD039")</f>
        <v>VD039</v>
      </c>
      <c r="I96" s="2">
        <f>IFERROR(__xludf.DUMMYFUNCTION("""COMPUTED_VALUE"""),10.0)</f>
        <v>10</v>
      </c>
      <c r="J96" s="2">
        <f>IFERROR(__xludf.DUMMYFUNCTION("""COMPUTED_VALUE"""),388.22)</f>
        <v>388.22</v>
      </c>
      <c r="K96" s="2">
        <f>IFERROR(__xludf.DUMMYFUNCTION("""COMPUTED_VALUE"""),388.22)</f>
        <v>388.22</v>
      </c>
    </row>
    <row r="97">
      <c r="A97" s="2">
        <f>IFERROR(__xludf.DUMMYFUNCTION("""COMPUTED_VALUE"""),1000.0)</f>
        <v>1000</v>
      </c>
      <c r="B97" s="2">
        <f>IFERROR(__xludf.DUMMYFUNCTION("""COMPUTED_VALUE"""),183527.0)</f>
        <v>183527</v>
      </c>
      <c r="C97" s="2">
        <f>IFERROR(__xludf.DUMMYFUNCTION("""COMPUTED_VALUE"""),2026.0)</f>
        <v>2026</v>
      </c>
      <c r="D97" s="2">
        <f>IFERROR(__xludf.DUMMYFUNCTION("""COMPUTED_VALUE"""),46372.0)</f>
        <v>46372</v>
      </c>
      <c r="E97" s="2" t="str">
        <f>IFERROR(__xludf.DUMMYFUNCTION("""COMPUTED_VALUE"""),"VF")</f>
        <v>VF</v>
      </c>
      <c r="F97" s="2">
        <f>IFERROR(__xludf.DUMMYFUNCTION("""COMPUTED_VALUE"""),1.0)</f>
        <v>1</v>
      </c>
      <c r="G97" s="2" t="str">
        <f>IFERROR(__xludf.DUMMYFUNCTION("""COMPUTED_VALUE"""),"PR012")</f>
        <v>PR012</v>
      </c>
      <c r="H97" s="2" t="str">
        <f>IFERROR(__xludf.DUMMYFUNCTION("""COMPUTED_VALUE"""),"VD034")</f>
        <v>VD034</v>
      </c>
      <c r="I97" s="2">
        <f>IFERROR(__xludf.DUMMYFUNCTION("""COMPUTED_VALUE"""),27.0)</f>
        <v>27</v>
      </c>
      <c r="J97" s="2">
        <f>IFERROR(__xludf.DUMMYFUNCTION("""COMPUTED_VALUE"""),1584.36)</f>
        <v>1584.36</v>
      </c>
      <c r="K97" s="2">
        <f>IFERROR(__xludf.DUMMYFUNCTION("""COMPUTED_VALUE"""),1584.36)</f>
        <v>1584.36</v>
      </c>
    </row>
    <row r="98">
      <c r="A98" s="2">
        <f>IFERROR(__xludf.DUMMYFUNCTION("""COMPUTED_VALUE"""),1000.0)</f>
        <v>1000</v>
      </c>
      <c r="B98" s="2">
        <f>IFERROR(__xludf.DUMMYFUNCTION("""COMPUTED_VALUE"""),183528.0)</f>
        <v>183528</v>
      </c>
      <c r="C98" s="2">
        <f>IFERROR(__xludf.DUMMYFUNCTION("""COMPUTED_VALUE"""),2026.0)</f>
        <v>2026</v>
      </c>
      <c r="D98" s="2">
        <f>IFERROR(__xludf.DUMMYFUNCTION("""COMPUTED_VALUE"""),46371.0)</f>
        <v>46371</v>
      </c>
      <c r="E98" s="2" t="str">
        <f>IFERROR(__xludf.DUMMYFUNCTION("""COMPUTED_VALUE"""),"VF")</f>
        <v>VF</v>
      </c>
      <c r="F98" s="2">
        <f>IFERROR(__xludf.DUMMYFUNCTION("""COMPUTED_VALUE"""),1.0)</f>
        <v>1</v>
      </c>
      <c r="G98" s="2" t="str">
        <f>IFERROR(__xludf.DUMMYFUNCTION("""COMPUTED_VALUE"""),"PR060")</f>
        <v>PR060</v>
      </c>
      <c r="H98" s="2" t="str">
        <f>IFERROR(__xludf.DUMMYFUNCTION("""COMPUTED_VALUE"""),"VD019")</f>
        <v>VD019</v>
      </c>
      <c r="I98" s="2">
        <f>IFERROR(__xludf.DUMMYFUNCTION("""COMPUTED_VALUE"""),18.0)</f>
        <v>18</v>
      </c>
      <c r="J98" s="2">
        <f>IFERROR(__xludf.DUMMYFUNCTION("""COMPUTED_VALUE"""),3628.8)</f>
        <v>3628.8</v>
      </c>
      <c r="K98" s="2">
        <f>IFERROR(__xludf.DUMMYFUNCTION("""COMPUTED_VALUE"""),3628.8)</f>
        <v>3628.8</v>
      </c>
    </row>
    <row r="99">
      <c r="A99" s="2">
        <f>IFERROR(__xludf.DUMMYFUNCTION("""COMPUTED_VALUE"""),1000.0)</f>
        <v>1000</v>
      </c>
      <c r="B99" s="2">
        <f>IFERROR(__xludf.DUMMYFUNCTION("""COMPUTED_VALUE"""),183529.0)</f>
        <v>183529</v>
      </c>
      <c r="C99" s="2">
        <f>IFERROR(__xludf.DUMMYFUNCTION("""COMPUTED_VALUE"""),2026.0)</f>
        <v>2026</v>
      </c>
      <c r="D99" s="2">
        <f>IFERROR(__xludf.DUMMYFUNCTION("""COMPUTED_VALUE"""),46371.0)</f>
        <v>46371</v>
      </c>
      <c r="E99" s="2" t="str">
        <f>IFERROR(__xludf.DUMMYFUNCTION("""COMPUTED_VALUE"""),"VF")</f>
        <v>VF</v>
      </c>
      <c r="F99" s="2">
        <f>IFERROR(__xludf.DUMMYFUNCTION("""COMPUTED_VALUE"""),1.0)</f>
        <v>1</v>
      </c>
      <c r="G99" s="2" t="str">
        <f>IFERROR(__xludf.DUMMYFUNCTION("""COMPUTED_VALUE"""),"PR060")</f>
        <v>PR060</v>
      </c>
      <c r="H99" s="2" t="str">
        <f>IFERROR(__xludf.DUMMYFUNCTION("""COMPUTED_VALUE"""),"VD042")</f>
        <v>VD042</v>
      </c>
      <c r="I99" s="2">
        <f>IFERROR(__xludf.DUMMYFUNCTION("""COMPUTED_VALUE"""),10.0)</f>
        <v>10</v>
      </c>
      <c r="J99" s="2">
        <f>IFERROR(__xludf.DUMMYFUNCTION("""COMPUTED_VALUE"""),1980.0)</f>
        <v>1980</v>
      </c>
      <c r="K99" s="2">
        <f>IFERROR(__xludf.DUMMYFUNCTION("""COMPUTED_VALUE"""),1980.0)</f>
        <v>1980</v>
      </c>
    </row>
    <row r="100">
      <c r="A100" s="2">
        <f>IFERROR(__xludf.DUMMYFUNCTION("""COMPUTED_VALUE"""),1000.0)</f>
        <v>1000</v>
      </c>
      <c r="B100" s="2">
        <f>IFERROR(__xludf.DUMMYFUNCTION("""COMPUTED_VALUE"""),183530.0)</f>
        <v>183530</v>
      </c>
      <c r="C100" s="2">
        <f>IFERROR(__xludf.DUMMYFUNCTION("""COMPUTED_VALUE"""),2026.0)</f>
        <v>2026</v>
      </c>
      <c r="D100" s="2">
        <f>IFERROR(__xludf.DUMMYFUNCTION("""COMPUTED_VALUE"""),46371.0)</f>
        <v>46371</v>
      </c>
      <c r="E100" s="2" t="str">
        <f>IFERROR(__xludf.DUMMYFUNCTION("""COMPUTED_VALUE"""),"VF")</f>
        <v>VF</v>
      </c>
      <c r="F100" s="2">
        <f>IFERROR(__xludf.DUMMYFUNCTION("""COMPUTED_VALUE"""),1.0)</f>
        <v>1</v>
      </c>
      <c r="G100" s="2" t="str">
        <f>IFERROR(__xludf.DUMMYFUNCTION("""COMPUTED_VALUE"""),"PR014")</f>
        <v>PR014</v>
      </c>
      <c r="H100" s="2" t="str">
        <f>IFERROR(__xludf.DUMMYFUNCTION("""COMPUTED_VALUE"""),"VD010")</f>
        <v>VD010</v>
      </c>
      <c r="I100" s="2">
        <f>IFERROR(__xludf.DUMMYFUNCTION("""COMPUTED_VALUE"""),18.0)</f>
        <v>18</v>
      </c>
      <c r="J100" s="2">
        <f>IFERROR(__xludf.DUMMYFUNCTION("""COMPUTED_VALUE"""),790.02)</f>
        <v>790.02</v>
      </c>
      <c r="K100" s="2">
        <f>IFERROR(__xludf.DUMMYFUNCTION("""COMPUTED_VALUE"""),790.02)</f>
        <v>790.02</v>
      </c>
    </row>
    <row r="101">
      <c r="A101" s="2">
        <f>IFERROR(__xludf.DUMMYFUNCTION("""COMPUTED_VALUE"""),1000.0)</f>
        <v>1000</v>
      </c>
      <c r="B101" s="2">
        <f>IFERROR(__xludf.DUMMYFUNCTION("""COMPUTED_VALUE"""),183530.0)</f>
        <v>183530</v>
      </c>
      <c r="C101" s="2">
        <f>IFERROR(__xludf.DUMMYFUNCTION("""COMPUTED_VALUE"""),2026.0)</f>
        <v>2026</v>
      </c>
      <c r="D101" s="2">
        <f>IFERROR(__xludf.DUMMYFUNCTION("""COMPUTED_VALUE"""),46370.0)</f>
        <v>46370</v>
      </c>
      <c r="E101" s="2" t="str">
        <f>IFERROR(__xludf.DUMMYFUNCTION("""COMPUTED_VALUE"""),"VF")</f>
        <v>VF</v>
      </c>
      <c r="F101" s="2">
        <f>IFERROR(__xludf.DUMMYFUNCTION("""COMPUTED_VALUE"""),2.0)</f>
        <v>2</v>
      </c>
      <c r="G101" s="2" t="str">
        <f>IFERROR(__xludf.DUMMYFUNCTION("""COMPUTED_VALUE"""),"PR036")</f>
        <v>PR036</v>
      </c>
      <c r="H101" s="2" t="str">
        <f>IFERROR(__xludf.DUMMYFUNCTION("""COMPUTED_VALUE"""),"VD019")</f>
        <v>VD019</v>
      </c>
      <c r="I101" s="2">
        <f>IFERROR(__xludf.DUMMYFUNCTION("""COMPUTED_VALUE"""),27.0)</f>
        <v>27</v>
      </c>
      <c r="J101" s="2">
        <f>IFERROR(__xludf.DUMMYFUNCTION("""COMPUTED_VALUE"""),2953.67)</f>
        <v>2953.67</v>
      </c>
      <c r="K101" s="2">
        <f>IFERROR(__xludf.DUMMYFUNCTION("""COMPUTED_VALUE"""),2953.67)</f>
        <v>2953.67</v>
      </c>
    </row>
    <row r="102">
      <c r="A102" s="2">
        <f>IFERROR(__xludf.DUMMYFUNCTION("""COMPUTED_VALUE"""),1000.0)</f>
        <v>1000</v>
      </c>
      <c r="B102" s="2">
        <f>IFERROR(__xludf.DUMMYFUNCTION("""COMPUTED_VALUE"""),183531.0)</f>
        <v>183531</v>
      </c>
      <c r="C102" s="2">
        <f>IFERROR(__xludf.DUMMYFUNCTION("""COMPUTED_VALUE"""),2026.0)</f>
        <v>2026</v>
      </c>
      <c r="D102" s="2">
        <f>IFERROR(__xludf.DUMMYFUNCTION("""COMPUTED_VALUE"""),46370.0)</f>
        <v>46370</v>
      </c>
      <c r="E102" s="2" t="str">
        <f>IFERROR(__xludf.DUMMYFUNCTION("""COMPUTED_VALUE"""),"VF")</f>
        <v>VF</v>
      </c>
      <c r="F102" s="2">
        <f>IFERROR(__xludf.DUMMYFUNCTION("""COMPUTED_VALUE"""),1.0)</f>
        <v>1</v>
      </c>
      <c r="G102" s="2" t="str">
        <f>IFERROR(__xludf.DUMMYFUNCTION("""COMPUTED_VALUE"""),"PR035")</f>
        <v>PR035</v>
      </c>
      <c r="H102" s="2" t="str">
        <f>IFERROR(__xludf.DUMMYFUNCTION("""COMPUTED_VALUE"""),"VD012")</f>
        <v>VD012</v>
      </c>
      <c r="I102" s="2">
        <f>IFERROR(__xludf.DUMMYFUNCTION("""COMPUTED_VALUE"""),8.0)</f>
        <v>8</v>
      </c>
      <c r="J102" s="2">
        <f>IFERROR(__xludf.DUMMYFUNCTION("""COMPUTED_VALUE"""),862.82)</f>
        <v>862.82</v>
      </c>
      <c r="K102" s="2">
        <f>IFERROR(__xludf.DUMMYFUNCTION("""COMPUTED_VALUE"""),862.82)</f>
        <v>862.82</v>
      </c>
    </row>
    <row r="103">
      <c r="A103" s="2">
        <f>IFERROR(__xludf.DUMMYFUNCTION("""COMPUTED_VALUE"""),1000.0)</f>
        <v>1000</v>
      </c>
      <c r="B103" s="2">
        <f>IFERROR(__xludf.DUMMYFUNCTION("""COMPUTED_VALUE"""),183532.0)</f>
        <v>183532</v>
      </c>
      <c r="C103" s="2">
        <f>IFERROR(__xludf.DUMMYFUNCTION("""COMPUTED_VALUE"""),2026.0)</f>
        <v>2026</v>
      </c>
      <c r="D103" s="2">
        <f>IFERROR(__xludf.DUMMYFUNCTION("""COMPUTED_VALUE"""),46369.0)</f>
        <v>46369</v>
      </c>
      <c r="E103" s="2" t="str">
        <f>IFERROR(__xludf.DUMMYFUNCTION("""COMPUTED_VALUE"""),"VF")</f>
        <v>VF</v>
      </c>
      <c r="F103" s="2">
        <f>IFERROR(__xludf.DUMMYFUNCTION("""COMPUTED_VALUE"""),1.0)</f>
        <v>1</v>
      </c>
      <c r="G103" s="2" t="str">
        <f>IFERROR(__xludf.DUMMYFUNCTION("""COMPUTED_VALUE"""),"PR006")</f>
        <v>PR006</v>
      </c>
      <c r="H103" s="2" t="str">
        <f>IFERROR(__xludf.DUMMYFUNCTION("""COMPUTED_VALUE"""),"VD044")</f>
        <v>VD044</v>
      </c>
      <c r="I103" s="2">
        <f>IFERROR(__xludf.DUMMYFUNCTION("""COMPUTED_VALUE"""),16.0)</f>
        <v>16</v>
      </c>
      <c r="J103" s="2">
        <f>IFERROR(__xludf.DUMMYFUNCTION("""COMPUTED_VALUE"""),746.93)</f>
        <v>746.93</v>
      </c>
      <c r="K103" s="2">
        <f>IFERROR(__xludf.DUMMYFUNCTION("""COMPUTED_VALUE"""),746.93)</f>
        <v>746.93</v>
      </c>
    </row>
    <row r="104">
      <c r="A104" s="2">
        <f>IFERROR(__xludf.DUMMYFUNCTION("""COMPUTED_VALUE"""),2000.0)</f>
        <v>2000</v>
      </c>
      <c r="B104" s="2">
        <f>IFERROR(__xludf.DUMMYFUNCTION("""COMPUTED_VALUE"""),183533.0)</f>
        <v>183533</v>
      </c>
      <c r="C104" s="2">
        <f>IFERROR(__xludf.DUMMYFUNCTION("""COMPUTED_VALUE"""),2026.0)</f>
        <v>2026</v>
      </c>
      <c r="D104" s="2">
        <f>IFERROR(__xludf.DUMMYFUNCTION("""COMPUTED_VALUE"""),46369.0)</f>
        <v>46369</v>
      </c>
      <c r="E104" s="2" t="str">
        <f>IFERROR(__xludf.DUMMYFUNCTION("""COMPUTED_VALUE"""),"VF")</f>
        <v>VF</v>
      </c>
      <c r="F104" s="2">
        <f>IFERROR(__xludf.DUMMYFUNCTION("""COMPUTED_VALUE"""),1.0)</f>
        <v>1</v>
      </c>
      <c r="G104" s="2" t="str">
        <f>IFERROR(__xludf.DUMMYFUNCTION("""COMPUTED_VALUE"""),"PR010")</f>
        <v>PR010</v>
      </c>
      <c r="H104" s="2" t="str">
        <f>IFERROR(__xludf.DUMMYFUNCTION("""COMPUTED_VALUE"""),"VD049")</f>
        <v>VD049</v>
      </c>
      <c r="I104" s="2">
        <f>IFERROR(__xludf.DUMMYFUNCTION("""COMPUTED_VALUE"""),20.0)</f>
        <v>20</v>
      </c>
      <c r="J104" s="2">
        <f>IFERROR(__xludf.DUMMYFUNCTION("""COMPUTED_VALUE"""),1077.6)</f>
        <v>1077.6</v>
      </c>
      <c r="K104" s="2">
        <f>IFERROR(__xludf.DUMMYFUNCTION("""COMPUTED_VALUE"""),1077.6)</f>
        <v>1077.6</v>
      </c>
    </row>
    <row r="105">
      <c r="A105" s="2">
        <f>IFERROR(__xludf.DUMMYFUNCTION("""COMPUTED_VALUE"""),1000.0)</f>
        <v>1000</v>
      </c>
      <c r="B105" s="2">
        <f>IFERROR(__xludf.DUMMYFUNCTION("""COMPUTED_VALUE"""),183534.0)</f>
        <v>183534</v>
      </c>
      <c r="C105" s="2">
        <f>IFERROR(__xludf.DUMMYFUNCTION("""COMPUTED_VALUE"""),2026.0)</f>
        <v>2026</v>
      </c>
      <c r="D105" s="2">
        <f>IFERROR(__xludf.DUMMYFUNCTION("""COMPUTED_VALUE"""),46369.0)</f>
        <v>46369</v>
      </c>
      <c r="E105" s="2" t="str">
        <f>IFERROR(__xludf.DUMMYFUNCTION("""COMPUTED_VALUE"""),"VF")</f>
        <v>VF</v>
      </c>
      <c r="F105" s="2">
        <f>IFERROR(__xludf.DUMMYFUNCTION("""COMPUTED_VALUE"""),1.0)</f>
        <v>1</v>
      </c>
      <c r="G105" s="2" t="str">
        <f>IFERROR(__xludf.DUMMYFUNCTION("""COMPUTED_VALUE"""),"PR024")</f>
        <v>PR024</v>
      </c>
      <c r="H105" s="2" t="str">
        <f>IFERROR(__xludf.DUMMYFUNCTION("""COMPUTED_VALUE"""),"VD041")</f>
        <v>VD041</v>
      </c>
      <c r="I105" s="2">
        <f>IFERROR(__xludf.DUMMYFUNCTION("""COMPUTED_VALUE"""),27.0)</f>
        <v>27</v>
      </c>
      <c r="J105" s="2">
        <f>IFERROR(__xludf.DUMMYFUNCTION("""COMPUTED_VALUE"""),8350.59)</f>
        <v>8350.59</v>
      </c>
      <c r="K105" s="2">
        <f>IFERROR(__xludf.DUMMYFUNCTION("""COMPUTED_VALUE"""),8350.59)</f>
        <v>8350.59</v>
      </c>
    </row>
    <row r="106">
      <c r="A106" s="2">
        <f>IFERROR(__xludf.DUMMYFUNCTION("""COMPUTED_VALUE"""),1000.0)</f>
        <v>1000</v>
      </c>
      <c r="B106" s="2">
        <f>IFERROR(__xludf.DUMMYFUNCTION("""COMPUTED_VALUE"""),183535.0)</f>
        <v>183535</v>
      </c>
      <c r="C106" s="2">
        <f>IFERROR(__xludf.DUMMYFUNCTION("""COMPUTED_VALUE"""),2026.0)</f>
        <v>2026</v>
      </c>
      <c r="D106" s="2">
        <f>IFERROR(__xludf.DUMMYFUNCTION("""COMPUTED_VALUE"""),46369.0)</f>
        <v>46369</v>
      </c>
      <c r="E106" s="2" t="str">
        <f>IFERROR(__xludf.DUMMYFUNCTION("""COMPUTED_VALUE"""),"VF")</f>
        <v>VF</v>
      </c>
      <c r="F106" s="2">
        <f>IFERROR(__xludf.DUMMYFUNCTION("""COMPUTED_VALUE"""),1.0)</f>
        <v>1</v>
      </c>
      <c r="G106" s="2" t="str">
        <f>IFERROR(__xludf.DUMMYFUNCTION("""COMPUTED_VALUE"""),"PR023")</f>
        <v>PR023</v>
      </c>
      <c r="H106" s="2" t="str">
        <f>IFERROR(__xludf.DUMMYFUNCTION("""COMPUTED_VALUE"""),"VD038")</f>
        <v>VD038</v>
      </c>
      <c r="I106" s="2">
        <f>IFERROR(__xludf.DUMMYFUNCTION("""COMPUTED_VALUE"""),30.0)</f>
        <v>30</v>
      </c>
      <c r="J106" s="2">
        <f>IFERROR(__xludf.DUMMYFUNCTION("""COMPUTED_VALUE"""),8846.46)</f>
        <v>8846.46</v>
      </c>
      <c r="K106" s="2">
        <f>IFERROR(__xludf.DUMMYFUNCTION("""COMPUTED_VALUE"""),8846.46)</f>
        <v>8846.46</v>
      </c>
    </row>
    <row r="107">
      <c r="A107" s="2">
        <f>IFERROR(__xludf.DUMMYFUNCTION("""COMPUTED_VALUE"""),1000.0)</f>
        <v>1000</v>
      </c>
      <c r="B107" s="2">
        <f>IFERROR(__xludf.DUMMYFUNCTION("""COMPUTED_VALUE"""),183536.0)</f>
        <v>183536</v>
      </c>
      <c r="C107" s="2">
        <f>IFERROR(__xludf.DUMMYFUNCTION("""COMPUTED_VALUE"""),2026.0)</f>
        <v>2026</v>
      </c>
      <c r="D107" s="2">
        <f>IFERROR(__xludf.DUMMYFUNCTION("""COMPUTED_VALUE"""),46368.0)</f>
        <v>46368</v>
      </c>
      <c r="E107" s="2" t="str">
        <f>IFERROR(__xludf.DUMMYFUNCTION("""COMPUTED_VALUE"""),"VF")</f>
        <v>VF</v>
      </c>
      <c r="F107" s="2">
        <f>IFERROR(__xludf.DUMMYFUNCTION("""COMPUTED_VALUE"""),1.0)</f>
        <v>1</v>
      </c>
      <c r="G107" s="2" t="str">
        <f>IFERROR(__xludf.DUMMYFUNCTION("""COMPUTED_VALUE"""),"PR022")</f>
        <v>PR022</v>
      </c>
      <c r="H107" s="2" t="str">
        <f>IFERROR(__xludf.DUMMYFUNCTION("""COMPUTED_VALUE"""),"VD044")</f>
        <v>VD044</v>
      </c>
      <c r="I107" s="2">
        <f>IFERROR(__xludf.DUMMYFUNCTION("""COMPUTED_VALUE"""),12.0)</f>
        <v>12</v>
      </c>
      <c r="J107" s="2">
        <f>IFERROR(__xludf.DUMMYFUNCTION("""COMPUTED_VALUE"""),4032.0)</f>
        <v>4032</v>
      </c>
      <c r="K107" s="2">
        <f>IFERROR(__xludf.DUMMYFUNCTION("""COMPUTED_VALUE"""),4032.0)</f>
        <v>4032</v>
      </c>
    </row>
    <row r="108">
      <c r="A108" s="2">
        <f>IFERROR(__xludf.DUMMYFUNCTION("""COMPUTED_VALUE"""),1000.0)</f>
        <v>1000</v>
      </c>
      <c r="B108" s="2">
        <f>IFERROR(__xludf.DUMMYFUNCTION("""COMPUTED_VALUE"""),183536.0)</f>
        <v>183536</v>
      </c>
      <c r="C108" s="2">
        <f>IFERROR(__xludf.DUMMYFUNCTION("""COMPUTED_VALUE"""),2026.0)</f>
        <v>2026</v>
      </c>
      <c r="D108" s="2">
        <f>IFERROR(__xludf.DUMMYFUNCTION("""COMPUTED_VALUE"""),46368.0)</f>
        <v>46368</v>
      </c>
      <c r="E108" s="2" t="str">
        <f>IFERROR(__xludf.DUMMYFUNCTION("""COMPUTED_VALUE"""),"VF")</f>
        <v>VF</v>
      </c>
      <c r="F108" s="2">
        <f>IFERROR(__xludf.DUMMYFUNCTION("""COMPUTED_VALUE"""),2.0)</f>
        <v>2</v>
      </c>
      <c r="G108" s="2" t="str">
        <f>IFERROR(__xludf.DUMMYFUNCTION("""COMPUTED_VALUE"""),"PR053")</f>
        <v>PR053</v>
      </c>
      <c r="H108" s="2" t="str">
        <f>IFERROR(__xludf.DUMMYFUNCTION("""COMPUTED_VALUE"""),"VD010")</f>
        <v>VD010</v>
      </c>
      <c r="I108" s="2">
        <f>IFERROR(__xludf.DUMMYFUNCTION("""COMPUTED_VALUE"""),14.0)</f>
        <v>14</v>
      </c>
      <c r="J108" s="2">
        <f>IFERROR(__xludf.DUMMYFUNCTION("""COMPUTED_VALUE"""),810.38)</f>
        <v>810.38</v>
      </c>
      <c r="K108" s="2">
        <f>IFERROR(__xludf.DUMMYFUNCTION("""COMPUTED_VALUE"""),810.38)</f>
        <v>810.38</v>
      </c>
    </row>
    <row r="109">
      <c r="A109" s="2">
        <f>IFERROR(__xludf.DUMMYFUNCTION("""COMPUTED_VALUE"""),2000.0)</f>
        <v>2000</v>
      </c>
      <c r="B109" s="2">
        <f>IFERROR(__xludf.DUMMYFUNCTION("""COMPUTED_VALUE"""),183537.0)</f>
        <v>183537</v>
      </c>
      <c r="C109" s="2">
        <f>IFERROR(__xludf.DUMMYFUNCTION("""COMPUTED_VALUE"""),2026.0)</f>
        <v>2026</v>
      </c>
      <c r="D109" s="2">
        <f>IFERROR(__xludf.DUMMYFUNCTION("""COMPUTED_VALUE"""),46367.0)</f>
        <v>46367</v>
      </c>
      <c r="E109" s="2" t="str">
        <f>IFERROR(__xludf.DUMMYFUNCTION("""COMPUTED_VALUE"""),"VF")</f>
        <v>VF</v>
      </c>
      <c r="F109" s="2">
        <f>IFERROR(__xludf.DUMMYFUNCTION("""COMPUTED_VALUE"""),1.0)</f>
        <v>1</v>
      </c>
      <c r="G109" s="2" t="str">
        <f>IFERROR(__xludf.DUMMYFUNCTION("""COMPUTED_VALUE"""),"PR054")</f>
        <v>PR054</v>
      </c>
      <c r="H109" s="2" t="str">
        <f>IFERROR(__xludf.DUMMYFUNCTION("""COMPUTED_VALUE"""),"VD034")</f>
        <v>VD034</v>
      </c>
      <c r="I109" s="2">
        <f>IFERROR(__xludf.DUMMYFUNCTION("""COMPUTED_VALUE"""),21.0)</f>
        <v>21</v>
      </c>
      <c r="J109" s="2">
        <f>IFERROR(__xludf.DUMMYFUNCTION("""COMPUTED_VALUE"""),1236.52)</f>
        <v>1236.52</v>
      </c>
      <c r="K109" s="2">
        <f>IFERROR(__xludf.DUMMYFUNCTION("""COMPUTED_VALUE"""),1236.52)</f>
        <v>1236.52</v>
      </c>
    </row>
    <row r="110">
      <c r="A110" s="2">
        <f>IFERROR(__xludf.DUMMYFUNCTION("""COMPUTED_VALUE"""),1000.0)</f>
        <v>1000</v>
      </c>
      <c r="B110" s="2">
        <f>IFERROR(__xludf.DUMMYFUNCTION("""COMPUTED_VALUE"""),183538.0)</f>
        <v>183538</v>
      </c>
      <c r="C110" s="2">
        <f>IFERROR(__xludf.DUMMYFUNCTION("""COMPUTED_VALUE"""),2026.0)</f>
        <v>2026</v>
      </c>
      <c r="D110" s="2">
        <f>IFERROR(__xludf.DUMMYFUNCTION("""COMPUTED_VALUE"""),46367.0)</f>
        <v>46367</v>
      </c>
      <c r="E110" s="2" t="str">
        <f>IFERROR(__xludf.DUMMYFUNCTION("""COMPUTED_VALUE"""),"VF")</f>
        <v>VF</v>
      </c>
      <c r="F110" s="2">
        <f>IFERROR(__xludf.DUMMYFUNCTION("""COMPUTED_VALUE"""),1.0)</f>
        <v>1</v>
      </c>
      <c r="G110" s="2" t="str">
        <f>IFERROR(__xludf.DUMMYFUNCTION("""COMPUTED_VALUE"""),"PR058")</f>
        <v>PR058</v>
      </c>
      <c r="H110" s="2" t="str">
        <f>IFERROR(__xludf.DUMMYFUNCTION("""COMPUTED_VALUE"""),"VD044")</f>
        <v>VD044</v>
      </c>
      <c r="I110" s="2">
        <f>IFERROR(__xludf.DUMMYFUNCTION("""COMPUTED_VALUE"""),15.0)</f>
        <v>15</v>
      </c>
      <c r="J110" s="2">
        <f>IFERROR(__xludf.DUMMYFUNCTION("""COMPUTED_VALUE"""),3240.0)</f>
        <v>3240</v>
      </c>
      <c r="K110" s="2">
        <f>IFERROR(__xludf.DUMMYFUNCTION("""COMPUTED_VALUE"""),3240.0)</f>
        <v>3240</v>
      </c>
    </row>
    <row r="111">
      <c r="A111" s="2">
        <f>IFERROR(__xludf.DUMMYFUNCTION("""COMPUTED_VALUE"""),1000.0)</f>
        <v>1000</v>
      </c>
      <c r="B111" s="2">
        <f>IFERROR(__xludf.DUMMYFUNCTION("""COMPUTED_VALUE"""),183539.0)</f>
        <v>183539</v>
      </c>
      <c r="C111" s="2">
        <f>IFERROR(__xludf.DUMMYFUNCTION("""COMPUTED_VALUE"""),2026.0)</f>
        <v>2026</v>
      </c>
      <c r="D111" s="2">
        <f>IFERROR(__xludf.DUMMYFUNCTION("""COMPUTED_VALUE"""),46366.0)</f>
        <v>46366</v>
      </c>
      <c r="E111" s="2" t="str">
        <f>IFERROR(__xludf.DUMMYFUNCTION("""COMPUTED_VALUE"""),"VF")</f>
        <v>VF</v>
      </c>
      <c r="F111" s="2">
        <f>IFERROR(__xludf.DUMMYFUNCTION("""COMPUTED_VALUE"""),1.0)</f>
        <v>1</v>
      </c>
      <c r="G111" s="2" t="str">
        <f>IFERROR(__xludf.DUMMYFUNCTION("""COMPUTED_VALUE"""),"PR040")</f>
        <v>PR040</v>
      </c>
      <c r="H111" s="2" t="str">
        <f>IFERROR(__xludf.DUMMYFUNCTION("""COMPUTED_VALUE"""),"VD037")</f>
        <v>VD037</v>
      </c>
      <c r="I111" s="2">
        <f>IFERROR(__xludf.DUMMYFUNCTION("""COMPUTED_VALUE"""),12.0)</f>
        <v>12</v>
      </c>
      <c r="J111" s="2">
        <f>IFERROR(__xludf.DUMMYFUNCTION("""COMPUTED_VALUE"""),974.4)</f>
        <v>974.4</v>
      </c>
      <c r="K111" s="2">
        <f>IFERROR(__xludf.DUMMYFUNCTION("""COMPUTED_VALUE"""),974.4)</f>
        <v>974.4</v>
      </c>
    </row>
    <row r="112">
      <c r="A112" s="2">
        <f>IFERROR(__xludf.DUMMYFUNCTION("""COMPUTED_VALUE"""),1000.0)</f>
        <v>1000</v>
      </c>
      <c r="B112" s="2">
        <f>IFERROR(__xludf.DUMMYFUNCTION("""COMPUTED_VALUE"""),183540.0)</f>
        <v>183540</v>
      </c>
      <c r="C112" s="2">
        <f>IFERROR(__xludf.DUMMYFUNCTION("""COMPUTED_VALUE"""),2026.0)</f>
        <v>2026</v>
      </c>
      <c r="D112" s="2">
        <f>IFERROR(__xludf.DUMMYFUNCTION("""COMPUTED_VALUE"""),46366.0)</f>
        <v>46366</v>
      </c>
      <c r="E112" s="2" t="str">
        <f>IFERROR(__xludf.DUMMYFUNCTION("""COMPUTED_VALUE"""),"VF")</f>
        <v>VF</v>
      </c>
      <c r="F112" s="2">
        <f>IFERROR(__xludf.DUMMYFUNCTION("""COMPUTED_VALUE"""),1.0)</f>
        <v>1</v>
      </c>
      <c r="G112" s="2" t="str">
        <f>IFERROR(__xludf.DUMMYFUNCTION("""COMPUTED_VALUE"""),"PR031")</f>
        <v>PR031</v>
      </c>
      <c r="H112" s="2" t="str">
        <f>IFERROR(__xludf.DUMMYFUNCTION("""COMPUTED_VALUE"""),"VD037")</f>
        <v>VD037</v>
      </c>
      <c r="I112" s="2">
        <f>IFERROR(__xludf.DUMMYFUNCTION("""COMPUTED_VALUE"""),24.0)</f>
        <v>24</v>
      </c>
      <c r="J112" s="2">
        <f>IFERROR(__xludf.DUMMYFUNCTION("""COMPUTED_VALUE"""),6997.2)</f>
        <v>6997.2</v>
      </c>
      <c r="K112" s="2">
        <f>IFERROR(__xludf.DUMMYFUNCTION("""COMPUTED_VALUE"""),6997.2)</f>
        <v>6997.2</v>
      </c>
    </row>
    <row r="113">
      <c r="A113" s="2">
        <f>IFERROR(__xludf.DUMMYFUNCTION("""COMPUTED_VALUE"""),2000.0)</f>
        <v>2000</v>
      </c>
      <c r="B113" s="2">
        <f>IFERROR(__xludf.DUMMYFUNCTION("""COMPUTED_VALUE"""),183541.0)</f>
        <v>183541</v>
      </c>
      <c r="C113" s="2">
        <f>IFERROR(__xludf.DUMMYFUNCTION("""COMPUTED_VALUE"""),2026.0)</f>
        <v>2026</v>
      </c>
      <c r="D113" s="2">
        <f>IFERROR(__xludf.DUMMYFUNCTION("""COMPUTED_VALUE"""),46366.0)</f>
        <v>46366</v>
      </c>
      <c r="E113" s="2" t="str">
        <f>IFERROR(__xludf.DUMMYFUNCTION("""COMPUTED_VALUE"""),"VF")</f>
        <v>VF</v>
      </c>
      <c r="F113" s="2">
        <f>IFERROR(__xludf.DUMMYFUNCTION("""COMPUTED_VALUE"""),1.0)</f>
        <v>1</v>
      </c>
      <c r="G113" s="2" t="str">
        <f>IFERROR(__xludf.DUMMYFUNCTION("""COMPUTED_VALUE"""),"PR009")</f>
        <v>PR009</v>
      </c>
      <c r="H113" s="2" t="str">
        <f>IFERROR(__xludf.DUMMYFUNCTION("""COMPUTED_VALUE"""),"VD011")</f>
        <v>VD011</v>
      </c>
      <c r="I113" s="2">
        <f>IFERROR(__xludf.DUMMYFUNCTION("""COMPUTED_VALUE"""),21.0)</f>
        <v>21</v>
      </c>
      <c r="J113" s="2">
        <f>IFERROR(__xludf.DUMMYFUNCTION("""COMPUTED_VALUE"""),2185.01)</f>
        <v>2185.01</v>
      </c>
      <c r="K113" s="2">
        <f>IFERROR(__xludf.DUMMYFUNCTION("""COMPUTED_VALUE"""),2185.01)</f>
        <v>2185.01</v>
      </c>
    </row>
    <row r="114">
      <c r="A114" s="2">
        <f>IFERROR(__xludf.DUMMYFUNCTION("""COMPUTED_VALUE"""),1000.0)</f>
        <v>1000</v>
      </c>
      <c r="B114" s="2">
        <f>IFERROR(__xludf.DUMMYFUNCTION("""COMPUTED_VALUE"""),183542.0)</f>
        <v>183542</v>
      </c>
      <c r="C114" s="2">
        <f>IFERROR(__xludf.DUMMYFUNCTION("""COMPUTED_VALUE"""),2026.0)</f>
        <v>2026</v>
      </c>
      <c r="D114" s="2">
        <f>IFERROR(__xludf.DUMMYFUNCTION("""COMPUTED_VALUE"""),46366.0)</f>
        <v>46366</v>
      </c>
      <c r="E114" s="2" t="str">
        <f>IFERROR(__xludf.DUMMYFUNCTION("""COMPUTED_VALUE"""),"VF")</f>
        <v>VF</v>
      </c>
      <c r="F114" s="2">
        <f>IFERROR(__xludf.DUMMYFUNCTION("""COMPUTED_VALUE"""),1.0)</f>
        <v>1</v>
      </c>
      <c r="G114" s="2" t="str">
        <f>IFERROR(__xludf.DUMMYFUNCTION("""COMPUTED_VALUE"""),"PR029")</f>
        <v>PR029</v>
      </c>
      <c r="H114" s="2" t="str">
        <f>IFERROR(__xludf.DUMMYFUNCTION("""COMPUTED_VALUE"""),"VD047")</f>
        <v>VD047</v>
      </c>
      <c r="I114" s="2">
        <f>IFERROR(__xludf.DUMMYFUNCTION("""COMPUTED_VALUE"""),24.0)</f>
        <v>24</v>
      </c>
      <c r="J114" s="2">
        <f>IFERROR(__xludf.DUMMYFUNCTION("""COMPUTED_VALUE"""),6793.2)</f>
        <v>6793.2</v>
      </c>
      <c r="K114" s="2">
        <f>IFERROR(__xludf.DUMMYFUNCTION("""COMPUTED_VALUE"""),6793.2)</f>
        <v>6793.2</v>
      </c>
    </row>
    <row r="115">
      <c r="A115" s="2">
        <f>IFERROR(__xludf.DUMMYFUNCTION("""COMPUTED_VALUE"""),1000.0)</f>
        <v>1000</v>
      </c>
      <c r="B115" s="2">
        <f>IFERROR(__xludf.DUMMYFUNCTION("""COMPUTED_VALUE"""),183543.0)</f>
        <v>183543</v>
      </c>
      <c r="C115" s="2">
        <f>IFERROR(__xludf.DUMMYFUNCTION("""COMPUTED_VALUE"""),2026.0)</f>
        <v>2026</v>
      </c>
      <c r="D115" s="2">
        <f>IFERROR(__xludf.DUMMYFUNCTION("""COMPUTED_VALUE"""),46365.0)</f>
        <v>46365</v>
      </c>
      <c r="E115" s="2" t="str">
        <f>IFERROR(__xludf.DUMMYFUNCTION("""COMPUTED_VALUE"""),"VF")</f>
        <v>VF</v>
      </c>
      <c r="F115" s="2">
        <f>IFERROR(__xludf.DUMMYFUNCTION("""COMPUTED_VALUE"""),1.0)</f>
        <v>1</v>
      </c>
      <c r="G115" s="2" t="str">
        <f>IFERROR(__xludf.DUMMYFUNCTION("""COMPUTED_VALUE"""),"PR017")</f>
        <v>PR017</v>
      </c>
      <c r="H115" s="2" t="str">
        <f>IFERROR(__xludf.DUMMYFUNCTION("""COMPUTED_VALUE"""),"VD042")</f>
        <v>VD042</v>
      </c>
      <c r="I115" s="2">
        <f>IFERROR(__xludf.DUMMYFUNCTION("""COMPUTED_VALUE"""),27.0)</f>
        <v>27</v>
      </c>
      <c r="J115" s="2">
        <f>IFERROR(__xludf.DUMMYFUNCTION("""COMPUTED_VALUE"""),912.25)</f>
        <v>912.25</v>
      </c>
      <c r="K115" s="2">
        <f>IFERROR(__xludf.DUMMYFUNCTION("""COMPUTED_VALUE"""),912.25)</f>
        <v>912.25</v>
      </c>
    </row>
    <row r="116">
      <c r="A116" s="2">
        <f>IFERROR(__xludf.DUMMYFUNCTION("""COMPUTED_VALUE"""),1000.0)</f>
        <v>1000</v>
      </c>
      <c r="B116" s="2">
        <f>IFERROR(__xludf.DUMMYFUNCTION("""COMPUTED_VALUE"""),183544.0)</f>
        <v>183544</v>
      </c>
      <c r="C116" s="2">
        <f>IFERROR(__xludf.DUMMYFUNCTION("""COMPUTED_VALUE"""),2026.0)</f>
        <v>2026</v>
      </c>
      <c r="D116" s="2">
        <f>IFERROR(__xludf.DUMMYFUNCTION("""COMPUTED_VALUE"""),46365.0)</f>
        <v>46365</v>
      </c>
      <c r="E116" s="2" t="str">
        <f>IFERROR(__xludf.DUMMYFUNCTION("""COMPUTED_VALUE"""),"VF")</f>
        <v>VF</v>
      </c>
      <c r="F116" s="2">
        <f>IFERROR(__xludf.DUMMYFUNCTION("""COMPUTED_VALUE"""),1.0)</f>
        <v>1</v>
      </c>
      <c r="G116" s="2" t="str">
        <f>IFERROR(__xludf.DUMMYFUNCTION("""COMPUTED_VALUE"""),"PR003")</f>
        <v>PR003</v>
      </c>
      <c r="H116" s="2" t="str">
        <f>IFERROR(__xludf.DUMMYFUNCTION("""COMPUTED_VALUE"""),"VD032")</f>
        <v>VD032</v>
      </c>
      <c r="I116" s="2">
        <f>IFERROR(__xludf.DUMMYFUNCTION("""COMPUTED_VALUE"""),24.0)</f>
        <v>24</v>
      </c>
      <c r="J116" s="2">
        <f>IFERROR(__xludf.DUMMYFUNCTION("""COMPUTED_VALUE"""),2041.92)</f>
        <v>2041.92</v>
      </c>
      <c r="K116" s="2">
        <f>IFERROR(__xludf.DUMMYFUNCTION("""COMPUTED_VALUE"""),2041.92)</f>
        <v>2041.92</v>
      </c>
    </row>
    <row r="117">
      <c r="A117" s="2">
        <f>IFERROR(__xludf.DUMMYFUNCTION("""COMPUTED_VALUE"""),1000.0)</f>
        <v>1000</v>
      </c>
      <c r="B117" s="2">
        <f>IFERROR(__xludf.DUMMYFUNCTION("""COMPUTED_VALUE"""),183545.0)</f>
        <v>183545</v>
      </c>
      <c r="C117" s="2">
        <f>IFERROR(__xludf.DUMMYFUNCTION("""COMPUTED_VALUE"""),2026.0)</f>
        <v>2026</v>
      </c>
      <c r="D117" s="2">
        <f>IFERROR(__xludf.DUMMYFUNCTION("""COMPUTED_VALUE"""),46365.0)</f>
        <v>46365</v>
      </c>
      <c r="E117" s="2" t="str">
        <f>IFERROR(__xludf.DUMMYFUNCTION("""COMPUTED_VALUE"""),"VF")</f>
        <v>VF</v>
      </c>
      <c r="F117" s="2">
        <f>IFERROR(__xludf.DUMMYFUNCTION("""COMPUTED_VALUE"""),1.0)</f>
        <v>1</v>
      </c>
      <c r="G117" s="2" t="str">
        <f>IFERROR(__xludf.DUMMYFUNCTION("""COMPUTED_VALUE"""),"PR041")</f>
        <v>PR041</v>
      </c>
      <c r="H117" s="2" t="str">
        <f>IFERROR(__xludf.DUMMYFUNCTION("""COMPUTED_VALUE"""),"VD023")</f>
        <v>VD023</v>
      </c>
      <c r="I117" s="2">
        <f>IFERROR(__xludf.DUMMYFUNCTION("""COMPUTED_VALUE"""),18.0)</f>
        <v>18</v>
      </c>
      <c r="J117" s="2">
        <f>IFERROR(__xludf.DUMMYFUNCTION("""COMPUTED_VALUE"""),1136.43)</f>
        <v>1136.43</v>
      </c>
      <c r="K117" s="2">
        <f>IFERROR(__xludf.DUMMYFUNCTION("""COMPUTED_VALUE"""),1136.43)</f>
        <v>1136.43</v>
      </c>
    </row>
    <row r="118">
      <c r="A118" s="2">
        <f>IFERROR(__xludf.DUMMYFUNCTION("""COMPUTED_VALUE"""),1000.0)</f>
        <v>1000</v>
      </c>
      <c r="B118" s="2">
        <f>IFERROR(__xludf.DUMMYFUNCTION("""COMPUTED_VALUE"""),183546.0)</f>
        <v>183546</v>
      </c>
      <c r="C118" s="2">
        <f>IFERROR(__xludf.DUMMYFUNCTION("""COMPUTED_VALUE"""),2026.0)</f>
        <v>2026</v>
      </c>
      <c r="D118" s="2">
        <f>IFERROR(__xludf.DUMMYFUNCTION("""COMPUTED_VALUE"""),46365.0)</f>
        <v>46365</v>
      </c>
      <c r="E118" s="2" t="str">
        <f>IFERROR(__xludf.DUMMYFUNCTION("""COMPUTED_VALUE"""),"VF")</f>
        <v>VF</v>
      </c>
      <c r="F118" s="2">
        <f>IFERROR(__xludf.DUMMYFUNCTION("""COMPUTED_VALUE"""),1.0)</f>
        <v>1</v>
      </c>
      <c r="G118" s="2" t="str">
        <f>IFERROR(__xludf.DUMMYFUNCTION("""COMPUTED_VALUE"""),"PR029")</f>
        <v>PR029</v>
      </c>
      <c r="H118" s="2" t="str">
        <f>IFERROR(__xludf.DUMMYFUNCTION("""COMPUTED_VALUE"""),"VD036")</f>
        <v>VD036</v>
      </c>
      <c r="I118" s="2">
        <f>IFERROR(__xludf.DUMMYFUNCTION("""COMPUTED_VALUE"""),24.0)</f>
        <v>24</v>
      </c>
      <c r="J118" s="2">
        <f>IFERROR(__xludf.DUMMYFUNCTION("""COMPUTED_VALUE"""),6976.8)</f>
        <v>6976.8</v>
      </c>
      <c r="K118" s="2">
        <f>IFERROR(__xludf.DUMMYFUNCTION("""COMPUTED_VALUE"""),6976.8)</f>
        <v>6976.8</v>
      </c>
    </row>
    <row r="119">
      <c r="A119" s="2">
        <f>IFERROR(__xludf.DUMMYFUNCTION("""COMPUTED_VALUE"""),1000.0)</f>
        <v>1000</v>
      </c>
      <c r="B119" s="2">
        <f>IFERROR(__xludf.DUMMYFUNCTION("""COMPUTED_VALUE"""),183547.0)</f>
        <v>183547</v>
      </c>
      <c r="C119" s="2">
        <f>IFERROR(__xludf.DUMMYFUNCTION("""COMPUTED_VALUE"""),2026.0)</f>
        <v>2026</v>
      </c>
      <c r="D119" s="2">
        <f>IFERROR(__xludf.DUMMYFUNCTION("""COMPUTED_VALUE"""),46365.0)</f>
        <v>46365</v>
      </c>
      <c r="E119" s="2" t="str">
        <f>IFERROR(__xludf.DUMMYFUNCTION("""COMPUTED_VALUE"""),"VF")</f>
        <v>VF</v>
      </c>
      <c r="F119" s="2">
        <f>IFERROR(__xludf.DUMMYFUNCTION("""COMPUTED_VALUE"""),1.0)</f>
        <v>1</v>
      </c>
      <c r="G119" s="2" t="str">
        <f>IFERROR(__xludf.DUMMYFUNCTION("""COMPUTED_VALUE"""),"PR054")</f>
        <v>PR054</v>
      </c>
      <c r="H119" s="2" t="str">
        <f>IFERROR(__xludf.DUMMYFUNCTION("""COMPUTED_VALUE"""),"VD034")</f>
        <v>VD034</v>
      </c>
      <c r="I119" s="2">
        <f>IFERROR(__xludf.DUMMYFUNCTION("""COMPUTED_VALUE"""),18.0)</f>
        <v>18</v>
      </c>
      <c r="J119" s="2">
        <f>IFERROR(__xludf.DUMMYFUNCTION("""COMPUTED_VALUE"""),1059.88)</f>
        <v>1059.88</v>
      </c>
      <c r="K119" s="2">
        <f>IFERROR(__xludf.DUMMYFUNCTION("""COMPUTED_VALUE"""),1059.88)</f>
        <v>1059.88</v>
      </c>
    </row>
    <row r="120">
      <c r="A120" s="2">
        <f>IFERROR(__xludf.DUMMYFUNCTION("""COMPUTED_VALUE"""),1000.0)</f>
        <v>1000</v>
      </c>
      <c r="B120" s="2">
        <f>IFERROR(__xludf.DUMMYFUNCTION("""COMPUTED_VALUE"""),183548.0)</f>
        <v>183548</v>
      </c>
      <c r="C120" s="2">
        <f>IFERROR(__xludf.DUMMYFUNCTION("""COMPUTED_VALUE"""),2026.0)</f>
        <v>2026</v>
      </c>
      <c r="D120" s="2">
        <f>IFERROR(__xludf.DUMMYFUNCTION("""COMPUTED_VALUE"""),46364.0)</f>
        <v>46364</v>
      </c>
      <c r="E120" s="2" t="str">
        <f>IFERROR(__xludf.DUMMYFUNCTION("""COMPUTED_VALUE"""),"VF")</f>
        <v>VF</v>
      </c>
      <c r="F120" s="2">
        <f>IFERROR(__xludf.DUMMYFUNCTION("""COMPUTED_VALUE"""),1.0)</f>
        <v>1</v>
      </c>
      <c r="G120" s="2" t="str">
        <f>IFERROR(__xludf.DUMMYFUNCTION("""COMPUTED_VALUE"""),"PR047")</f>
        <v>PR047</v>
      </c>
      <c r="H120" s="2" t="str">
        <f>IFERROR(__xludf.DUMMYFUNCTION("""COMPUTED_VALUE"""),"VD034")</f>
        <v>VD034</v>
      </c>
      <c r="I120" s="2">
        <f>IFERROR(__xludf.DUMMYFUNCTION("""COMPUTED_VALUE"""),21.0)</f>
        <v>21</v>
      </c>
      <c r="J120" s="2">
        <f>IFERROR(__xludf.DUMMYFUNCTION("""COMPUTED_VALUE"""),7122.84)</f>
        <v>7122.84</v>
      </c>
      <c r="K120" s="2">
        <f>IFERROR(__xludf.DUMMYFUNCTION("""COMPUTED_VALUE"""),7122.84)</f>
        <v>7122.84</v>
      </c>
    </row>
    <row r="121">
      <c r="A121" s="2">
        <f>IFERROR(__xludf.DUMMYFUNCTION("""COMPUTED_VALUE"""),1000.0)</f>
        <v>1000</v>
      </c>
      <c r="B121" s="2">
        <f>IFERROR(__xludf.DUMMYFUNCTION("""COMPUTED_VALUE"""),183549.0)</f>
        <v>183549</v>
      </c>
      <c r="C121" s="2">
        <f>IFERROR(__xludf.DUMMYFUNCTION("""COMPUTED_VALUE"""),2026.0)</f>
        <v>2026</v>
      </c>
      <c r="D121" s="2">
        <f>IFERROR(__xludf.DUMMYFUNCTION("""COMPUTED_VALUE"""),46364.0)</f>
        <v>46364</v>
      </c>
      <c r="E121" s="2" t="str">
        <f>IFERROR(__xludf.DUMMYFUNCTION("""COMPUTED_VALUE"""),"VF")</f>
        <v>VF</v>
      </c>
      <c r="F121" s="2">
        <f>IFERROR(__xludf.DUMMYFUNCTION("""COMPUTED_VALUE"""),1.0)</f>
        <v>1</v>
      </c>
      <c r="G121" s="2" t="str">
        <f>IFERROR(__xludf.DUMMYFUNCTION("""COMPUTED_VALUE"""),"PR023")</f>
        <v>PR023</v>
      </c>
      <c r="H121" s="2" t="str">
        <f>IFERROR(__xludf.DUMMYFUNCTION("""COMPUTED_VALUE"""),"VD018")</f>
        <v>VD018</v>
      </c>
      <c r="I121" s="2">
        <f>IFERROR(__xludf.DUMMYFUNCTION("""COMPUTED_VALUE"""),12.0)</f>
        <v>12</v>
      </c>
      <c r="J121" s="2">
        <f>IFERROR(__xludf.DUMMYFUNCTION("""COMPUTED_VALUE"""),3598.56)</f>
        <v>3598.56</v>
      </c>
      <c r="K121" s="2">
        <f>IFERROR(__xludf.DUMMYFUNCTION("""COMPUTED_VALUE"""),3598.56)</f>
        <v>3598.56</v>
      </c>
    </row>
    <row r="122">
      <c r="A122" s="2">
        <f>IFERROR(__xludf.DUMMYFUNCTION("""COMPUTED_VALUE"""),1000.0)</f>
        <v>1000</v>
      </c>
      <c r="B122" s="2">
        <f>IFERROR(__xludf.DUMMYFUNCTION("""COMPUTED_VALUE"""),183550.0)</f>
        <v>183550</v>
      </c>
      <c r="C122" s="2">
        <f>IFERROR(__xludf.DUMMYFUNCTION("""COMPUTED_VALUE"""),2026.0)</f>
        <v>2026</v>
      </c>
      <c r="D122" s="2">
        <f>IFERROR(__xludf.DUMMYFUNCTION("""COMPUTED_VALUE"""),46364.0)</f>
        <v>46364</v>
      </c>
      <c r="E122" s="2" t="str">
        <f>IFERROR(__xludf.DUMMYFUNCTION("""COMPUTED_VALUE"""),"VF")</f>
        <v>VF</v>
      </c>
      <c r="F122" s="2">
        <f>IFERROR(__xludf.DUMMYFUNCTION("""COMPUTED_VALUE"""),1.0)</f>
        <v>1</v>
      </c>
      <c r="G122" s="2" t="str">
        <f>IFERROR(__xludf.DUMMYFUNCTION("""COMPUTED_VALUE"""),"PR017")</f>
        <v>PR017</v>
      </c>
      <c r="H122" s="2" t="str">
        <f>IFERROR(__xludf.DUMMYFUNCTION("""COMPUTED_VALUE"""),"VD043")</f>
        <v>VD043</v>
      </c>
      <c r="I122" s="2">
        <f>IFERROR(__xludf.DUMMYFUNCTION("""COMPUTED_VALUE"""),18.0)</f>
        <v>18</v>
      </c>
      <c r="J122" s="2">
        <f>IFERROR(__xludf.DUMMYFUNCTION("""COMPUTED_VALUE"""),592.02)</f>
        <v>592.02</v>
      </c>
      <c r="K122" s="2">
        <f>IFERROR(__xludf.DUMMYFUNCTION("""COMPUTED_VALUE"""),592.02)</f>
        <v>592.02</v>
      </c>
    </row>
    <row r="123">
      <c r="A123" s="2">
        <f>IFERROR(__xludf.DUMMYFUNCTION("""COMPUTED_VALUE"""),1000.0)</f>
        <v>1000</v>
      </c>
      <c r="B123" s="2">
        <f>IFERROR(__xludf.DUMMYFUNCTION("""COMPUTED_VALUE"""),183551.0)</f>
        <v>183551</v>
      </c>
      <c r="C123" s="2">
        <f>IFERROR(__xludf.DUMMYFUNCTION("""COMPUTED_VALUE"""),2026.0)</f>
        <v>2026</v>
      </c>
      <c r="D123" s="2">
        <f>IFERROR(__xludf.DUMMYFUNCTION("""COMPUTED_VALUE"""),46363.0)</f>
        <v>46363</v>
      </c>
      <c r="E123" s="2" t="str">
        <f>IFERROR(__xludf.DUMMYFUNCTION("""COMPUTED_VALUE"""),"VF")</f>
        <v>VF</v>
      </c>
      <c r="F123" s="2">
        <f>IFERROR(__xludf.DUMMYFUNCTION("""COMPUTED_VALUE"""),1.0)</f>
        <v>1</v>
      </c>
      <c r="G123" s="2" t="str">
        <f>IFERROR(__xludf.DUMMYFUNCTION("""COMPUTED_VALUE"""),"PR058")</f>
        <v>PR058</v>
      </c>
      <c r="H123" s="2" t="str">
        <f>IFERROR(__xludf.DUMMYFUNCTION("""COMPUTED_VALUE"""),"VD021")</f>
        <v>VD021</v>
      </c>
      <c r="I123" s="2">
        <f>IFERROR(__xludf.DUMMYFUNCTION("""COMPUTED_VALUE"""),10.0)</f>
        <v>10</v>
      </c>
      <c r="J123" s="2">
        <f>IFERROR(__xludf.DUMMYFUNCTION("""COMPUTED_VALUE"""),2070.0)</f>
        <v>2070</v>
      </c>
      <c r="K123" s="2">
        <f>IFERROR(__xludf.DUMMYFUNCTION("""COMPUTED_VALUE"""),2070.0)</f>
        <v>2070</v>
      </c>
    </row>
    <row r="124">
      <c r="A124" s="2">
        <f>IFERROR(__xludf.DUMMYFUNCTION("""COMPUTED_VALUE"""),1000.0)</f>
        <v>1000</v>
      </c>
      <c r="B124" s="2">
        <f>IFERROR(__xludf.DUMMYFUNCTION("""COMPUTED_VALUE"""),183552.0)</f>
        <v>183552</v>
      </c>
      <c r="C124" s="2">
        <f>IFERROR(__xludf.DUMMYFUNCTION("""COMPUTED_VALUE"""),2026.0)</f>
        <v>2026</v>
      </c>
      <c r="D124" s="2">
        <f>IFERROR(__xludf.DUMMYFUNCTION("""COMPUTED_VALUE"""),46363.0)</f>
        <v>46363</v>
      </c>
      <c r="E124" s="2" t="str">
        <f>IFERROR(__xludf.DUMMYFUNCTION("""COMPUTED_VALUE"""),"VF")</f>
        <v>VF</v>
      </c>
      <c r="F124" s="2">
        <f>IFERROR(__xludf.DUMMYFUNCTION("""COMPUTED_VALUE"""),1.0)</f>
        <v>1</v>
      </c>
      <c r="G124" s="2" t="str">
        <f>IFERROR(__xludf.DUMMYFUNCTION("""COMPUTED_VALUE"""),"PR012")</f>
        <v>PR012</v>
      </c>
      <c r="H124" s="2" t="str">
        <f>IFERROR(__xludf.DUMMYFUNCTION("""COMPUTED_VALUE"""),"VD031")</f>
        <v>VD031</v>
      </c>
      <c r="I124" s="2">
        <f>IFERROR(__xludf.DUMMYFUNCTION("""COMPUTED_VALUE"""),9.0)</f>
        <v>9</v>
      </c>
      <c r="J124" s="2">
        <f>IFERROR(__xludf.DUMMYFUNCTION("""COMPUTED_VALUE"""),523.72)</f>
        <v>523.72</v>
      </c>
      <c r="K124" s="2">
        <f>IFERROR(__xludf.DUMMYFUNCTION("""COMPUTED_VALUE"""),523.72)</f>
        <v>523.72</v>
      </c>
    </row>
    <row r="125">
      <c r="A125" s="2">
        <f>IFERROR(__xludf.DUMMYFUNCTION("""COMPUTED_VALUE"""),1000.0)</f>
        <v>1000</v>
      </c>
      <c r="B125" s="2">
        <f>IFERROR(__xludf.DUMMYFUNCTION("""COMPUTED_VALUE"""),183553.0)</f>
        <v>183553</v>
      </c>
      <c r="C125" s="2">
        <f>IFERROR(__xludf.DUMMYFUNCTION("""COMPUTED_VALUE"""),2026.0)</f>
        <v>2026</v>
      </c>
      <c r="D125" s="2">
        <f>IFERROR(__xludf.DUMMYFUNCTION("""COMPUTED_VALUE"""),46363.0)</f>
        <v>46363</v>
      </c>
      <c r="E125" s="2" t="str">
        <f>IFERROR(__xludf.DUMMYFUNCTION("""COMPUTED_VALUE"""),"VF")</f>
        <v>VF</v>
      </c>
      <c r="F125" s="2">
        <f>IFERROR(__xludf.DUMMYFUNCTION("""COMPUTED_VALUE"""),1.0)</f>
        <v>1</v>
      </c>
      <c r="G125" s="2" t="str">
        <f>IFERROR(__xludf.DUMMYFUNCTION("""COMPUTED_VALUE"""),"PR010")</f>
        <v>PR010</v>
      </c>
      <c r="H125" s="2" t="str">
        <f>IFERROR(__xludf.DUMMYFUNCTION("""COMPUTED_VALUE"""),"VD020")</f>
        <v>VD020</v>
      </c>
      <c r="I125" s="2">
        <f>IFERROR(__xludf.DUMMYFUNCTION("""COMPUTED_VALUE"""),27.0)</f>
        <v>27</v>
      </c>
      <c r="J125" s="2">
        <f>IFERROR(__xludf.DUMMYFUNCTION("""COMPUTED_VALUE"""),1357.78)</f>
        <v>1357.78</v>
      </c>
      <c r="K125" s="2">
        <f>IFERROR(__xludf.DUMMYFUNCTION("""COMPUTED_VALUE"""),1357.78)</f>
        <v>1357.78</v>
      </c>
    </row>
    <row r="126">
      <c r="A126" s="2">
        <f>IFERROR(__xludf.DUMMYFUNCTION("""COMPUTED_VALUE"""),1000.0)</f>
        <v>1000</v>
      </c>
      <c r="B126" s="2">
        <f>IFERROR(__xludf.DUMMYFUNCTION("""COMPUTED_VALUE"""),183553.0)</f>
        <v>183553</v>
      </c>
      <c r="C126" s="2">
        <f>IFERROR(__xludf.DUMMYFUNCTION("""COMPUTED_VALUE"""),2026.0)</f>
        <v>2026</v>
      </c>
      <c r="D126" s="2">
        <f>IFERROR(__xludf.DUMMYFUNCTION("""COMPUTED_VALUE"""),46362.0)</f>
        <v>46362</v>
      </c>
      <c r="E126" s="2" t="str">
        <f>IFERROR(__xludf.DUMMYFUNCTION("""COMPUTED_VALUE"""),"VF")</f>
        <v>VF</v>
      </c>
      <c r="F126" s="2">
        <f>IFERROR(__xludf.DUMMYFUNCTION("""COMPUTED_VALUE"""),2.0)</f>
        <v>2</v>
      </c>
      <c r="G126" s="2" t="str">
        <f>IFERROR(__xludf.DUMMYFUNCTION("""COMPUTED_VALUE"""),"PR038")</f>
        <v>PR038</v>
      </c>
      <c r="H126" s="2" t="str">
        <f>IFERROR(__xludf.DUMMYFUNCTION("""COMPUTED_VALUE"""),"VD024")</f>
        <v>VD024</v>
      </c>
      <c r="I126" s="2">
        <f>IFERROR(__xludf.DUMMYFUNCTION("""COMPUTED_VALUE"""),24.0)</f>
        <v>24</v>
      </c>
      <c r="J126" s="2">
        <f>IFERROR(__xludf.DUMMYFUNCTION("""COMPUTED_VALUE"""),4081.22)</f>
        <v>4081.22</v>
      </c>
      <c r="K126" s="2">
        <f>IFERROR(__xludf.DUMMYFUNCTION("""COMPUTED_VALUE"""),4081.22)</f>
        <v>4081.22</v>
      </c>
    </row>
    <row r="127">
      <c r="A127" s="2">
        <f>IFERROR(__xludf.DUMMYFUNCTION("""COMPUTED_VALUE"""),1000.0)</f>
        <v>1000</v>
      </c>
      <c r="B127" s="2">
        <f>IFERROR(__xludf.DUMMYFUNCTION("""COMPUTED_VALUE"""),183553.0)</f>
        <v>183553</v>
      </c>
      <c r="C127" s="2">
        <f>IFERROR(__xludf.DUMMYFUNCTION("""COMPUTED_VALUE"""),2026.0)</f>
        <v>2026</v>
      </c>
      <c r="D127" s="2">
        <f>IFERROR(__xludf.DUMMYFUNCTION("""COMPUTED_VALUE"""),46362.0)</f>
        <v>46362</v>
      </c>
      <c r="E127" s="2" t="str">
        <f>IFERROR(__xludf.DUMMYFUNCTION("""COMPUTED_VALUE"""),"VF")</f>
        <v>VF</v>
      </c>
      <c r="F127" s="2">
        <f>IFERROR(__xludf.DUMMYFUNCTION("""COMPUTED_VALUE"""),3.0)</f>
        <v>3</v>
      </c>
      <c r="G127" s="2" t="str">
        <f>IFERROR(__xludf.DUMMYFUNCTION("""COMPUTED_VALUE"""),"PR024")</f>
        <v>PR024</v>
      </c>
      <c r="H127" s="2" t="str">
        <f>IFERROR(__xludf.DUMMYFUNCTION("""COMPUTED_VALUE"""),"VD038")</f>
        <v>VD038</v>
      </c>
      <c r="I127" s="2">
        <f>IFERROR(__xludf.DUMMYFUNCTION("""COMPUTED_VALUE"""),18.0)</f>
        <v>18</v>
      </c>
      <c r="J127" s="2">
        <f>IFERROR(__xludf.DUMMYFUNCTION("""COMPUTED_VALUE"""),5567.06)</f>
        <v>5567.06</v>
      </c>
      <c r="K127" s="2">
        <f>IFERROR(__xludf.DUMMYFUNCTION("""COMPUTED_VALUE"""),5567.06)</f>
        <v>5567.06</v>
      </c>
    </row>
    <row r="128">
      <c r="A128" s="2">
        <f>IFERROR(__xludf.DUMMYFUNCTION("""COMPUTED_VALUE"""),1000.0)</f>
        <v>1000</v>
      </c>
      <c r="B128" s="2">
        <f>IFERROR(__xludf.DUMMYFUNCTION("""COMPUTED_VALUE"""),183554.0)</f>
        <v>183554</v>
      </c>
      <c r="C128" s="2">
        <f>IFERROR(__xludf.DUMMYFUNCTION("""COMPUTED_VALUE"""),2026.0)</f>
        <v>2026</v>
      </c>
      <c r="D128" s="2">
        <f>IFERROR(__xludf.DUMMYFUNCTION("""COMPUTED_VALUE"""),46362.0)</f>
        <v>46362</v>
      </c>
      <c r="E128" s="2" t="str">
        <f>IFERROR(__xludf.DUMMYFUNCTION("""COMPUTED_VALUE"""),"VF")</f>
        <v>VF</v>
      </c>
      <c r="F128" s="2">
        <f>IFERROR(__xludf.DUMMYFUNCTION("""COMPUTED_VALUE"""),1.0)</f>
        <v>1</v>
      </c>
      <c r="G128" s="2" t="str">
        <f>IFERROR(__xludf.DUMMYFUNCTION("""COMPUTED_VALUE"""),"PR029")</f>
        <v>PR029</v>
      </c>
      <c r="H128" s="2" t="str">
        <f>IFERROR(__xludf.DUMMYFUNCTION("""COMPUTED_VALUE"""),"VD048")</f>
        <v>VD048</v>
      </c>
      <c r="I128" s="2">
        <f>IFERROR(__xludf.DUMMYFUNCTION("""COMPUTED_VALUE"""),8.0)</f>
        <v>8</v>
      </c>
      <c r="J128" s="2">
        <f>IFERROR(__xludf.DUMMYFUNCTION("""COMPUTED_VALUE"""),2325.6)</f>
        <v>2325.6</v>
      </c>
      <c r="K128" s="2">
        <f>IFERROR(__xludf.DUMMYFUNCTION("""COMPUTED_VALUE"""),2325.6)</f>
        <v>2325.6</v>
      </c>
    </row>
    <row r="129">
      <c r="A129" s="2">
        <f>IFERROR(__xludf.DUMMYFUNCTION("""COMPUTED_VALUE"""),1000.0)</f>
        <v>1000</v>
      </c>
      <c r="B129" s="2">
        <f>IFERROR(__xludf.DUMMYFUNCTION("""COMPUTED_VALUE"""),183555.0)</f>
        <v>183555</v>
      </c>
      <c r="C129" s="2">
        <f>IFERROR(__xludf.DUMMYFUNCTION("""COMPUTED_VALUE"""),2026.0)</f>
        <v>2026</v>
      </c>
      <c r="D129" s="2">
        <f>IFERROR(__xludf.DUMMYFUNCTION("""COMPUTED_VALUE"""),46362.0)</f>
        <v>46362</v>
      </c>
      <c r="E129" s="2" t="str">
        <f>IFERROR(__xludf.DUMMYFUNCTION("""COMPUTED_VALUE"""),"VF")</f>
        <v>VF</v>
      </c>
      <c r="F129" s="2">
        <f>IFERROR(__xludf.DUMMYFUNCTION("""COMPUTED_VALUE"""),1.0)</f>
        <v>1</v>
      </c>
      <c r="G129" s="2" t="str">
        <f>IFERROR(__xludf.DUMMYFUNCTION("""COMPUTED_VALUE"""),"PR040")</f>
        <v>PR040</v>
      </c>
      <c r="H129" s="2" t="str">
        <f>IFERROR(__xludf.DUMMYFUNCTION("""COMPUTED_VALUE"""),"VD022")</f>
        <v>VD022</v>
      </c>
      <c r="I129" s="2">
        <f>IFERROR(__xludf.DUMMYFUNCTION("""COMPUTED_VALUE"""),18.0)</f>
        <v>18</v>
      </c>
      <c r="J129" s="2">
        <f>IFERROR(__xludf.DUMMYFUNCTION("""COMPUTED_VALUE"""),1423.8)</f>
        <v>1423.8</v>
      </c>
      <c r="K129" s="2">
        <f>IFERROR(__xludf.DUMMYFUNCTION("""COMPUTED_VALUE"""),1423.8)</f>
        <v>1423.8</v>
      </c>
    </row>
    <row r="130">
      <c r="A130" s="2">
        <f>IFERROR(__xludf.DUMMYFUNCTION("""COMPUTED_VALUE"""),1000.0)</f>
        <v>1000</v>
      </c>
      <c r="B130" s="2">
        <f>IFERROR(__xludf.DUMMYFUNCTION("""COMPUTED_VALUE"""),183555.0)</f>
        <v>183555</v>
      </c>
      <c r="C130" s="2">
        <f>IFERROR(__xludf.DUMMYFUNCTION("""COMPUTED_VALUE"""),2026.0)</f>
        <v>2026</v>
      </c>
      <c r="D130" s="2">
        <f>IFERROR(__xludf.DUMMYFUNCTION("""COMPUTED_VALUE"""),46362.0)</f>
        <v>46362</v>
      </c>
      <c r="E130" s="2" t="str">
        <f>IFERROR(__xludf.DUMMYFUNCTION("""COMPUTED_VALUE"""),"VF")</f>
        <v>VF</v>
      </c>
      <c r="F130" s="2">
        <f>IFERROR(__xludf.DUMMYFUNCTION("""COMPUTED_VALUE"""),2.0)</f>
        <v>2</v>
      </c>
      <c r="G130" s="2" t="str">
        <f>IFERROR(__xludf.DUMMYFUNCTION("""COMPUTED_VALUE"""),"PR045")</f>
        <v>PR045</v>
      </c>
      <c r="H130" s="2" t="str">
        <f>IFERROR(__xludf.DUMMYFUNCTION("""COMPUTED_VALUE"""),"VD023")</f>
        <v>VD023</v>
      </c>
      <c r="I130" s="2">
        <f>IFERROR(__xludf.DUMMYFUNCTION("""COMPUTED_VALUE"""),16.0)</f>
        <v>16</v>
      </c>
      <c r="J130" s="2">
        <f>IFERROR(__xludf.DUMMYFUNCTION("""COMPUTED_VALUE"""),1345.6)</f>
        <v>1345.6</v>
      </c>
      <c r="K130" s="2">
        <f>IFERROR(__xludf.DUMMYFUNCTION("""COMPUTED_VALUE"""),1345.6)</f>
        <v>1345.6</v>
      </c>
    </row>
    <row r="131">
      <c r="A131" s="2">
        <f>IFERROR(__xludf.DUMMYFUNCTION("""COMPUTED_VALUE"""),1000.0)</f>
        <v>1000</v>
      </c>
      <c r="B131" s="2">
        <f>IFERROR(__xludf.DUMMYFUNCTION("""COMPUTED_VALUE"""),183556.0)</f>
        <v>183556</v>
      </c>
      <c r="C131" s="2">
        <f>IFERROR(__xludf.DUMMYFUNCTION("""COMPUTED_VALUE"""),2026.0)</f>
        <v>2026</v>
      </c>
      <c r="D131" s="2">
        <f>IFERROR(__xludf.DUMMYFUNCTION("""COMPUTED_VALUE"""),46362.0)</f>
        <v>46362</v>
      </c>
      <c r="E131" s="2" t="str">
        <f>IFERROR(__xludf.DUMMYFUNCTION("""COMPUTED_VALUE"""),"VF")</f>
        <v>VF</v>
      </c>
      <c r="F131" s="2">
        <f>IFERROR(__xludf.DUMMYFUNCTION("""COMPUTED_VALUE"""),1.0)</f>
        <v>1</v>
      </c>
      <c r="G131" s="2" t="str">
        <f>IFERROR(__xludf.DUMMYFUNCTION("""COMPUTED_VALUE"""),"PR059")</f>
        <v>PR059</v>
      </c>
      <c r="H131" s="2" t="str">
        <f>IFERROR(__xludf.DUMMYFUNCTION("""COMPUTED_VALUE"""),"VD034")</f>
        <v>VD034</v>
      </c>
      <c r="I131" s="2">
        <f>IFERROR(__xludf.DUMMYFUNCTION("""COMPUTED_VALUE"""),18.0)</f>
        <v>18</v>
      </c>
      <c r="J131" s="2">
        <f>IFERROR(__xludf.DUMMYFUNCTION("""COMPUTED_VALUE"""),3888.0)</f>
        <v>3888</v>
      </c>
      <c r="K131" s="2">
        <f>IFERROR(__xludf.DUMMYFUNCTION("""COMPUTED_VALUE"""),3888.0)</f>
        <v>3888</v>
      </c>
    </row>
    <row r="132">
      <c r="A132" s="2">
        <f>IFERROR(__xludf.DUMMYFUNCTION("""COMPUTED_VALUE"""),1000.0)</f>
        <v>1000</v>
      </c>
      <c r="B132" s="2">
        <f>IFERROR(__xludf.DUMMYFUNCTION("""COMPUTED_VALUE"""),183556.0)</f>
        <v>183556</v>
      </c>
      <c r="C132" s="2">
        <f>IFERROR(__xludf.DUMMYFUNCTION("""COMPUTED_VALUE"""),2026.0)</f>
        <v>2026</v>
      </c>
      <c r="D132" s="2">
        <f>IFERROR(__xludf.DUMMYFUNCTION("""COMPUTED_VALUE"""),46361.0)</f>
        <v>46361</v>
      </c>
      <c r="E132" s="2" t="str">
        <f>IFERROR(__xludf.DUMMYFUNCTION("""COMPUTED_VALUE"""),"VF")</f>
        <v>VF</v>
      </c>
      <c r="F132" s="2">
        <f>IFERROR(__xludf.DUMMYFUNCTION("""COMPUTED_VALUE"""),2.0)</f>
        <v>2</v>
      </c>
      <c r="G132" s="2" t="str">
        <f>IFERROR(__xludf.DUMMYFUNCTION("""COMPUTED_VALUE"""),"PR031")</f>
        <v>PR031</v>
      </c>
      <c r="H132" s="2" t="str">
        <f>IFERROR(__xludf.DUMMYFUNCTION("""COMPUTED_VALUE"""),"VD039")</f>
        <v>VD039</v>
      </c>
      <c r="I132" s="2">
        <f>IFERROR(__xludf.DUMMYFUNCTION("""COMPUTED_VALUE"""),9.0)</f>
        <v>9</v>
      </c>
      <c r="J132" s="2">
        <f>IFERROR(__xludf.DUMMYFUNCTION("""COMPUTED_VALUE"""),2557.8)</f>
        <v>2557.8</v>
      </c>
      <c r="K132" s="2">
        <f>IFERROR(__xludf.DUMMYFUNCTION("""COMPUTED_VALUE"""),2557.8)</f>
        <v>2557.8</v>
      </c>
    </row>
    <row r="133">
      <c r="A133" s="2">
        <f>IFERROR(__xludf.DUMMYFUNCTION("""COMPUTED_VALUE"""),1000.0)</f>
        <v>1000</v>
      </c>
      <c r="B133" s="2">
        <f>IFERROR(__xludf.DUMMYFUNCTION("""COMPUTED_VALUE"""),183557.0)</f>
        <v>183557</v>
      </c>
      <c r="C133" s="2">
        <f>IFERROR(__xludf.DUMMYFUNCTION("""COMPUTED_VALUE"""),2026.0)</f>
        <v>2026</v>
      </c>
      <c r="D133" s="2">
        <f>IFERROR(__xludf.DUMMYFUNCTION("""COMPUTED_VALUE"""),46361.0)</f>
        <v>46361</v>
      </c>
      <c r="E133" s="2" t="str">
        <f>IFERROR(__xludf.DUMMYFUNCTION("""COMPUTED_VALUE"""),"VF")</f>
        <v>VF</v>
      </c>
      <c r="F133" s="2">
        <f>IFERROR(__xludf.DUMMYFUNCTION("""COMPUTED_VALUE"""),1.0)</f>
        <v>1</v>
      </c>
      <c r="G133" s="2" t="str">
        <f>IFERROR(__xludf.DUMMYFUNCTION("""COMPUTED_VALUE"""),"PR059")</f>
        <v>PR059</v>
      </c>
      <c r="H133" s="2" t="str">
        <f>IFERROR(__xludf.DUMMYFUNCTION("""COMPUTED_VALUE"""),"VD036")</f>
        <v>VD036</v>
      </c>
      <c r="I133" s="2">
        <f>IFERROR(__xludf.DUMMYFUNCTION("""COMPUTED_VALUE"""),15.0)</f>
        <v>15</v>
      </c>
      <c r="J133" s="2">
        <f>IFERROR(__xludf.DUMMYFUNCTION("""COMPUTED_VALUE"""),2997.0)</f>
        <v>2997</v>
      </c>
      <c r="K133" s="2">
        <f>IFERROR(__xludf.DUMMYFUNCTION("""COMPUTED_VALUE"""),2997.0)</f>
        <v>2997</v>
      </c>
    </row>
    <row r="134">
      <c r="A134" s="2">
        <f>IFERROR(__xludf.DUMMYFUNCTION("""COMPUTED_VALUE"""),1000.0)</f>
        <v>1000</v>
      </c>
      <c r="B134" s="2">
        <f>IFERROR(__xludf.DUMMYFUNCTION("""COMPUTED_VALUE"""),183558.0)</f>
        <v>183558</v>
      </c>
      <c r="C134" s="2">
        <f>IFERROR(__xludf.DUMMYFUNCTION("""COMPUTED_VALUE"""),2026.0)</f>
        <v>2026</v>
      </c>
      <c r="D134" s="2">
        <f>IFERROR(__xludf.DUMMYFUNCTION("""COMPUTED_VALUE"""),46361.0)</f>
        <v>46361</v>
      </c>
      <c r="E134" s="2" t="str">
        <f>IFERROR(__xludf.DUMMYFUNCTION("""COMPUTED_VALUE"""),"VF")</f>
        <v>VF</v>
      </c>
      <c r="F134" s="2">
        <f>IFERROR(__xludf.DUMMYFUNCTION("""COMPUTED_VALUE"""),1.0)</f>
        <v>1</v>
      </c>
      <c r="G134" s="2" t="str">
        <f>IFERROR(__xludf.DUMMYFUNCTION("""COMPUTED_VALUE"""),"PR058")</f>
        <v>PR058</v>
      </c>
      <c r="H134" s="2" t="str">
        <f>IFERROR(__xludf.DUMMYFUNCTION("""COMPUTED_VALUE"""),"VD027")</f>
        <v>VD027</v>
      </c>
      <c r="I134" s="2">
        <f>IFERROR(__xludf.DUMMYFUNCTION("""COMPUTED_VALUE"""),15.0)</f>
        <v>15</v>
      </c>
      <c r="J134" s="2">
        <f>IFERROR(__xludf.DUMMYFUNCTION("""COMPUTED_VALUE"""),3186.0)</f>
        <v>3186</v>
      </c>
      <c r="K134" s="2">
        <f>IFERROR(__xludf.DUMMYFUNCTION("""COMPUTED_VALUE"""),3186.0)</f>
        <v>3186</v>
      </c>
    </row>
    <row r="135">
      <c r="A135" s="2">
        <f>IFERROR(__xludf.DUMMYFUNCTION("""COMPUTED_VALUE"""),1000.0)</f>
        <v>1000</v>
      </c>
      <c r="B135" s="2">
        <f>IFERROR(__xludf.DUMMYFUNCTION("""COMPUTED_VALUE"""),183559.0)</f>
        <v>183559</v>
      </c>
      <c r="C135" s="2">
        <f>IFERROR(__xludf.DUMMYFUNCTION("""COMPUTED_VALUE"""),2026.0)</f>
        <v>2026</v>
      </c>
      <c r="D135" s="2">
        <f>IFERROR(__xludf.DUMMYFUNCTION("""COMPUTED_VALUE"""),46360.0)</f>
        <v>46360</v>
      </c>
      <c r="E135" s="2" t="str">
        <f>IFERROR(__xludf.DUMMYFUNCTION("""COMPUTED_VALUE"""),"VF")</f>
        <v>VF</v>
      </c>
      <c r="F135" s="2">
        <f>IFERROR(__xludf.DUMMYFUNCTION("""COMPUTED_VALUE"""),1.0)</f>
        <v>1</v>
      </c>
      <c r="G135" s="2" t="str">
        <f>IFERROR(__xludf.DUMMYFUNCTION("""COMPUTED_VALUE"""),"PR005")</f>
        <v>PR005</v>
      </c>
      <c r="H135" s="2" t="str">
        <f>IFERROR(__xludf.DUMMYFUNCTION("""COMPUTED_VALUE"""),"VD036")</f>
        <v>VD036</v>
      </c>
      <c r="I135" s="2">
        <f>IFERROR(__xludf.DUMMYFUNCTION("""COMPUTED_VALUE"""),27.0)</f>
        <v>27</v>
      </c>
      <c r="J135" s="2">
        <f>IFERROR(__xludf.DUMMYFUNCTION("""COMPUTED_VALUE"""),7929.55)</f>
        <v>7929.55</v>
      </c>
      <c r="K135" s="2">
        <f>IFERROR(__xludf.DUMMYFUNCTION("""COMPUTED_VALUE"""),7929.55)</f>
        <v>7929.55</v>
      </c>
    </row>
    <row r="136">
      <c r="A136" s="2">
        <f>IFERROR(__xludf.DUMMYFUNCTION("""COMPUTED_VALUE"""),1000.0)</f>
        <v>1000</v>
      </c>
      <c r="B136" s="2">
        <f>IFERROR(__xludf.DUMMYFUNCTION("""COMPUTED_VALUE"""),183559.0)</f>
        <v>183559</v>
      </c>
      <c r="C136" s="2">
        <f>IFERROR(__xludf.DUMMYFUNCTION("""COMPUTED_VALUE"""),2026.0)</f>
        <v>2026</v>
      </c>
      <c r="D136" s="2">
        <f>IFERROR(__xludf.DUMMYFUNCTION("""COMPUTED_VALUE"""),46360.0)</f>
        <v>46360</v>
      </c>
      <c r="E136" s="2" t="str">
        <f>IFERROR(__xludf.DUMMYFUNCTION("""COMPUTED_VALUE"""),"VF")</f>
        <v>VF</v>
      </c>
      <c r="F136" s="2">
        <f>IFERROR(__xludf.DUMMYFUNCTION("""COMPUTED_VALUE"""),2.0)</f>
        <v>2</v>
      </c>
      <c r="G136" s="2" t="str">
        <f>IFERROR(__xludf.DUMMYFUNCTION("""COMPUTED_VALUE"""),"PR017")</f>
        <v>PR017</v>
      </c>
      <c r="H136" s="2" t="str">
        <f>IFERROR(__xludf.DUMMYFUNCTION("""COMPUTED_VALUE"""),"VD022")</f>
        <v>VD022</v>
      </c>
      <c r="I136" s="2">
        <f>IFERROR(__xludf.DUMMYFUNCTION("""COMPUTED_VALUE"""),18.0)</f>
        <v>18</v>
      </c>
      <c r="J136" s="2">
        <f>IFERROR(__xludf.DUMMYFUNCTION("""COMPUTED_VALUE"""),592.02)</f>
        <v>592.02</v>
      </c>
      <c r="K136" s="2">
        <f>IFERROR(__xludf.DUMMYFUNCTION("""COMPUTED_VALUE"""),592.02)</f>
        <v>592.02</v>
      </c>
    </row>
    <row r="137">
      <c r="A137" s="2">
        <f>IFERROR(__xludf.DUMMYFUNCTION("""COMPUTED_VALUE"""),1000.0)</f>
        <v>1000</v>
      </c>
      <c r="B137" s="2">
        <f>IFERROR(__xludf.DUMMYFUNCTION("""COMPUTED_VALUE"""),183560.0)</f>
        <v>183560</v>
      </c>
      <c r="C137" s="2">
        <f>IFERROR(__xludf.DUMMYFUNCTION("""COMPUTED_VALUE"""),2026.0)</f>
        <v>2026</v>
      </c>
      <c r="D137" s="2">
        <f>IFERROR(__xludf.DUMMYFUNCTION("""COMPUTED_VALUE"""),46360.0)</f>
        <v>46360</v>
      </c>
      <c r="E137" s="2" t="str">
        <f>IFERROR(__xludf.DUMMYFUNCTION("""COMPUTED_VALUE"""),"VF")</f>
        <v>VF</v>
      </c>
      <c r="F137" s="2">
        <f>IFERROR(__xludf.DUMMYFUNCTION("""COMPUTED_VALUE"""),1.0)</f>
        <v>1</v>
      </c>
      <c r="G137" s="2" t="str">
        <f>IFERROR(__xludf.DUMMYFUNCTION("""COMPUTED_VALUE"""),"PR005")</f>
        <v>PR005</v>
      </c>
      <c r="H137" s="2" t="str">
        <f>IFERROR(__xludf.DUMMYFUNCTION("""COMPUTED_VALUE"""),"VD047")</f>
        <v>VD047</v>
      </c>
      <c r="I137" s="2">
        <f>IFERROR(__xludf.DUMMYFUNCTION("""COMPUTED_VALUE"""),15.0)</f>
        <v>15</v>
      </c>
      <c r="J137" s="2">
        <f>IFERROR(__xludf.DUMMYFUNCTION("""COMPUTED_VALUE"""),4561.25)</f>
        <v>4561.25</v>
      </c>
      <c r="K137" s="2">
        <f>IFERROR(__xludf.DUMMYFUNCTION("""COMPUTED_VALUE"""),4561.25)</f>
        <v>4561.25</v>
      </c>
    </row>
    <row r="138">
      <c r="A138" s="2">
        <f>IFERROR(__xludf.DUMMYFUNCTION("""COMPUTED_VALUE"""),1000.0)</f>
        <v>1000</v>
      </c>
      <c r="B138" s="2">
        <f>IFERROR(__xludf.DUMMYFUNCTION("""COMPUTED_VALUE"""),183561.0)</f>
        <v>183561</v>
      </c>
      <c r="C138" s="2">
        <f>IFERROR(__xludf.DUMMYFUNCTION("""COMPUTED_VALUE"""),2026.0)</f>
        <v>2026</v>
      </c>
      <c r="D138" s="2">
        <f>IFERROR(__xludf.DUMMYFUNCTION("""COMPUTED_VALUE"""),46360.0)</f>
        <v>46360</v>
      </c>
      <c r="E138" s="2" t="str">
        <f>IFERROR(__xludf.DUMMYFUNCTION("""COMPUTED_VALUE"""),"VF")</f>
        <v>VF</v>
      </c>
      <c r="F138" s="2">
        <f>IFERROR(__xludf.DUMMYFUNCTION("""COMPUTED_VALUE"""),1.0)</f>
        <v>1</v>
      </c>
      <c r="G138" s="2" t="str">
        <f>IFERROR(__xludf.DUMMYFUNCTION("""COMPUTED_VALUE"""),"PR015")</f>
        <v>PR015</v>
      </c>
      <c r="H138" s="2" t="str">
        <f>IFERROR(__xludf.DUMMYFUNCTION("""COMPUTED_VALUE"""),"VD022")</f>
        <v>VD022</v>
      </c>
      <c r="I138" s="2">
        <f>IFERROR(__xludf.DUMMYFUNCTION("""COMPUTED_VALUE"""),6.0)</f>
        <v>6</v>
      </c>
      <c r="J138" s="2">
        <f>IFERROR(__xludf.DUMMYFUNCTION("""COMPUTED_VALUE"""),306.0)</f>
        <v>306</v>
      </c>
      <c r="K138" s="2">
        <f>IFERROR(__xludf.DUMMYFUNCTION("""COMPUTED_VALUE"""),306.0)</f>
        <v>306</v>
      </c>
    </row>
    <row r="139">
      <c r="A139" s="2">
        <f>IFERROR(__xludf.DUMMYFUNCTION("""COMPUTED_VALUE"""),1000.0)</f>
        <v>1000</v>
      </c>
      <c r="B139" s="2">
        <f>IFERROR(__xludf.DUMMYFUNCTION("""COMPUTED_VALUE"""),183562.0)</f>
        <v>183562</v>
      </c>
      <c r="C139" s="2">
        <f>IFERROR(__xludf.DUMMYFUNCTION("""COMPUTED_VALUE"""),2026.0)</f>
        <v>2026</v>
      </c>
      <c r="D139" s="2">
        <f>IFERROR(__xludf.DUMMYFUNCTION("""COMPUTED_VALUE"""),46360.0)</f>
        <v>46360</v>
      </c>
      <c r="E139" s="2" t="str">
        <f>IFERROR(__xludf.DUMMYFUNCTION("""COMPUTED_VALUE"""),"VF")</f>
        <v>VF</v>
      </c>
      <c r="F139" s="2">
        <f>IFERROR(__xludf.DUMMYFUNCTION("""COMPUTED_VALUE"""),1.0)</f>
        <v>1</v>
      </c>
      <c r="G139" s="2" t="str">
        <f>IFERROR(__xludf.DUMMYFUNCTION("""COMPUTED_VALUE"""),"PR010")</f>
        <v>PR010</v>
      </c>
      <c r="H139" s="2" t="str">
        <f>IFERROR(__xludf.DUMMYFUNCTION("""COMPUTED_VALUE"""),"VD013")</f>
        <v>VD013</v>
      </c>
      <c r="I139" s="2">
        <f>IFERROR(__xludf.DUMMYFUNCTION("""COMPUTED_VALUE"""),8.0)</f>
        <v>8</v>
      </c>
      <c r="J139" s="2">
        <f>IFERROR(__xludf.DUMMYFUNCTION("""COMPUTED_VALUE"""),423.86)</f>
        <v>423.86</v>
      </c>
      <c r="K139" s="2">
        <f>IFERROR(__xludf.DUMMYFUNCTION("""COMPUTED_VALUE"""),423.86)</f>
        <v>423.86</v>
      </c>
    </row>
    <row r="140">
      <c r="A140" s="2">
        <f>IFERROR(__xludf.DUMMYFUNCTION("""COMPUTED_VALUE"""),1000.0)</f>
        <v>1000</v>
      </c>
      <c r="B140" s="2">
        <f>IFERROR(__xludf.DUMMYFUNCTION("""COMPUTED_VALUE"""),183563.0)</f>
        <v>183563</v>
      </c>
      <c r="C140" s="2">
        <f>IFERROR(__xludf.DUMMYFUNCTION("""COMPUTED_VALUE"""),2026.0)</f>
        <v>2026</v>
      </c>
      <c r="D140" s="2">
        <f>IFERROR(__xludf.DUMMYFUNCTION("""COMPUTED_VALUE"""),46360.0)</f>
        <v>46360</v>
      </c>
      <c r="E140" s="2" t="str">
        <f>IFERROR(__xludf.DUMMYFUNCTION("""COMPUTED_VALUE"""),"VF")</f>
        <v>VF</v>
      </c>
      <c r="F140" s="2">
        <f>IFERROR(__xludf.DUMMYFUNCTION("""COMPUTED_VALUE"""),1.0)</f>
        <v>1</v>
      </c>
      <c r="G140" s="2" t="str">
        <f>IFERROR(__xludf.DUMMYFUNCTION("""COMPUTED_VALUE"""),"PR057")</f>
        <v>PR057</v>
      </c>
      <c r="H140" s="2" t="str">
        <f>IFERROR(__xludf.DUMMYFUNCTION("""COMPUTED_VALUE"""),"VD023")</f>
        <v>VD023</v>
      </c>
      <c r="I140" s="2">
        <f>IFERROR(__xludf.DUMMYFUNCTION("""COMPUTED_VALUE"""),27.0)</f>
        <v>27</v>
      </c>
      <c r="J140" s="2">
        <f>IFERROR(__xludf.DUMMYFUNCTION("""COMPUTED_VALUE"""),2670.03)</f>
        <v>2670.03</v>
      </c>
      <c r="K140" s="2">
        <f>IFERROR(__xludf.DUMMYFUNCTION("""COMPUTED_VALUE"""),2670.03)</f>
        <v>2670.03</v>
      </c>
    </row>
    <row r="141">
      <c r="A141" s="2">
        <f>IFERROR(__xludf.DUMMYFUNCTION("""COMPUTED_VALUE"""),1000.0)</f>
        <v>1000</v>
      </c>
      <c r="B141" s="2">
        <f>IFERROR(__xludf.DUMMYFUNCTION("""COMPUTED_VALUE"""),183563.0)</f>
        <v>183563</v>
      </c>
      <c r="C141" s="2">
        <f>IFERROR(__xludf.DUMMYFUNCTION("""COMPUTED_VALUE"""),2026.0)</f>
        <v>2026</v>
      </c>
      <c r="D141" s="2">
        <f>IFERROR(__xludf.DUMMYFUNCTION("""COMPUTED_VALUE"""),46359.0)</f>
        <v>46359</v>
      </c>
      <c r="E141" s="2" t="str">
        <f>IFERROR(__xludf.DUMMYFUNCTION("""COMPUTED_VALUE"""),"VF")</f>
        <v>VF</v>
      </c>
      <c r="F141" s="2">
        <f>IFERROR(__xludf.DUMMYFUNCTION("""COMPUTED_VALUE"""),2.0)</f>
        <v>2</v>
      </c>
      <c r="G141" s="2" t="str">
        <f>IFERROR(__xludf.DUMMYFUNCTION("""COMPUTED_VALUE"""),"PR024")</f>
        <v>PR024</v>
      </c>
      <c r="H141" s="2" t="str">
        <f>IFERROR(__xludf.DUMMYFUNCTION("""COMPUTED_VALUE"""),"VD048")</f>
        <v>VD048</v>
      </c>
      <c r="I141" s="2">
        <f>IFERROR(__xludf.DUMMYFUNCTION("""COMPUTED_VALUE"""),16.0)</f>
        <v>16</v>
      </c>
      <c r="J141" s="2">
        <f>IFERROR(__xludf.DUMMYFUNCTION("""COMPUTED_VALUE"""),4823.74)</f>
        <v>4823.74</v>
      </c>
      <c r="K141" s="2">
        <f>IFERROR(__xludf.DUMMYFUNCTION("""COMPUTED_VALUE"""),4823.74)</f>
        <v>4823.74</v>
      </c>
    </row>
    <row r="142">
      <c r="A142" s="2">
        <f>IFERROR(__xludf.DUMMYFUNCTION("""COMPUTED_VALUE"""),1000.0)</f>
        <v>1000</v>
      </c>
      <c r="B142" s="2">
        <f>IFERROR(__xludf.DUMMYFUNCTION("""COMPUTED_VALUE"""),183564.0)</f>
        <v>183564</v>
      </c>
      <c r="C142" s="2">
        <f>IFERROR(__xludf.DUMMYFUNCTION("""COMPUTED_VALUE"""),2026.0)</f>
        <v>2026</v>
      </c>
      <c r="D142" s="2">
        <f>IFERROR(__xludf.DUMMYFUNCTION("""COMPUTED_VALUE"""),46359.0)</f>
        <v>46359</v>
      </c>
      <c r="E142" s="2" t="str">
        <f>IFERROR(__xludf.DUMMYFUNCTION("""COMPUTED_VALUE"""),"VF")</f>
        <v>VF</v>
      </c>
      <c r="F142" s="2">
        <f>IFERROR(__xludf.DUMMYFUNCTION("""COMPUTED_VALUE"""),1.0)</f>
        <v>1</v>
      </c>
      <c r="G142" s="2" t="str">
        <f>IFERROR(__xludf.DUMMYFUNCTION("""COMPUTED_VALUE"""),"PR050")</f>
        <v>PR050</v>
      </c>
      <c r="H142" s="2" t="str">
        <f>IFERROR(__xludf.DUMMYFUNCTION("""COMPUTED_VALUE"""),"VD019")</f>
        <v>VD019</v>
      </c>
      <c r="I142" s="2">
        <f>IFERROR(__xludf.DUMMYFUNCTION("""COMPUTED_VALUE"""),18.0)</f>
        <v>18</v>
      </c>
      <c r="J142" s="2">
        <f>IFERROR(__xludf.DUMMYFUNCTION("""COMPUTED_VALUE"""),681.03)</f>
        <v>681.03</v>
      </c>
      <c r="K142" s="2">
        <f>IFERROR(__xludf.DUMMYFUNCTION("""COMPUTED_VALUE"""),681.03)</f>
        <v>681.03</v>
      </c>
    </row>
    <row r="143">
      <c r="A143" s="2">
        <f>IFERROR(__xludf.DUMMYFUNCTION("""COMPUTED_VALUE"""),2000.0)</f>
        <v>2000</v>
      </c>
      <c r="B143" s="2">
        <f>IFERROR(__xludf.DUMMYFUNCTION("""COMPUTED_VALUE"""),183565.0)</f>
        <v>183565</v>
      </c>
      <c r="C143" s="2">
        <f>IFERROR(__xludf.DUMMYFUNCTION("""COMPUTED_VALUE"""),2026.0)</f>
        <v>2026</v>
      </c>
      <c r="D143" s="2">
        <f>IFERROR(__xludf.DUMMYFUNCTION("""COMPUTED_VALUE"""),46358.0)</f>
        <v>46358</v>
      </c>
      <c r="E143" s="2" t="str">
        <f>IFERROR(__xludf.DUMMYFUNCTION("""COMPUTED_VALUE"""),"VF")</f>
        <v>VF</v>
      </c>
      <c r="F143" s="2">
        <f>IFERROR(__xludf.DUMMYFUNCTION("""COMPUTED_VALUE"""),1.0)</f>
        <v>1</v>
      </c>
      <c r="G143" s="2" t="str">
        <f>IFERROR(__xludf.DUMMYFUNCTION("""COMPUTED_VALUE"""),"PR012")</f>
        <v>PR012</v>
      </c>
      <c r="H143" s="2" t="str">
        <f>IFERROR(__xludf.DUMMYFUNCTION("""COMPUTED_VALUE"""),"VD028")</f>
        <v>VD028</v>
      </c>
      <c r="I143" s="2">
        <f>IFERROR(__xludf.DUMMYFUNCTION("""COMPUTED_VALUE"""),12.0)</f>
        <v>12</v>
      </c>
      <c r="J143" s="2">
        <f>IFERROR(__xludf.DUMMYFUNCTION("""COMPUTED_VALUE"""),692.42)</f>
        <v>692.42</v>
      </c>
      <c r="K143" s="2">
        <f>IFERROR(__xludf.DUMMYFUNCTION("""COMPUTED_VALUE"""),692.42)</f>
        <v>692.42</v>
      </c>
    </row>
    <row r="144">
      <c r="A144" s="2">
        <f>IFERROR(__xludf.DUMMYFUNCTION("""COMPUTED_VALUE"""),1000.0)</f>
        <v>1000</v>
      </c>
      <c r="B144" s="2">
        <f>IFERROR(__xludf.DUMMYFUNCTION("""COMPUTED_VALUE"""),183566.0)</f>
        <v>183566</v>
      </c>
      <c r="C144" s="2">
        <f>IFERROR(__xludf.DUMMYFUNCTION("""COMPUTED_VALUE"""),2026.0)</f>
        <v>2026</v>
      </c>
      <c r="D144" s="2">
        <f>IFERROR(__xludf.DUMMYFUNCTION("""COMPUTED_VALUE"""),46358.0)</f>
        <v>46358</v>
      </c>
      <c r="E144" s="2" t="str">
        <f>IFERROR(__xludf.DUMMYFUNCTION("""COMPUTED_VALUE"""),"VF")</f>
        <v>VF</v>
      </c>
      <c r="F144" s="2">
        <f>IFERROR(__xludf.DUMMYFUNCTION("""COMPUTED_VALUE"""),1.0)</f>
        <v>1</v>
      </c>
      <c r="G144" s="2" t="str">
        <f>IFERROR(__xludf.DUMMYFUNCTION("""COMPUTED_VALUE"""),"PR010")</f>
        <v>PR010</v>
      </c>
      <c r="H144" s="2" t="str">
        <f>IFERROR(__xludf.DUMMYFUNCTION("""COMPUTED_VALUE"""),"VD011")</f>
        <v>VD011</v>
      </c>
      <c r="I144" s="2">
        <f>IFERROR(__xludf.DUMMYFUNCTION("""COMPUTED_VALUE"""),12.0)</f>
        <v>12</v>
      </c>
      <c r="J144" s="2">
        <f>IFERROR(__xludf.DUMMYFUNCTION("""COMPUTED_VALUE"""),646.56)</f>
        <v>646.56</v>
      </c>
      <c r="K144" s="2">
        <f>IFERROR(__xludf.DUMMYFUNCTION("""COMPUTED_VALUE"""),646.56)</f>
        <v>646.56</v>
      </c>
    </row>
    <row r="145">
      <c r="A145" s="2">
        <f>IFERROR(__xludf.DUMMYFUNCTION("""COMPUTED_VALUE"""),2000.0)</f>
        <v>2000</v>
      </c>
      <c r="B145" s="2">
        <f>IFERROR(__xludf.DUMMYFUNCTION("""COMPUTED_VALUE"""),183567.0)</f>
        <v>183567</v>
      </c>
      <c r="C145" s="2">
        <f>IFERROR(__xludf.DUMMYFUNCTION("""COMPUTED_VALUE"""),2026.0)</f>
        <v>2026</v>
      </c>
      <c r="D145" s="2">
        <f>IFERROR(__xludf.DUMMYFUNCTION("""COMPUTED_VALUE"""),46358.0)</f>
        <v>46358</v>
      </c>
      <c r="E145" s="2" t="str">
        <f>IFERROR(__xludf.DUMMYFUNCTION("""COMPUTED_VALUE"""),"VF")</f>
        <v>VF</v>
      </c>
      <c r="F145" s="2">
        <f>IFERROR(__xludf.DUMMYFUNCTION("""COMPUTED_VALUE"""),1.0)</f>
        <v>1</v>
      </c>
      <c r="G145" s="2" t="str">
        <f>IFERROR(__xludf.DUMMYFUNCTION("""COMPUTED_VALUE"""),"PR054")</f>
        <v>PR054</v>
      </c>
      <c r="H145" s="2" t="str">
        <f>IFERROR(__xludf.DUMMYFUNCTION("""COMPUTED_VALUE"""),"VD033")</f>
        <v>VD033</v>
      </c>
      <c r="I145" s="2">
        <f>IFERROR(__xludf.DUMMYFUNCTION("""COMPUTED_VALUE"""),20.0)</f>
        <v>20</v>
      </c>
      <c r="J145" s="2">
        <f>IFERROR(__xludf.DUMMYFUNCTION("""COMPUTED_VALUE"""),1147.7)</f>
        <v>1147.7</v>
      </c>
      <c r="K145" s="2">
        <f>IFERROR(__xludf.DUMMYFUNCTION("""COMPUTED_VALUE"""),1147.7)</f>
        <v>1147.7</v>
      </c>
    </row>
    <row r="146">
      <c r="A146" s="2">
        <f>IFERROR(__xludf.DUMMYFUNCTION("""COMPUTED_VALUE"""),1000.0)</f>
        <v>1000</v>
      </c>
      <c r="B146" s="2">
        <f>IFERROR(__xludf.DUMMYFUNCTION("""COMPUTED_VALUE"""),183568.0)</f>
        <v>183568</v>
      </c>
      <c r="C146" s="2">
        <f>IFERROR(__xludf.DUMMYFUNCTION("""COMPUTED_VALUE"""),2026.0)</f>
        <v>2026</v>
      </c>
      <c r="D146" s="2">
        <f>IFERROR(__xludf.DUMMYFUNCTION("""COMPUTED_VALUE"""),46358.0)</f>
        <v>46358</v>
      </c>
      <c r="E146" s="2" t="str">
        <f>IFERROR(__xludf.DUMMYFUNCTION("""COMPUTED_VALUE"""),"VF")</f>
        <v>VF</v>
      </c>
      <c r="F146" s="2">
        <f>IFERROR(__xludf.DUMMYFUNCTION("""COMPUTED_VALUE"""),1.0)</f>
        <v>1</v>
      </c>
      <c r="G146" s="2" t="str">
        <f>IFERROR(__xludf.DUMMYFUNCTION("""COMPUTED_VALUE"""),"PR007")</f>
        <v>PR007</v>
      </c>
      <c r="H146" s="2" t="str">
        <f>IFERROR(__xludf.DUMMYFUNCTION("""COMPUTED_VALUE"""),"VD031")</f>
        <v>VD031</v>
      </c>
      <c r="I146" s="2">
        <f>IFERROR(__xludf.DUMMYFUNCTION("""COMPUTED_VALUE"""),20.0)</f>
        <v>20</v>
      </c>
      <c r="J146" s="2">
        <f>IFERROR(__xludf.DUMMYFUNCTION("""COMPUTED_VALUE"""),1924.16)</f>
        <v>1924.16</v>
      </c>
      <c r="K146" s="2">
        <f>IFERROR(__xludf.DUMMYFUNCTION("""COMPUTED_VALUE"""),1924.16)</f>
        <v>1924.16</v>
      </c>
    </row>
    <row r="147">
      <c r="A147" s="2">
        <f>IFERROR(__xludf.DUMMYFUNCTION("""COMPUTED_VALUE"""),1000.0)</f>
        <v>1000</v>
      </c>
      <c r="B147" s="2">
        <f>IFERROR(__xludf.DUMMYFUNCTION("""COMPUTED_VALUE"""),183569.0)</f>
        <v>183569</v>
      </c>
      <c r="C147" s="2">
        <f>IFERROR(__xludf.DUMMYFUNCTION("""COMPUTED_VALUE"""),2026.0)</f>
        <v>2026</v>
      </c>
      <c r="D147" s="2">
        <f>IFERROR(__xludf.DUMMYFUNCTION("""COMPUTED_VALUE"""),46357.0)</f>
        <v>46357</v>
      </c>
      <c r="E147" s="2" t="str">
        <f>IFERROR(__xludf.DUMMYFUNCTION("""COMPUTED_VALUE"""),"VF")</f>
        <v>VF</v>
      </c>
      <c r="F147" s="2">
        <f>IFERROR(__xludf.DUMMYFUNCTION("""COMPUTED_VALUE"""),1.0)</f>
        <v>1</v>
      </c>
      <c r="G147" s="2" t="str">
        <f>IFERROR(__xludf.DUMMYFUNCTION("""COMPUTED_VALUE"""),"PR057")</f>
        <v>PR057</v>
      </c>
      <c r="H147" s="2" t="str">
        <f>IFERROR(__xludf.DUMMYFUNCTION("""COMPUTED_VALUE"""),"VD031")</f>
        <v>VD031</v>
      </c>
      <c r="I147" s="2">
        <f>IFERROR(__xludf.DUMMYFUNCTION("""COMPUTED_VALUE"""),30.0)</f>
        <v>30</v>
      </c>
      <c r="J147" s="2">
        <f>IFERROR(__xludf.DUMMYFUNCTION("""COMPUTED_VALUE"""),3020.64)</f>
        <v>3020.64</v>
      </c>
      <c r="K147" s="2">
        <f>IFERROR(__xludf.DUMMYFUNCTION("""COMPUTED_VALUE"""),3020.64)</f>
        <v>3020.64</v>
      </c>
    </row>
    <row r="148">
      <c r="A148" s="2">
        <f>IFERROR(__xludf.DUMMYFUNCTION("""COMPUTED_VALUE"""),2000.0)</f>
        <v>2000</v>
      </c>
      <c r="B148" s="2">
        <f>IFERROR(__xludf.DUMMYFUNCTION("""COMPUTED_VALUE"""),183570.0)</f>
        <v>183570</v>
      </c>
      <c r="C148" s="2">
        <f>IFERROR(__xludf.DUMMYFUNCTION("""COMPUTED_VALUE"""),2026.0)</f>
        <v>2026</v>
      </c>
      <c r="D148" s="2">
        <f>IFERROR(__xludf.DUMMYFUNCTION("""COMPUTED_VALUE"""),46357.0)</f>
        <v>46357</v>
      </c>
      <c r="E148" s="2" t="str">
        <f>IFERROR(__xludf.DUMMYFUNCTION("""COMPUTED_VALUE"""),"VF")</f>
        <v>VF</v>
      </c>
      <c r="F148" s="2">
        <f>IFERROR(__xludf.DUMMYFUNCTION("""COMPUTED_VALUE"""),1.0)</f>
        <v>1</v>
      </c>
      <c r="G148" s="2" t="str">
        <f>IFERROR(__xludf.DUMMYFUNCTION("""COMPUTED_VALUE"""),"PR020")</f>
        <v>PR020</v>
      </c>
      <c r="H148" s="2" t="str">
        <f>IFERROR(__xludf.DUMMYFUNCTION("""COMPUTED_VALUE"""),"VD040")</f>
        <v>VD040</v>
      </c>
      <c r="I148" s="2">
        <f>IFERROR(__xludf.DUMMYFUNCTION("""COMPUTED_VALUE"""),18.0)</f>
        <v>18</v>
      </c>
      <c r="J148" s="2">
        <f>IFERROR(__xludf.DUMMYFUNCTION("""COMPUTED_VALUE"""),5938.02)</f>
        <v>5938.02</v>
      </c>
      <c r="K148" s="2">
        <f>IFERROR(__xludf.DUMMYFUNCTION("""COMPUTED_VALUE"""),5938.02)</f>
        <v>5938.02</v>
      </c>
    </row>
    <row r="149">
      <c r="A149" s="2">
        <f>IFERROR(__xludf.DUMMYFUNCTION("""COMPUTED_VALUE"""),1000.0)</f>
        <v>1000</v>
      </c>
      <c r="B149" s="2">
        <f>IFERROR(__xludf.DUMMYFUNCTION("""COMPUTED_VALUE"""),183571.0)</f>
        <v>183571</v>
      </c>
      <c r="C149" s="2">
        <f>IFERROR(__xludf.DUMMYFUNCTION("""COMPUTED_VALUE"""),2026.0)</f>
        <v>2026</v>
      </c>
      <c r="D149" s="2">
        <f>IFERROR(__xludf.DUMMYFUNCTION("""COMPUTED_VALUE"""),46357.0)</f>
        <v>46357</v>
      </c>
      <c r="E149" s="2" t="str">
        <f>IFERROR(__xludf.DUMMYFUNCTION("""COMPUTED_VALUE"""),"VF")</f>
        <v>VF</v>
      </c>
      <c r="F149" s="2">
        <f>IFERROR(__xludf.DUMMYFUNCTION("""COMPUTED_VALUE"""),1.0)</f>
        <v>1</v>
      </c>
      <c r="G149" s="2" t="str">
        <f>IFERROR(__xludf.DUMMYFUNCTION("""COMPUTED_VALUE"""),"PR053")</f>
        <v>PR053</v>
      </c>
      <c r="H149" s="2" t="str">
        <f>IFERROR(__xludf.DUMMYFUNCTION("""COMPUTED_VALUE"""),"VD019")</f>
        <v>VD019</v>
      </c>
      <c r="I149" s="2">
        <f>IFERROR(__xludf.DUMMYFUNCTION("""COMPUTED_VALUE"""),12.0)</f>
        <v>12</v>
      </c>
      <c r="J149" s="2">
        <f>IFERROR(__xludf.DUMMYFUNCTION("""COMPUTED_VALUE"""),670.66)</f>
        <v>670.66</v>
      </c>
      <c r="K149" s="2">
        <f>IFERROR(__xludf.DUMMYFUNCTION("""COMPUTED_VALUE"""),670.66)</f>
        <v>670.66</v>
      </c>
    </row>
    <row r="150">
      <c r="A150" s="2">
        <f>IFERROR(__xludf.DUMMYFUNCTION("""COMPUTED_VALUE"""),2000.0)</f>
        <v>2000</v>
      </c>
      <c r="B150" s="2">
        <f>IFERROR(__xludf.DUMMYFUNCTION("""COMPUTED_VALUE"""),183572.0)</f>
        <v>183572</v>
      </c>
      <c r="C150" s="2">
        <f>IFERROR(__xludf.DUMMYFUNCTION("""COMPUTED_VALUE"""),2026.0)</f>
        <v>2026</v>
      </c>
      <c r="D150" s="2">
        <f>IFERROR(__xludf.DUMMYFUNCTION("""COMPUTED_VALUE"""),46356.0)</f>
        <v>46356</v>
      </c>
      <c r="E150" s="2" t="str">
        <f>IFERROR(__xludf.DUMMYFUNCTION("""COMPUTED_VALUE"""),"VF")</f>
        <v>VF</v>
      </c>
      <c r="F150" s="2">
        <f>IFERROR(__xludf.DUMMYFUNCTION("""COMPUTED_VALUE"""),1.0)</f>
        <v>1</v>
      </c>
      <c r="G150" s="2" t="str">
        <f>IFERROR(__xludf.DUMMYFUNCTION("""COMPUTED_VALUE"""),"PR049")</f>
        <v>PR049</v>
      </c>
      <c r="H150" s="2" t="str">
        <f>IFERROR(__xludf.DUMMYFUNCTION("""COMPUTED_VALUE"""),"VD016")</f>
        <v>VD016</v>
      </c>
      <c r="I150" s="2">
        <f>IFERROR(__xludf.DUMMYFUNCTION("""COMPUTED_VALUE"""),21.0)</f>
        <v>21</v>
      </c>
      <c r="J150" s="2">
        <f>IFERROR(__xludf.DUMMYFUNCTION("""COMPUTED_VALUE"""),766.9)</f>
        <v>766.9</v>
      </c>
      <c r="K150" s="2">
        <f>IFERROR(__xludf.DUMMYFUNCTION("""COMPUTED_VALUE"""),766.9)</f>
        <v>766.9</v>
      </c>
    </row>
    <row r="151">
      <c r="A151" s="2">
        <f>IFERROR(__xludf.DUMMYFUNCTION("""COMPUTED_VALUE"""),1000.0)</f>
        <v>1000</v>
      </c>
      <c r="B151" s="2">
        <f>IFERROR(__xludf.DUMMYFUNCTION("""COMPUTED_VALUE"""),183572.0)</f>
        <v>183572</v>
      </c>
      <c r="C151" s="2">
        <f>IFERROR(__xludf.DUMMYFUNCTION("""COMPUTED_VALUE"""),2026.0)</f>
        <v>2026</v>
      </c>
      <c r="D151" s="2">
        <f>IFERROR(__xludf.DUMMYFUNCTION("""COMPUTED_VALUE"""),46356.0)</f>
        <v>46356</v>
      </c>
      <c r="E151" s="2" t="str">
        <f>IFERROR(__xludf.DUMMYFUNCTION("""COMPUTED_VALUE"""),"VF")</f>
        <v>VF</v>
      </c>
      <c r="F151" s="2">
        <f>IFERROR(__xludf.DUMMYFUNCTION("""COMPUTED_VALUE"""),2.0)</f>
        <v>2</v>
      </c>
      <c r="G151" s="2" t="str">
        <f>IFERROR(__xludf.DUMMYFUNCTION("""COMPUTED_VALUE"""),"PR026")</f>
        <v>PR026</v>
      </c>
      <c r="H151" s="2" t="str">
        <f>IFERROR(__xludf.DUMMYFUNCTION("""COMPUTED_VALUE"""),"VD018")</f>
        <v>VD018</v>
      </c>
      <c r="I151" s="2">
        <f>IFERROR(__xludf.DUMMYFUNCTION("""COMPUTED_VALUE"""),9.0)</f>
        <v>9</v>
      </c>
      <c r="J151" s="2">
        <f>IFERROR(__xludf.DUMMYFUNCTION("""COMPUTED_VALUE"""),3589.97)</f>
        <v>3589.97</v>
      </c>
      <c r="K151" s="2">
        <f>IFERROR(__xludf.DUMMYFUNCTION("""COMPUTED_VALUE"""),3589.97)</f>
        <v>3589.97</v>
      </c>
    </row>
    <row r="152">
      <c r="A152" s="2">
        <f>IFERROR(__xludf.DUMMYFUNCTION("""COMPUTED_VALUE"""),1000.0)</f>
        <v>1000</v>
      </c>
      <c r="B152" s="2">
        <f>IFERROR(__xludf.DUMMYFUNCTION("""COMPUTED_VALUE"""),183573.0)</f>
        <v>183573</v>
      </c>
      <c r="C152" s="2">
        <f>IFERROR(__xludf.DUMMYFUNCTION("""COMPUTED_VALUE"""),2026.0)</f>
        <v>2026</v>
      </c>
      <c r="D152" s="2">
        <f>IFERROR(__xludf.DUMMYFUNCTION("""COMPUTED_VALUE"""),46356.0)</f>
        <v>46356</v>
      </c>
      <c r="E152" s="2" t="str">
        <f>IFERROR(__xludf.DUMMYFUNCTION("""COMPUTED_VALUE"""),"VF")</f>
        <v>VF</v>
      </c>
      <c r="F152" s="2">
        <f>IFERROR(__xludf.DUMMYFUNCTION("""COMPUTED_VALUE"""),1.0)</f>
        <v>1</v>
      </c>
      <c r="G152" s="2" t="str">
        <f>IFERROR(__xludf.DUMMYFUNCTION("""COMPUTED_VALUE"""),"PR055")</f>
        <v>PR055</v>
      </c>
      <c r="H152" s="2" t="str">
        <f>IFERROR(__xludf.DUMMYFUNCTION("""COMPUTED_VALUE"""),"VD045")</f>
        <v>VD045</v>
      </c>
      <c r="I152" s="2">
        <f>IFERROR(__xludf.DUMMYFUNCTION("""COMPUTED_VALUE"""),27.0)</f>
        <v>27</v>
      </c>
      <c r="J152" s="2">
        <f>IFERROR(__xludf.DUMMYFUNCTION("""COMPUTED_VALUE"""),2815.67)</f>
        <v>2815.67</v>
      </c>
      <c r="K152" s="2">
        <f>IFERROR(__xludf.DUMMYFUNCTION("""COMPUTED_VALUE"""),2815.67)</f>
        <v>2815.67</v>
      </c>
    </row>
    <row r="153">
      <c r="A153" s="2">
        <f>IFERROR(__xludf.DUMMYFUNCTION("""COMPUTED_VALUE"""),1000.0)</f>
        <v>1000</v>
      </c>
      <c r="B153" s="2">
        <f>IFERROR(__xludf.DUMMYFUNCTION("""COMPUTED_VALUE"""),183573.0)</f>
        <v>183573</v>
      </c>
      <c r="C153" s="2">
        <f>IFERROR(__xludf.DUMMYFUNCTION("""COMPUTED_VALUE"""),2026.0)</f>
        <v>2026</v>
      </c>
      <c r="D153" s="2">
        <f>IFERROR(__xludf.DUMMYFUNCTION("""COMPUTED_VALUE"""),46356.0)</f>
        <v>46356</v>
      </c>
      <c r="E153" s="2" t="str">
        <f>IFERROR(__xludf.DUMMYFUNCTION("""COMPUTED_VALUE"""),"VF")</f>
        <v>VF</v>
      </c>
      <c r="F153" s="2">
        <f>IFERROR(__xludf.DUMMYFUNCTION("""COMPUTED_VALUE"""),2.0)</f>
        <v>2</v>
      </c>
      <c r="G153" s="2" t="str">
        <f>IFERROR(__xludf.DUMMYFUNCTION("""COMPUTED_VALUE"""),"PR016")</f>
        <v>PR016</v>
      </c>
      <c r="H153" s="2" t="str">
        <f>IFERROR(__xludf.DUMMYFUNCTION("""COMPUTED_VALUE"""),"VD041")</f>
        <v>VD041</v>
      </c>
      <c r="I153" s="2">
        <f>IFERROR(__xludf.DUMMYFUNCTION("""COMPUTED_VALUE"""),30.0)</f>
        <v>30</v>
      </c>
      <c r="J153" s="2">
        <f>IFERROR(__xludf.DUMMYFUNCTION("""COMPUTED_VALUE"""),901.32)</f>
        <v>901.32</v>
      </c>
      <c r="K153" s="2">
        <f>IFERROR(__xludf.DUMMYFUNCTION("""COMPUTED_VALUE"""),901.32)</f>
        <v>901.32</v>
      </c>
    </row>
    <row r="154">
      <c r="A154" s="2">
        <f>IFERROR(__xludf.DUMMYFUNCTION("""COMPUTED_VALUE"""),1000.0)</f>
        <v>1000</v>
      </c>
      <c r="B154" s="2">
        <f>IFERROR(__xludf.DUMMYFUNCTION("""COMPUTED_VALUE"""),183574.0)</f>
        <v>183574</v>
      </c>
      <c r="C154" s="2">
        <f>IFERROR(__xludf.DUMMYFUNCTION("""COMPUTED_VALUE"""),2026.0)</f>
        <v>2026</v>
      </c>
      <c r="D154" s="2">
        <f>IFERROR(__xludf.DUMMYFUNCTION("""COMPUTED_VALUE"""),46356.0)</f>
        <v>46356</v>
      </c>
      <c r="E154" s="2" t="str">
        <f>IFERROR(__xludf.DUMMYFUNCTION("""COMPUTED_VALUE"""),"VF")</f>
        <v>VF</v>
      </c>
      <c r="F154" s="2">
        <f>IFERROR(__xludf.DUMMYFUNCTION("""COMPUTED_VALUE"""),1.0)</f>
        <v>1</v>
      </c>
      <c r="G154" s="2" t="str">
        <f>IFERROR(__xludf.DUMMYFUNCTION("""COMPUTED_VALUE"""),"PR002")</f>
        <v>PR002</v>
      </c>
      <c r="H154" s="2" t="str">
        <f>IFERROR(__xludf.DUMMYFUNCTION("""COMPUTED_VALUE"""),"VD018")</f>
        <v>VD018</v>
      </c>
      <c r="I154" s="2">
        <f>IFERROR(__xludf.DUMMYFUNCTION("""COMPUTED_VALUE"""),18.0)</f>
        <v>18</v>
      </c>
      <c r="J154" s="2">
        <f>IFERROR(__xludf.DUMMYFUNCTION("""COMPUTED_VALUE"""),1421.77)</f>
        <v>1421.77</v>
      </c>
      <c r="K154" s="2">
        <f>IFERROR(__xludf.DUMMYFUNCTION("""COMPUTED_VALUE"""),1421.77)</f>
        <v>1421.77</v>
      </c>
    </row>
    <row r="155">
      <c r="A155" s="2">
        <f>IFERROR(__xludf.DUMMYFUNCTION("""COMPUTED_VALUE"""),1000.0)</f>
        <v>1000</v>
      </c>
      <c r="B155" s="2">
        <f>IFERROR(__xludf.DUMMYFUNCTION("""COMPUTED_VALUE"""),183575.0)</f>
        <v>183575</v>
      </c>
      <c r="C155" s="2">
        <f>IFERROR(__xludf.DUMMYFUNCTION("""COMPUTED_VALUE"""),2026.0)</f>
        <v>2026</v>
      </c>
      <c r="D155" s="2">
        <f>IFERROR(__xludf.DUMMYFUNCTION("""COMPUTED_VALUE"""),46356.0)</f>
        <v>46356</v>
      </c>
      <c r="E155" s="2" t="str">
        <f>IFERROR(__xludf.DUMMYFUNCTION("""COMPUTED_VALUE"""),"VF")</f>
        <v>VF</v>
      </c>
      <c r="F155" s="2">
        <f>IFERROR(__xludf.DUMMYFUNCTION("""COMPUTED_VALUE"""),1.0)</f>
        <v>1</v>
      </c>
      <c r="G155" s="2" t="str">
        <f>IFERROR(__xludf.DUMMYFUNCTION("""COMPUTED_VALUE"""),"PR021")</f>
        <v>PR021</v>
      </c>
      <c r="H155" s="2" t="str">
        <f>IFERROR(__xludf.DUMMYFUNCTION("""COMPUTED_VALUE"""),"VD013")</f>
        <v>VD013</v>
      </c>
      <c r="I155" s="2">
        <f>IFERROR(__xludf.DUMMYFUNCTION("""COMPUTED_VALUE"""),20.0)</f>
        <v>20</v>
      </c>
      <c r="J155" s="2">
        <f>IFERROR(__xludf.DUMMYFUNCTION("""COMPUTED_VALUE"""),7209.02)</f>
        <v>7209.02</v>
      </c>
      <c r="K155" s="2">
        <f>IFERROR(__xludf.DUMMYFUNCTION("""COMPUTED_VALUE"""),7209.02)</f>
        <v>7209.02</v>
      </c>
    </row>
    <row r="156">
      <c r="A156" s="2">
        <f>IFERROR(__xludf.DUMMYFUNCTION("""COMPUTED_VALUE"""),1000.0)</f>
        <v>1000</v>
      </c>
      <c r="B156" s="2">
        <f>IFERROR(__xludf.DUMMYFUNCTION("""COMPUTED_VALUE"""),183576.0)</f>
        <v>183576</v>
      </c>
      <c r="C156" s="2">
        <f>IFERROR(__xludf.DUMMYFUNCTION("""COMPUTED_VALUE"""),2026.0)</f>
        <v>2026</v>
      </c>
      <c r="D156" s="2">
        <f>IFERROR(__xludf.DUMMYFUNCTION("""COMPUTED_VALUE"""),46355.0)</f>
        <v>46355</v>
      </c>
      <c r="E156" s="2" t="str">
        <f>IFERROR(__xludf.DUMMYFUNCTION("""COMPUTED_VALUE"""),"VF")</f>
        <v>VF</v>
      </c>
      <c r="F156" s="2">
        <f>IFERROR(__xludf.DUMMYFUNCTION("""COMPUTED_VALUE"""),1.0)</f>
        <v>1</v>
      </c>
      <c r="G156" s="2" t="str">
        <f>IFERROR(__xludf.DUMMYFUNCTION("""COMPUTED_VALUE"""),"PR042")</f>
        <v>PR042</v>
      </c>
      <c r="H156" s="2" t="str">
        <f>IFERROR(__xludf.DUMMYFUNCTION("""COMPUTED_VALUE"""),"VD046")</f>
        <v>VD046</v>
      </c>
      <c r="I156" s="2">
        <f>IFERROR(__xludf.DUMMYFUNCTION("""COMPUTED_VALUE"""),30.0)</f>
        <v>30</v>
      </c>
      <c r="J156" s="2">
        <f>IFERROR(__xludf.DUMMYFUNCTION("""COMPUTED_VALUE"""),1811.7)</f>
        <v>1811.7</v>
      </c>
      <c r="K156" s="2">
        <f>IFERROR(__xludf.DUMMYFUNCTION("""COMPUTED_VALUE"""),1811.7)</f>
        <v>1811.7</v>
      </c>
    </row>
    <row r="157">
      <c r="A157" s="2">
        <f>IFERROR(__xludf.DUMMYFUNCTION("""COMPUTED_VALUE"""),1000.0)</f>
        <v>1000</v>
      </c>
      <c r="B157" s="2">
        <f>IFERROR(__xludf.DUMMYFUNCTION("""COMPUTED_VALUE"""),183576.0)</f>
        <v>183576</v>
      </c>
      <c r="C157" s="2">
        <f>IFERROR(__xludf.DUMMYFUNCTION("""COMPUTED_VALUE"""),2026.0)</f>
        <v>2026</v>
      </c>
      <c r="D157" s="2">
        <f>IFERROR(__xludf.DUMMYFUNCTION("""COMPUTED_VALUE"""),46355.0)</f>
        <v>46355</v>
      </c>
      <c r="E157" s="2" t="str">
        <f>IFERROR(__xludf.DUMMYFUNCTION("""COMPUTED_VALUE"""),"VF")</f>
        <v>VF</v>
      </c>
      <c r="F157" s="2">
        <f>IFERROR(__xludf.DUMMYFUNCTION("""COMPUTED_VALUE"""),2.0)</f>
        <v>2</v>
      </c>
      <c r="G157" s="2" t="str">
        <f>IFERROR(__xludf.DUMMYFUNCTION("""COMPUTED_VALUE"""),"PR015")</f>
        <v>PR015</v>
      </c>
      <c r="H157" s="2" t="str">
        <f>IFERROR(__xludf.DUMMYFUNCTION("""COMPUTED_VALUE"""),"VD026")</f>
        <v>VD026</v>
      </c>
      <c r="I157" s="2">
        <f>IFERROR(__xludf.DUMMYFUNCTION("""COMPUTED_VALUE"""),24.0)</f>
        <v>24</v>
      </c>
      <c r="J157" s="2">
        <f>IFERROR(__xludf.DUMMYFUNCTION("""COMPUTED_VALUE"""),1183.2)</f>
        <v>1183.2</v>
      </c>
      <c r="K157" s="2">
        <f>IFERROR(__xludf.DUMMYFUNCTION("""COMPUTED_VALUE"""),1183.2)</f>
        <v>1183.2</v>
      </c>
    </row>
    <row r="158">
      <c r="A158" s="2">
        <f>IFERROR(__xludf.DUMMYFUNCTION("""COMPUTED_VALUE"""),1000.0)</f>
        <v>1000</v>
      </c>
      <c r="B158" s="2">
        <f>IFERROR(__xludf.DUMMYFUNCTION("""COMPUTED_VALUE"""),183577.0)</f>
        <v>183577</v>
      </c>
      <c r="C158" s="2">
        <f>IFERROR(__xludf.DUMMYFUNCTION("""COMPUTED_VALUE"""),2026.0)</f>
        <v>2026</v>
      </c>
      <c r="D158" s="2">
        <f>IFERROR(__xludf.DUMMYFUNCTION("""COMPUTED_VALUE"""),46355.0)</f>
        <v>46355</v>
      </c>
      <c r="E158" s="2" t="str">
        <f>IFERROR(__xludf.DUMMYFUNCTION("""COMPUTED_VALUE"""),"VF")</f>
        <v>VF</v>
      </c>
      <c r="F158" s="2">
        <f>IFERROR(__xludf.DUMMYFUNCTION("""COMPUTED_VALUE"""),1.0)</f>
        <v>1</v>
      </c>
      <c r="G158" s="2" t="str">
        <f>IFERROR(__xludf.DUMMYFUNCTION("""COMPUTED_VALUE"""),"PR015")</f>
        <v>PR015</v>
      </c>
      <c r="H158" s="2" t="str">
        <f>IFERROR(__xludf.DUMMYFUNCTION("""COMPUTED_VALUE"""),"VD044")</f>
        <v>VD044</v>
      </c>
      <c r="I158" s="2">
        <f>IFERROR(__xludf.DUMMYFUNCTION("""COMPUTED_VALUE"""),18.0)</f>
        <v>18</v>
      </c>
      <c r="J158" s="2">
        <f>IFERROR(__xludf.DUMMYFUNCTION("""COMPUTED_VALUE"""),918.0)</f>
        <v>918</v>
      </c>
      <c r="K158" s="2">
        <f>IFERROR(__xludf.DUMMYFUNCTION("""COMPUTED_VALUE"""),918.0)</f>
        <v>918</v>
      </c>
    </row>
    <row r="159">
      <c r="A159" s="2">
        <f>IFERROR(__xludf.DUMMYFUNCTION("""COMPUTED_VALUE"""),1000.0)</f>
        <v>1000</v>
      </c>
      <c r="B159" s="2">
        <f>IFERROR(__xludf.DUMMYFUNCTION("""COMPUTED_VALUE"""),183578.0)</f>
        <v>183578</v>
      </c>
      <c r="C159" s="2">
        <f>IFERROR(__xludf.DUMMYFUNCTION("""COMPUTED_VALUE"""),2026.0)</f>
        <v>2026</v>
      </c>
      <c r="D159" s="2">
        <f>IFERROR(__xludf.DUMMYFUNCTION("""COMPUTED_VALUE"""),46354.0)</f>
        <v>46354</v>
      </c>
      <c r="E159" s="2" t="str">
        <f>IFERROR(__xludf.DUMMYFUNCTION("""COMPUTED_VALUE"""),"VF")</f>
        <v>VF</v>
      </c>
      <c r="F159" s="2">
        <f>IFERROR(__xludf.DUMMYFUNCTION("""COMPUTED_VALUE"""),1.0)</f>
        <v>1</v>
      </c>
      <c r="G159" s="2" t="str">
        <f>IFERROR(__xludf.DUMMYFUNCTION("""COMPUTED_VALUE"""),"PR036")</f>
        <v>PR036</v>
      </c>
      <c r="H159" s="2" t="str">
        <f>IFERROR(__xludf.DUMMYFUNCTION("""COMPUTED_VALUE"""),"VD035")</f>
        <v>VD035</v>
      </c>
      <c r="I159" s="2">
        <f>IFERROR(__xludf.DUMMYFUNCTION("""COMPUTED_VALUE"""),20.0)</f>
        <v>20</v>
      </c>
      <c r="J159" s="2">
        <f>IFERROR(__xludf.DUMMYFUNCTION("""COMPUTED_VALUE"""),2187.9)</f>
        <v>2187.9</v>
      </c>
      <c r="K159" s="2">
        <f>IFERROR(__xludf.DUMMYFUNCTION("""COMPUTED_VALUE"""),2187.9)</f>
        <v>2187.9</v>
      </c>
    </row>
    <row r="160">
      <c r="A160" s="2">
        <f>IFERROR(__xludf.DUMMYFUNCTION("""COMPUTED_VALUE"""),1000.0)</f>
        <v>1000</v>
      </c>
      <c r="B160" s="2">
        <f>IFERROR(__xludf.DUMMYFUNCTION("""COMPUTED_VALUE"""),183579.0)</f>
        <v>183579</v>
      </c>
      <c r="C160" s="2">
        <f>IFERROR(__xludf.DUMMYFUNCTION("""COMPUTED_VALUE"""),2026.0)</f>
        <v>2026</v>
      </c>
      <c r="D160" s="2">
        <f>IFERROR(__xludf.DUMMYFUNCTION("""COMPUTED_VALUE"""),46354.0)</f>
        <v>46354</v>
      </c>
      <c r="E160" s="2" t="str">
        <f>IFERROR(__xludf.DUMMYFUNCTION("""COMPUTED_VALUE"""),"VF")</f>
        <v>VF</v>
      </c>
      <c r="F160" s="2">
        <f>IFERROR(__xludf.DUMMYFUNCTION("""COMPUTED_VALUE"""),1.0)</f>
        <v>1</v>
      </c>
      <c r="G160" s="2" t="str">
        <f>IFERROR(__xludf.DUMMYFUNCTION("""COMPUTED_VALUE"""),"PR029")</f>
        <v>PR029</v>
      </c>
      <c r="H160" s="2" t="str">
        <f>IFERROR(__xludf.DUMMYFUNCTION("""COMPUTED_VALUE"""),"VD040")</f>
        <v>VD040</v>
      </c>
      <c r="I160" s="2">
        <f>IFERROR(__xludf.DUMMYFUNCTION("""COMPUTED_VALUE"""),12.0)</f>
        <v>12</v>
      </c>
      <c r="J160" s="2">
        <f>IFERROR(__xludf.DUMMYFUNCTION("""COMPUTED_VALUE"""),3610.8)</f>
        <v>3610.8</v>
      </c>
      <c r="K160" s="2">
        <f>IFERROR(__xludf.DUMMYFUNCTION("""COMPUTED_VALUE"""),3610.8)</f>
        <v>3610.8</v>
      </c>
    </row>
    <row r="161">
      <c r="A161" s="2">
        <f>IFERROR(__xludf.DUMMYFUNCTION("""COMPUTED_VALUE"""),1000.0)</f>
        <v>1000</v>
      </c>
      <c r="B161" s="2">
        <f>IFERROR(__xludf.DUMMYFUNCTION("""COMPUTED_VALUE"""),183579.0)</f>
        <v>183579</v>
      </c>
      <c r="C161" s="2">
        <f>IFERROR(__xludf.DUMMYFUNCTION("""COMPUTED_VALUE"""),2026.0)</f>
        <v>2026</v>
      </c>
      <c r="D161" s="2">
        <f>IFERROR(__xludf.DUMMYFUNCTION("""COMPUTED_VALUE"""),46354.0)</f>
        <v>46354</v>
      </c>
      <c r="E161" s="2" t="str">
        <f>IFERROR(__xludf.DUMMYFUNCTION("""COMPUTED_VALUE"""),"VF")</f>
        <v>VF</v>
      </c>
      <c r="F161" s="2">
        <f>IFERROR(__xludf.DUMMYFUNCTION("""COMPUTED_VALUE"""),2.0)</f>
        <v>2</v>
      </c>
      <c r="G161" s="2" t="str">
        <f>IFERROR(__xludf.DUMMYFUNCTION("""COMPUTED_VALUE"""),"PR050")</f>
        <v>PR050</v>
      </c>
      <c r="H161" s="2" t="str">
        <f>IFERROR(__xludf.DUMMYFUNCTION("""COMPUTED_VALUE"""),"VD011")</f>
        <v>VD011</v>
      </c>
      <c r="I161" s="2">
        <f>IFERROR(__xludf.DUMMYFUNCTION("""COMPUTED_VALUE"""),18.0)</f>
        <v>18</v>
      </c>
      <c r="J161" s="2">
        <f>IFERROR(__xludf.DUMMYFUNCTION("""COMPUTED_VALUE"""),651.42)</f>
        <v>651.42</v>
      </c>
      <c r="K161" s="2">
        <f>IFERROR(__xludf.DUMMYFUNCTION("""COMPUTED_VALUE"""),651.42)</f>
        <v>651.42</v>
      </c>
    </row>
    <row r="162">
      <c r="A162" s="2">
        <f>IFERROR(__xludf.DUMMYFUNCTION("""COMPUTED_VALUE"""),2000.0)</f>
        <v>2000</v>
      </c>
      <c r="B162" s="2">
        <f>IFERROR(__xludf.DUMMYFUNCTION("""COMPUTED_VALUE"""),183580.0)</f>
        <v>183580</v>
      </c>
      <c r="C162" s="2">
        <f>IFERROR(__xludf.DUMMYFUNCTION("""COMPUTED_VALUE"""),2026.0)</f>
        <v>2026</v>
      </c>
      <c r="D162" s="2">
        <f>IFERROR(__xludf.DUMMYFUNCTION("""COMPUTED_VALUE"""),46354.0)</f>
        <v>46354</v>
      </c>
      <c r="E162" s="2" t="str">
        <f>IFERROR(__xludf.DUMMYFUNCTION("""COMPUTED_VALUE"""),"VF")</f>
        <v>VF</v>
      </c>
      <c r="F162" s="2">
        <f>IFERROR(__xludf.DUMMYFUNCTION("""COMPUTED_VALUE"""),1.0)</f>
        <v>1</v>
      </c>
      <c r="G162" s="2" t="str">
        <f>IFERROR(__xludf.DUMMYFUNCTION("""COMPUTED_VALUE"""),"PR034")</f>
        <v>PR034</v>
      </c>
      <c r="H162" s="2" t="str">
        <f>IFERROR(__xludf.DUMMYFUNCTION("""COMPUTED_VALUE"""),"VD018")</f>
        <v>VD018</v>
      </c>
      <c r="I162" s="2">
        <f>IFERROR(__xludf.DUMMYFUNCTION("""COMPUTED_VALUE"""),9.0)</f>
        <v>9</v>
      </c>
      <c r="J162" s="2">
        <f>IFERROR(__xludf.DUMMYFUNCTION("""COMPUTED_VALUE"""),954.74)</f>
        <v>954.74</v>
      </c>
      <c r="K162" s="2">
        <f>IFERROR(__xludf.DUMMYFUNCTION("""COMPUTED_VALUE"""),954.74)</f>
        <v>954.74</v>
      </c>
    </row>
    <row r="163">
      <c r="A163" s="2">
        <f>IFERROR(__xludf.DUMMYFUNCTION("""COMPUTED_VALUE"""),2000.0)</f>
        <v>2000</v>
      </c>
      <c r="B163" s="2">
        <f>IFERROR(__xludf.DUMMYFUNCTION("""COMPUTED_VALUE"""),183580.0)</f>
        <v>183580</v>
      </c>
      <c r="C163" s="2">
        <f>IFERROR(__xludf.DUMMYFUNCTION("""COMPUTED_VALUE"""),2026.0)</f>
        <v>2026</v>
      </c>
      <c r="D163" s="2">
        <f>IFERROR(__xludf.DUMMYFUNCTION("""COMPUTED_VALUE"""),46354.0)</f>
        <v>46354</v>
      </c>
      <c r="E163" s="2" t="str">
        <f>IFERROR(__xludf.DUMMYFUNCTION("""COMPUTED_VALUE"""),"VF")</f>
        <v>VF</v>
      </c>
      <c r="F163" s="2">
        <f>IFERROR(__xludf.DUMMYFUNCTION("""COMPUTED_VALUE"""),2.0)</f>
        <v>2</v>
      </c>
      <c r="G163" s="2" t="str">
        <f>IFERROR(__xludf.DUMMYFUNCTION("""COMPUTED_VALUE"""),"PR027")</f>
        <v>PR027</v>
      </c>
      <c r="H163" s="2" t="str">
        <f>IFERROR(__xludf.DUMMYFUNCTION("""COMPUTED_VALUE"""),"VD016")</f>
        <v>VD016</v>
      </c>
      <c r="I163" s="2">
        <f>IFERROR(__xludf.DUMMYFUNCTION("""COMPUTED_VALUE"""),10.0)</f>
        <v>10</v>
      </c>
      <c r="J163" s="2">
        <f>IFERROR(__xludf.DUMMYFUNCTION("""COMPUTED_VALUE"""),1428.0)</f>
        <v>1428</v>
      </c>
      <c r="K163" s="2">
        <f>IFERROR(__xludf.DUMMYFUNCTION("""COMPUTED_VALUE"""),1428.0)</f>
        <v>1428</v>
      </c>
    </row>
    <row r="164">
      <c r="A164" s="2">
        <f>IFERROR(__xludf.DUMMYFUNCTION("""COMPUTED_VALUE"""),1000.0)</f>
        <v>1000</v>
      </c>
      <c r="B164" s="2">
        <f>IFERROR(__xludf.DUMMYFUNCTION("""COMPUTED_VALUE"""),183581.0)</f>
        <v>183581</v>
      </c>
      <c r="C164" s="2">
        <f>IFERROR(__xludf.DUMMYFUNCTION("""COMPUTED_VALUE"""),2026.0)</f>
        <v>2026</v>
      </c>
      <c r="D164" s="2">
        <f>IFERROR(__xludf.DUMMYFUNCTION("""COMPUTED_VALUE"""),46354.0)</f>
        <v>46354</v>
      </c>
      <c r="E164" s="2" t="str">
        <f>IFERROR(__xludf.DUMMYFUNCTION("""COMPUTED_VALUE"""),"VF")</f>
        <v>VF</v>
      </c>
      <c r="F164" s="2">
        <f>IFERROR(__xludf.DUMMYFUNCTION("""COMPUTED_VALUE"""),1.0)</f>
        <v>1</v>
      </c>
      <c r="G164" s="2" t="str">
        <f>IFERROR(__xludf.DUMMYFUNCTION("""COMPUTED_VALUE"""),"PR015")</f>
        <v>PR015</v>
      </c>
      <c r="H164" s="2" t="str">
        <f>IFERROR(__xludf.DUMMYFUNCTION("""COMPUTED_VALUE"""),"VD043")</f>
        <v>VD043</v>
      </c>
      <c r="I164" s="2">
        <f>IFERROR(__xludf.DUMMYFUNCTION("""COMPUTED_VALUE"""),18.0)</f>
        <v>18</v>
      </c>
      <c r="J164" s="2">
        <f>IFERROR(__xludf.DUMMYFUNCTION("""COMPUTED_VALUE"""),872.1)</f>
        <v>872.1</v>
      </c>
      <c r="K164" s="2">
        <f>IFERROR(__xludf.DUMMYFUNCTION("""COMPUTED_VALUE"""),872.1)</f>
        <v>872.1</v>
      </c>
    </row>
    <row r="165">
      <c r="A165" s="2">
        <f>IFERROR(__xludf.DUMMYFUNCTION("""COMPUTED_VALUE"""),1000.0)</f>
        <v>1000</v>
      </c>
      <c r="B165" s="2">
        <f>IFERROR(__xludf.DUMMYFUNCTION("""COMPUTED_VALUE"""),183582.0)</f>
        <v>183582</v>
      </c>
      <c r="C165" s="2">
        <f>IFERROR(__xludf.DUMMYFUNCTION("""COMPUTED_VALUE"""),2026.0)</f>
        <v>2026</v>
      </c>
      <c r="D165" s="2">
        <f>IFERROR(__xludf.DUMMYFUNCTION("""COMPUTED_VALUE"""),46354.0)</f>
        <v>46354</v>
      </c>
      <c r="E165" s="2" t="str">
        <f>IFERROR(__xludf.DUMMYFUNCTION("""COMPUTED_VALUE"""),"VF")</f>
        <v>VF</v>
      </c>
      <c r="F165" s="2">
        <f>IFERROR(__xludf.DUMMYFUNCTION("""COMPUTED_VALUE"""),1.0)</f>
        <v>1</v>
      </c>
      <c r="G165" s="2" t="str">
        <f>IFERROR(__xludf.DUMMYFUNCTION("""COMPUTED_VALUE"""),"PR003")</f>
        <v>PR003</v>
      </c>
      <c r="H165" s="2" t="str">
        <f>IFERROR(__xludf.DUMMYFUNCTION("""COMPUTED_VALUE"""),"VD031")</f>
        <v>VD031</v>
      </c>
      <c r="I165" s="2">
        <f>IFERROR(__xludf.DUMMYFUNCTION("""COMPUTED_VALUE"""),9.0)</f>
        <v>9</v>
      </c>
      <c r="J165" s="2">
        <f>IFERROR(__xludf.DUMMYFUNCTION("""COMPUTED_VALUE"""),708.29)</f>
        <v>708.29</v>
      </c>
      <c r="K165" s="2">
        <f>IFERROR(__xludf.DUMMYFUNCTION("""COMPUTED_VALUE"""),708.29)</f>
        <v>708.29</v>
      </c>
    </row>
    <row r="166">
      <c r="A166" s="2">
        <f>IFERROR(__xludf.DUMMYFUNCTION("""COMPUTED_VALUE"""),1000.0)</f>
        <v>1000</v>
      </c>
      <c r="B166" s="2">
        <f>IFERROR(__xludf.DUMMYFUNCTION("""COMPUTED_VALUE"""),183583.0)</f>
        <v>183583</v>
      </c>
      <c r="C166" s="2">
        <f>IFERROR(__xludf.DUMMYFUNCTION("""COMPUTED_VALUE"""),2026.0)</f>
        <v>2026</v>
      </c>
      <c r="D166" s="2">
        <f>IFERROR(__xludf.DUMMYFUNCTION("""COMPUTED_VALUE"""),46354.0)</f>
        <v>46354</v>
      </c>
      <c r="E166" s="2" t="str">
        <f>IFERROR(__xludf.DUMMYFUNCTION("""COMPUTED_VALUE"""),"VF")</f>
        <v>VF</v>
      </c>
      <c r="F166" s="2">
        <f>IFERROR(__xludf.DUMMYFUNCTION("""COMPUTED_VALUE"""),1.0)</f>
        <v>1</v>
      </c>
      <c r="G166" s="2" t="str">
        <f>IFERROR(__xludf.DUMMYFUNCTION("""COMPUTED_VALUE"""),"PR026")</f>
        <v>PR026</v>
      </c>
      <c r="H166" s="2" t="str">
        <f>IFERROR(__xludf.DUMMYFUNCTION("""COMPUTED_VALUE"""),"VD032")</f>
        <v>VD032</v>
      </c>
      <c r="I166" s="2">
        <f>IFERROR(__xludf.DUMMYFUNCTION("""COMPUTED_VALUE"""),10.0)</f>
        <v>10</v>
      </c>
      <c r="J166" s="2">
        <f>IFERROR(__xludf.DUMMYFUNCTION("""COMPUTED_VALUE"""),4128.82)</f>
        <v>4128.82</v>
      </c>
      <c r="K166" s="2">
        <f>IFERROR(__xludf.DUMMYFUNCTION("""COMPUTED_VALUE"""),4128.82)</f>
        <v>4128.82</v>
      </c>
    </row>
    <row r="167">
      <c r="A167" s="2">
        <f>IFERROR(__xludf.DUMMYFUNCTION("""COMPUTED_VALUE"""),1000.0)</f>
        <v>1000</v>
      </c>
      <c r="B167" s="2">
        <f>IFERROR(__xludf.DUMMYFUNCTION("""COMPUTED_VALUE"""),183583.0)</f>
        <v>183583</v>
      </c>
      <c r="C167" s="2">
        <f>IFERROR(__xludf.DUMMYFUNCTION("""COMPUTED_VALUE"""),2026.0)</f>
        <v>2026</v>
      </c>
      <c r="D167" s="2">
        <f>IFERROR(__xludf.DUMMYFUNCTION("""COMPUTED_VALUE"""),46354.0)</f>
        <v>46354</v>
      </c>
      <c r="E167" s="2" t="str">
        <f>IFERROR(__xludf.DUMMYFUNCTION("""COMPUTED_VALUE"""),"VF")</f>
        <v>VF</v>
      </c>
      <c r="F167" s="2">
        <f>IFERROR(__xludf.DUMMYFUNCTION("""COMPUTED_VALUE"""),2.0)</f>
        <v>2</v>
      </c>
      <c r="G167" s="2" t="str">
        <f>IFERROR(__xludf.DUMMYFUNCTION("""COMPUTED_VALUE"""),"PR006")</f>
        <v>PR006</v>
      </c>
      <c r="H167" s="2" t="str">
        <f>IFERROR(__xludf.DUMMYFUNCTION("""COMPUTED_VALUE"""),"VD017")</f>
        <v>VD017</v>
      </c>
      <c r="I167" s="2">
        <f>IFERROR(__xludf.DUMMYFUNCTION("""COMPUTED_VALUE"""),16.0)</f>
        <v>16</v>
      </c>
      <c r="J167" s="2">
        <f>IFERROR(__xludf.DUMMYFUNCTION("""COMPUTED_VALUE"""),766.08)</f>
        <v>766.08</v>
      </c>
      <c r="K167" s="2">
        <f>IFERROR(__xludf.DUMMYFUNCTION("""COMPUTED_VALUE"""),766.08)</f>
        <v>766.08</v>
      </c>
    </row>
    <row r="168">
      <c r="A168" s="2">
        <f>IFERROR(__xludf.DUMMYFUNCTION("""COMPUTED_VALUE"""),2000.0)</f>
        <v>2000</v>
      </c>
      <c r="B168" s="2">
        <f>IFERROR(__xludf.DUMMYFUNCTION("""COMPUTED_VALUE"""),183584.0)</f>
        <v>183584</v>
      </c>
      <c r="C168" s="2">
        <f>IFERROR(__xludf.DUMMYFUNCTION("""COMPUTED_VALUE"""),2026.0)</f>
        <v>2026</v>
      </c>
      <c r="D168" s="2">
        <f>IFERROR(__xludf.DUMMYFUNCTION("""COMPUTED_VALUE"""),46354.0)</f>
        <v>46354</v>
      </c>
      <c r="E168" s="2" t="str">
        <f>IFERROR(__xludf.DUMMYFUNCTION("""COMPUTED_VALUE"""),"VF")</f>
        <v>VF</v>
      </c>
      <c r="F168" s="2">
        <f>IFERROR(__xludf.DUMMYFUNCTION("""COMPUTED_VALUE"""),1.0)</f>
        <v>1</v>
      </c>
      <c r="G168" s="2" t="str">
        <f>IFERROR(__xludf.DUMMYFUNCTION("""COMPUTED_VALUE"""),"PR050")</f>
        <v>PR050</v>
      </c>
      <c r="H168" s="2" t="str">
        <f>IFERROR(__xludf.DUMMYFUNCTION("""COMPUTED_VALUE"""),"VD015")</f>
        <v>VD015</v>
      </c>
      <c r="I168" s="2">
        <f>IFERROR(__xludf.DUMMYFUNCTION("""COMPUTED_VALUE"""),27.0)</f>
        <v>27</v>
      </c>
      <c r="J168" s="2">
        <f>IFERROR(__xludf.DUMMYFUNCTION("""COMPUTED_VALUE"""),1012.66)</f>
        <v>1012.66</v>
      </c>
      <c r="K168" s="2">
        <f>IFERROR(__xludf.DUMMYFUNCTION("""COMPUTED_VALUE"""),1012.66)</f>
        <v>1012.66</v>
      </c>
    </row>
    <row r="169">
      <c r="A169" s="2">
        <f>IFERROR(__xludf.DUMMYFUNCTION("""COMPUTED_VALUE"""),1000.0)</f>
        <v>1000</v>
      </c>
      <c r="B169" s="2">
        <f>IFERROR(__xludf.DUMMYFUNCTION("""COMPUTED_VALUE"""),183584.0)</f>
        <v>183584</v>
      </c>
      <c r="C169" s="2">
        <f>IFERROR(__xludf.DUMMYFUNCTION("""COMPUTED_VALUE"""),2026.0)</f>
        <v>2026</v>
      </c>
      <c r="D169" s="2">
        <f>IFERROR(__xludf.DUMMYFUNCTION("""COMPUTED_VALUE"""),46353.0)</f>
        <v>46353</v>
      </c>
      <c r="E169" s="2" t="str">
        <f>IFERROR(__xludf.DUMMYFUNCTION("""COMPUTED_VALUE"""),"VF")</f>
        <v>VF</v>
      </c>
      <c r="F169" s="2">
        <f>IFERROR(__xludf.DUMMYFUNCTION("""COMPUTED_VALUE"""),2.0)</f>
        <v>2</v>
      </c>
      <c r="G169" s="2" t="str">
        <f>IFERROR(__xludf.DUMMYFUNCTION("""COMPUTED_VALUE"""),"PR009")</f>
        <v>PR009</v>
      </c>
      <c r="H169" s="2" t="str">
        <f>IFERROR(__xludf.DUMMYFUNCTION("""COMPUTED_VALUE"""),"VD040")</f>
        <v>VD040</v>
      </c>
      <c r="I169" s="2">
        <f>IFERROR(__xludf.DUMMYFUNCTION("""COMPUTED_VALUE"""),30.0)</f>
        <v>30</v>
      </c>
      <c r="J169" s="2">
        <f>IFERROR(__xludf.DUMMYFUNCTION("""COMPUTED_VALUE"""),3065.7)</f>
        <v>3065.7</v>
      </c>
      <c r="K169" s="2">
        <f>IFERROR(__xludf.DUMMYFUNCTION("""COMPUTED_VALUE"""),3065.7)</f>
        <v>3065.7</v>
      </c>
    </row>
    <row r="170">
      <c r="A170" s="2">
        <f>IFERROR(__xludf.DUMMYFUNCTION("""COMPUTED_VALUE"""),2000.0)</f>
        <v>2000</v>
      </c>
      <c r="B170" s="2">
        <f>IFERROR(__xludf.DUMMYFUNCTION("""COMPUTED_VALUE"""),183585.0)</f>
        <v>183585</v>
      </c>
      <c r="C170" s="2">
        <f>IFERROR(__xludf.DUMMYFUNCTION("""COMPUTED_VALUE"""),2026.0)</f>
        <v>2026</v>
      </c>
      <c r="D170" s="2">
        <f>IFERROR(__xludf.DUMMYFUNCTION("""COMPUTED_VALUE"""),46353.0)</f>
        <v>46353</v>
      </c>
      <c r="E170" s="2" t="str">
        <f>IFERROR(__xludf.DUMMYFUNCTION("""COMPUTED_VALUE"""),"VF")</f>
        <v>VF</v>
      </c>
      <c r="F170" s="2">
        <f>IFERROR(__xludf.DUMMYFUNCTION("""COMPUTED_VALUE"""),1.0)</f>
        <v>1</v>
      </c>
      <c r="G170" s="2" t="str">
        <f>IFERROR(__xludf.DUMMYFUNCTION("""COMPUTED_VALUE"""),"PR013")</f>
        <v>PR013</v>
      </c>
      <c r="H170" s="2" t="str">
        <f>IFERROR(__xludf.DUMMYFUNCTION("""COMPUTED_VALUE"""),"VD021")</f>
        <v>VD021</v>
      </c>
      <c r="I170" s="2">
        <f>IFERROR(__xludf.DUMMYFUNCTION("""COMPUTED_VALUE"""),15.0)</f>
        <v>15</v>
      </c>
      <c r="J170" s="2">
        <f>IFERROR(__xludf.DUMMYFUNCTION("""COMPUTED_VALUE"""),706.23)</f>
        <v>706.23</v>
      </c>
      <c r="K170" s="2">
        <f>IFERROR(__xludf.DUMMYFUNCTION("""COMPUTED_VALUE"""),706.23)</f>
        <v>706.23</v>
      </c>
    </row>
    <row r="171">
      <c r="A171" s="2">
        <f>IFERROR(__xludf.DUMMYFUNCTION("""COMPUTED_VALUE"""),1000.0)</f>
        <v>1000</v>
      </c>
      <c r="B171" s="2">
        <f>IFERROR(__xludf.DUMMYFUNCTION("""COMPUTED_VALUE"""),183586.0)</f>
        <v>183586</v>
      </c>
      <c r="C171" s="2">
        <f>IFERROR(__xludf.DUMMYFUNCTION("""COMPUTED_VALUE"""),2026.0)</f>
        <v>2026</v>
      </c>
      <c r="D171" s="2">
        <f>IFERROR(__xludf.DUMMYFUNCTION("""COMPUTED_VALUE"""),46352.0)</f>
        <v>46352</v>
      </c>
      <c r="E171" s="2" t="str">
        <f>IFERROR(__xludf.DUMMYFUNCTION("""COMPUTED_VALUE"""),"VF")</f>
        <v>VF</v>
      </c>
      <c r="F171" s="2">
        <f>IFERROR(__xludf.DUMMYFUNCTION("""COMPUTED_VALUE"""),1.0)</f>
        <v>1</v>
      </c>
      <c r="G171" s="2" t="str">
        <f>IFERROR(__xludf.DUMMYFUNCTION("""COMPUTED_VALUE"""),"PR049")</f>
        <v>PR049</v>
      </c>
      <c r="H171" s="2" t="str">
        <f>IFERROR(__xludf.DUMMYFUNCTION("""COMPUTED_VALUE"""),"VD049")</f>
        <v>VD049</v>
      </c>
      <c r="I171" s="2">
        <f>IFERROR(__xludf.DUMMYFUNCTION("""COMPUTED_VALUE"""),21.0)</f>
        <v>21</v>
      </c>
      <c r="J171" s="2">
        <f>IFERROR(__xludf.DUMMYFUNCTION("""COMPUTED_VALUE"""),759.99)</f>
        <v>759.99</v>
      </c>
      <c r="K171" s="2">
        <f>IFERROR(__xludf.DUMMYFUNCTION("""COMPUTED_VALUE"""),759.99)</f>
        <v>759.99</v>
      </c>
    </row>
    <row r="172">
      <c r="A172" s="2">
        <f>IFERROR(__xludf.DUMMYFUNCTION("""COMPUTED_VALUE"""),1000.0)</f>
        <v>1000</v>
      </c>
      <c r="B172" s="2">
        <f>IFERROR(__xludf.DUMMYFUNCTION("""COMPUTED_VALUE"""),183587.0)</f>
        <v>183587</v>
      </c>
      <c r="C172" s="2">
        <f>IFERROR(__xludf.DUMMYFUNCTION("""COMPUTED_VALUE"""),2026.0)</f>
        <v>2026</v>
      </c>
      <c r="D172" s="2">
        <f>IFERROR(__xludf.DUMMYFUNCTION("""COMPUTED_VALUE"""),46352.0)</f>
        <v>46352</v>
      </c>
      <c r="E172" s="2" t="str">
        <f>IFERROR(__xludf.DUMMYFUNCTION("""COMPUTED_VALUE"""),"VF")</f>
        <v>VF</v>
      </c>
      <c r="F172" s="2">
        <f>IFERROR(__xludf.DUMMYFUNCTION("""COMPUTED_VALUE"""),1.0)</f>
        <v>1</v>
      </c>
      <c r="G172" s="2" t="str">
        <f>IFERROR(__xludf.DUMMYFUNCTION("""COMPUTED_VALUE"""),"PR004")</f>
        <v>PR004</v>
      </c>
      <c r="H172" s="2" t="str">
        <f>IFERROR(__xludf.DUMMYFUNCTION("""COMPUTED_VALUE"""),"VD035")</f>
        <v>VD035</v>
      </c>
      <c r="I172" s="2">
        <f>IFERROR(__xludf.DUMMYFUNCTION("""COMPUTED_VALUE"""),18.0)</f>
        <v>18</v>
      </c>
      <c r="J172" s="2">
        <f>IFERROR(__xludf.DUMMYFUNCTION("""COMPUTED_VALUE"""),2923.2)</f>
        <v>2923.2</v>
      </c>
      <c r="K172" s="2">
        <f>IFERROR(__xludf.DUMMYFUNCTION("""COMPUTED_VALUE"""),2923.2)</f>
        <v>2923.2</v>
      </c>
    </row>
    <row r="173">
      <c r="A173" s="2">
        <f>IFERROR(__xludf.DUMMYFUNCTION("""COMPUTED_VALUE"""),2000.0)</f>
        <v>2000</v>
      </c>
      <c r="B173" s="2">
        <f>IFERROR(__xludf.DUMMYFUNCTION("""COMPUTED_VALUE"""),183588.0)</f>
        <v>183588</v>
      </c>
      <c r="C173" s="2">
        <f>IFERROR(__xludf.DUMMYFUNCTION("""COMPUTED_VALUE"""),2026.0)</f>
        <v>2026</v>
      </c>
      <c r="D173" s="2">
        <f>IFERROR(__xludf.DUMMYFUNCTION("""COMPUTED_VALUE"""),46352.0)</f>
        <v>46352</v>
      </c>
      <c r="E173" s="2" t="str">
        <f>IFERROR(__xludf.DUMMYFUNCTION("""COMPUTED_VALUE"""),"VF")</f>
        <v>VF</v>
      </c>
      <c r="F173" s="2">
        <f>IFERROR(__xludf.DUMMYFUNCTION("""COMPUTED_VALUE"""),1.0)</f>
        <v>1</v>
      </c>
      <c r="G173" s="2" t="str">
        <f>IFERROR(__xludf.DUMMYFUNCTION("""COMPUTED_VALUE"""),"PR046")</f>
        <v>PR046</v>
      </c>
      <c r="H173" s="2" t="str">
        <f>IFERROR(__xludf.DUMMYFUNCTION("""COMPUTED_VALUE"""),"VD019")</f>
        <v>VD019</v>
      </c>
      <c r="I173" s="2">
        <f>IFERROR(__xludf.DUMMYFUNCTION("""COMPUTED_VALUE"""),20.0)</f>
        <v>20</v>
      </c>
      <c r="J173" s="2">
        <f>IFERROR(__xludf.DUMMYFUNCTION("""COMPUTED_VALUE"""),6725.68)</f>
        <v>6725.68</v>
      </c>
      <c r="K173" s="2">
        <f>IFERROR(__xludf.DUMMYFUNCTION("""COMPUTED_VALUE"""),6725.68)</f>
        <v>6725.68</v>
      </c>
    </row>
    <row r="174">
      <c r="A174" s="2">
        <f>IFERROR(__xludf.DUMMYFUNCTION("""COMPUTED_VALUE"""),1000.0)</f>
        <v>1000</v>
      </c>
      <c r="B174" s="2">
        <f>IFERROR(__xludf.DUMMYFUNCTION("""COMPUTED_VALUE"""),183589.0)</f>
        <v>183589</v>
      </c>
      <c r="C174" s="2">
        <f>IFERROR(__xludf.DUMMYFUNCTION("""COMPUTED_VALUE"""),2026.0)</f>
        <v>2026</v>
      </c>
      <c r="D174" s="2">
        <f>IFERROR(__xludf.DUMMYFUNCTION("""COMPUTED_VALUE"""),46352.0)</f>
        <v>46352</v>
      </c>
      <c r="E174" s="2" t="str">
        <f>IFERROR(__xludf.DUMMYFUNCTION("""COMPUTED_VALUE"""),"VF")</f>
        <v>VF</v>
      </c>
      <c r="F174" s="2">
        <f>IFERROR(__xludf.DUMMYFUNCTION("""COMPUTED_VALUE"""),1.0)</f>
        <v>1</v>
      </c>
      <c r="G174" s="2" t="str">
        <f>IFERROR(__xludf.DUMMYFUNCTION("""COMPUTED_VALUE"""),"PR047")</f>
        <v>PR047</v>
      </c>
      <c r="H174" s="2" t="str">
        <f>IFERROR(__xludf.DUMMYFUNCTION("""COMPUTED_VALUE"""),"VD046")</f>
        <v>VD046</v>
      </c>
      <c r="I174" s="2">
        <f>IFERROR(__xludf.DUMMYFUNCTION("""COMPUTED_VALUE"""),27.0)</f>
        <v>27</v>
      </c>
      <c r="J174" s="2">
        <f>IFERROR(__xludf.DUMMYFUNCTION("""COMPUTED_VALUE"""),8844.85)</f>
        <v>8844.85</v>
      </c>
      <c r="K174" s="2">
        <f>IFERROR(__xludf.DUMMYFUNCTION("""COMPUTED_VALUE"""),8844.85)</f>
        <v>8844.85</v>
      </c>
    </row>
    <row r="175">
      <c r="A175" s="2">
        <f>IFERROR(__xludf.DUMMYFUNCTION("""COMPUTED_VALUE"""),1000.0)</f>
        <v>1000</v>
      </c>
      <c r="B175" s="2">
        <f>IFERROR(__xludf.DUMMYFUNCTION("""COMPUTED_VALUE"""),183590.0)</f>
        <v>183590</v>
      </c>
      <c r="C175" s="2">
        <f>IFERROR(__xludf.DUMMYFUNCTION("""COMPUTED_VALUE"""),2026.0)</f>
        <v>2026</v>
      </c>
      <c r="D175" s="2">
        <f>IFERROR(__xludf.DUMMYFUNCTION("""COMPUTED_VALUE"""),46352.0)</f>
        <v>46352</v>
      </c>
      <c r="E175" s="2" t="str">
        <f>IFERROR(__xludf.DUMMYFUNCTION("""COMPUTED_VALUE"""),"VF")</f>
        <v>VF</v>
      </c>
      <c r="F175" s="2">
        <f>IFERROR(__xludf.DUMMYFUNCTION("""COMPUTED_VALUE"""),1.0)</f>
        <v>1</v>
      </c>
      <c r="G175" s="2" t="str">
        <f>IFERROR(__xludf.DUMMYFUNCTION("""COMPUTED_VALUE"""),"PR054")</f>
        <v>PR054</v>
      </c>
      <c r="H175" s="2" t="str">
        <f>IFERROR(__xludf.DUMMYFUNCTION("""COMPUTED_VALUE"""),"VD019")</f>
        <v>VD019</v>
      </c>
      <c r="I175" s="2">
        <f>IFERROR(__xludf.DUMMYFUNCTION("""COMPUTED_VALUE"""),18.0)</f>
        <v>18</v>
      </c>
      <c r="J175" s="2">
        <f>IFERROR(__xludf.DUMMYFUNCTION("""COMPUTED_VALUE"""),1077.84)</f>
        <v>1077.84</v>
      </c>
      <c r="K175" s="2">
        <f>IFERROR(__xludf.DUMMYFUNCTION("""COMPUTED_VALUE"""),1077.84)</f>
        <v>1077.84</v>
      </c>
    </row>
    <row r="176">
      <c r="A176" s="2">
        <f>IFERROR(__xludf.DUMMYFUNCTION("""COMPUTED_VALUE"""),1000.0)</f>
        <v>1000</v>
      </c>
      <c r="B176" s="2">
        <f>IFERROR(__xludf.DUMMYFUNCTION("""COMPUTED_VALUE"""),183591.0)</f>
        <v>183591</v>
      </c>
      <c r="C176" s="2">
        <f>IFERROR(__xludf.DUMMYFUNCTION("""COMPUTED_VALUE"""),2026.0)</f>
        <v>2026</v>
      </c>
      <c r="D176" s="2">
        <f>IFERROR(__xludf.DUMMYFUNCTION("""COMPUTED_VALUE"""),46351.0)</f>
        <v>46351</v>
      </c>
      <c r="E176" s="2" t="str">
        <f>IFERROR(__xludf.DUMMYFUNCTION("""COMPUTED_VALUE"""),"VF")</f>
        <v>VF</v>
      </c>
      <c r="F176" s="2">
        <f>IFERROR(__xludf.DUMMYFUNCTION("""COMPUTED_VALUE"""),1.0)</f>
        <v>1</v>
      </c>
      <c r="G176" s="2" t="str">
        <f>IFERROR(__xludf.DUMMYFUNCTION("""COMPUTED_VALUE"""),"PR041")</f>
        <v>PR041</v>
      </c>
      <c r="H176" s="2" t="str">
        <f>IFERROR(__xludf.DUMMYFUNCTION("""COMPUTED_VALUE"""),"VD033")</f>
        <v>VD033</v>
      </c>
      <c r="I176" s="2">
        <f>IFERROR(__xludf.DUMMYFUNCTION("""COMPUTED_VALUE"""),27.0)</f>
        <v>27</v>
      </c>
      <c r="J176" s="2">
        <f>IFERROR(__xludf.DUMMYFUNCTION("""COMPUTED_VALUE"""),1778.76)</f>
        <v>1778.76</v>
      </c>
      <c r="K176" s="2">
        <f>IFERROR(__xludf.DUMMYFUNCTION("""COMPUTED_VALUE"""),1778.76)</f>
        <v>1778.76</v>
      </c>
    </row>
    <row r="177">
      <c r="A177" s="2">
        <f>IFERROR(__xludf.DUMMYFUNCTION("""COMPUTED_VALUE"""),1000.0)</f>
        <v>1000</v>
      </c>
      <c r="B177" s="2">
        <f>IFERROR(__xludf.DUMMYFUNCTION("""COMPUTED_VALUE"""),183592.0)</f>
        <v>183592</v>
      </c>
      <c r="C177" s="2">
        <f>IFERROR(__xludf.DUMMYFUNCTION("""COMPUTED_VALUE"""),2026.0)</f>
        <v>2026</v>
      </c>
      <c r="D177" s="2">
        <f>IFERROR(__xludf.DUMMYFUNCTION("""COMPUTED_VALUE"""),46351.0)</f>
        <v>46351</v>
      </c>
      <c r="E177" s="2" t="str">
        <f>IFERROR(__xludf.DUMMYFUNCTION("""COMPUTED_VALUE"""),"VF")</f>
        <v>VF</v>
      </c>
      <c r="F177" s="2">
        <f>IFERROR(__xludf.DUMMYFUNCTION("""COMPUTED_VALUE"""),1.0)</f>
        <v>1</v>
      </c>
      <c r="G177" s="2" t="str">
        <f>IFERROR(__xludf.DUMMYFUNCTION("""COMPUTED_VALUE"""),"PR024")</f>
        <v>PR024</v>
      </c>
      <c r="H177" s="2" t="str">
        <f>IFERROR(__xludf.DUMMYFUNCTION("""COMPUTED_VALUE"""),"VD018")</f>
        <v>VD018</v>
      </c>
      <c r="I177" s="2">
        <f>IFERROR(__xludf.DUMMYFUNCTION("""COMPUTED_VALUE"""),8.0)</f>
        <v>8</v>
      </c>
      <c r="J177" s="2">
        <f>IFERROR(__xludf.DUMMYFUNCTION("""COMPUTED_VALUE"""),2453.46)</f>
        <v>2453.46</v>
      </c>
      <c r="K177" s="2">
        <f>IFERROR(__xludf.DUMMYFUNCTION("""COMPUTED_VALUE"""),2453.46)</f>
        <v>2453.46</v>
      </c>
    </row>
    <row r="178">
      <c r="A178" s="2">
        <f>IFERROR(__xludf.DUMMYFUNCTION("""COMPUTED_VALUE"""),1000.0)</f>
        <v>1000</v>
      </c>
      <c r="B178" s="2">
        <f>IFERROR(__xludf.DUMMYFUNCTION("""COMPUTED_VALUE"""),183593.0)</f>
        <v>183593</v>
      </c>
      <c r="C178" s="2">
        <f>IFERROR(__xludf.DUMMYFUNCTION("""COMPUTED_VALUE"""),2026.0)</f>
        <v>2026</v>
      </c>
      <c r="D178" s="2">
        <f>IFERROR(__xludf.DUMMYFUNCTION("""COMPUTED_VALUE"""),46351.0)</f>
        <v>46351</v>
      </c>
      <c r="E178" s="2" t="str">
        <f>IFERROR(__xludf.DUMMYFUNCTION("""COMPUTED_VALUE"""),"VF")</f>
        <v>VF</v>
      </c>
      <c r="F178" s="2">
        <f>IFERROR(__xludf.DUMMYFUNCTION("""COMPUTED_VALUE"""),1.0)</f>
        <v>1</v>
      </c>
      <c r="G178" s="2" t="str">
        <f>IFERROR(__xludf.DUMMYFUNCTION("""COMPUTED_VALUE"""),"PR024")</f>
        <v>PR024</v>
      </c>
      <c r="H178" s="2" t="str">
        <f>IFERROR(__xludf.DUMMYFUNCTION("""COMPUTED_VALUE"""),"VD048")</f>
        <v>VD048</v>
      </c>
      <c r="I178" s="2">
        <f>IFERROR(__xludf.DUMMYFUNCTION("""COMPUTED_VALUE"""),15.0)</f>
        <v>15</v>
      </c>
      <c r="J178" s="2">
        <f>IFERROR(__xludf.DUMMYFUNCTION("""COMPUTED_VALUE"""),4678.2)</f>
        <v>4678.2</v>
      </c>
      <c r="K178" s="2">
        <f>IFERROR(__xludf.DUMMYFUNCTION("""COMPUTED_VALUE"""),4678.2)</f>
        <v>4678.2</v>
      </c>
    </row>
    <row r="179">
      <c r="A179" s="2">
        <f>IFERROR(__xludf.DUMMYFUNCTION("""COMPUTED_VALUE"""),1000.0)</f>
        <v>1000</v>
      </c>
      <c r="B179" s="2">
        <f>IFERROR(__xludf.DUMMYFUNCTION("""COMPUTED_VALUE"""),183594.0)</f>
        <v>183594</v>
      </c>
      <c r="C179" s="2">
        <f>IFERROR(__xludf.DUMMYFUNCTION("""COMPUTED_VALUE"""),2026.0)</f>
        <v>2026</v>
      </c>
      <c r="D179" s="2">
        <f>IFERROR(__xludf.DUMMYFUNCTION("""COMPUTED_VALUE"""),46351.0)</f>
        <v>46351</v>
      </c>
      <c r="E179" s="2" t="str">
        <f>IFERROR(__xludf.DUMMYFUNCTION("""COMPUTED_VALUE"""),"VF")</f>
        <v>VF</v>
      </c>
      <c r="F179" s="2">
        <f>IFERROR(__xludf.DUMMYFUNCTION("""COMPUTED_VALUE"""),1.0)</f>
        <v>1</v>
      </c>
      <c r="G179" s="2" t="str">
        <f>IFERROR(__xludf.DUMMYFUNCTION("""COMPUTED_VALUE"""),"PR039")</f>
        <v>PR039</v>
      </c>
      <c r="H179" s="2" t="str">
        <f>IFERROR(__xludf.DUMMYFUNCTION("""COMPUTED_VALUE"""),"VD015")</f>
        <v>VD015</v>
      </c>
      <c r="I179" s="2">
        <f>IFERROR(__xludf.DUMMYFUNCTION("""COMPUTED_VALUE"""),15.0)</f>
        <v>15</v>
      </c>
      <c r="J179" s="2">
        <f>IFERROR(__xludf.DUMMYFUNCTION("""COMPUTED_VALUE"""),2430.9)</f>
        <v>2430.9</v>
      </c>
      <c r="K179" s="2">
        <f>IFERROR(__xludf.DUMMYFUNCTION("""COMPUTED_VALUE"""),2430.9)</f>
        <v>2430.9</v>
      </c>
    </row>
    <row r="180">
      <c r="A180" s="2">
        <f>IFERROR(__xludf.DUMMYFUNCTION("""COMPUTED_VALUE"""),1000.0)</f>
        <v>1000</v>
      </c>
      <c r="B180" s="2">
        <f>IFERROR(__xludf.DUMMYFUNCTION("""COMPUTED_VALUE"""),183595.0)</f>
        <v>183595</v>
      </c>
      <c r="C180" s="2">
        <f>IFERROR(__xludf.DUMMYFUNCTION("""COMPUTED_VALUE"""),2026.0)</f>
        <v>2026</v>
      </c>
      <c r="D180" s="2">
        <f>IFERROR(__xludf.DUMMYFUNCTION("""COMPUTED_VALUE"""),46351.0)</f>
        <v>46351</v>
      </c>
      <c r="E180" s="2" t="str">
        <f>IFERROR(__xludf.DUMMYFUNCTION("""COMPUTED_VALUE"""),"VF")</f>
        <v>VF</v>
      </c>
      <c r="F180" s="2">
        <f>IFERROR(__xludf.DUMMYFUNCTION("""COMPUTED_VALUE"""),1.0)</f>
        <v>1</v>
      </c>
      <c r="G180" s="2" t="str">
        <f>IFERROR(__xludf.DUMMYFUNCTION("""COMPUTED_VALUE"""),"PR032")</f>
        <v>PR032</v>
      </c>
      <c r="H180" s="2" t="str">
        <f>IFERROR(__xludf.DUMMYFUNCTION("""COMPUTED_VALUE"""),"VD016")</f>
        <v>VD016</v>
      </c>
      <c r="I180" s="2">
        <f>IFERROR(__xludf.DUMMYFUNCTION("""COMPUTED_VALUE"""),27.0)</f>
        <v>27</v>
      </c>
      <c r="J180" s="2">
        <f>IFERROR(__xludf.DUMMYFUNCTION("""COMPUTED_VALUE"""),7897.5)</f>
        <v>7897.5</v>
      </c>
      <c r="K180" s="2">
        <f>IFERROR(__xludf.DUMMYFUNCTION("""COMPUTED_VALUE"""),7897.5)</f>
        <v>7897.5</v>
      </c>
    </row>
    <row r="181">
      <c r="A181" s="2">
        <f>IFERROR(__xludf.DUMMYFUNCTION("""COMPUTED_VALUE"""),1000.0)</f>
        <v>1000</v>
      </c>
      <c r="B181" s="2">
        <f>IFERROR(__xludf.DUMMYFUNCTION("""COMPUTED_VALUE"""),183595.0)</f>
        <v>183595</v>
      </c>
      <c r="C181" s="2">
        <f>IFERROR(__xludf.DUMMYFUNCTION("""COMPUTED_VALUE"""),2026.0)</f>
        <v>2026</v>
      </c>
      <c r="D181" s="2">
        <f>IFERROR(__xludf.DUMMYFUNCTION("""COMPUTED_VALUE"""),46351.0)</f>
        <v>46351</v>
      </c>
      <c r="E181" s="2" t="str">
        <f>IFERROR(__xludf.DUMMYFUNCTION("""COMPUTED_VALUE"""),"VF")</f>
        <v>VF</v>
      </c>
      <c r="F181" s="2">
        <f>IFERROR(__xludf.DUMMYFUNCTION("""COMPUTED_VALUE"""),2.0)</f>
        <v>2</v>
      </c>
      <c r="G181" s="2" t="str">
        <f>IFERROR(__xludf.DUMMYFUNCTION("""COMPUTED_VALUE"""),"PR006")</f>
        <v>PR006</v>
      </c>
      <c r="H181" s="2" t="str">
        <f>IFERROR(__xludf.DUMMYFUNCTION("""COMPUTED_VALUE"""),"VD015")</f>
        <v>VD015</v>
      </c>
      <c r="I181" s="2">
        <f>IFERROR(__xludf.DUMMYFUNCTION("""COMPUTED_VALUE"""),24.0)</f>
        <v>24</v>
      </c>
      <c r="J181" s="2">
        <f>IFERROR(__xludf.DUMMYFUNCTION("""COMPUTED_VALUE"""),1139.54)</f>
        <v>1139.54</v>
      </c>
      <c r="K181" s="2">
        <f>IFERROR(__xludf.DUMMYFUNCTION("""COMPUTED_VALUE"""),1139.54)</f>
        <v>1139.54</v>
      </c>
    </row>
    <row r="182">
      <c r="A182" s="2">
        <f>IFERROR(__xludf.DUMMYFUNCTION("""COMPUTED_VALUE"""),2000.0)</f>
        <v>2000</v>
      </c>
      <c r="B182" s="2">
        <f>IFERROR(__xludf.DUMMYFUNCTION("""COMPUTED_VALUE"""),183596.0)</f>
        <v>183596</v>
      </c>
      <c r="C182" s="2">
        <f>IFERROR(__xludf.DUMMYFUNCTION("""COMPUTED_VALUE"""),2026.0)</f>
        <v>2026</v>
      </c>
      <c r="D182" s="2">
        <f>IFERROR(__xludf.DUMMYFUNCTION("""COMPUTED_VALUE"""),46351.0)</f>
        <v>46351</v>
      </c>
      <c r="E182" s="2" t="str">
        <f>IFERROR(__xludf.DUMMYFUNCTION("""COMPUTED_VALUE"""),"VF")</f>
        <v>VF</v>
      </c>
      <c r="F182" s="2">
        <f>IFERROR(__xludf.DUMMYFUNCTION("""COMPUTED_VALUE"""),1.0)</f>
        <v>1</v>
      </c>
      <c r="G182" s="2" t="str">
        <f>IFERROR(__xludf.DUMMYFUNCTION("""COMPUTED_VALUE"""),"PR006")</f>
        <v>PR006</v>
      </c>
      <c r="H182" s="2" t="str">
        <f>IFERROR(__xludf.DUMMYFUNCTION("""COMPUTED_VALUE"""),"VD035")</f>
        <v>VD035</v>
      </c>
      <c r="I182" s="2">
        <f>IFERROR(__xludf.DUMMYFUNCTION("""COMPUTED_VALUE"""),30.0)</f>
        <v>30</v>
      </c>
      <c r="J182" s="2">
        <f>IFERROR(__xludf.DUMMYFUNCTION("""COMPUTED_VALUE"""),1340.64)</f>
        <v>1340.64</v>
      </c>
      <c r="K182" s="2">
        <f>IFERROR(__xludf.DUMMYFUNCTION("""COMPUTED_VALUE"""),1340.64)</f>
        <v>1340.64</v>
      </c>
    </row>
    <row r="183">
      <c r="A183" s="2">
        <f>IFERROR(__xludf.DUMMYFUNCTION("""COMPUTED_VALUE"""),1000.0)</f>
        <v>1000</v>
      </c>
      <c r="B183" s="2">
        <f>IFERROR(__xludf.DUMMYFUNCTION("""COMPUTED_VALUE"""),183597.0)</f>
        <v>183597</v>
      </c>
      <c r="C183" s="2">
        <f>IFERROR(__xludf.DUMMYFUNCTION("""COMPUTED_VALUE"""),2026.0)</f>
        <v>2026</v>
      </c>
      <c r="D183" s="2">
        <f>IFERROR(__xludf.DUMMYFUNCTION("""COMPUTED_VALUE"""),46350.0)</f>
        <v>46350</v>
      </c>
      <c r="E183" s="2" t="str">
        <f>IFERROR(__xludf.DUMMYFUNCTION("""COMPUTED_VALUE"""),"VF")</f>
        <v>VF</v>
      </c>
      <c r="F183" s="2">
        <f>IFERROR(__xludf.DUMMYFUNCTION("""COMPUTED_VALUE"""),1.0)</f>
        <v>1</v>
      </c>
      <c r="G183" s="2" t="str">
        <f>IFERROR(__xludf.DUMMYFUNCTION("""COMPUTED_VALUE"""),"PR051")</f>
        <v>PR051</v>
      </c>
      <c r="H183" s="2" t="str">
        <f>IFERROR(__xludf.DUMMYFUNCTION("""COMPUTED_VALUE"""),"VD024")</f>
        <v>VD024</v>
      </c>
      <c r="I183" s="2">
        <f>IFERROR(__xludf.DUMMYFUNCTION("""COMPUTED_VALUE"""),30.0)</f>
        <v>30</v>
      </c>
      <c r="J183" s="2">
        <f>IFERROR(__xludf.DUMMYFUNCTION("""COMPUTED_VALUE"""),1135.05)</f>
        <v>1135.05</v>
      </c>
      <c r="K183" s="2">
        <f>IFERROR(__xludf.DUMMYFUNCTION("""COMPUTED_VALUE"""),1135.05)</f>
        <v>1135.05</v>
      </c>
    </row>
    <row r="184">
      <c r="A184" s="2">
        <f>IFERROR(__xludf.DUMMYFUNCTION("""COMPUTED_VALUE"""),1000.0)</f>
        <v>1000</v>
      </c>
      <c r="B184" s="2">
        <f>IFERROR(__xludf.DUMMYFUNCTION("""COMPUTED_VALUE"""),183597.0)</f>
        <v>183597</v>
      </c>
      <c r="C184" s="2">
        <f>IFERROR(__xludf.DUMMYFUNCTION("""COMPUTED_VALUE"""),2026.0)</f>
        <v>2026</v>
      </c>
      <c r="D184" s="2">
        <f>IFERROR(__xludf.DUMMYFUNCTION("""COMPUTED_VALUE"""),46350.0)</f>
        <v>46350</v>
      </c>
      <c r="E184" s="2" t="str">
        <f>IFERROR(__xludf.DUMMYFUNCTION("""COMPUTED_VALUE"""),"VF")</f>
        <v>VF</v>
      </c>
      <c r="F184" s="2">
        <f>IFERROR(__xludf.DUMMYFUNCTION("""COMPUTED_VALUE"""),2.0)</f>
        <v>2</v>
      </c>
      <c r="G184" s="2" t="str">
        <f>IFERROR(__xludf.DUMMYFUNCTION("""COMPUTED_VALUE"""),"PR047")</f>
        <v>PR047</v>
      </c>
      <c r="H184" s="2" t="str">
        <f>IFERROR(__xludf.DUMMYFUNCTION("""COMPUTED_VALUE"""),"VD019")</f>
        <v>VD019</v>
      </c>
      <c r="I184" s="2">
        <f>IFERROR(__xludf.DUMMYFUNCTION("""COMPUTED_VALUE"""),27.0)</f>
        <v>27</v>
      </c>
      <c r="J184" s="2">
        <f>IFERROR(__xludf.DUMMYFUNCTION("""COMPUTED_VALUE"""),9157.94)</f>
        <v>9157.94</v>
      </c>
      <c r="K184" s="2">
        <f>IFERROR(__xludf.DUMMYFUNCTION("""COMPUTED_VALUE"""),9157.94)</f>
        <v>9157.94</v>
      </c>
    </row>
    <row r="185">
      <c r="A185" s="2">
        <f>IFERROR(__xludf.DUMMYFUNCTION("""COMPUTED_VALUE"""),1000.0)</f>
        <v>1000</v>
      </c>
      <c r="B185" s="2">
        <f>IFERROR(__xludf.DUMMYFUNCTION("""COMPUTED_VALUE"""),183598.0)</f>
        <v>183598</v>
      </c>
      <c r="C185" s="2">
        <f>IFERROR(__xludf.DUMMYFUNCTION("""COMPUTED_VALUE"""),2026.0)</f>
        <v>2026</v>
      </c>
      <c r="D185" s="2">
        <f>IFERROR(__xludf.DUMMYFUNCTION("""COMPUTED_VALUE"""),46350.0)</f>
        <v>46350</v>
      </c>
      <c r="E185" s="2" t="str">
        <f>IFERROR(__xludf.DUMMYFUNCTION("""COMPUTED_VALUE"""),"VF")</f>
        <v>VF</v>
      </c>
      <c r="F185" s="2">
        <f>IFERROR(__xludf.DUMMYFUNCTION("""COMPUTED_VALUE"""),1.0)</f>
        <v>1</v>
      </c>
      <c r="G185" s="2" t="str">
        <f>IFERROR(__xludf.DUMMYFUNCTION("""COMPUTED_VALUE"""),"PR006")</f>
        <v>PR006</v>
      </c>
      <c r="H185" s="2" t="str">
        <f>IFERROR(__xludf.DUMMYFUNCTION("""COMPUTED_VALUE"""),"VD030")</f>
        <v>VD030</v>
      </c>
      <c r="I185" s="2">
        <f>IFERROR(__xludf.DUMMYFUNCTION("""COMPUTED_VALUE"""),9.0)</f>
        <v>9</v>
      </c>
      <c r="J185" s="2">
        <f>IFERROR(__xludf.DUMMYFUNCTION("""COMPUTED_VALUE"""),395.01)</f>
        <v>395.01</v>
      </c>
      <c r="K185" s="2">
        <f>IFERROR(__xludf.DUMMYFUNCTION("""COMPUTED_VALUE"""),395.01)</f>
        <v>395.01</v>
      </c>
    </row>
    <row r="186">
      <c r="A186" s="2">
        <f>IFERROR(__xludf.DUMMYFUNCTION("""COMPUTED_VALUE"""),1000.0)</f>
        <v>1000</v>
      </c>
      <c r="B186" s="2">
        <f>IFERROR(__xludf.DUMMYFUNCTION("""COMPUTED_VALUE"""),183599.0)</f>
        <v>183599</v>
      </c>
      <c r="C186" s="2">
        <f>IFERROR(__xludf.DUMMYFUNCTION("""COMPUTED_VALUE"""),2026.0)</f>
        <v>2026</v>
      </c>
      <c r="D186" s="2">
        <f>IFERROR(__xludf.DUMMYFUNCTION("""COMPUTED_VALUE"""),46350.0)</f>
        <v>46350</v>
      </c>
      <c r="E186" s="2" t="str">
        <f>IFERROR(__xludf.DUMMYFUNCTION("""COMPUTED_VALUE"""),"VF")</f>
        <v>VF</v>
      </c>
      <c r="F186" s="2">
        <f>IFERROR(__xludf.DUMMYFUNCTION("""COMPUTED_VALUE"""),1.0)</f>
        <v>1</v>
      </c>
      <c r="G186" s="2" t="str">
        <f>IFERROR(__xludf.DUMMYFUNCTION("""COMPUTED_VALUE"""),"PR050")</f>
        <v>PR050</v>
      </c>
      <c r="H186" s="2" t="str">
        <f>IFERROR(__xludf.DUMMYFUNCTION("""COMPUTED_VALUE"""),"VD016")</f>
        <v>VD016</v>
      </c>
      <c r="I186" s="2">
        <f>IFERROR(__xludf.DUMMYFUNCTION("""COMPUTED_VALUE"""),27.0)</f>
        <v>27</v>
      </c>
      <c r="J186" s="2">
        <f>IFERROR(__xludf.DUMMYFUNCTION("""COMPUTED_VALUE"""),1030.43)</f>
        <v>1030.43</v>
      </c>
      <c r="K186" s="2">
        <f>IFERROR(__xludf.DUMMYFUNCTION("""COMPUTED_VALUE"""),1030.43)</f>
        <v>1030.43</v>
      </c>
    </row>
    <row r="187">
      <c r="A187" s="2">
        <f>IFERROR(__xludf.DUMMYFUNCTION("""COMPUTED_VALUE"""),1000.0)</f>
        <v>1000</v>
      </c>
      <c r="B187" s="2">
        <f>IFERROR(__xludf.DUMMYFUNCTION("""COMPUTED_VALUE"""),183600.0)</f>
        <v>183600</v>
      </c>
      <c r="C187" s="2">
        <f>IFERROR(__xludf.DUMMYFUNCTION("""COMPUTED_VALUE"""),2026.0)</f>
        <v>2026</v>
      </c>
      <c r="D187" s="2">
        <f>IFERROR(__xludf.DUMMYFUNCTION("""COMPUTED_VALUE"""),46350.0)</f>
        <v>46350</v>
      </c>
      <c r="E187" s="2" t="str">
        <f>IFERROR(__xludf.DUMMYFUNCTION("""COMPUTED_VALUE"""),"VF")</f>
        <v>VF</v>
      </c>
      <c r="F187" s="2">
        <f>IFERROR(__xludf.DUMMYFUNCTION("""COMPUTED_VALUE"""),1.0)</f>
        <v>1</v>
      </c>
      <c r="G187" s="2" t="str">
        <f>IFERROR(__xludf.DUMMYFUNCTION("""COMPUTED_VALUE"""),"PR019")</f>
        <v>PR019</v>
      </c>
      <c r="H187" s="2" t="str">
        <f>IFERROR(__xludf.DUMMYFUNCTION("""COMPUTED_VALUE"""),"VD042")</f>
        <v>VD042</v>
      </c>
      <c r="I187" s="2">
        <f>IFERROR(__xludf.DUMMYFUNCTION("""COMPUTED_VALUE"""),18.0)</f>
        <v>18</v>
      </c>
      <c r="J187" s="2">
        <f>IFERROR(__xludf.DUMMYFUNCTION("""COMPUTED_VALUE"""),1014.97)</f>
        <v>1014.97</v>
      </c>
      <c r="K187" s="2">
        <f>IFERROR(__xludf.DUMMYFUNCTION("""COMPUTED_VALUE"""),1014.97)</f>
        <v>1014.97</v>
      </c>
    </row>
    <row r="188">
      <c r="A188" s="2">
        <f>IFERROR(__xludf.DUMMYFUNCTION("""COMPUTED_VALUE"""),1000.0)</f>
        <v>1000</v>
      </c>
      <c r="B188" s="2">
        <f>IFERROR(__xludf.DUMMYFUNCTION("""COMPUTED_VALUE"""),183601.0)</f>
        <v>183601</v>
      </c>
      <c r="C188" s="2">
        <f>IFERROR(__xludf.DUMMYFUNCTION("""COMPUTED_VALUE"""),2026.0)</f>
        <v>2026</v>
      </c>
      <c r="D188" s="2">
        <f>IFERROR(__xludf.DUMMYFUNCTION("""COMPUTED_VALUE"""),46350.0)</f>
        <v>46350</v>
      </c>
      <c r="E188" s="2" t="str">
        <f>IFERROR(__xludf.DUMMYFUNCTION("""COMPUTED_VALUE"""),"VF")</f>
        <v>VF</v>
      </c>
      <c r="F188" s="2">
        <f>IFERROR(__xludf.DUMMYFUNCTION("""COMPUTED_VALUE"""),1.0)</f>
        <v>1</v>
      </c>
      <c r="G188" s="2" t="str">
        <f>IFERROR(__xludf.DUMMYFUNCTION("""COMPUTED_VALUE"""),"PR044")</f>
        <v>PR044</v>
      </c>
      <c r="H188" s="2" t="str">
        <f>IFERROR(__xludf.DUMMYFUNCTION("""COMPUTED_VALUE"""),"VD011")</f>
        <v>VD011</v>
      </c>
      <c r="I188" s="2">
        <f>IFERROR(__xludf.DUMMYFUNCTION("""COMPUTED_VALUE"""),27.0)</f>
        <v>27</v>
      </c>
      <c r="J188" s="2">
        <f>IFERROR(__xludf.DUMMYFUNCTION("""COMPUTED_VALUE"""),2153.25)</f>
        <v>2153.25</v>
      </c>
      <c r="K188" s="2">
        <f>IFERROR(__xludf.DUMMYFUNCTION("""COMPUTED_VALUE"""),2153.25)</f>
        <v>2153.25</v>
      </c>
    </row>
    <row r="189">
      <c r="A189" s="2">
        <f>IFERROR(__xludf.DUMMYFUNCTION("""COMPUTED_VALUE"""),1000.0)</f>
        <v>1000</v>
      </c>
      <c r="B189" s="2">
        <f>IFERROR(__xludf.DUMMYFUNCTION("""COMPUTED_VALUE"""),183602.0)</f>
        <v>183602</v>
      </c>
      <c r="C189" s="2">
        <f>IFERROR(__xludf.DUMMYFUNCTION("""COMPUTED_VALUE"""),2026.0)</f>
        <v>2026</v>
      </c>
      <c r="D189" s="2">
        <f>IFERROR(__xludf.DUMMYFUNCTION("""COMPUTED_VALUE"""),46350.0)</f>
        <v>46350</v>
      </c>
      <c r="E189" s="2" t="str">
        <f>IFERROR(__xludf.DUMMYFUNCTION("""COMPUTED_VALUE"""),"VF")</f>
        <v>VF</v>
      </c>
      <c r="F189" s="2">
        <f>IFERROR(__xludf.DUMMYFUNCTION("""COMPUTED_VALUE"""),1.0)</f>
        <v>1</v>
      </c>
      <c r="G189" s="2" t="str">
        <f>IFERROR(__xludf.DUMMYFUNCTION("""COMPUTED_VALUE"""),"PR017")</f>
        <v>PR017</v>
      </c>
      <c r="H189" s="2" t="str">
        <f>IFERROR(__xludf.DUMMYFUNCTION("""COMPUTED_VALUE"""),"VD019")</f>
        <v>VD019</v>
      </c>
      <c r="I189" s="2">
        <f>IFERROR(__xludf.DUMMYFUNCTION("""COMPUTED_VALUE"""),18.0)</f>
        <v>18</v>
      </c>
      <c r="J189" s="2">
        <f>IFERROR(__xludf.DUMMYFUNCTION("""COMPUTED_VALUE"""),613.55)</f>
        <v>613.55</v>
      </c>
      <c r="K189" s="2">
        <f>IFERROR(__xludf.DUMMYFUNCTION("""COMPUTED_VALUE"""),613.55)</f>
        <v>613.55</v>
      </c>
    </row>
    <row r="190">
      <c r="A190" s="2">
        <f>IFERROR(__xludf.DUMMYFUNCTION("""COMPUTED_VALUE"""),2000.0)</f>
        <v>2000</v>
      </c>
      <c r="B190" s="2">
        <f>IFERROR(__xludf.DUMMYFUNCTION("""COMPUTED_VALUE"""),183603.0)</f>
        <v>183603</v>
      </c>
      <c r="C190" s="2">
        <f>IFERROR(__xludf.DUMMYFUNCTION("""COMPUTED_VALUE"""),2026.0)</f>
        <v>2026</v>
      </c>
      <c r="D190" s="2">
        <f>IFERROR(__xludf.DUMMYFUNCTION("""COMPUTED_VALUE"""),46349.0)</f>
        <v>46349</v>
      </c>
      <c r="E190" s="2" t="str">
        <f>IFERROR(__xludf.DUMMYFUNCTION("""COMPUTED_VALUE"""),"VF")</f>
        <v>VF</v>
      </c>
      <c r="F190" s="2">
        <f>IFERROR(__xludf.DUMMYFUNCTION("""COMPUTED_VALUE"""),1.0)</f>
        <v>1</v>
      </c>
      <c r="G190" s="2" t="str">
        <f>IFERROR(__xludf.DUMMYFUNCTION("""COMPUTED_VALUE"""),"PR004")</f>
        <v>PR004</v>
      </c>
      <c r="H190" s="2" t="str">
        <f>IFERROR(__xludf.DUMMYFUNCTION("""COMPUTED_VALUE"""),"VD033")</f>
        <v>VD033</v>
      </c>
      <c r="I190" s="2">
        <f>IFERROR(__xludf.DUMMYFUNCTION("""COMPUTED_VALUE"""),24.0)</f>
        <v>24</v>
      </c>
      <c r="J190" s="2">
        <f>IFERROR(__xludf.DUMMYFUNCTION("""COMPUTED_VALUE"""),4141.2)</f>
        <v>4141.2</v>
      </c>
      <c r="K190" s="2">
        <f>IFERROR(__xludf.DUMMYFUNCTION("""COMPUTED_VALUE"""),4141.2)</f>
        <v>4141.2</v>
      </c>
    </row>
    <row r="191">
      <c r="A191" s="2">
        <f>IFERROR(__xludf.DUMMYFUNCTION("""COMPUTED_VALUE"""),2000.0)</f>
        <v>2000</v>
      </c>
      <c r="B191" s="2">
        <f>IFERROR(__xludf.DUMMYFUNCTION("""COMPUTED_VALUE"""),183604.0)</f>
        <v>183604</v>
      </c>
      <c r="C191" s="2">
        <f>IFERROR(__xludf.DUMMYFUNCTION("""COMPUTED_VALUE"""),2026.0)</f>
        <v>2026</v>
      </c>
      <c r="D191" s="2">
        <f>IFERROR(__xludf.DUMMYFUNCTION("""COMPUTED_VALUE"""),46349.0)</f>
        <v>46349</v>
      </c>
      <c r="E191" s="2" t="str">
        <f>IFERROR(__xludf.DUMMYFUNCTION("""COMPUTED_VALUE"""),"VF")</f>
        <v>VF</v>
      </c>
      <c r="F191" s="2">
        <f>IFERROR(__xludf.DUMMYFUNCTION("""COMPUTED_VALUE"""),1.0)</f>
        <v>1</v>
      </c>
      <c r="G191" s="2" t="str">
        <f>IFERROR(__xludf.DUMMYFUNCTION("""COMPUTED_VALUE"""),"PR059")</f>
        <v>PR059</v>
      </c>
      <c r="H191" s="2" t="str">
        <f>IFERROR(__xludf.DUMMYFUNCTION("""COMPUTED_VALUE"""),"VD028")</f>
        <v>VD028</v>
      </c>
      <c r="I191" s="2">
        <f>IFERROR(__xludf.DUMMYFUNCTION("""COMPUTED_VALUE"""),12.0)</f>
        <v>12</v>
      </c>
      <c r="J191" s="2">
        <f>IFERROR(__xludf.DUMMYFUNCTION("""COMPUTED_VALUE"""),2527.2)</f>
        <v>2527.2</v>
      </c>
      <c r="K191" s="2">
        <f>IFERROR(__xludf.DUMMYFUNCTION("""COMPUTED_VALUE"""),2527.2)</f>
        <v>2527.2</v>
      </c>
    </row>
    <row r="192">
      <c r="A192" s="2">
        <f>IFERROR(__xludf.DUMMYFUNCTION("""COMPUTED_VALUE"""),2000.0)</f>
        <v>2000</v>
      </c>
      <c r="B192" s="2">
        <f>IFERROR(__xludf.DUMMYFUNCTION("""COMPUTED_VALUE"""),183605.0)</f>
        <v>183605</v>
      </c>
      <c r="C192" s="2">
        <f>IFERROR(__xludf.DUMMYFUNCTION("""COMPUTED_VALUE"""),2026.0)</f>
        <v>2026</v>
      </c>
      <c r="D192" s="2">
        <f>IFERROR(__xludf.DUMMYFUNCTION("""COMPUTED_VALUE"""),46349.0)</f>
        <v>46349</v>
      </c>
      <c r="E192" s="2" t="str">
        <f>IFERROR(__xludf.DUMMYFUNCTION("""COMPUTED_VALUE"""),"VF")</f>
        <v>VF</v>
      </c>
      <c r="F192" s="2">
        <f>IFERROR(__xludf.DUMMYFUNCTION("""COMPUTED_VALUE"""),1.0)</f>
        <v>1</v>
      </c>
      <c r="G192" s="2" t="str">
        <f>IFERROR(__xludf.DUMMYFUNCTION("""COMPUTED_VALUE"""),"PR003")</f>
        <v>PR003</v>
      </c>
      <c r="H192" s="2" t="str">
        <f>IFERROR(__xludf.DUMMYFUNCTION("""COMPUTED_VALUE"""),"VD040")</f>
        <v>VD040</v>
      </c>
      <c r="I192" s="2">
        <f>IFERROR(__xludf.DUMMYFUNCTION("""COMPUTED_VALUE"""),16.0)</f>
        <v>16</v>
      </c>
      <c r="J192" s="2">
        <f>IFERROR(__xludf.DUMMYFUNCTION("""COMPUTED_VALUE"""),1247.84)</f>
        <v>1247.84</v>
      </c>
      <c r="K192" s="2">
        <f>IFERROR(__xludf.DUMMYFUNCTION("""COMPUTED_VALUE"""),1247.84)</f>
        <v>1247.84</v>
      </c>
    </row>
    <row r="193">
      <c r="A193" s="2">
        <f>IFERROR(__xludf.DUMMYFUNCTION("""COMPUTED_VALUE"""),2000.0)</f>
        <v>2000</v>
      </c>
      <c r="B193" s="2">
        <f>IFERROR(__xludf.DUMMYFUNCTION("""COMPUTED_VALUE"""),183606.0)</f>
        <v>183606</v>
      </c>
      <c r="C193" s="2">
        <f>IFERROR(__xludf.DUMMYFUNCTION("""COMPUTED_VALUE"""),2026.0)</f>
        <v>2026</v>
      </c>
      <c r="D193" s="2">
        <f>IFERROR(__xludf.DUMMYFUNCTION("""COMPUTED_VALUE"""),46348.0)</f>
        <v>46348</v>
      </c>
      <c r="E193" s="2" t="str">
        <f>IFERROR(__xludf.DUMMYFUNCTION("""COMPUTED_VALUE"""),"VF")</f>
        <v>VF</v>
      </c>
      <c r="F193" s="2">
        <f>IFERROR(__xludf.DUMMYFUNCTION("""COMPUTED_VALUE"""),1.0)</f>
        <v>1</v>
      </c>
      <c r="G193" s="2" t="str">
        <f>IFERROR(__xludf.DUMMYFUNCTION("""COMPUTED_VALUE"""),"PR055")</f>
        <v>PR055</v>
      </c>
      <c r="H193" s="2" t="str">
        <f>IFERROR(__xludf.DUMMYFUNCTION("""COMPUTED_VALUE"""),"VD018")</f>
        <v>VD018</v>
      </c>
      <c r="I193" s="2">
        <f>IFERROR(__xludf.DUMMYFUNCTION("""COMPUTED_VALUE"""),14.0)</f>
        <v>14</v>
      </c>
      <c r="J193" s="2">
        <f>IFERROR(__xludf.DUMMYFUNCTION("""COMPUTED_VALUE"""),1485.15)</f>
        <v>1485.15</v>
      </c>
      <c r="K193" s="2">
        <f>IFERROR(__xludf.DUMMYFUNCTION("""COMPUTED_VALUE"""),1485.15)</f>
        <v>1485.15</v>
      </c>
    </row>
    <row r="194">
      <c r="A194" s="2">
        <f>IFERROR(__xludf.DUMMYFUNCTION("""COMPUTED_VALUE"""),2000.0)</f>
        <v>2000</v>
      </c>
      <c r="B194" s="2">
        <f>IFERROR(__xludf.DUMMYFUNCTION("""COMPUTED_VALUE"""),183607.0)</f>
        <v>183607</v>
      </c>
      <c r="C194" s="2">
        <f>IFERROR(__xludf.DUMMYFUNCTION("""COMPUTED_VALUE"""),2026.0)</f>
        <v>2026</v>
      </c>
      <c r="D194" s="2">
        <f>IFERROR(__xludf.DUMMYFUNCTION("""COMPUTED_VALUE"""),46348.0)</f>
        <v>46348</v>
      </c>
      <c r="E194" s="2" t="str">
        <f>IFERROR(__xludf.DUMMYFUNCTION("""COMPUTED_VALUE"""),"VF")</f>
        <v>VF</v>
      </c>
      <c r="F194" s="2">
        <f>IFERROR(__xludf.DUMMYFUNCTION("""COMPUTED_VALUE"""),1.0)</f>
        <v>1</v>
      </c>
      <c r="G194" s="2" t="str">
        <f>IFERROR(__xludf.DUMMYFUNCTION("""COMPUTED_VALUE"""),"PR041")</f>
        <v>PR041</v>
      </c>
      <c r="H194" s="2" t="str">
        <f>IFERROR(__xludf.DUMMYFUNCTION("""COMPUTED_VALUE"""),"VD031")</f>
        <v>VD031</v>
      </c>
      <c r="I194" s="2">
        <f>IFERROR(__xludf.DUMMYFUNCTION("""COMPUTED_VALUE"""),21.0)</f>
        <v>21</v>
      </c>
      <c r="J194" s="2">
        <f>IFERROR(__xludf.DUMMYFUNCTION("""COMPUTED_VALUE"""),1314.31)</f>
        <v>1314.31</v>
      </c>
      <c r="K194" s="2">
        <f>IFERROR(__xludf.DUMMYFUNCTION("""COMPUTED_VALUE"""),1314.31)</f>
        <v>1314.31</v>
      </c>
    </row>
    <row r="195">
      <c r="A195" s="2">
        <f>IFERROR(__xludf.DUMMYFUNCTION("""COMPUTED_VALUE"""),1000.0)</f>
        <v>1000</v>
      </c>
      <c r="B195" s="2">
        <f>IFERROR(__xludf.DUMMYFUNCTION("""COMPUTED_VALUE"""),183608.0)</f>
        <v>183608</v>
      </c>
      <c r="C195" s="2">
        <f>IFERROR(__xludf.DUMMYFUNCTION("""COMPUTED_VALUE"""),2026.0)</f>
        <v>2026</v>
      </c>
      <c r="D195" s="2">
        <f>IFERROR(__xludf.DUMMYFUNCTION("""COMPUTED_VALUE"""),46348.0)</f>
        <v>46348</v>
      </c>
      <c r="E195" s="2" t="str">
        <f>IFERROR(__xludf.DUMMYFUNCTION("""COMPUTED_VALUE"""),"VF")</f>
        <v>VF</v>
      </c>
      <c r="F195" s="2">
        <f>IFERROR(__xludf.DUMMYFUNCTION("""COMPUTED_VALUE"""),1.0)</f>
        <v>1</v>
      </c>
      <c r="G195" s="2" t="str">
        <f>IFERROR(__xludf.DUMMYFUNCTION("""COMPUTED_VALUE"""),"PR056")</f>
        <v>PR056</v>
      </c>
      <c r="H195" s="2" t="str">
        <f>IFERROR(__xludf.DUMMYFUNCTION("""COMPUTED_VALUE"""),"VD040")</f>
        <v>VD040</v>
      </c>
      <c r="I195" s="2">
        <f>IFERROR(__xludf.DUMMYFUNCTION("""COMPUTED_VALUE"""),16.0)</f>
        <v>16</v>
      </c>
      <c r="J195" s="2">
        <f>IFERROR(__xludf.DUMMYFUNCTION("""COMPUTED_VALUE"""),1639.78)</f>
        <v>1639.78</v>
      </c>
      <c r="K195" s="2">
        <f>IFERROR(__xludf.DUMMYFUNCTION("""COMPUTED_VALUE"""),1639.78)</f>
        <v>1639.78</v>
      </c>
    </row>
    <row r="196">
      <c r="A196" s="2">
        <f>IFERROR(__xludf.DUMMYFUNCTION("""COMPUTED_VALUE"""),1000.0)</f>
        <v>1000</v>
      </c>
      <c r="B196" s="2">
        <f>IFERROR(__xludf.DUMMYFUNCTION("""COMPUTED_VALUE"""),183609.0)</f>
        <v>183609</v>
      </c>
      <c r="C196" s="2">
        <f>IFERROR(__xludf.DUMMYFUNCTION("""COMPUTED_VALUE"""),2026.0)</f>
        <v>2026</v>
      </c>
      <c r="D196" s="2">
        <f>IFERROR(__xludf.DUMMYFUNCTION("""COMPUTED_VALUE"""),46348.0)</f>
        <v>46348</v>
      </c>
      <c r="E196" s="2" t="str">
        <f>IFERROR(__xludf.DUMMYFUNCTION("""COMPUTED_VALUE"""),"VF")</f>
        <v>VF</v>
      </c>
      <c r="F196" s="2">
        <f>IFERROR(__xludf.DUMMYFUNCTION("""COMPUTED_VALUE"""),1.0)</f>
        <v>1</v>
      </c>
      <c r="G196" s="2" t="str">
        <f>IFERROR(__xludf.DUMMYFUNCTION("""COMPUTED_VALUE"""),"PR038")</f>
        <v>PR038</v>
      </c>
      <c r="H196" s="2" t="str">
        <f>IFERROR(__xludf.DUMMYFUNCTION("""COMPUTED_VALUE"""),"VD028")</f>
        <v>VD028</v>
      </c>
      <c r="I196" s="2">
        <f>IFERROR(__xludf.DUMMYFUNCTION("""COMPUTED_VALUE"""),24.0)</f>
        <v>24</v>
      </c>
      <c r="J196" s="2">
        <f>IFERROR(__xludf.DUMMYFUNCTION("""COMPUTED_VALUE"""),3772.56)</f>
        <v>3772.56</v>
      </c>
      <c r="K196" s="2">
        <f>IFERROR(__xludf.DUMMYFUNCTION("""COMPUTED_VALUE"""),3772.56)</f>
        <v>3772.56</v>
      </c>
    </row>
    <row r="197">
      <c r="A197" s="2">
        <f>IFERROR(__xludf.DUMMYFUNCTION("""COMPUTED_VALUE"""),1000.0)</f>
        <v>1000</v>
      </c>
      <c r="B197" s="2">
        <f>IFERROR(__xludf.DUMMYFUNCTION("""COMPUTED_VALUE"""),183610.0)</f>
        <v>183610</v>
      </c>
      <c r="C197" s="2">
        <f>IFERROR(__xludf.DUMMYFUNCTION("""COMPUTED_VALUE"""),2026.0)</f>
        <v>2026</v>
      </c>
      <c r="D197" s="2">
        <f>IFERROR(__xludf.DUMMYFUNCTION("""COMPUTED_VALUE"""),46348.0)</f>
        <v>46348</v>
      </c>
      <c r="E197" s="2" t="str">
        <f>IFERROR(__xludf.DUMMYFUNCTION("""COMPUTED_VALUE"""),"VF")</f>
        <v>VF</v>
      </c>
      <c r="F197" s="2">
        <f>IFERROR(__xludf.DUMMYFUNCTION("""COMPUTED_VALUE"""),1.0)</f>
        <v>1</v>
      </c>
      <c r="G197" s="2" t="str">
        <f>IFERROR(__xludf.DUMMYFUNCTION("""COMPUTED_VALUE"""),"PR022")</f>
        <v>PR022</v>
      </c>
      <c r="H197" s="2" t="str">
        <f>IFERROR(__xludf.DUMMYFUNCTION("""COMPUTED_VALUE"""),"VD045")</f>
        <v>VD045</v>
      </c>
      <c r="I197" s="2">
        <f>IFERROR(__xludf.DUMMYFUNCTION("""COMPUTED_VALUE"""),21.0)</f>
        <v>21</v>
      </c>
      <c r="J197" s="2">
        <f>IFERROR(__xludf.DUMMYFUNCTION("""COMPUTED_VALUE"""),7371.0)</f>
        <v>7371</v>
      </c>
      <c r="K197" s="2">
        <f>IFERROR(__xludf.DUMMYFUNCTION("""COMPUTED_VALUE"""),7371.0)</f>
        <v>7371</v>
      </c>
    </row>
    <row r="198">
      <c r="A198" s="2">
        <f>IFERROR(__xludf.DUMMYFUNCTION("""COMPUTED_VALUE"""),1000.0)</f>
        <v>1000</v>
      </c>
      <c r="B198" s="2">
        <f>IFERROR(__xludf.DUMMYFUNCTION("""COMPUTED_VALUE"""),183610.0)</f>
        <v>183610</v>
      </c>
      <c r="C198" s="2">
        <f>IFERROR(__xludf.DUMMYFUNCTION("""COMPUTED_VALUE"""),2026.0)</f>
        <v>2026</v>
      </c>
      <c r="D198" s="2">
        <f>IFERROR(__xludf.DUMMYFUNCTION("""COMPUTED_VALUE"""),46348.0)</f>
        <v>46348</v>
      </c>
      <c r="E198" s="2" t="str">
        <f>IFERROR(__xludf.DUMMYFUNCTION("""COMPUTED_VALUE"""),"VF")</f>
        <v>VF</v>
      </c>
      <c r="F198" s="2">
        <f>IFERROR(__xludf.DUMMYFUNCTION("""COMPUTED_VALUE"""),2.0)</f>
        <v>2</v>
      </c>
      <c r="G198" s="2" t="str">
        <f>IFERROR(__xludf.DUMMYFUNCTION("""COMPUTED_VALUE"""),"PR023")</f>
        <v>PR023</v>
      </c>
      <c r="H198" s="2" t="str">
        <f>IFERROR(__xludf.DUMMYFUNCTION("""COMPUTED_VALUE"""),"VD024")</f>
        <v>VD024</v>
      </c>
      <c r="I198" s="2">
        <f>IFERROR(__xludf.DUMMYFUNCTION("""COMPUTED_VALUE"""),14.0)</f>
        <v>14</v>
      </c>
      <c r="J198" s="2">
        <f>IFERROR(__xludf.DUMMYFUNCTION("""COMPUTED_VALUE"""),4093.36)</f>
        <v>4093.36</v>
      </c>
      <c r="K198" s="2">
        <f>IFERROR(__xludf.DUMMYFUNCTION("""COMPUTED_VALUE"""),4093.36)</f>
        <v>4093.36</v>
      </c>
    </row>
    <row r="199">
      <c r="A199" s="2">
        <f>IFERROR(__xludf.DUMMYFUNCTION("""COMPUTED_VALUE"""),2000.0)</f>
        <v>2000</v>
      </c>
      <c r="B199" s="2">
        <f>IFERROR(__xludf.DUMMYFUNCTION("""COMPUTED_VALUE"""),183611.0)</f>
        <v>183611</v>
      </c>
      <c r="C199" s="2">
        <f>IFERROR(__xludf.DUMMYFUNCTION("""COMPUTED_VALUE"""),2026.0)</f>
        <v>2026</v>
      </c>
      <c r="D199" s="2">
        <f>IFERROR(__xludf.DUMMYFUNCTION("""COMPUTED_VALUE"""),46348.0)</f>
        <v>46348</v>
      </c>
      <c r="E199" s="2" t="str">
        <f>IFERROR(__xludf.DUMMYFUNCTION("""COMPUTED_VALUE"""),"VF")</f>
        <v>VF</v>
      </c>
      <c r="F199" s="2">
        <f>IFERROR(__xludf.DUMMYFUNCTION("""COMPUTED_VALUE"""),1.0)</f>
        <v>1</v>
      </c>
      <c r="G199" s="2" t="str">
        <f>IFERROR(__xludf.DUMMYFUNCTION("""COMPUTED_VALUE"""),"PR053")</f>
        <v>PR053</v>
      </c>
      <c r="H199" s="2" t="str">
        <f>IFERROR(__xludf.DUMMYFUNCTION("""COMPUTED_VALUE"""),"VD019")</f>
        <v>VD019</v>
      </c>
      <c r="I199" s="2">
        <f>IFERROR(__xludf.DUMMYFUNCTION("""COMPUTED_VALUE"""),21.0)</f>
        <v>21</v>
      </c>
      <c r="J199" s="2">
        <f>IFERROR(__xludf.DUMMYFUNCTION("""COMPUTED_VALUE"""),1152.69)</f>
        <v>1152.69</v>
      </c>
      <c r="K199" s="2">
        <f>IFERROR(__xludf.DUMMYFUNCTION("""COMPUTED_VALUE"""),1152.69)</f>
        <v>1152.69</v>
      </c>
    </row>
    <row r="200">
      <c r="A200" s="2">
        <f>IFERROR(__xludf.DUMMYFUNCTION("""COMPUTED_VALUE"""),2000.0)</f>
        <v>2000</v>
      </c>
      <c r="B200" s="2">
        <f>IFERROR(__xludf.DUMMYFUNCTION("""COMPUTED_VALUE"""),183611.0)</f>
        <v>183611</v>
      </c>
      <c r="C200" s="2">
        <f>IFERROR(__xludf.DUMMYFUNCTION("""COMPUTED_VALUE"""),2026.0)</f>
        <v>2026</v>
      </c>
      <c r="D200" s="2">
        <f>IFERROR(__xludf.DUMMYFUNCTION("""COMPUTED_VALUE"""),46347.0)</f>
        <v>46347</v>
      </c>
      <c r="E200" s="2" t="str">
        <f>IFERROR(__xludf.DUMMYFUNCTION("""COMPUTED_VALUE"""),"VF")</f>
        <v>VF</v>
      </c>
      <c r="F200" s="2">
        <f>IFERROR(__xludf.DUMMYFUNCTION("""COMPUTED_VALUE"""),2.0)</f>
        <v>2</v>
      </c>
      <c r="G200" s="2" t="str">
        <f>IFERROR(__xludf.DUMMYFUNCTION("""COMPUTED_VALUE"""),"PR046")</f>
        <v>PR046</v>
      </c>
      <c r="H200" s="2" t="str">
        <f>IFERROR(__xludf.DUMMYFUNCTION("""COMPUTED_VALUE"""),"VD047")</f>
        <v>VD047</v>
      </c>
      <c r="I200" s="2">
        <f>IFERROR(__xludf.DUMMYFUNCTION("""COMPUTED_VALUE"""),16.0)</f>
        <v>16</v>
      </c>
      <c r="J200" s="2">
        <f>IFERROR(__xludf.DUMMYFUNCTION("""COMPUTED_VALUE"""),5566.08)</f>
        <v>5566.08</v>
      </c>
      <c r="K200" s="2">
        <f>IFERROR(__xludf.DUMMYFUNCTION("""COMPUTED_VALUE"""),5566.08)</f>
        <v>5566.08</v>
      </c>
    </row>
    <row r="201">
      <c r="A201" s="2">
        <f>IFERROR(__xludf.DUMMYFUNCTION("""COMPUTED_VALUE"""),1000.0)</f>
        <v>1000</v>
      </c>
      <c r="B201" s="2">
        <f>IFERROR(__xludf.DUMMYFUNCTION("""COMPUTED_VALUE"""),183612.0)</f>
        <v>183612</v>
      </c>
      <c r="C201" s="2">
        <f>IFERROR(__xludf.DUMMYFUNCTION("""COMPUTED_VALUE"""),2026.0)</f>
        <v>2026</v>
      </c>
      <c r="D201" s="2">
        <f>IFERROR(__xludf.DUMMYFUNCTION("""COMPUTED_VALUE"""),46347.0)</f>
        <v>46347</v>
      </c>
      <c r="E201" s="2" t="str">
        <f>IFERROR(__xludf.DUMMYFUNCTION("""COMPUTED_VALUE"""),"VF")</f>
        <v>VF</v>
      </c>
      <c r="F201" s="2">
        <f>IFERROR(__xludf.DUMMYFUNCTION("""COMPUTED_VALUE"""),1.0)</f>
        <v>1</v>
      </c>
      <c r="G201" s="2" t="str">
        <f>IFERROR(__xludf.DUMMYFUNCTION("""COMPUTED_VALUE"""),"PR048")</f>
        <v>PR048</v>
      </c>
      <c r="H201" s="2" t="str">
        <f>IFERROR(__xludf.DUMMYFUNCTION("""COMPUTED_VALUE"""),"VD027")</f>
        <v>VD027</v>
      </c>
      <c r="I201" s="2">
        <f>IFERROR(__xludf.DUMMYFUNCTION("""COMPUTED_VALUE"""),27.0)</f>
        <v>27</v>
      </c>
      <c r="J201" s="2">
        <f>IFERROR(__xludf.DUMMYFUNCTION("""COMPUTED_VALUE"""),9392.76)</f>
        <v>9392.76</v>
      </c>
      <c r="K201" s="2">
        <f>IFERROR(__xludf.DUMMYFUNCTION("""COMPUTED_VALUE"""),9392.76)</f>
        <v>9392.76</v>
      </c>
    </row>
    <row r="202">
      <c r="A202" s="2">
        <f>IFERROR(__xludf.DUMMYFUNCTION("""COMPUTED_VALUE"""),1000.0)</f>
        <v>1000</v>
      </c>
      <c r="B202" s="2">
        <f>IFERROR(__xludf.DUMMYFUNCTION("""COMPUTED_VALUE"""),183612.0)</f>
        <v>183612</v>
      </c>
      <c r="C202" s="2">
        <f>IFERROR(__xludf.DUMMYFUNCTION("""COMPUTED_VALUE"""),2026.0)</f>
        <v>2026</v>
      </c>
      <c r="D202" s="2">
        <f>IFERROR(__xludf.DUMMYFUNCTION("""COMPUTED_VALUE"""),46346.0)</f>
        <v>46346</v>
      </c>
      <c r="E202" s="2" t="str">
        <f>IFERROR(__xludf.DUMMYFUNCTION("""COMPUTED_VALUE"""),"VF")</f>
        <v>VF</v>
      </c>
      <c r="F202" s="2">
        <f>IFERROR(__xludf.DUMMYFUNCTION("""COMPUTED_VALUE"""),2.0)</f>
        <v>2</v>
      </c>
      <c r="G202" s="2" t="str">
        <f>IFERROR(__xludf.DUMMYFUNCTION("""COMPUTED_VALUE"""),"PR055")</f>
        <v>PR055</v>
      </c>
      <c r="H202" s="2" t="str">
        <f>IFERROR(__xludf.DUMMYFUNCTION("""COMPUTED_VALUE"""),"VD033")</f>
        <v>VD033</v>
      </c>
      <c r="I202" s="2">
        <f>IFERROR(__xludf.DUMMYFUNCTION("""COMPUTED_VALUE"""),14.0)</f>
        <v>14</v>
      </c>
      <c r="J202" s="2">
        <f>IFERROR(__xludf.DUMMYFUNCTION("""COMPUTED_VALUE"""),1397.05)</f>
        <v>1397.05</v>
      </c>
      <c r="K202" s="2">
        <f>IFERROR(__xludf.DUMMYFUNCTION("""COMPUTED_VALUE"""),1397.05)</f>
        <v>1397.05</v>
      </c>
    </row>
    <row r="203">
      <c r="A203" s="2">
        <f>IFERROR(__xludf.DUMMYFUNCTION("""COMPUTED_VALUE"""),1000.0)</f>
        <v>1000</v>
      </c>
      <c r="B203" s="2">
        <f>IFERROR(__xludf.DUMMYFUNCTION("""COMPUTED_VALUE"""),183613.0)</f>
        <v>183613</v>
      </c>
      <c r="C203" s="2">
        <f>IFERROR(__xludf.DUMMYFUNCTION("""COMPUTED_VALUE"""),2026.0)</f>
        <v>2026</v>
      </c>
      <c r="D203" s="2">
        <f>IFERROR(__xludf.DUMMYFUNCTION("""COMPUTED_VALUE"""),46346.0)</f>
        <v>46346</v>
      </c>
      <c r="E203" s="2" t="str">
        <f>IFERROR(__xludf.DUMMYFUNCTION("""COMPUTED_VALUE"""),"VF")</f>
        <v>VF</v>
      </c>
      <c r="F203" s="2">
        <f>IFERROR(__xludf.DUMMYFUNCTION("""COMPUTED_VALUE"""),1.0)</f>
        <v>1</v>
      </c>
      <c r="G203" s="2" t="str">
        <f>IFERROR(__xludf.DUMMYFUNCTION("""COMPUTED_VALUE"""),"PR017")</f>
        <v>PR017</v>
      </c>
      <c r="H203" s="2" t="str">
        <f>IFERROR(__xludf.DUMMYFUNCTION("""COMPUTED_VALUE"""),"VD036")</f>
        <v>VD036</v>
      </c>
      <c r="I203" s="2">
        <f>IFERROR(__xludf.DUMMYFUNCTION("""COMPUTED_VALUE"""),21.0)</f>
        <v>21</v>
      </c>
      <c r="J203" s="2">
        <f>IFERROR(__xludf.DUMMYFUNCTION("""COMPUTED_VALUE"""),753.48)</f>
        <v>753.48</v>
      </c>
      <c r="K203" s="2">
        <f>IFERROR(__xludf.DUMMYFUNCTION("""COMPUTED_VALUE"""),753.48)</f>
        <v>753.48</v>
      </c>
    </row>
    <row r="204">
      <c r="A204" s="2">
        <f>IFERROR(__xludf.DUMMYFUNCTION("""COMPUTED_VALUE"""),2000.0)</f>
        <v>2000</v>
      </c>
      <c r="B204" s="2">
        <f>IFERROR(__xludf.DUMMYFUNCTION("""COMPUTED_VALUE"""),183613.0)</f>
        <v>183613</v>
      </c>
      <c r="C204" s="2">
        <f>IFERROR(__xludf.DUMMYFUNCTION("""COMPUTED_VALUE"""),2026.0)</f>
        <v>2026</v>
      </c>
      <c r="D204" s="2">
        <f>IFERROR(__xludf.DUMMYFUNCTION("""COMPUTED_VALUE"""),46346.0)</f>
        <v>46346</v>
      </c>
      <c r="E204" s="2" t="str">
        <f>IFERROR(__xludf.DUMMYFUNCTION("""COMPUTED_VALUE"""),"VF")</f>
        <v>VF</v>
      </c>
      <c r="F204" s="2">
        <f>IFERROR(__xludf.DUMMYFUNCTION("""COMPUTED_VALUE"""),2.0)</f>
        <v>2</v>
      </c>
      <c r="G204" s="2" t="str">
        <f>IFERROR(__xludf.DUMMYFUNCTION("""COMPUTED_VALUE"""),"PR029")</f>
        <v>PR029</v>
      </c>
      <c r="H204" s="2" t="str">
        <f>IFERROR(__xludf.DUMMYFUNCTION("""COMPUTED_VALUE"""),"VD035")</f>
        <v>VD035</v>
      </c>
      <c r="I204" s="2">
        <f>IFERROR(__xludf.DUMMYFUNCTION("""COMPUTED_VALUE"""),12.0)</f>
        <v>12</v>
      </c>
      <c r="J204" s="2">
        <f>IFERROR(__xludf.DUMMYFUNCTION("""COMPUTED_VALUE"""),3610.8)</f>
        <v>3610.8</v>
      </c>
      <c r="K204" s="2">
        <f>IFERROR(__xludf.DUMMYFUNCTION("""COMPUTED_VALUE"""),3610.8)</f>
        <v>3610.8</v>
      </c>
    </row>
    <row r="205">
      <c r="A205" s="2">
        <f>IFERROR(__xludf.DUMMYFUNCTION("""COMPUTED_VALUE"""),2000.0)</f>
        <v>2000</v>
      </c>
      <c r="B205" s="2">
        <f>IFERROR(__xludf.DUMMYFUNCTION("""COMPUTED_VALUE"""),183614.0)</f>
        <v>183614</v>
      </c>
      <c r="C205" s="2">
        <f>IFERROR(__xludf.DUMMYFUNCTION("""COMPUTED_VALUE"""),2026.0)</f>
        <v>2026</v>
      </c>
      <c r="D205" s="2">
        <f>IFERROR(__xludf.DUMMYFUNCTION("""COMPUTED_VALUE"""),46346.0)</f>
        <v>46346</v>
      </c>
      <c r="E205" s="2" t="str">
        <f>IFERROR(__xludf.DUMMYFUNCTION("""COMPUTED_VALUE"""),"VF")</f>
        <v>VF</v>
      </c>
      <c r="F205" s="2">
        <f>IFERROR(__xludf.DUMMYFUNCTION("""COMPUTED_VALUE"""),1.0)</f>
        <v>1</v>
      </c>
      <c r="G205" s="2" t="str">
        <f>IFERROR(__xludf.DUMMYFUNCTION("""COMPUTED_VALUE"""),"PR005")</f>
        <v>PR005</v>
      </c>
      <c r="H205" s="2" t="str">
        <f>IFERROR(__xludf.DUMMYFUNCTION("""COMPUTED_VALUE"""),"VD037")</f>
        <v>VD037</v>
      </c>
      <c r="I205" s="2">
        <f>IFERROR(__xludf.DUMMYFUNCTION("""COMPUTED_VALUE"""),20.0)</f>
        <v>20</v>
      </c>
      <c r="J205" s="2">
        <f>IFERROR(__xludf.DUMMYFUNCTION("""COMPUTED_VALUE"""),6185.62)</f>
        <v>6185.62</v>
      </c>
      <c r="K205" s="2">
        <f>IFERROR(__xludf.DUMMYFUNCTION("""COMPUTED_VALUE"""),6185.62)</f>
        <v>6185.62</v>
      </c>
    </row>
    <row r="206">
      <c r="A206" s="2">
        <f>IFERROR(__xludf.DUMMYFUNCTION("""COMPUTED_VALUE"""),2000.0)</f>
        <v>2000</v>
      </c>
      <c r="B206" s="2">
        <f>IFERROR(__xludf.DUMMYFUNCTION("""COMPUTED_VALUE"""),183615.0)</f>
        <v>183615</v>
      </c>
      <c r="C206" s="2">
        <f>IFERROR(__xludf.DUMMYFUNCTION("""COMPUTED_VALUE"""),2026.0)</f>
        <v>2026</v>
      </c>
      <c r="D206" s="2">
        <f>IFERROR(__xludf.DUMMYFUNCTION("""COMPUTED_VALUE"""),46346.0)</f>
        <v>46346</v>
      </c>
      <c r="E206" s="2" t="str">
        <f>IFERROR(__xludf.DUMMYFUNCTION("""COMPUTED_VALUE"""),"VF")</f>
        <v>VF</v>
      </c>
      <c r="F206" s="2">
        <f>IFERROR(__xludf.DUMMYFUNCTION("""COMPUTED_VALUE"""),1.0)</f>
        <v>1</v>
      </c>
      <c r="G206" s="2" t="str">
        <f>IFERROR(__xludf.DUMMYFUNCTION("""COMPUTED_VALUE"""),"PR058")</f>
        <v>PR058</v>
      </c>
      <c r="H206" s="2" t="str">
        <f>IFERROR(__xludf.DUMMYFUNCTION("""COMPUTED_VALUE"""),"VD048")</f>
        <v>VD048</v>
      </c>
      <c r="I206" s="2">
        <f>IFERROR(__xludf.DUMMYFUNCTION("""COMPUTED_VALUE"""),15.0)</f>
        <v>15</v>
      </c>
      <c r="J206" s="2">
        <f>IFERROR(__xludf.DUMMYFUNCTION("""COMPUTED_VALUE"""),3105.0)</f>
        <v>3105</v>
      </c>
      <c r="K206" s="2">
        <f>IFERROR(__xludf.DUMMYFUNCTION("""COMPUTED_VALUE"""),3105.0)</f>
        <v>3105</v>
      </c>
    </row>
    <row r="207">
      <c r="A207" s="2">
        <f>IFERROR(__xludf.DUMMYFUNCTION("""COMPUTED_VALUE"""),1000.0)</f>
        <v>1000</v>
      </c>
      <c r="B207" s="2">
        <f>IFERROR(__xludf.DUMMYFUNCTION("""COMPUTED_VALUE"""),183616.0)</f>
        <v>183616</v>
      </c>
      <c r="C207" s="2">
        <f>IFERROR(__xludf.DUMMYFUNCTION("""COMPUTED_VALUE"""),2026.0)</f>
        <v>2026</v>
      </c>
      <c r="D207" s="2">
        <f>IFERROR(__xludf.DUMMYFUNCTION("""COMPUTED_VALUE"""),46346.0)</f>
        <v>46346</v>
      </c>
      <c r="E207" s="2" t="str">
        <f>IFERROR(__xludf.DUMMYFUNCTION("""COMPUTED_VALUE"""),"VF")</f>
        <v>VF</v>
      </c>
      <c r="F207" s="2">
        <f>IFERROR(__xludf.DUMMYFUNCTION("""COMPUTED_VALUE"""),1.0)</f>
        <v>1</v>
      </c>
      <c r="G207" s="2" t="str">
        <f>IFERROR(__xludf.DUMMYFUNCTION("""COMPUTED_VALUE"""),"PR025")</f>
        <v>PR025</v>
      </c>
      <c r="H207" s="2" t="str">
        <f>IFERROR(__xludf.DUMMYFUNCTION("""COMPUTED_VALUE"""),"VD035")</f>
        <v>VD035</v>
      </c>
      <c r="I207" s="2">
        <f>IFERROR(__xludf.DUMMYFUNCTION("""COMPUTED_VALUE"""),12.0)</f>
        <v>12</v>
      </c>
      <c r="J207" s="2">
        <f>IFERROR(__xludf.DUMMYFUNCTION("""COMPUTED_VALUE"""),4102.63)</f>
        <v>4102.63</v>
      </c>
      <c r="K207" s="2">
        <f>IFERROR(__xludf.DUMMYFUNCTION("""COMPUTED_VALUE"""),4102.63)</f>
        <v>4102.63</v>
      </c>
    </row>
    <row r="208">
      <c r="A208" s="2">
        <f>IFERROR(__xludf.DUMMYFUNCTION("""COMPUTED_VALUE"""),1000.0)</f>
        <v>1000</v>
      </c>
      <c r="B208" s="2">
        <f>IFERROR(__xludf.DUMMYFUNCTION("""COMPUTED_VALUE"""),183617.0)</f>
        <v>183617</v>
      </c>
      <c r="C208" s="2">
        <f>IFERROR(__xludf.DUMMYFUNCTION("""COMPUTED_VALUE"""),2026.0)</f>
        <v>2026</v>
      </c>
      <c r="D208" s="2">
        <f>IFERROR(__xludf.DUMMYFUNCTION("""COMPUTED_VALUE"""),46346.0)</f>
        <v>46346</v>
      </c>
      <c r="E208" s="2" t="str">
        <f>IFERROR(__xludf.DUMMYFUNCTION("""COMPUTED_VALUE"""),"VF")</f>
        <v>VF</v>
      </c>
      <c r="F208" s="2">
        <f>IFERROR(__xludf.DUMMYFUNCTION("""COMPUTED_VALUE"""),1.0)</f>
        <v>1</v>
      </c>
      <c r="G208" s="2" t="str">
        <f>IFERROR(__xludf.DUMMYFUNCTION("""COMPUTED_VALUE"""),"PR042")</f>
        <v>PR042</v>
      </c>
      <c r="H208" s="2" t="str">
        <f>IFERROR(__xludf.DUMMYFUNCTION("""COMPUTED_VALUE"""),"VD017")</f>
        <v>VD017</v>
      </c>
      <c r="I208" s="2">
        <f>IFERROR(__xludf.DUMMYFUNCTION("""COMPUTED_VALUE"""),3.0)</f>
        <v>3</v>
      </c>
      <c r="J208" s="2">
        <f>IFERROR(__xludf.DUMMYFUNCTION("""COMPUTED_VALUE"""),197.64)</f>
        <v>197.64</v>
      </c>
      <c r="K208" s="2">
        <f>IFERROR(__xludf.DUMMYFUNCTION("""COMPUTED_VALUE"""),197.64)</f>
        <v>197.64</v>
      </c>
    </row>
    <row r="209">
      <c r="A209" s="2">
        <f>IFERROR(__xludf.DUMMYFUNCTION("""COMPUTED_VALUE"""),2000.0)</f>
        <v>2000</v>
      </c>
      <c r="B209" s="2">
        <f>IFERROR(__xludf.DUMMYFUNCTION("""COMPUTED_VALUE"""),183617.0)</f>
        <v>183617</v>
      </c>
      <c r="C209" s="2">
        <f>IFERROR(__xludf.DUMMYFUNCTION("""COMPUTED_VALUE"""),2026.0)</f>
        <v>2026</v>
      </c>
      <c r="D209" s="2">
        <f>IFERROR(__xludf.DUMMYFUNCTION("""COMPUTED_VALUE"""),46346.0)</f>
        <v>46346</v>
      </c>
      <c r="E209" s="2" t="str">
        <f>IFERROR(__xludf.DUMMYFUNCTION("""COMPUTED_VALUE"""),"VF")</f>
        <v>VF</v>
      </c>
      <c r="F209" s="2">
        <f>IFERROR(__xludf.DUMMYFUNCTION("""COMPUTED_VALUE"""),2.0)</f>
        <v>2</v>
      </c>
      <c r="G209" s="2" t="str">
        <f>IFERROR(__xludf.DUMMYFUNCTION("""COMPUTED_VALUE"""),"PR046")</f>
        <v>PR046</v>
      </c>
      <c r="H209" s="2" t="str">
        <f>IFERROR(__xludf.DUMMYFUNCTION("""COMPUTED_VALUE"""),"VD039")</f>
        <v>VD039</v>
      </c>
      <c r="I209" s="2">
        <f>IFERROR(__xludf.DUMMYFUNCTION("""COMPUTED_VALUE"""),15.0)</f>
        <v>15</v>
      </c>
      <c r="J209" s="2">
        <f>IFERROR(__xludf.DUMMYFUNCTION("""COMPUTED_VALUE"""),4870.32)</f>
        <v>4870.32</v>
      </c>
      <c r="K209" s="2">
        <f>IFERROR(__xludf.DUMMYFUNCTION("""COMPUTED_VALUE"""),4870.32)</f>
        <v>4870.32</v>
      </c>
    </row>
    <row r="210">
      <c r="A210" s="2">
        <f>IFERROR(__xludf.DUMMYFUNCTION("""COMPUTED_VALUE"""),1000.0)</f>
        <v>1000</v>
      </c>
      <c r="B210" s="2">
        <f>IFERROR(__xludf.DUMMYFUNCTION("""COMPUTED_VALUE"""),183618.0)</f>
        <v>183618</v>
      </c>
      <c r="C210" s="2">
        <f>IFERROR(__xludf.DUMMYFUNCTION("""COMPUTED_VALUE"""),2026.0)</f>
        <v>2026</v>
      </c>
      <c r="D210" s="2">
        <f>IFERROR(__xludf.DUMMYFUNCTION("""COMPUTED_VALUE"""),46345.0)</f>
        <v>46345</v>
      </c>
      <c r="E210" s="2" t="str">
        <f>IFERROR(__xludf.DUMMYFUNCTION("""COMPUTED_VALUE"""),"VF")</f>
        <v>VF</v>
      </c>
      <c r="F210" s="2">
        <f>IFERROR(__xludf.DUMMYFUNCTION("""COMPUTED_VALUE"""),1.0)</f>
        <v>1</v>
      </c>
      <c r="G210" s="2" t="str">
        <f>IFERROR(__xludf.DUMMYFUNCTION("""COMPUTED_VALUE"""),"PR006")</f>
        <v>PR006</v>
      </c>
      <c r="H210" s="2" t="str">
        <f>IFERROR(__xludf.DUMMYFUNCTION("""COMPUTED_VALUE"""),"VD044")</f>
        <v>VD044</v>
      </c>
      <c r="I210" s="2">
        <f>IFERROR(__xludf.DUMMYFUNCTION("""COMPUTED_VALUE"""),27.0)</f>
        <v>27</v>
      </c>
      <c r="J210" s="2">
        <f>IFERROR(__xludf.DUMMYFUNCTION("""COMPUTED_VALUE"""),1238.9)</f>
        <v>1238.9</v>
      </c>
      <c r="K210" s="2">
        <f>IFERROR(__xludf.DUMMYFUNCTION("""COMPUTED_VALUE"""),1238.9)</f>
        <v>1238.9</v>
      </c>
    </row>
    <row r="211">
      <c r="A211" s="2">
        <f>IFERROR(__xludf.DUMMYFUNCTION("""COMPUTED_VALUE"""),1000.0)</f>
        <v>1000</v>
      </c>
      <c r="B211" s="2">
        <f>IFERROR(__xludf.DUMMYFUNCTION("""COMPUTED_VALUE"""),183619.0)</f>
        <v>183619</v>
      </c>
      <c r="C211" s="2">
        <f>IFERROR(__xludf.DUMMYFUNCTION("""COMPUTED_VALUE"""),2026.0)</f>
        <v>2026</v>
      </c>
      <c r="D211" s="2">
        <f>IFERROR(__xludf.DUMMYFUNCTION("""COMPUTED_VALUE"""),46345.0)</f>
        <v>46345</v>
      </c>
      <c r="E211" s="2" t="str">
        <f>IFERROR(__xludf.DUMMYFUNCTION("""COMPUTED_VALUE"""),"VF")</f>
        <v>VF</v>
      </c>
      <c r="F211" s="2">
        <f>IFERROR(__xludf.DUMMYFUNCTION("""COMPUTED_VALUE"""),1.0)</f>
        <v>1</v>
      </c>
      <c r="G211" s="2" t="str">
        <f>IFERROR(__xludf.DUMMYFUNCTION("""COMPUTED_VALUE"""),"PR053")</f>
        <v>PR053</v>
      </c>
      <c r="H211" s="2" t="str">
        <f>IFERROR(__xludf.DUMMYFUNCTION("""COMPUTED_VALUE"""),"VD047")</f>
        <v>VD047</v>
      </c>
      <c r="I211" s="2">
        <f>IFERROR(__xludf.DUMMYFUNCTION("""COMPUTED_VALUE"""),12.0)</f>
        <v>12</v>
      </c>
      <c r="J211" s="2">
        <f>IFERROR(__xludf.DUMMYFUNCTION("""COMPUTED_VALUE"""),676.64)</f>
        <v>676.64</v>
      </c>
      <c r="K211" s="2">
        <f>IFERROR(__xludf.DUMMYFUNCTION("""COMPUTED_VALUE"""),676.64)</f>
        <v>676.64</v>
      </c>
    </row>
    <row r="212">
      <c r="A212" s="2">
        <f>IFERROR(__xludf.DUMMYFUNCTION("""COMPUTED_VALUE"""),1000.0)</f>
        <v>1000</v>
      </c>
      <c r="B212" s="2">
        <f>IFERROR(__xludf.DUMMYFUNCTION("""COMPUTED_VALUE"""),183619.0)</f>
        <v>183619</v>
      </c>
      <c r="C212" s="2">
        <f>IFERROR(__xludf.DUMMYFUNCTION("""COMPUTED_VALUE"""),2026.0)</f>
        <v>2026</v>
      </c>
      <c r="D212" s="2">
        <f>IFERROR(__xludf.DUMMYFUNCTION("""COMPUTED_VALUE"""),46344.0)</f>
        <v>46344</v>
      </c>
      <c r="E212" s="2" t="str">
        <f>IFERROR(__xludf.DUMMYFUNCTION("""COMPUTED_VALUE"""),"VF")</f>
        <v>VF</v>
      </c>
      <c r="F212" s="2">
        <f>IFERROR(__xludf.DUMMYFUNCTION("""COMPUTED_VALUE"""),2.0)</f>
        <v>2</v>
      </c>
      <c r="G212" s="2" t="str">
        <f>IFERROR(__xludf.DUMMYFUNCTION("""COMPUTED_VALUE"""),"PR042")</f>
        <v>PR042</v>
      </c>
      <c r="H212" s="2" t="str">
        <f>IFERROR(__xludf.DUMMYFUNCTION("""COMPUTED_VALUE"""),"VD018")</f>
        <v>VD018</v>
      </c>
      <c r="I212" s="2">
        <f>IFERROR(__xludf.DUMMYFUNCTION("""COMPUTED_VALUE"""),8.0)</f>
        <v>8</v>
      </c>
      <c r="J212" s="2">
        <f>IFERROR(__xludf.DUMMYFUNCTION("""COMPUTED_VALUE"""),491.9)</f>
        <v>491.9</v>
      </c>
      <c r="K212" s="2">
        <f>IFERROR(__xludf.DUMMYFUNCTION("""COMPUTED_VALUE"""),491.9)</f>
        <v>491.9</v>
      </c>
    </row>
    <row r="213">
      <c r="A213" s="2">
        <f>IFERROR(__xludf.DUMMYFUNCTION("""COMPUTED_VALUE"""),2000.0)</f>
        <v>2000</v>
      </c>
      <c r="B213" s="2">
        <f>IFERROR(__xludf.DUMMYFUNCTION("""COMPUTED_VALUE"""),183619.0)</f>
        <v>183619</v>
      </c>
      <c r="C213" s="2">
        <f>IFERROR(__xludf.DUMMYFUNCTION("""COMPUTED_VALUE"""),2026.0)</f>
        <v>2026</v>
      </c>
      <c r="D213" s="2">
        <f>IFERROR(__xludf.DUMMYFUNCTION("""COMPUTED_VALUE"""),46344.0)</f>
        <v>46344</v>
      </c>
      <c r="E213" s="2" t="str">
        <f>IFERROR(__xludf.DUMMYFUNCTION("""COMPUTED_VALUE"""),"VF")</f>
        <v>VF</v>
      </c>
      <c r="F213" s="2">
        <f>IFERROR(__xludf.DUMMYFUNCTION("""COMPUTED_VALUE"""),3.0)</f>
        <v>3</v>
      </c>
      <c r="G213" s="2" t="str">
        <f>IFERROR(__xludf.DUMMYFUNCTION("""COMPUTED_VALUE"""),"PR002")</f>
        <v>PR002</v>
      </c>
      <c r="H213" s="2" t="str">
        <f>IFERROR(__xludf.DUMMYFUNCTION("""COMPUTED_VALUE"""),"VD034")</f>
        <v>VD034</v>
      </c>
      <c r="I213" s="2">
        <f>IFERROR(__xludf.DUMMYFUNCTION("""COMPUTED_VALUE"""),3.0)</f>
        <v>3</v>
      </c>
      <c r="J213" s="2">
        <f>IFERROR(__xludf.DUMMYFUNCTION("""COMPUTED_VALUE"""),245.35)</f>
        <v>245.35</v>
      </c>
      <c r="K213" s="2">
        <f>IFERROR(__xludf.DUMMYFUNCTION("""COMPUTED_VALUE"""),245.35)</f>
        <v>245.35</v>
      </c>
    </row>
    <row r="214">
      <c r="A214" s="2">
        <f>IFERROR(__xludf.DUMMYFUNCTION("""COMPUTED_VALUE"""),1000.0)</f>
        <v>1000</v>
      </c>
      <c r="B214" s="2">
        <f>IFERROR(__xludf.DUMMYFUNCTION("""COMPUTED_VALUE"""),183620.0)</f>
        <v>183620</v>
      </c>
      <c r="C214" s="2">
        <f>IFERROR(__xludf.DUMMYFUNCTION("""COMPUTED_VALUE"""),2026.0)</f>
        <v>2026</v>
      </c>
      <c r="D214" s="2">
        <f>IFERROR(__xludf.DUMMYFUNCTION("""COMPUTED_VALUE"""),46344.0)</f>
        <v>46344</v>
      </c>
      <c r="E214" s="2" t="str">
        <f>IFERROR(__xludf.DUMMYFUNCTION("""COMPUTED_VALUE"""),"VF")</f>
        <v>VF</v>
      </c>
      <c r="F214" s="2">
        <f>IFERROR(__xludf.DUMMYFUNCTION("""COMPUTED_VALUE"""),1.0)</f>
        <v>1</v>
      </c>
      <c r="G214" s="2" t="str">
        <f>IFERROR(__xludf.DUMMYFUNCTION("""COMPUTED_VALUE"""),"PR016")</f>
        <v>PR016</v>
      </c>
      <c r="H214" s="2" t="str">
        <f>IFERROR(__xludf.DUMMYFUNCTION("""COMPUTED_VALUE"""),"VD019")</f>
        <v>VD019</v>
      </c>
      <c r="I214" s="2">
        <f>IFERROR(__xludf.DUMMYFUNCTION("""COMPUTED_VALUE"""),16.0)</f>
        <v>16</v>
      </c>
      <c r="J214" s="2">
        <f>IFERROR(__xludf.DUMMYFUNCTION("""COMPUTED_VALUE"""),472.42)</f>
        <v>472.42</v>
      </c>
      <c r="K214" s="2">
        <f>IFERROR(__xludf.DUMMYFUNCTION("""COMPUTED_VALUE"""),472.42)</f>
        <v>472.42</v>
      </c>
    </row>
    <row r="215">
      <c r="A215" s="2">
        <f>IFERROR(__xludf.DUMMYFUNCTION("""COMPUTED_VALUE"""),1000.0)</f>
        <v>1000</v>
      </c>
      <c r="B215" s="2">
        <f>IFERROR(__xludf.DUMMYFUNCTION("""COMPUTED_VALUE"""),183621.0)</f>
        <v>183621</v>
      </c>
      <c r="C215" s="2">
        <f>IFERROR(__xludf.DUMMYFUNCTION("""COMPUTED_VALUE"""),2026.0)</f>
        <v>2026</v>
      </c>
      <c r="D215" s="2">
        <f>IFERROR(__xludf.DUMMYFUNCTION("""COMPUTED_VALUE"""),46344.0)</f>
        <v>46344</v>
      </c>
      <c r="E215" s="2" t="str">
        <f>IFERROR(__xludf.DUMMYFUNCTION("""COMPUTED_VALUE"""),"VF")</f>
        <v>VF</v>
      </c>
      <c r="F215" s="2">
        <f>IFERROR(__xludf.DUMMYFUNCTION("""COMPUTED_VALUE"""),1.0)</f>
        <v>1</v>
      </c>
      <c r="G215" s="2" t="str">
        <f>IFERROR(__xludf.DUMMYFUNCTION("""COMPUTED_VALUE"""),"PR055")</f>
        <v>PR055</v>
      </c>
      <c r="H215" s="2" t="str">
        <f>IFERROR(__xludf.DUMMYFUNCTION("""COMPUTED_VALUE"""),"VD029")</f>
        <v>VD029</v>
      </c>
      <c r="I215" s="2">
        <f>IFERROR(__xludf.DUMMYFUNCTION("""COMPUTED_VALUE"""),2.0)</f>
        <v>2</v>
      </c>
      <c r="J215" s="2">
        <f>IFERROR(__xludf.DUMMYFUNCTION("""COMPUTED_VALUE"""),213.96)</f>
        <v>213.96</v>
      </c>
      <c r="K215" s="2">
        <f>IFERROR(__xludf.DUMMYFUNCTION("""COMPUTED_VALUE"""),213.96)</f>
        <v>213.96</v>
      </c>
    </row>
    <row r="216">
      <c r="A216" s="2">
        <f>IFERROR(__xludf.DUMMYFUNCTION("""COMPUTED_VALUE"""),1000.0)</f>
        <v>1000</v>
      </c>
      <c r="B216" s="2">
        <f>IFERROR(__xludf.DUMMYFUNCTION("""COMPUTED_VALUE"""),183621.0)</f>
        <v>183621</v>
      </c>
      <c r="C216" s="2">
        <f>IFERROR(__xludf.DUMMYFUNCTION("""COMPUTED_VALUE"""),2026.0)</f>
        <v>2026</v>
      </c>
      <c r="D216" s="2">
        <f>IFERROR(__xludf.DUMMYFUNCTION("""COMPUTED_VALUE"""),46344.0)</f>
        <v>46344</v>
      </c>
      <c r="E216" s="2" t="str">
        <f>IFERROR(__xludf.DUMMYFUNCTION("""COMPUTED_VALUE"""),"VF")</f>
        <v>VF</v>
      </c>
      <c r="F216" s="2">
        <f>IFERROR(__xludf.DUMMYFUNCTION("""COMPUTED_VALUE"""),2.0)</f>
        <v>2</v>
      </c>
      <c r="G216" s="2" t="str">
        <f>IFERROR(__xludf.DUMMYFUNCTION("""COMPUTED_VALUE"""),"PR057")</f>
        <v>PR057</v>
      </c>
      <c r="H216" s="2" t="str">
        <f>IFERROR(__xludf.DUMMYFUNCTION("""COMPUTED_VALUE"""),"VD037")</f>
        <v>VD037</v>
      </c>
      <c r="I216" s="2">
        <f>IFERROR(__xludf.DUMMYFUNCTION("""COMPUTED_VALUE"""),3.0)</f>
        <v>3</v>
      </c>
      <c r="J216" s="2">
        <f>IFERROR(__xludf.DUMMYFUNCTION("""COMPUTED_VALUE"""),315.55)</f>
        <v>315.55</v>
      </c>
      <c r="K216" s="2">
        <f>IFERROR(__xludf.DUMMYFUNCTION("""COMPUTED_VALUE"""),315.55)</f>
        <v>315.55</v>
      </c>
    </row>
    <row r="217">
      <c r="A217" s="2">
        <f>IFERROR(__xludf.DUMMYFUNCTION("""COMPUTED_VALUE"""),1000.0)</f>
        <v>1000</v>
      </c>
      <c r="B217" s="2">
        <f>IFERROR(__xludf.DUMMYFUNCTION("""COMPUTED_VALUE"""),183622.0)</f>
        <v>183622</v>
      </c>
      <c r="C217" s="2">
        <f>IFERROR(__xludf.DUMMYFUNCTION("""COMPUTED_VALUE"""),2026.0)</f>
        <v>2026</v>
      </c>
      <c r="D217" s="2">
        <f>IFERROR(__xludf.DUMMYFUNCTION("""COMPUTED_VALUE"""),46344.0)</f>
        <v>46344</v>
      </c>
      <c r="E217" s="2" t="str">
        <f>IFERROR(__xludf.DUMMYFUNCTION("""COMPUTED_VALUE"""),"VF")</f>
        <v>VF</v>
      </c>
      <c r="F217" s="2">
        <f>IFERROR(__xludf.DUMMYFUNCTION("""COMPUTED_VALUE"""),1.0)</f>
        <v>1</v>
      </c>
      <c r="G217" s="2" t="str">
        <f>IFERROR(__xludf.DUMMYFUNCTION("""COMPUTED_VALUE"""),"PR011")</f>
        <v>PR011</v>
      </c>
      <c r="H217" s="2" t="str">
        <f>IFERROR(__xludf.DUMMYFUNCTION("""COMPUTED_VALUE"""),"VD030")</f>
        <v>VD030</v>
      </c>
      <c r="I217" s="2">
        <f>IFERROR(__xludf.DUMMYFUNCTION("""COMPUTED_VALUE"""),7.0)</f>
        <v>7</v>
      </c>
      <c r="J217" s="2">
        <f>IFERROR(__xludf.DUMMYFUNCTION("""COMPUTED_VALUE"""),380.83)</f>
        <v>380.83</v>
      </c>
      <c r="K217" s="2">
        <f>IFERROR(__xludf.DUMMYFUNCTION("""COMPUTED_VALUE"""),380.83)</f>
        <v>380.83</v>
      </c>
    </row>
    <row r="218">
      <c r="A218" s="2">
        <f>IFERROR(__xludf.DUMMYFUNCTION("""COMPUTED_VALUE"""),1000.0)</f>
        <v>1000</v>
      </c>
      <c r="B218" s="2">
        <f>IFERROR(__xludf.DUMMYFUNCTION("""COMPUTED_VALUE"""),183623.0)</f>
        <v>183623</v>
      </c>
      <c r="C218" s="2">
        <f>IFERROR(__xludf.DUMMYFUNCTION("""COMPUTED_VALUE"""),2026.0)</f>
        <v>2026</v>
      </c>
      <c r="D218" s="2">
        <f>IFERROR(__xludf.DUMMYFUNCTION("""COMPUTED_VALUE"""),46344.0)</f>
        <v>46344</v>
      </c>
      <c r="E218" s="2" t="str">
        <f>IFERROR(__xludf.DUMMYFUNCTION("""COMPUTED_VALUE"""),"VF")</f>
        <v>VF</v>
      </c>
      <c r="F218" s="2">
        <f>IFERROR(__xludf.DUMMYFUNCTION("""COMPUTED_VALUE"""),1.0)</f>
        <v>1</v>
      </c>
      <c r="G218" s="2" t="str">
        <f>IFERROR(__xludf.DUMMYFUNCTION("""COMPUTED_VALUE"""),"PR006")</f>
        <v>PR006</v>
      </c>
      <c r="H218" s="2" t="str">
        <f>IFERROR(__xludf.DUMMYFUNCTION("""COMPUTED_VALUE"""),"VD047")</f>
        <v>VD047</v>
      </c>
      <c r="I218" s="2">
        <f>IFERROR(__xludf.DUMMYFUNCTION("""COMPUTED_VALUE"""),16.0)</f>
        <v>16</v>
      </c>
      <c r="J218" s="2">
        <f>IFERROR(__xludf.DUMMYFUNCTION("""COMPUTED_VALUE"""),766.08)</f>
        <v>766.08</v>
      </c>
      <c r="K218" s="2">
        <f>IFERROR(__xludf.DUMMYFUNCTION("""COMPUTED_VALUE"""),766.08)</f>
        <v>766.08</v>
      </c>
    </row>
    <row r="219">
      <c r="A219" s="2">
        <f>IFERROR(__xludf.DUMMYFUNCTION("""COMPUTED_VALUE"""),1000.0)</f>
        <v>1000</v>
      </c>
      <c r="B219" s="2">
        <f>IFERROR(__xludf.DUMMYFUNCTION("""COMPUTED_VALUE"""),183623.0)</f>
        <v>183623</v>
      </c>
      <c r="C219" s="2">
        <f>IFERROR(__xludf.DUMMYFUNCTION("""COMPUTED_VALUE"""),2026.0)</f>
        <v>2026</v>
      </c>
      <c r="D219" s="2">
        <f>IFERROR(__xludf.DUMMYFUNCTION("""COMPUTED_VALUE"""),46343.0)</f>
        <v>46343</v>
      </c>
      <c r="E219" s="2" t="str">
        <f>IFERROR(__xludf.DUMMYFUNCTION("""COMPUTED_VALUE"""),"VF")</f>
        <v>VF</v>
      </c>
      <c r="F219" s="2">
        <f>IFERROR(__xludf.DUMMYFUNCTION("""COMPUTED_VALUE"""),2.0)</f>
        <v>2</v>
      </c>
      <c r="G219" s="2" t="str">
        <f>IFERROR(__xludf.DUMMYFUNCTION("""COMPUTED_VALUE"""),"PR019")</f>
        <v>PR019</v>
      </c>
      <c r="H219" s="2" t="str">
        <f>IFERROR(__xludf.DUMMYFUNCTION("""COMPUTED_VALUE"""),"VD034")</f>
        <v>VD034</v>
      </c>
      <c r="I219" s="2">
        <f>IFERROR(__xludf.DUMMYFUNCTION("""COMPUTED_VALUE"""),12.0)</f>
        <v>12</v>
      </c>
      <c r="J219" s="2">
        <f>IFERROR(__xludf.DUMMYFUNCTION("""COMPUTED_VALUE"""),670.66)</f>
        <v>670.66</v>
      </c>
      <c r="K219" s="2">
        <f>IFERROR(__xludf.DUMMYFUNCTION("""COMPUTED_VALUE"""),670.66)</f>
        <v>670.66</v>
      </c>
    </row>
    <row r="220">
      <c r="A220" s="2">
        <f>IFERROR(__xludf.DUMMYFUNCTION("""COMPUTED_VALUE"""),1000.0)</f>
        <v>1000</v>
      </c>
      <c r="B220" s="2">
        <f>IFERROR(__xludf.DUMMYFUNCTION("""COMPUTED_VALUE"""),183624.0)</f>
        <v>183624</v>
      </c>
      <c r="C220" s="2">
        <f>IFERROR(__xludf.DUMMYFUNCTION("""COMPUTED_VALUE"""),2026.0)</f>
        <v>2026</v>
      </c>
      <c r="D220" s="2">
        <f>IFERROR(__xludf.DUMMYFUNCTION("""COMPUTED_VALUE"""),46343.0)</f>
        <v>46343</v>
      </c>
      <c r="E220" s="2" t="str">
        <f>IFERROR(__xludf.DUMMYFUNCTION("""COMPUTED_VALUE"""),"VF")</f>
        <v>VF</v>
      </c>
      <c r="F220" s="2">
        <f>IFERROR(__xludf.DUMMYFUNCTION("""COMPUTED_VALUE"""),1.0)</f>
        <v>1</v>
      </c>
      <c r="G220" s="2" t="str">
        <f>IFERROR(__xludf.DUMMYFUNCTION("""COMPUTED_VALUE"""),"PR006")</f>
        <v>PR006</v>
      </c>
      <c r="H220" s="2" t="str">
        <f>IFERROR(__xludf.DUMMYFUNCTION("""COMPUTED_VALUE"""),"VD037")</f>
        <v>VD037</v>
      </c>
      <c r="I220" s="2">
        <f>IFERROR(__xludf.DUMMYFUNCTION("""COMPUTED_VALUE"""),10.0)</f>
        <v>10</v>
      </c>
      <c r="J220" s="2">
        <f>IFERROR(__xludf.DUMMYFUNCTION("""COMPUTED_VALUE"""),462.84)</f>
        <v>462.84</v>
      </c>
      <c r="K220" s="2">
        <f>IFERROR(__xludf.DUMMYFUNCTION("""COMPUTED_VALUE"""),462.84)</f>
        <v>462.84</v>
      </c>
    </row>
    <row r="221">
      <c r="A221" s="2">
        <f>IFERROR(__xludf.DUMMYFUNCTION("""COMPUTED_VALUE"""),1000.0)</f>
        <v>1000</v>
      </c>
      <c r="B221" s="2">
        <f>IFERROR(__xludf.DUMMYFUNCTION("""COMPUTED_VALUE"""),183625.0)</f>
        <v>183625</v>
      </c>
      <c r="C221" s="2">
        <f>IFERROR(__xludf.DUMMYFUNCTION("""COMPUTED_VALUE"""),2026.0)</f>
        <v>2026</v>
      </c>
      <c r="D221" s="2">
        <f>IFERROR(__xludf.DUMMYFUNCTION("""COMPUTED_VALUE"""),46343.0)</f>
        <v>46343</v>
      </c>
      <c r="E221" s="2" t="str">
        <f>IFERROR(__xludf.DUMMYFUNCTION("""COMPUTED_VALUE"""),"VF")</f>
        <v>VF</v>
      </c>
      <c r="F221" s="2">
        <f>IFERROR(__xludf.DUMMYFUNCTION("""COMPUTED_VALUE"""),1.0)</f>
        <v>1</v>
      </c>
      <c r="G221" s="2" t="str">
        <f>IFERROR(__xludf.DUMMYFUNCTION("""COMPUTED_VALUE"""),"PR026")</f>
        <v>PR026</v>
      </c>
      <c r="H221" s="2" t="str">
        <f>IFERROR(__xludf.DUMMYFUNCTION("""COMPUTED_VALUE"""),"VD032")</f>
        <v>VD032</v>
      </c>
      <c r="I221" s="2">
        <f>IFERROR(__xludf.DUMMYFUNCTION("""COMPUTED_VALUE"""),6.0)</f>
        <v>6</v>
      </c>
      <c r="J221" s="2">
        <f>IFERROR(__xludf.DUMMYFUNCTION("""COMPUTED_VALUE"""),2393.32)</f>
        <v>2393.32</v>
      </c>
      <c r="K221" s="2">
        <f>IFERROR(__xludf.DUMMYFUNCTION("""COMPUTED_VALUE"""),2393.32)</f>
        <v>2393.32</v>
      </c>
    </row>
    <row r="222">
      <c r="A222" s="2">
        <f>IFERROR(__xludf.DUMMYFUNCTION("""COMPUTED_VALUE"""),1000.0)</f>
        <v>1000</v>
      </c>
      <c r="B222" s="2">
        <f>IFERROR(__xludf.DUMMYFUNCTION("""COMPUTED_VALUE"""),183626.0)</f>
        <v>183626</v>
      </c>
      <c r="C222" s="2">
        <f>IFERROR(__xludf.DUMMYFUNCTION("""COMPUTED_VALUE"""),2026.0)</f>
        <v>2026</v>
      </c>
      <c r="D222" s="2">
        <f>IFERROR(__xludf.DUMMYFUNCTION("""COMPUTED_VALUE"""),46343.0)</f>
        <v>46343</v>
      </c>
      <c r="E222" s="2" t="str">
        <f>IFERROR(__xludf.DUMMYFUNCTION("""COMPUTED_VALUE"""),"VF")</f>
        <v>VF</v>
      </c>
      <c r="F222" s="2">
        <f>IFERROR(__xludf.DUMMYFUNCTION("""COMPUTED_VALUE"""),1.0)</f>
        <v>1</v>
      </c>
      <c r="G222" s="2" t="str">
        <f>IFERROR(__xludf.DUMMYFUNCTION("""COMPUTED_VALUE"""),"PR058")</f>
        <v>PR058</v>
      </c>
      <c r="H222" s="2" t="str">
        <f>IFERROR(__xludf.DUMMYFUNCTION("""COMPUTED_VALUE"""),"VD027")</f>
        <v>VD027</v>
      </c>
      <c r="I222" s="2">
        <f>IFERROR(__xludf.DUMMYFUNCTION("""COMPUTED_VALUE"""),2.0)</f>
        <v>2</v>
      </c>
      <c r="J222" s="2">
        <f>IFERROR(__xludf.DUMMYFUNCTION("""COMPUTED_VALUE"""),417.6)</f>
        <v>417.6</v>
      </c>
      <c r="K222" s="2">
        <f>IFERROR(__xludf.DUMMYFUNCTION("""COMPUTED_VALUE"""),417.6)</f>
        <v>417.6</v>
      </c>
    </row>
    <row r="223">
      <c r="A223" s="2">
        <f>IFERROR(__xludf.DUMMYFUNCTION("""COMPUTED_VALUE"""),1000.0)</f>
        <v>1000</v>
      </c>
      <c r="B223" s="2">
        <f>IFERROR(__xludf.DUMMYFUNCTION("""COMPUTED_VALUE"""),183627.0)</f>
        <v>183627</v>
      </c>
      <c r="C223" s="2">
        <f>IFERROR(__xludf.DUMMYFUNCTION("""COMPUTED_VALUE"""),2026.0)</f>
        <v>2026</v>
      </c>
      <c r="D223" s="2">
        <f>IFERROR(__xludf.DUMMYFUNCTION("""COMPUTED_VALUE"""),46342.0)</f>
        <v>46342</v>
      </c>
      <c r="E223" s="2" t="str">
        <f>IFERROR(__xludf.DUMMYFUNCTION("""COMPUTED_VALUE"""),"VF")</f>
        <v>VF</v>
      </c>
      <c r="F223" s="2">
        <f>IFERROR(__xludf.DUMMYFUNCTION("""COMPUTED_VALUE"""),1.0)</f>
        <v>1</v>
      </c>
      <c r="G223" s="2" t="str">
        <f>IFERROR(__xludf.DUMMYFUNCTION("""COMPUTED_VALUE"""),"PR013")</f>
        <v>PR013</v>
      </c>
      <c r="H223" s="2" t="str">
        <f>IFERROR(__xludf.DUMMYFUNCTION("""COMPUTED_VALUE"""),"VD011")</f>
        <v>VD011</v>
      </c>
      <c r="I223" s="2">
        <f>IFERROR(__xludf.DUMMYFUNCTION("""COMPUTED_VALUE"""),15.0)</f>
        <v>15</v>
      </c>
      <c r="J223" s="2">
        <f>IFERROR(__xludf.DUMMYFUNCTION("""COMPUTED_VALUE"""),712.22)</f>
        <v>712.22</v>
      </c>
      <c r="K223" s="2">
        <f>IFERROR(__xludf.DUMMYFUNCTION("""COMPUTED_VALUE"""),712.22)</f>
        <v>712.22</v>
      </c>
    </row>
    <row r="224">
      <c r="A224" s="2">
        <f>IFERROR(__xludf.DUMMYFUNCTION("""COMPUTED_VALUE"""),1000.0)</f>
        <v>1000</v>
      </c>
      <c r="B224" s="2">
        <f>IFERROR(__xludf.DUMMYFUNCTION("""COMPUTED_VALUE"""),183628.0)</f>
        <v>183628</v>
      </c>
      <c r="C224" s="2">
        <f>IFERROR(__xludf.DUMMYFUNCTION("""COMPUTED_VALUE"""),2026.0)</f>
        <v>2026</v>
      </c>
      <c r="D224" s="2">
        <f>IFERROR(__xludf.DUMMYFUNCTION("""COMPUTED_VALUE"""),46342.0)</f>
        <v>46342</v>
      </c>
      <c r="E224" s="2" t="str">
        <f>IFERROR(__xludf.DUMMYFUNCTION("""COMPUTED_VALUE"""),"VF")</f>
        <v>VF</v>
      </c>
      <c r="F224" s="2">
        <f>IFERROR(__xludf.DUMMYFUNCTION("""COMPUTED_VALUE"""),1.0)</f>
        <v>1</v>
      </c>
      <c r="G224" s="2" t="str">
        <f>IFERROR(__xludf.DUMMYFUNCTION("""COMPUTED_VALUE"""),"PR058")</f>
        <v>PR058</v>
      </c>
      <c r="H224" s="2" t="str">
        <f>IFERROR(__xludf.DUMMYFUNCTION("""COMPUTED_VALUE"""),"VD017")</f>
        <v>VD017</v>
      </c>
      <c r="I224" s="2">
        <f>IFERROR(__xludf.DUMMYFUNCTION("""COMPUTED_VALUE"""),7.0)</f>
        <v>7</v>
      </c>
      <c r="J224" s="2">
        <f>IFERROR(__xludf.DUMMYFUNCTION("""COMPUTED_VALUE"""),1486.8)</f>
        <v>1486.8</v>
      </c>
      <c r="K224" s="2">
        <f>IFERROR(__xludf.DUMMYFUNCTION("""COMPUTED_VALUE"""),1486.8)</f>
        <v>1486.8</v>
      </c>
    </row>
    <row r="225">
      <c r="A225" s="2">
        <f>IFERROR(__xludf.DUMMYFUNCTION("""COMPUTED_VALUE"""),1000.0)</f>
        <v>1000</v>
      </c>
      <c r="B225" s="2">
        <f>IFERROR(__xludf.DUMMYFUNCTION("""COMPUTED_VALUE"""),183629.0)</f>
        <v>183629</v>
      </c>
      <c r="C225" s="2">
        <f>IFERROR(__xludf.DUMMYFUNCTION("""COMPUTED_VALUE"""),2026.0)</f>
        <v>2026</v>
      </c>
      <c r="D225" s="2">
        <f>IFERROR(__xludf.DUMMYFUNCTION("""COMPUTED_VALUE"""),46341.0)</f>
        <v>46341</v>
      </c>
      <c r="E225" s="2" t="str">
        <f>IFERROR(__xludf.DUMMYFUNCTION("""COMPUTED_VALUE"""),"VF")</f>
        <v>VF</v>
      </c>
      <c r="F225" s="2">
        <f>IFERROR(__xludf.DUMMYFUNCTION("""COMPUTED_VALUE"""),1.0)</f>
        <v>1</v>
      </c>
      <c r="G225" s="2" t="str">
        <f>IFERROR(__xludf.DUMMYFUNCTION("""COMPUTED_VALUE"""),"PR030")</f>
        <v>PR030</v>
      </c>
      <c r="H225" s="2" t="str">
        <f>IFERROR(__xludf.DUMMYFUNCTION("""COMPUTED_VALUE"""),"VD036")</f>
        <v>VD036</v>
      </c>
      <c r="I225" s="2">
        <f>IFERROR(__xludf.DUMMYFUNCTION("""COMPUTED_VALUE"""),9.0)</f>
        <v>9</v>
      </c>
      <c r="J225" s="2">
        <f>IFERROR(__xludf.DUMMYFUNCTION("""COMPUTED_VALUE"""),2689.97)</f>
        <v>2689.97</v>
      </c>
      <c r="K225" s="2">
        <f>IFERROR(__xludf.DUMMYFUNCTION("""COMPUTED_VALUE"""),2689.97)</f>
        <v>2689.97</v>
      </c>
    </row>
    <row r="226">
      <c r="A226" s="2">
        <f>IFERROR(__xludf.DUMMYFUNCTION("""COMPUTED_VALUE"""),1000.0)</f>
        <v>1000</v>
      </c>
      <c r="B226" s="2">
        <f>IFERROR(__xludf.DUMMYFUNCTION("""COMPUTED_VALUE"""),183630.0)</f>
        <v>183630</v>
      </c>
      <c r="C226" s="2">
        <f>IFERROR(__xludf.DUMMYFUNCTION("""COMPUTED_VALUE"""),2026.0)</f>
        <v>2026</v>
      </c>
      <c r="D226" s="2">
        <f>IFERROR(__xludf.DUMMYFUNCTION("""COMPUTED_VALUE"""),46341.0)</f>
        <v>46341</v>
      </c>
      <c r="E226" s="2" t="str">
        <f>IFERROR(__xludf.DUMMYFUNCTION("""COMPUTED_VALUE"""),"VF")</f>
        <v>VF</v>
      </c>
      <c r="F226" s="2">
        <f>IFERROR(__xludf.DUMMYFUNCTION("""COMPUTED_VALUE"""),1.0)</f>
        <v>1</v>
      </c>
      <c r="G226" s="2" t="str">
        <f>IFERROR(__xludf.DUMMYFUNCTION("""COMPUTED_VALUE"""),"PR015")</f>
        <v>PR015</v>
      </c>
      <c r="H226" s="2" t="str">
        <f>IFERROR(__xludf.DUMMYFUNCTION("""COMPUTED_VALUE"""),"VD049")</f>
        <v>VD049</v>
      </c>
      <c r="I226" s="2">
        <f>IFERROR(__xludf.DUMMYFUNCTION("""COMPUTED_VALUE"""),30.0)</f>
        <v>30</v>
      </c>
      <c r="J226" s="2">
        <f>IFERROR(__xludf.DUMMYFUNCTION("""COMPUTED_VALUE"""),1415.25)</f>
        <v>1415.25</v>
      </c>
      <c r="K226" s="2">
        <f>IFERROR(__xludf.DUMMYFUNCTION("""COMPUTED_VALUE"""),1415.25)</f>
        <v>1415.25</v>
      </c>
    </row>
    <row r="227">
      <c r="A227" s="2">
        <f>IFERROR(__xludf.DUMMYFUNCTION("""COMPUTED_VALUE"""),1000.0)</f>
        <v>1000</v>
      </c>
      <c r="B227" s="2">
        <f>IFERROR(__xludf.DUMMYFUNCTION("""COMPUTED_VALUE"""),183630.0)</f>
        <v>183630</v>
      </c>
      <c r="C227" s="2">
        <f>IFERROR(__xludf.DUMMYFUNCTION("""COMPUTED_VALUE"""),2026.0)</f>
        <v>2026</v>
      </c>
      <c r="D227" s="2">
        <f>IFERROR(__xludf.DUMMYFUNCTION("""COMPUTED_VALUE"""),46341.0)</f>
        <v>46341</v>
      </c>
      <c r="E227" s="2" t="str">
        <f>IFERROR(__xludf.DUMMYFUNCTION("""COMPUTED_VALUE"""),"VF")</f>
        <v>VF</v>
      </c>
      <c r="F227" s="2">
        <f>IFERROR(__xludf.DUMMYFUNCTION("""COMPUTED_VALUE"""),2.0)</f>
        <v>2</v>
      </c>
      <c r="G227" s="2" t="str">
        <f>IFERROR(__xludf.DUMMYFUNCTION("""COMPUTED_VALUE"""),"PR001")</f>
        <v>PR001</v>
      </c>
      <c r="H227" s="2" t="str">
        <f>IFERROR(__xludf.DUMMYFUNCTION("""COMPUTED_VALUE"""),"VD013")</f>
        <v>VD013</v>
      </c>
      <c r="I227" s="2">
        <f>IFERROR(__xludf.DUMMYFUNCTION("""COMPUTED_VALUE"""),16.0)</f>
        <v>16</v>
      </c>
      <c r="J227" s="2">
        <f>IFERROR(__xludf.DUMMYFUNCTION("""COMPUTED_VALUE"""),1254.74)</f>
        <v>1254.74</v>
      </c>
      <c r="K227" s="2">
        <f>IFERROR(__xludf.DUMMYFUNCTION("""COMPUTED_VALUE"""),1254.74)</f>
        <v>1254.74</v>
      </c>
    </row>
    <row r="228">
      <c r="A228" s="2">
        <f>IFERROR(__xludf.DUMMYFUNCTION("""COMPUTED_VALUE"""),1000.0)</f>
        <v>1000</v>
      </c>
      <c r="B228" s="2">
        <f>IFERROR(__xludf.DUMMYFUNCTION("""COMPUTED_VALUE"""),183630.0)</f>
        <v>183630</v>
      </c>
      <c r="C228" s="2">
        <f>IFERROR(__xludf.DUMMYFUNCTION("""COMPUTED_VALUE"""),2026.0)</f>
        <v>2026</v>
      </c>
      <c r="D228" s="2">
        <f>IFERROR(__xludf.DUMMYFUNCTION("""COMPUTED_VALUE"""),46341.0)</f>
        <v>46341</v>
      </c>
      <c r="E228" s="2" t="str">
        <f>IFERROR(__xludf.DUMMYFUNCTION("""COMPUTED_VALUE"""),"VF")</f>
        <v>VF</v>
      </c>
      <c r="F228" s="2">
        <f>IFERROR(__xludf.DUMMYFUNCTION("""COMPUTED_VALUE"""),3.0)</f>
        <v>3</v>
      </c>
      <c r="G228" s="2" t="str">
        <f>IFERROR(__xludf.DUMMYFUNCTION("""COMPUTED_VALUE"""),"PR053")</f>
        <v>PR053</v>
      </c>
      <c r="H228" s="2" t="str">
        <f>IFERROR(__xludf.DUMMYFUNCTION("""COMPUTED_VALUE"""),"VD012")</f>
        <v>VD012</v>
      </c>
      <c r="I228" s="2">
        <f>IFERROR(__xludf.DUMMYFUNCTION("""COMPUTED_VALUE"""),3.0)</f>
        <v>3</v>
      </c>
      <c r="J228" s="2">
        <f>IFERROR(__xludf.DUMMYFUNCTION("""COMPUTED_VALUE"""),166.17)</f>
        <v>166.17</v>
      </c>
      <c r="K228" s="2">
        <f>IFERROR(__xludf.DUMMYFUNCTION("""COMPUTED_VALUE"""),166.17)</f>
        <v>166.17</v>
      </c>
    </row>
    <row r="229">
      <c r="A229" s="2">
        <f>IFERROR(__xludf.DUMMYFUNCTION("""COMPUTED_VALUE"""),1000.0)</f>
        <v>1000</v>
      </c>
      <c r="B229" s="2">
        <f>IFERROR(__xludf.DUMMYFUNCTION("""COMPUTED_VALUE"""),183631.0)</f>
        <v>183631</v>
      </c>
      <c r="C229" s="2">
        <f>IFERROR(__xludf.DUMMYFUNCTION("""COMPUTED_VALUE"""),2026.0)</f>
        <v>2026</v>
      </c>
      <c r="D229" s="2">
        <f>IFERROR(__xludf.DUMMYFUNCTION("""COMPUTED_VALUE"""),46341.0)</f>
        <v>46341</v>
      </c>
      <c r="E229" s="2" t="str">
        <f>IFERROR(__xludf.DUMMYFUNCTION("""COMPUTED_VALUE"""),"VF")</f>
        <v>VF</v>
      </c>
      <c r="F229" s="2">
        <f>IFERROR(__xludf.DUMMYFUNCTION("""COMPUTED_VALUE"""),1.0)</f>
        <v>1</v>
      </c>
      <c r="G229" s="2" t="str">
        <f>IFERROR(__xludf.DUMMYFUNCTION("""COMPUTED_VALUE"""),"PR041")</f>
        <v>PR041</v>
      </c>
      <c r="H229" s="2" t="str">
        <f>IFERROR(__xludf.DUMMYFUNCTION("""COMPUTED_VALUE"""),"VD037")</f>
        <v>VD037</v>
      </c>
      <c r="I229" s="2">
        <f>IFERROR(__xludf.DUMMYFUNCTION("""COMPUTED_VALUE"""),2.0)</f>
        <v>2</v>
      </c>
      <c r="J229" s="2">
        <f>IFERROR(__xludf.DUMMYFUNCTION("""COMPUTED_VALUE"""),122.98)</f>
        <v>122.98</v>
      </c>
      <c r="K229" s="2">
        <f>IFERROR(__xludf.DUMMYFUNCTION("""COMPUTED_VALUE"""),122.98)</f>
        <v>122.98</v>
      </c>
    </row>
    <row r="230">
      <c r="A230" s="2">
        <f>IFERROR(__xludf.DUMMYFUNCTION("""COMPUTED_VALUE"""),1000.0)</f>
        <v>1000</v>
      </c>
      <c r="B230" s="2">
        <f>IFERROR(__xludf.DUMMYFUNCTION("""COMPUTED_VALUE"""),183631.0)</f>
        <v>183631</v>
      </c>
      <c r="C230" s="2">
        <f>IFERROR(__xludf.DUMMYFUNCTION("""COMPUTED_VALUE"""),2026.0)</f>
        <v>2026</v>
      </c>
      <c r="D230" s="2">
        <f>IFERROR(__xludf.DUMMYFUNCTION("""COMPUTED_VALUE"""),46340.0)</f>
        <v>46340</v>
      </c>
      <c r="E230" s="2" t="str">
        <f>IFERROR(__xludf.DUMMYFUNCTION("""COMPUTED_VALUE"""),"VF")</f>
        <v>VF</v>
      </c>
      <c r="F230" s="2">
        <f>IFERROR(__xludf.DUMMYFUNCTION("""COMPUTED_VALUE"""),2.0)</f>
        <v>2</v>
      </c>
      <c r="G230" s="2" t="str">
        <f>IFERROR(__xludf.DUMMYFUNCTION("""COMPUTED_VALUE"""),"PR002")</f>
        <v>PR002</v>
      </c>
      <c r="H230" s="2" t="str">
        <f>IFERROR(__xludf.DUMMYFUNCTION("""COMPUTED_VALUE"""),"VD047")</f>
        <v>VD047</v>
      </c>
      <c r="I230" s="2">
        <f>IFERROR(__xludf.DUMMYFUNCTION("""COMPUTED_VALUE"""),2.0)</f>
        <v>2</v>
      </c>
      <c r="J230" s="2">
        <f>IFERROR(__xludf.DUMMYFUNCTION("""COMPUTED_VALUE"""),153.78)</f>
        <v>153.78</v>
      </c>
      <c r="K230" s="2">
        <f>IFERROR(__xludf.DUMMYFUNCTION("""COMPUTED_VALUE"""),153.78)</f>
        <v>153.78</v>
      </c>
    </row>
    <row r="231">
      <c r="A231" s="2">
        <f>IFERROR(__xludf.DUMMYFUNCTION("""COMPUTED_VALUE"""),1000.0)</f>
        <v>1000</v>
      </c>
      <c r="B231" s="2">
        <f>IFERROR(__xludf.DUMMYFUNCTION("""COMPUTED_VALUE"""),183631.0)</f>
        <v>183631</v>
      </c>
      <c r="C231" s="2">
        <f>IFERROR(__xludf.DUMMYFUNCTION("""COMPUTED_VALUE"""),2026.0)</f>
        <v>2026</v>
      </c>
      <c r="D231" s="2">
        <f>IFERROR(__xludf.DUMMYFUNCTION("""COMPUTED_VALUE"""),46340.0)</f>
        <v>46340</v>
      </c>
      <c r="E231" s="2" t="str">
        <f>IFERROR(__xludf.DUMMYFUNCTION("""COMPUTED_VALUE"""),"VF")</f>
        <v>VF</v>
      </c>
      <c r="F231" s="2">
        <f>IFERROR(__xludf.DUMMYFUNCTION("""COMPUTED_VALUE"""),3.0)</f>
        <v>3</v>
      </c>
      <c r="G231" s="2" t="str">
        <f>IFERROR(__xludf.DUMMYFUNCTION("""COMPUTED_VALUE"""),"PR021")</f>
        <v>PR021</v>
      </c>
      <c r="H231" s="2" t="str">
        <f>IFERROR(__xludf.DUMMYFUNCTION("""COMPUTED_VALUE"""),"VD039")</f>
        <v>VD039</v>
      </c>
      <c r="I231" s="2">
        <f>IFERROR(__xludf.DUMMYFUNCTION("""COMPUTED_VALUE"""),27.0)</f>
        <v>27</v>
      </c>
      <c r="J231" s="2">
        <f>IFERROR(__xludf.DUMMYFUNCTION("""COMPUTED_VALUE"""),9241.48)</f>
        <v>9241.48</v>
      </c>
      <c r="K231" s="2">
        <f>IFERROR(__xludf.DUMMYFUNCTION("""COMPUTED_VALUE"""),9241.48)</f>
        <v>9241.48</v>
      </c>
    </row>
    <row r="232">
      <c r="A232" s="2">
        <f>IFERROR(__xludf.DUMMYFUNCTION("""COMPUTED_VALUE"""),2000.0)</f>
        <v>2000</v>
      </c>
      <c r="B232" s="2">
        <f>IFERROR(__xludf.DUMMYFUNCTION("""COMPUTED_VALUE"""),183631.0)</f>
        <v>183631</v>
      </c>
      <c r="C232" s="2">
        <f>IFERROR(__xludf.DUMMYFUNCTION("""COMPUTED_VALUE"""),2026.0)</f>
        <v>2026</v>
      </c>
      <c r="D232" s="2">
        <f>IFERROR(__xludf.DUMMYFUNCTION("""COMPUTED_VALUE"""),46339.0)</f>
        <v>46339</v>
      </c>
      <c r="E232" s="2" t="str">
        <f>IFERROR(__xludf.DUMMYFUNCTION("""COMPUTED_VALUE"""),"VF")</f>
        <v>VF</v>
      </c>
      <c r="F232" s="2">
        <f>IFERROR(__xludf.DUMMYFUNCTION("""COMPUTED_VALUE"""),4.0)</f>
        <v>4</v>
      </c>
      <c r="G232" s="2" t="str">
        <f>IFERROR(__xludf.DUMMYFUNCTION("""COMPUTED_VALUE"""),"PR035")</f>
        <v>PR035</v>
      </c>
      <c r="H232" s="2" t="str">
        <f>IFERROR(__xludf.DUMMYFUNCTION("""COMPUTED_VALUE"""),"VD026")</f>
        <v>VD026</v>
      </c>
      <c r="I232" s="2">
        <f>IFERROR(__xludf.DUMMYFUNCTION("""COMPUTED_VALUE"""),6.0)</f>
        <v>6</v>
      </c>
      <c r="J232" s="2">
        <f>IFERROR(__xludf.DUMMYFUNCTION("""COMPUTED_VALUE"""),608.72)</f>
        <v>608.72</v>
      </c>
      <c r="K232" s="2">
        <f>IFERROR(__xludf.DUMMYFUNCTION("""COMPUTED_VALUE"""),608.72)</f>
        <v>608.72</v>
      </c>
    </row>
    <row r="233">
      <c r="A233" s="2">
        <f>IFERROR(__xludf.DUMMYFUNCTION("""COMPUTED_VALUE"""),1000.0)</f>
        <v>1000</v>
      </c>
      <c r="B233" s="2">
        <f>IFERROR(__xludf.DUMMYFUNCTION("""COMPUTED_VALUE"""),183631.0)</f>
        <v>183631</v>
      </c>
      <c r="C233" s="2">
        <f>IFERROR(__xludf.DUMMYFUNCTION("""COMPUTED_VALUE"""),2026.0)</f>
        <v>2026</v>
      </c>
      <c r="D233" s="2">
        <f>IFERROR(__xludf.DUMMYFUNCTION("""COMPUTED_VALUE"""),46339.0)</f>
        <v>46339</v>
      </c>
      <c r="E233" s="2" t="str">
        <f>IFERROR(__xludf.DUMMYFUNCTION("""COMPUTED_VALUE"""),"VF")</f>
        <v>VF</v>
      </c>
      <c r="F233" s="2">
        <f>IFERROR(__xludf.DUMMYFUNCTION("""COMPUTED_VALUE"""),5.0)</f>
        <v>5</v>
      </c>
      <c r="G233" s="2" t="str">
        <f>IFERROR(__xludf.DUMMYFUNCTION("""COMPUTED_VALUE"""),"PR008")</f>
        <v>PR008</v>
      </c>
      <c r="H233" s="2" t="str">
        <f>IFERROR(__xludf.DUMMYFUNCTION("""COMPUTED_VALUE"""),"VD036")</f>
        <v>VD036</v>
      </c>
      <c r="I233" s="2">
        <f>IFERROR(__xludf.DUMMYFUNCTION("""COMPUTED_VALUE"""),6.0)</f>
        <v>6</v>
      </c>
      <c r="J233" s="2">
        <f>IFERROR(__xludf.DUMMYFUNCTION("""COMPUTED_VALUE"""),593.34)</f>
        <v>593.34</v>
      </c>
      <c r="K233" s="2">
        <f>IFERROR(__xludf.DUMMYFUNCTION("""COMPUTED_VALUE"""),593.34)</f>
        <v>593.34</v>
      </c>
    </row>
    <row r="234">
      <c r="A234" s="2">
        <f>IFERROR(__xludf.DUMMYFUNCTION("""COMPUTED_VALUE"""),2000.0)</f>
        <v>2000</v>
      </c>
      <c r="B234" s="2">
        <f>IFERROR(__xludf.DUMMYFUNCTION("""COMPUTED_VALUE"""),183631.0)</f>
        <v>183631</v>
      </c>
      <c r="C234" s="2">
        <f>IFERROR(__xludf.DUMMYFUNCTION("""COMPUTED_VALUE"""),2026.0)</f>
        <v>2026</v>
      </c>
      <c r="D234" s="2">
        <f>IFERROR(__xludf.DUMMYFUNCTION("""COMPUTED_VALUE"""),46339.0)</f>
        <v>46339</v>
      </c>
      <c r="E234" s="2" t="str">
        <f>IFERROR(__xludf.DUMMYFUNCTION("""COMPUTED_VALUE"""),"VF")</f>
        <v>VF</v>
      </c>
      <c r="F234" s="2">
        <f>IFERROR(__xludf.DUMMYFUNCTION("""COMPUTED_VALUE"""),6.0)</f>
        <v>6</v>
      </c>
      <c r="G234" s="2" t="str">
        <f>IFERROR(__xludf.DUMMYFUNCTION("""COMPUTED_VALUE"""),"PR045")</f>
        <v>PR045</v>
      </c>
      <c r="H234" s="2" t="str">
        <f>IFERROR(__xludf.DUMMYFUNCTION("""COMPUTED_VALUE"""),"VD045")</f>
        <v>VD045</v>
      </c>
      <c r="I234" s="2">
        <f>IFERROR(__xludf.DUMMYFUNCTION("""COMPUTED_VALUE"""),6.0)</f>
        <v>6</v>
      </c>
      <c r="J234" s="2">
        <f>IFERROR(__xludf.DUMMYFUNCTION("""COMPUTED_VALUE"""),513.3)</f>
        <v>513.3</v>
      </c>
      <c r="K234" s="2">
        <f>IFERROR(__xludf.DUMMYFUNCTION("""COMPUTED_VALUE"""),513.3)</f>
        <v>513.3</v>
      </c>
    </row>
    <row r="235">
      <c r="A235" s="2">
        <f>IFERROR(__xludf.DUMMYFUNCTION("""COMPUTED_VALUE"""),2000.0)</f>
        <v>2000</v>
      </c>
      <c r="B235" s="2">
        <f>IFERROR(__xludf.DUMMYFUNCTION("""COMPUTED_VALUE"""),183632.0)</f>
        <v>183632</v>
      </c>
      <c r="C235" s="2">
        <f>IFERROR(__xludf.DUMMYFUNCTION("""COMPUTED_VALUE"""),2026.0)</f>
        <v>2026</v>
      </c>
      <c r="D235" s="2">
        <f>IFERROR(__xludf.DUMMYFUNCTION("""COMPUTED_VALUE"""),46338.0)</f>
        <v>46338</v>
      </c>
      <c r="E235" s="2" t="str">
        <f>IFERROR(__xludf.DUMMYFUNCTION("""COMPUTED_VALUE"""),"VF")</f>
        <v>VF</v>
      </c>
      <c r="F235" s="2">
        <f>IFERROR(__xludf.DUMMYFUNCTION("""COMPUTED_VALUE"""),1.0)</f>
        <v>1</v>
      </c>
      <c r="G235" s="2" t="str">
        <f>IFERROR(__xludf.DUMMYFUNCTION("""COMPUTED_VALUE"""),"PR037")</f>
        <v>PR037</v>
      </c>
      <c r="H235" s="2" t="str">
        <f>IFERROR(__xludf.DUMMYFUNCTION("""COMPUTED_VALUE"""),"VD021")</f>
        <v>VD021</v>
      </c>
      <c r="I235" s="2">
        <f>IFERROR(__xludf.DUMMYFUNCTION("""COMPUTED_VALUE"""),9.0)</f>
        <v>9</v>
      </c>
      <c r="J235" s="2">
        <f>IFERROR(__xludf.DUMMYFUNCTION("""COMPUTED_VALUE"""),1398.6)</f>
        <v>1398.6</v>
      </c>
      <c r="K235" s="2">
        <f>IFERROR(__xludf.DUMMYFUNCTION("""COMPUTED_VALUE"""),1398.6)</f>
        <v>1398.6</v>
      </c>
    </row>
    <row r="236">
      <c r="A236" s="2">
        <f>IFERROR(__xludf.DUMMYFUNCTION("""COMPUTED_VALUE"""),1000.0)</f>
        <v>1000</v>
      </c>
      <c r="B236" s="2">
        <f>IFERROR(__xludf.DUMMYFUNCTION("""COMPUTED_VALUE"""),183633.0)</f>
        <v>183633</v>
      </c>
      <c r="C236" s="2">
        <f>IFERROR(__xludf.DUMMYFUNCTION("""COMPUTED_VALUE"""),2026.0)</f>
        <v>2026</v>
      </c>
      <c r="D236" s="2">
        <f>IFERROR(__xludf.DUMMYFUNCTION("""COMPUTED_VALUE"""),46338.0)</f>
        <v>46338</v>
      </c>
      <c r="E236" s="2" t="str">
        <f>IFERROR(__xludf.DUMMYFUNCTION("""COMPUTED_VALUE"""),"VF")</f>
        <v>VF</v>
      </c>
      <c r="F236" s="2">
        <f>IFERROR(__xludf.DUMMYFUNCTION("""COMPUTED_VALUE"""),1.0)</f>
        <v>1</v>
      </c>
      <c r="G236" s="2" t="str">
        <f>IFERROR(__xludf.DUMMYFUNCTION("""COMPUTED_VALUE"""),"PR016")</f>
        <v>PR016</v>
      </c>
      <c r="H236" s="2" t="str">
        <f>IFERROR(__xludf.DUMMYFUNCTION("""COMPUTED_VALUE"""),"VD041")</f>
        <v>VD041</v>
      </c>
      <c r="I236" s="2">
        <f>IFERROR(__xludf.DUMMYFUNCTION("""COMPUTED_VALUE"""),2.0)</f>
        <v>2</v>
      </c>
      <c r="J236" s="2">
        <f>IFERROR(__xludf.DUMMYFUNCTION("""COMPUTED_VALUE"""),57.5)</f>
        <v>57.5</v>
      </c>
      <c r="K236" s="2">
        <f>IFERROR(__xludf.DUMMYFUNCTION("""COMPUTED_VALUE"""),57.5)</f>
        <v>57.5</v>
      </c>
    </row>
    <row r="237">
      <c r="A237" s="2">
        <f>IFERROR(__xludf.DUMMYFUNCTION("""COMPUTED_VALUE"""),1000.0)</f>
        <v>1000</v>
      </c>
      <c r="B237" s="2">
        <f>IFERROR(__xludf.DUMMYFUNCTION("""COMPUTED_VALUE"""),183634.0)</f>
        <v>183634</v>
      </c>
      <c r="C237" s="2">
        <f>IFERROR(__xludf.DUMMYFUNCTION("""COMPUTED_VALUE"""),2026.0)</f>
        <v>2026</v>
      </c>
      <c r="D237" s="2">
        <f>IFERROR(__xludf.DUMMYFUNCTION("""COMPUTED_VALUE"""),46338.0)</f>
        <v>46338</v>
      </c>
      <c r="E237" s="2" t="str">
        <f>IFERROR(__xludf.DUMMYFUNCTION("""COMPUTED_VALUE"""),"VF")</f>
        <v>VF</v>
      </c>
      <c r="F237" s="2">
        <f>IFERROR(__xludf.DUMMYFUNCTION("""COMPUTED_VALUE"""),1.0)</f>
        <v>1</v>
      </c>
      <c r="G237" s="2" t="str">
        <f>IFERROR(__xludf.DUMMYFUNCTION("""COMPUTED_VALUE"""),"PR053")</f>
        <v>PR053</v>
      </c>
      <c r="H237" s="2" t="str">
        <f>IFERROR(__xludf.DUMMYFUNCTION("""COMPUTED_VALUE"""),"VD013")</f>
        <v>VD013</v>
      </c>
      <c r="I237" s="2">
        <f>IFERROR(__xludf.DUMMYFUNCTION("""COMPUTED_VALUE"""),21.0)</f>
        <v>21</v>
      </c>
      <c r="J237" s="2">
        <f>IFERROR(__xludf.DUMMYFUNCTION("""COMPUTED_VALUE"""),1247.0)</f>
        <v>1247</v>
      </c>
      <c r="K237" s="2">
        <f>IFERROR(__xludf.DUMMYFUNCTION("""COMPUTED_VALUE"""),1247.0)</f>
        <v>1247</v>
      </c>
    </row>
    <row r="238">
      <c r="A238" s="2">
        <f>IFERROR(__xludf.DUMMYFUNCTION("""COMPUTED_VALUE"""),1000.0)</f>
        <v>1000</v>
      </c>
      <c r="B238" s="2">
        <f>IFERROR(__xludf.DUMMYFUNCTION("""COMPUTED_VALUE"""),183634.0)</f>
        <v>183634</v>
      </c>
      <c r="C238" s="2">
        <f>IFERROR(__xludf.DUMMYFUNCTION("""COMPUTED_VALUE"""),2026.0)</f>
        <v>2026</v>
      </c>
      <c r="D238" s="2">
        <f>IFERROR(__xludf.DUMMYFUNCTION("""COMPUTED_VALUE"""),46338.0)</f>
        <v>46338</v>
      </c>
      <c r="E238" s="2" t="str">
        <f>IFERROR(__xludf.DUMMYFUNCTION("""COMPUTED_VALUE"""),"VF")</f>
        <v>VF</v>
      </c>
      <c r="F238" s="2">
        <f>IFERROR(__xludf.DUMMYFUNCTION("""COMPUTED_VALUE"""),2.0)</f>
        <v>2</v>
      </c>
      <c r="G238" s="2" t="str">
        <f>IFERROR(__xludf.DUMMYFUNCTION("""COMPUTED_VALUE"""),"PR001")</f>
        <v>PR001</v>
      </c>
      <c r="H238" s="2" t="str">
        <f>IFERROR(__xludf.DUMMYFUNCTION("""COMPUTED_VALUE"""),"VD019")</f>
        <v>VD019</v>
      </c>
      <c r="I238" s="2">
        <f>IFERROR(__xludf.DUMMYFUNCTION("""COMPUTED_VALUE"""),21.0)</f>
        <v>21</v>
      </c>
      <c r="J238" s="2">
        <f>IFERROR(__xludf.DUMMYFUNCTION("""COMPUTED_VALUE"""),1577.65)</f>
        <v>1577.65</v>
      </c>
      <c r="K238" s="2">
        <f>IFERROR(__xludf.DUMMYFUNCTION("""COMPUTED_VALUE"""),1577.65)</f>
        <v>1577.65</v>
      </c>
    </row>
    <row r="239">
      <c r="A239" s="2">
        <f>IFERROR(__xludf.DUMMYFUNCTION("""COMPUTED_VALUE"""),1000.0)</f>
        <v>1000</v>
      </c>
      <c r="B239" s="2">
        <f>IFERROR(__xludf.DUMMYFUNCTION("""COMPUTED_VALUE"""),183635.0)</f>
        <v>183635</v>
      </c>
      <c r="C239" s="2">
        <f>IFERROR(__xludf.DUMMYFUNCTION("""COMPUTED_VALUE"""),2026.0)</f>
        <v>2026</v>
      </c>
      <c r="D239" s="2">
        <f>IFERROR(__xludf.DUMMYFUNCTION("""COMPUTED_VALUE"""),46338.0)</f>
        <v>46338</v>
      </c>
      <c r="E239" s="2" t="str">
        <f>IFERROR(__xludf.DUMMYFUNCTION("""COMPUTED_VALUE"""),"VF")</f>
        <v>VF</v>
      </c>
      <c r="F239" s="2">
        <f>IFERROR(__xludf.DUMMYFUNCTION("""COMPUTED_VALUE"""),1.0)</f>
        <v>1</v>
      </c>
      <c r="G239" s="2" t="str">
        <f>IFERROR(__xludf.DUMMYFUNCTION("""COMPUTED_VALUE"""),"PR052")</f>
        <v>PR052</v>
      </c>
      <c r="H239" s="2" t="str">
        <f>IFERROR(__xludf.DUMMYFUNCTION("""COMPUTED_VALUE"""),"VD032")</f>
        <v>VD032</v>
      </c>
      <c r="I239" s="2">
        <f>IFERROR(__xludf.DUMMYFUNCTION("""COMPUTED_VALUE"""),2.0)</f>
        <v>2</v>
      </c>
      <c r="J239" s="2">
        <f>IFERROR(__xludf.DUMMYFUNCTION("""COMPUTED_VALUE"""),114.77)</f>
        <v>114.77</v>
      </c>
      <c r="K239" s="2">
        <f>IFERROR(__xludf.DUMMYFUNCTION("""COMPUTED_VALUE"""),114.77)</f>
        <v>114.77</v>
      </c>
    </row>
    <row r="240">
      <c r="A240" s="2">
        <f>IFERROR(__xludf.DUMMYFUNCTION("""COMPUTED_VALUE"""),1000.0)</f>
        <v>1000</v>
      </c>
      <c r="B240" s="2">
        <f>IFERROR(__xludf.DUMMYFUNCTION("""COMPUTED_VALUE"""),183636.0)</f>
        <v>183636</v>
      </c>
      <c r="C240" s="2">
        <f>IFERROR(__xludf.DUMMYFUNCTION("""COMPUTED_VALUE"""),2026.0)</f>
        <v>2026</v>
      </c>
      <c r="D240" s="2">
        <f>IFERROR(__xludf.DUMMYFUNCTION("""COMPUTED_VALUE"""),46338.0)</f>
        <v>46338</v>
      </c>
      <c r="E240" s="2" t="str">
        <f>IFERROR(__xludf.DUMMYFUNCTION("""COMPUTED_VALUE"""),"VF")</f>
        <v>VF</v>
      </c>
      <c r="F240" s="2">
        <f>IFERROR(__xludf.DUMMYFUNCTION("""COMPUTED_VALUE"""),1.0)</f>
        <v>1</v>
      </c>
      <c r="G240" s="2" t="str">
        <f>IFERROR(__xludf.DUMMYFUNCTION("""COMPUTED_VALUE"""),"PR027")</f>
        <v>PR027</v>
      </c>
      <c r="H240" s="2" t="str">
        <f>IFERROR(__xludf.DUMMYFUNCTION("""COMPUTED_VALUE"""),"VD018")</f>
        <v>VD018</v>
      </c>
      <c r="I240" s="2">
        <f>IFERROR(__xludf.DUMMYFUNCTION("""COMPUTED_VALUE"""),8.0)</f>
        <v>8</v>
      </c>
      <c r="J240" s="2">
        <f>IFERROR(__xludf.DUMMYFUNCTION("""COMPUTED_VALUE"""),1056.0)</f>
        <v>1056</v>
      </c>
      <c r="K240" s="2">
        <f>IFERROR(__xludf.DUMMYFUNCTION("""COMPUTED_VALUE"""),1056.0)</f>
        <v>1056</v>
      </c>
    </row>
    <row r="241">
      <c r="A241" s="2">
        <f>IFERROR(__xludf.DUMMYFUNCTION("""COMPUTED_VALUE"""),1000.0)</f>
        <v>1000</v>
      </c>
      <c r="B241" s="2">
        <f>IFERROR(__xludf.DUMMYFUNCTION("""COMPUTED_VALUE"""),183637.0)</f>
        <v>183637</v>
      </c>
      <c r="C241" s="2">
        <f>IFERROR(__xludf.DUMMYFUNCTION("""COMPUTED_VALUE"""),2026.0)</f>
        <v>2026</v>
      </c>
      <c r="D241" s="2">
        <f>IFERROR(__xludf.DUMMYFUNCTION("""COMPUTED_VALUE"""),46338.0)</f>
        <v>46338</v>
      </c>
      <c r="E241" s="2" t="str">
        <f>IFERROR(__xludf.DUMMYFUNCTION("""COMPUTED_VALUE"""),"VF")</f>
        <v>VF</v>
      </c>
      <c r="F241" s="2">
        <f>IFERROR(__xludf.DUMMYFUNCTION("""COMPUTED_VALUE"""),1.0)</f>
        <v>1</v>
      </c>
      <c r="G241" s="2" t="str">
        <f>IFERROR(__xludf.DUMMYFUNCTION("""COMPUTED_VALUE"""),"PR049")</f>
        <v>PR049</v>
      </c>
      <c r="H241" s="2" t="str">
        <f>IFERROR(__xludf.DUMMYFUNCTION("""COMPUTED_VALUE"""),"VD013")</f>
        <v>VD013</v>
      </c>
      <c r="I241" s="2">
        <f>IFERROR(__xludf.DUMMYFUNCTION("""COMPUTED_VALUE"""),14.0)</f>
        <v>14</v>
      </c>
      <c r="J241" s="2">
        <f>IFERROR(__xludf.DUMMYFUNCTION("""COMPUTED_VALUE"""),515.87)</f>
        <v>515.87</v>
      </c>
      <c r="K241" s="2">
        <f>IFERROR(__xludf.DUMMYFUNCTION("""COMPUTED_VALUE"""),515.87)</f>
        <v>515.87</v>
      </c>
    </row>
    <row r="242">
      <c r="A242" s="2">
        <f>IFERROR(__xludf.DUMMYFUNCTION("""COMPUTED_VALUE"""),1000.0)</f>
        <v>1000</v>
      </c>
      <c r="B242" s="2">
        <f>IFERROR(__xludf.DUMMYFUNCTION("""COMPUTED_VALUE"""),183638.0)</f>
        <v>183638</v>
      </c>
      <c r="C242" s="2">
        <f>IFERROR(__xludf.DUMMYFUNCTION("""COMPUTED_VALUE"""),2026.0)</f>
        <v>2026</v>
      </c>
      <c r="D242" s="2">
        <f>IFERROR(__xludf.DUMMYFUNCTION("""COMPUTED_VALUE"""),46337.0)</f>
        <v>46337</v>
      </c>
      <c r="E242" s="2" t="str">
        <f>IFERROR(__xludf.DUMMYFUNCTION("""COMPUTED_VALUE"""),"VF")</f>
        <v>VF</v>
      </c>
      <c r="F242" s="2">
        <f>IFERROR(__xludf.DUMMYFUNCTION("""COMPUTED_VALUE"""),1.0)</f>
        <v>1</v>
      </c>
      <c r="G242" s="2" t="str">
        <f>IFERROR(__xludf.DUMMYFUNCTION("""COMPUTED_VALUE"""),"PR021")</f>
        <v>PR021</v>
      </c>
      <c r="H242" s="2" t="str">
        <f>IFERROR(__xludf.DUMMYFUNCTION("""COMPUTED_VALUE"""),"VD035")</f>
        <v>VD035</v>
      </c>
      <c r="I242" s="2">
        <f>IFERROR(__xludf.DUMMYFUNCTION("""COMPUTED_VALUE"""),7.0)</f>
        <v>7</v>
      </c>
      <c r="J242" s="2">
        <f>IFERROR(__xludf.DUMMYFUNCTION("""COMPUTED_VALUE"""),2417.14)</f>
        <v>2417.14</v>
      </c>
      <c r="K242" s="2">
        <f>IFERROR(__xludf.DUMMYFUNCTION("""COMPUTED_VALUE"""),2417.14)</f>
        <v>2417.14</v>
      </c>
    </row>
    <row r="243">
      <c r="A243" s="2">
        <f>IFERROR(__xludf.DUMMYFUNCTION("""COMPUTED_VALUE"""),1000.0)</f>
        <v>1000</v>
      </c>
      <c r="B243" s="2">
        <f>IFERROR(__xludf.DUMMYFUNCTION("""COMPUTED_VALUE"""),183639.0)</f>
        <v>183639</v>
      </c>
      <c r="C243" s="2">
        <f>IFERROR(__xludf.DUMMYFUNCTION("""COMPUTED_VALUE"""),2026.0)</f>
        <v>2026</v>
      </c>
      <c r="D243" s="2">
        <f>IFERROR(__xludf.DUMMYFUNCTION("""COMPUTED_VALUE"""),46337.0)</f>
        <v>46337</v>
      </c>
      <c r="E243" s="2" t="str">
        <f>IFERROR(__xludf.DUMMYFUNCTION("""COMPUTED_VALUE"""),"VF")</f>
        <v>VF</v>
      </c>
      <c r="F243" s="2">
        <f>IFERROR(__xludf.DUMMYFUNCTION("""COMPUTED_VALUE"""),1.0)</f>
        <v>1</v>
      </c>
      <c r="G243" s="2" t="str">
        <f>IFERROR(__xludf.DUMMYFUNCTION("""COMPUTED_VALUE"""),"PR055")</f>
        <v>PR055</v>
      </c>
      <c r="H243" s="2" t="str">
        <f>IFERROR(__xludf.DUMMYFUNCTION("""COMPUTED_VALUE"""),"VD030")</f>
        <v>VD030</v>
      </c>
      <c r="I243" s="2">
        <f>IFERROR(__xludf.DUMMYFUNCTION("""COMPUTED_VALUE"""),10.0)</f>
        <v>10</v>
      </c>
      <c r="J243" s="2">
        <f>IFERROR(__xludf.DUMMYFUNCTION("""COMPUTED_VALUE"""),1024.86)</f>
        <v>1024.86</v>
      </c>
      <c r="K243" s="2">
        <f>IFERROR(__xludf.DUMMYFUNCTION("""COMPUTED_VALUE"""),1024.86)</f>
        <v>1024.86</v>
      </c>
    </row>
    <row r="244">
      <c r="A244" s="2">
        <f>IFERROR(__xludf.DUMMYFUNCTION("""COMPUTED_VALUE"""),2000.0)</f>
        <v>2000</v>
      </c>
      <c r="B244" s="2">
        <f>IFERROR(__xludf.DUMMYFUNCTION("""COMPUTED_VALUE"""),183640.0)</f>
        <v>183640</v>
      </c>
      <c r="C244" s="2">
        <f>IFERROR(__xludf.DUMMYFUNCTION("""COMPUTED_VALUE"""),2026.0)</f>
        <v>2026</v>
      </c>
      <c r="D244" s="2">
        <f>IFERROR(__xludf.DUMMYFUNCTION("""COMPUTED_VALUE"""),46337.0)</f>
        <v>46337</v>
      </c>
      <c r="E244" s="2" t="str">
        <f>IFERROR(__xludf.DUMMYFUNCTION("""COMPUTED_VALUE"""),"VF")</f>
        <v>VF</v>
      </c>
      <c r="F244" s="2">
        <f>IFERROR(__xludf.DUMMYFUNCTION("""COMPUTED_VALUE"""),1.0)</f>
        <v>1</v>
      </c>
      <c r="G244" s="2" t="str">
        <f>IFERROR(__xludf.DUMMYFUNCTION("""COMPUTED_VALUE"""),"PR022")</f>
        <v>PR022</v>
      </c>
      <c r="H244" s="2" t="str">
        <f>IFERROR(__xludf.DUMMYFUNCTION("""COMPUTED_VALUE"""),"VD022")</f>
        <v>VD022</v>
      </c>
      <c r="I244" s="2">
        <f>IFERROR(__xludf.DUMMYFUNCTION("""COMPUTED_VALUE"""),8.0)</f>
        <v>8</v>
      </c>
      <c r="J244" s="2">
        <f>IFERROR(__xludf.DUMMYFUNCTION("""COMPUTED_VALUE"""),2712.0)</f>
        <v>2712</v>
      </c>
      <c r="K244" s="2">
        <f>IFERROR(__xludf.DUMMYFUNCTION("""COMPUTED_VALUE"""),2712.0)</f>
        <v>2712</v>
      </c>
    </row>
    <row r="245">
      <c r="A245" s="2">
        <f>IFERROR(__xludf.DUMMYFUNCTION("""COMPUTED_VALUE"""),1000.0)</f>
        <v>1000</v>
      </c>
      <c r="B245" s="2">
        <f>IFERROR(__xludf.DUMMYFUNCTION("""COMPUTED_VALUE"""),183641.0)</f>
        <v>183641</v>
      </c>
      <c r="C245" s="2">
        <f>IFERROR(__xludf.DUMMYFUNCTION("""COMPUTED_VALUE"""),2026.0)</f>
        <v>2026</v>
      </c>
      <c r="D245" s="2">
        <f>IFERROR(__xludf.DUMMYFUNCTION("""COMPUTED_VALUE"""),46337.0)</f>
        <v>46337</v>
      </c>
      <c r="E245" s="2" t="str">
        <f>IFERROR(__xludf.DUMMYFUNCTION("""COMPUTED_VALUE"""),"VF")</f>
        <v>VF</v>
      </c>
      <c r="F245" s="2">
        <f>IFERROR(__xludf.DUMMYFUNCTION("""COMPUTED_VALUE"""),1.0)</f>
        <v>1</v>
      </c>
      <c r="G245" s="2" t="str">
        <f>IFERROR(__xludf.DUMMYFUNCTION("""COMPUTED_VALUE"""),"PR043")</f>
        <v>PR043</v>
      </c>
      <c r="H245" s="2" t="str">
        <f>IFERROR(__xludf.DUMMYFUNCTION("""COMPUTED_VALUE"""),"VD037")</f>
        <v>VD037</v>
      </c>
      <c r="I245" s="2">
        <f>IFERROR(__xludf.DUMMYFUNCTION("""COMPUTED_VALUE"""),27.0)</f>
        <v>27</v>
      </c>
      <c r="J245" s="2">
        <f>IFERROR(__xludf.DUMMYFUNCTION("""COMPUTED_VALUE"""),2349.0)</f>
        <v>2349</v>
      </c>
      <c r="K245" s="2">
        <f>IFERROR(__xludf.DUMMYFUNCTION("""COMPUTED_VALUE"""),2349.0)</f>
        <v>2349</v>
      </c>
    </row>
    <row r="246">
      <c r="A246" s="2">
        <f>IFERROR(__xludf.DUMMYFUNCTION("""COMPUTED_VALUE"""),1000.0)</f>
        <v>1000</v>
      </c>
      <c r="B246" s="2">
        <f>IFERROR(__xludf.DUMMYFUNCTION("""COMPUTED_VALUE"""),183641.0)</f>
        <v>183641</v>
      </c>
      <c r="C246" s="2">
        <f>IFERROR(__xludf.DUMMYFUNCTION("""COMPUTED_VALUE"""),2026.0)</f>
        <v>2026</v>
      </c>
      <c r="D246" s="2">
        <f>IFERROR(__xludf.DUMMYFUNCTION("""COMPUTED_VALUE"""),46337.0)</f>
        <v>46337</v>
      </c>
      <c r="E246" s="2" t="str">
        <f>IFERROR(__xludf.DUMMYFUNCTION("""COMPUTED_VALUE"""),"VF")</f>
        <v>VF</v>
      </c>
      <c r="F246" s="2">
        <f>IFERROR(__xludf.DUMMYFUNCTION("""COMPUTED_VALUE"""),2.0)</f>
        <v>2</v>
      </c>
      <c r="G246" s="2" t="str">
        <f>IFERROR(__xludf.DUMMYFUNCTION("""COMPUTED_VALUE"""),"PR008")</f>
        <v>PR008</v>
      </c>
      <c r="H246" s="2" t="str">
        <f>IFERROR(__xludf.DUMMYFUNCTION("""COMPUTED_VALUE"""),"VD023")</f>
        <v>VD023</v>
      </c>
      <c r="I246" s="2">
        <f>IFERROR(__xludf.DUMMYFUNCTION("""COMPUTED_VALUE"""),6.0)</f>
        <v>6</v>
      </c>
      <c r="J246" s="2">
        <f>IFERROR(__xludf.DUMMYFUNCTION("""COMPUTED_VALUE"""),593.34)</f>
        <v>593.34</v>
      </c>
      <c r="K246" s="2">
        <f>IFERROR(__xludf.DUMMYFUNCTION("""COMPUTED_VALUE"""),593.34)</f>
        <v>593.34</v>
      </c>
    </row>
    <row r="247">
      <c r="A247" s="2">
        <f>IFERROR(__xludf.DUMMYFUNCTION("""COMPUTED_VALUE"""),1000.0)</f>
        <v>1000</v>
      </c>
      <c r="B247" s="2">
        <f>IFERROR(__xludf.DUMMYFUNCTION("""COMPUTED_VALUE"""),183641.0)</f>
        <v>183641</v>
      </c>
      <c r="C247" s="2">
        <f>IFERROR(__xludf.DUMMYFUNCTION("""COMPUTED_VALUE"""),2026.0)</f>
        <v>2026</v>
      </c>
      <c r="D247" s="2">
        <f>IFERROR(__xludf.DUMMYFUNCTION("""COMPUTED_VALUE"""),46337.0)</f>
        <v>46337</v>
      </c>
      <c r="E247" s="2" t="str">
        <f>IFERROR(__xludf.DUMMYFUNCTION("""COMPUTED_VALUE"""),"VF")</f>
        <v>VF</v>
      </c>
      <c r="F247" s="2">
        <f>IFERROR(__xludf.DUMMYFUNCTION("""COMPUTED_VALUE"""),3.0)</f>
        <v>3</v>
      </c>
      <c r="G247" s="2" t="str">
        <f>IFERROR(__xludf.DUMMYFUNCTION("""COMPUTED_VALUE"""),"PR004")</f>
        <v>PR004</v>
      </c>
      <c r="H247" s="2" t="str">
        <f>IFERROR(__xludf.DUMMYFUNCTION("""COMPUTED_VALUE"""),"VD017")</f>
        <v>VD017</v>
      </c>
      <c r="I247" s="2">
        <f>IFERROR(__xludf.DUMMYFUNCTION("""COMPUTED_VALUE"""),3.0)</f>
        <v>3</v>
      </c>
      <c r="J247" s="2">
        <f>IFERROR(__xludf.DUMMYFUNCTION("""COMPUTED_VALUE"""),491.55)</f>
        <v>491.55</v>
      </c>
      <c r="K247" s="2">
        <f>IFERROR(__xludf.DUMMYFUNCTION("""COMPUTED_VALUE"""),491.55)</f>
        <v>491.55</v>
      </c>
    </row>
    <row r="248">
      <c r="A248" s="2">
        <f>IFERROR(__xludf.DUMMYFUNCTION("""COMPUTED_VALUE"""),1000.0)</f>
        <v>1000</v>
      </c>
      <c r="B248" s="2">
        <f>IFERROR(__xludf.DUMMYFUNCTION("""COMPUTED_VALUE"""),183642.0)</f>
        <v>183642</v>
      </c>
      <c r="C248" s="2">
        <f>IFERROR(__xludf.DUMMYFUNCTION("""COMPUTED_VALUE"""),2026.0)</f>
        <v>2026</v>
      </c>
      <c r="D248" s="2">
        <f>IFERROR(__xludf.DUMMYFUNCTION("""COMPUTED_VALUE"""),46337.0)</f>
        <v>46337</v>
      </c>
      <c r="E248" s="2" t="str">
        <f>IFERROR(__xludf.DUMMYFUNCTION("""COMPUTED_VALUE"""),"VF")</f>
        <v>VF</v>
      </c>
      <c r="F248" s="2">
        <f>IFERROR(__xludf.DUMMYFUNCTION("""COMPUTED_VALUE"""),1.0)</f>
        <v>1</v>
      </c>
      <c r="G248" s="2" t="str">
        <f>IFERROR(__xludf.DUMMYFUNCTION("""COMPUTED_VALUE"""),"PR012")</f>
        <v>PR012</v>
      </c>
      <c r="H248" s="2" t="str">
        <f>IFERROR(__xludf.DUMMYFUNCTION("""COMPUTED_VALUE"""),"VD039")</f>
        <v>VD039</v>
      </c>
      <c r="I248" s="2">
        <f>IFERROR(__xludf.DUMMYFUNCTION("""COMPUTED_VALUE"""),2.0)</f>
        <v>2</v>
      </c>
      <c r="J248" s="2">
        <f>IFERROR(__xludf.DUMMYFUNCTION("""COMPUTED_VALUE"""),113.45)</f>
        <v>113.45</v>
      </c>
      <c r="K248" s="2">
        <f>IFERROR(__xludf.DUMMYFUNCTION("""COMPUTED_VALUE"""),113.45)</f>
        <v>113.45</v>
      </c>
    </row>
    <row r="249">
      <c r="A249" s="2">
        <f>IFERROR(__xludf.DUMMYFUNCTION("""COMPUTED_VALUE"""),1000.0)</f>
        <v>1000</v>
      </c>
      <c r="B249" s="2">
        <f>IFERROR(__xludf.DUMMYFUNCTION("""COMPUTED_VALUE"""),183643.0)</f>
        <v>183643</v>
      </c>
      <c r="C249" s="2">
        <f>IFERROR(__xludf.DUMMYFUNCTION("""COMPUTED_VALUE"""),2026.0)</f>
        <v>2026</v>
      </c>
      <c r="D249" s="2">
        <f>IFERROR(__xludf.DUMMYFUNCTION("""COMPUTED_VALUE"""),46337.0)</f>
        <v>46337</v>
      </c>
      <c r="E249" s="2" t="str">
        <f>IFERROR(__xludf.DUMMYFUNCTION("""COMPUTED_VALUE"""),"VF")</f>
        <v>VF</v>
      </c>
      <c r="F249" s="2">
        <f>IFERROR(__xludf.DUMMYFUNCTION("""COMPUTED_VALUE"""),1.0)</f>
        <v>1</v>
      </c>
      <c r="G249" s="2" t="str">
        <f>IFERROR(__xludf.DUMMYFUNCTION("""COMPUTED_VALUE"""),"PR024")</f>
        <v>PR024</v>
      </c>
      <c r="H249" s="2" t="str">
        <f>IFERROR(__xludf.DUMMYFUNCTION("""COMPUTED_VALUE"""),"VD032")</f>
        <v>VD032</v>
      </c>
      <c r="I249" s="2">
        <f>IFERROR(__xludf.DUMMYFUNCTION("""COMPUTED_VALUE"""),18.0)</f>
        <v>18</v>
      </c>
      <c r="J249" s="2">
        <f>IFERROR(__xludf.DUMMYFUNCTION("""COMPUTED_VALUE"""),5192.8)</f>
        <v>5192.8</v>
      </c>
      <c r="K249" s="2">
        <f>IFERROR(__xludf.DUMMYFUNCTION("""COMPUTED_VALUE"""),5192.8)</f>
        <v>5192.8</v>
      </c>
    </row>
    <row r="250">
      <c r="A250" s="2">
        <f>IFERROR(__xludf.DUMMYFUNCTION("""COMPUTED_VALUE"""),1000.0)</f>
        <v>1000</v>
      </c>
      <c r="B250" s="2">
        <f>IFERROR(__xludf.DUMMYFUNCTION("""COMPUTED_VALUE"""),183643.0)</f>
        <v>183643</v>
      </c>
      <c r="C250" s="2">
        <f>IFERROR(__xludf.DUMMYFUNCTION("""COMPUTED_VALUE"""),2026.0)</f>
        <v>2026</v>
      </c>
      <c r="D250" s="2">
        <f>IFERROR(__xludf.DUMMYFUNCTION("""COMPUTED_VALUE"""),46337.0)</f>
        <v>46337</v>
      </c>
      <c r="E250" s="2" t="str">
        <f>IFERROR(__xludf.DUMMYFUNCTION("""COMPUTED_VALUE"""),"VF")</f>
        <v>VF</v>
      </c>
      <c r="F250" s="2">
        <f>IFERROR(__xludf.DUMMYFUNCTION("""COMPUTED_VALUE"""),2.0)</f>
        <v>2</v>
      </c>
      <c r="G250" s="2" t="str">
        <f>IFERROR(__xludf.DUMMYFUNCTION("""COMPUTED_VALUE"""),"PR047")</f>
        <v>PR047</v>
      </c>
      <c r="H250" s="2" t="str">
        <f>IFERROR(__xludf.DUMMYFUNCTION("""COMPUTED_VALUE"""),"VD045")</f>
        <v>VD045</v>
      </c>
      <c r="I250" s="2">
        <f>IFERROR(__xludf.DUMMYFUNCTION("""COMPUTED_VALUE"""),8.0)</f>
        <v>8</v>
      </c>
      <c r="J250" s="2">
        <f>IFERROR(__xludf.DUMMYFUNCTION("""COMPUTED_VALUE"""),2736.66)</f>
        <v>2736.66</v>
      </c>
      <c r="K250" s="2">
        <f>IFERROR(__xludf.DUMMYFUNCTION("""COMPUTED_VALUE"""),2736.66)</f>
        <v>2736.66</v>
      </c>
    </row>
    <row r="251">
      <c r="A251" s="2">
        <f>IFERROR(__xludf.DUMMYFUNCTION("""COMPUTED_VALUE"""),1000.0)</f>
        <v>1000</v>
      </c>
      <c r="B251" s="2">
        <f>IFERROR(__xludf.DUMMYFUNCTION("""COMPUTED_VALUE"""),183643.0)</f>
        <v>183643</v>
      </c>
      <c r="C251" s="2">
        <f>IFERROR(__xludf.DUMMYFUNCTION("""COMPUTED_VALUE"""),2026.0)</f>
        <v>2026</v>
      </c>
      <c r="D251" s="2">
        <f>IFERROR(__xludf.DUMMYFUNCTION("""COMPUTED_VALUE"""),46337.0)</f>
        <v>46337</v>
      </c>
      <c r="E251" s="2" t="str">
        <f>IFERROR(__xludf.DUMMYFUNCTION("""COMPUTED_VALUE"""),"VF")</f>
        <v>VF</v>
      </c>
      <c r="F251" s="2">
        <f>IFERROR(__xludf.DUMMYFUNCTION("""COMPUTED_VALUE"""),3.0)</f>
        <v>3</v>
      </c>
      <c r="G251" s="2" t="str">
        <f>IFERROR(__xludf.DUMMYFUNCTION("""COMPUTED_VALUE"""),"PR030")</f>
        <v>PR030</v>
      </c>
      <c r="H251" s="2" t="str">
        <f>IFERROR(__xludf.DUMMYFUNCTION("""COMPUTED_VALUE"""),"VD022")</f>
        <v>VD022</v>
      </c>
      <c r="I251" s="2">
        <f>IFERROR(__xludf.DUMMYFUNCTION("""COMPUTED_VALUE"""),6.0)</f>
        <v>6</v>
      </c>
      <c r="J251" s="2">
        <f>IFERROR(__xludf.DUMMYFUNCTION("""COMPUTED_VALUE"""),1730.93)</f>
        <v>1730.93</v>
      </c>
      <c r="K251" s="2">
        <f>IFERROR(__xludf.DUMMYFUNCTION("""COMPUTED_VALUE"""),1730.93)</f>
        <v>1730.93</v>
      </c>
    </row>
    <row r="252">
      <c r="A252" s="2">
        <f>IFERROR(__xludf.DUMMYFUNCTION("""COMPUTED_VALUE"""),2000.0)</f>
        <v>2000</v>
      </c>
      <c r="B252" s="2">
        <f>IFERROR(__xludf.DUMMYFUNCTION("""COMPUTED_VALUE"""),183643.0)</f>
        <v>183643</v>
      </c>
      <c r="C252" s="2">
        <f>IFERROR(__xludf.DUMMYFUNCTION("""COMPUTED_VALUE"""),2026.0)</f>
        <v>2026</v>
      </c>
      <c r="D252" s="2">
        <f>IFERROR(__xludf.DUMMYFUNCTION("""COMPUTED_VALUE"""),46336.0)</f>
        <v>46336</v>
      </c>
      <c r="E252" s="2" t="str">
        <f>IFERROR(__xludf.DUMMYFUNCTION("""COMPUTED_VALUE"""),"VF")</f>
        <v>VF</v>
      </c>
      <c r="F252" s="2">
        <f>IFERROR(__xludf.DUMMYFUNCTION("""COMPUTED_VALUE"""),4.0)</f>
        <v>4</v>
      </c>
      <c r="G252" s="2" t="str">
        <f>IFERROR(__xludf.DUMMYFUNCTION("""COMPUTED_VALUE"""),"PR006")</f>
        <v>PR006</v>
      </c>
      <c r="H252" s="2" t="str">
        <f>IFERROR(__xludf.DUMMYFUNCTION("""COMPUTED_VALUE"""),"VD032")</f>
        <v>VD032</v>
      </c>
      <c r="I252" s="2">
        <f>IFERROR(__xludf.DUMMYFUNCTION("""COMPUTED_VALUE"""),7.0)</f>
        <v>7</v>
      </c>
      <c r="J252" s="2">
        <f>IFERROR(__xludf.DUMMYFUNCTION("""COMPUTED_VALUE"""),318.4)</f>
        <v>318.4</v>
      </c>
      <c r="K252" s="2">
        <f>IFERROR(__xludf.DUMMYFUNCTION("""COMPUTED_VALUE"""),318.4)</f>
        <v>318.4</v>
      </c>
    </row>
    <row r="253">
      <c r="A253" s="2">
        <f>IFERROR(__xludf.DUMMYFUNCTION("""COMPUTED_VALUE"""),1000.0)</f>
        <v>1000</v>
      </c>
      <c r="B253" s="2">
        <f>IFERROR(__xludf.DUMMYFUNCTION("""COMPUTED_VALUE"""),183644.0)</f>
        <v>183644</v>
      </c>
      <c r="C253" s="2">
        <f>IFERROR(__xludf.DUMMYFUNCTION("""COMPUTED_VALUE"""),2026.0)</f>
        <v>2026</v>
      </c>
      <c r="D253" s="2">
        <f>IFERROR(__xludf.DUMMYFUNCTION("""COMPUTED_VALUE"""),46336.0)</f>
        <v>46336</v>
      </c>
      <c r="E253" s="2" t="str">
        <f>IFERROR(__xludf.DUMMYFUNCTION("""COMPUTED_VALUE"""),"VF")</f>
        <v>VF</v>
      </c>
      <c r="F253" s="2">
        <f>IFERROR(__xludf.DUMMYFUNCTION("""COMPUTED_VALUE"""),1.0)</f>
        <v>1</v>
      </c>
      <c r="G253" s="2" t="str">
        <f>IFERROR(__xludf.DUMMYFUNCTION("""COMPUTED_VALUE"""),"PR032")</f>
        <v>PR032</v>
      </c>
      <c r="H253" s="2" t="str">
        <f>IFERROR(__xludf.DUMMYFUNCTION("""COMPUTED_VALUE"""),"VD014")</f>
        <v>VD014</v>
      </c>
      <c r="I253" s="2">
        <f>IFERROR(__xludf.DUMMYFUNCTION("""COMPUTED_VALUE"""),6.0)</f>
        <v>6</v>
      </c>
      <c r="J253" s="2">
        <f>IFERROR(__xludf.DUMMYFUNCTION("""COMPUTED_VALUE"""),1800.0)</f>
        <v>1800</v>
      </c>
      <c r="K253" s="2">
        <f>IFERROR(__xludf.DUMMYFUNCTION("""COMPUTED_VALUE"""),1800.0)</f>
        <v>1800</v>
      </c>
    </row>
    <row r="254">
      <c r="A254" s="2">
        <f>IFERROR(__xludf.DUMMYFUNCTION("""COMPUTED_VALUE"""),1000.0)</f>
        <v>1000</v>
      </c>
      <c r="B254" s="2">
        <f>IFERROR(__xludf.DUMMYFUNCTION("""COMPUTED_VALUE"""),183644.0)</f>
        <v>183644</v>
      </c>
      <c r="C254" s="2">
        <f>IFERROR(__xludf.DUMMYFUNCTION("""COMPUTED_VALUE"""),2026.0)</f>
        <v>2026</v>
      </c>
      <c r="D254" s="2">
        <f>IFERROR(__xludf.DUMMYFUNCTION("""COMPUTED_VALUE"""),46336.0)</f>
        <v>46336</v>
      </c>
      <c r="E254" s="2" t="str">
        <f>IFERROR(__xludf.DUMMYFUNCTION("""COMPUTED_VALUE"""),"VF")</f>
        <v>VF</v>
      </c>
      <c r="F254" s="2">
        <f>IFERROR(__xludf.DUMMYFUNCTION("""COMPUTED_VALUE"""),2.0)</f>
        <v>2</v>
      </c>
      <c r="G254" s="2" t="str">
        <f>IFERROR(__xludf.DUMMYFUNCTION("""COMPUTED_VALUE"""),"PR031")</f>
        <v>PR031</v>
      </c>
      <c r="H254" s="2" t="str">
        <f>IFERROR(__xludf.DUMMYFUNCTION("""COMPUTED_VALUE"""),"VD038")</f>
        <v>VD038</v>
      </c>
      <c r="I254" s="2">
        <f>IFERROR(__xludf.DUMMYFUNCTION("""COMPUTED_VALUE"""),16.0)</f>
        <v>16</v>
      </c>
      <c r="J254" s="2">
        <f>IFERROR(__xludf.DUMMYFUNCTION("""COMPUTED_VALUE"""),4664.8)</f>
        <v>4664.8</v>
      </c>
      <c r="K254" s="2">
        <f>IFERROR(__xludf.DUMMYFUNCTION("""COMPUTED_VALUE"""),4664.8)</f>
        <v>4664.8</v>
      </c>
    </row>
    <row r="255">
      <c r="A255" s="2">
        <f>IFERROR(__xludf.DUMMYFUNCTION("""COMPUTED_VALUE"""),1000.0)</f>
        <v>1000</v>
      </c>
      <c r="B255" s="2">
        <f>IFERROR(__xludf.DUMMYFUNCTION("""COMPUTED_VALUE"""),183645.0)</f>
        <v>183645</v>
      </c>
      <c r="C255" s="2">
        <f>IFERROR(__xludf.DUMMYFUNCTION("""COMPUTED_VALUE"""),2026.0)</f>
        <v>2026</v>
      </c>
      <c r="D255" s="2">
        <f>IFERROR(__xludf.DUMMYFUNCTION("""COMPUTED_VALUE"""),46335.0)</f>
        <v>46335</v>
      </c>
      <c r="E255" s="2" t="str">
        <f>IFERROR(__xludf.DUMMYFUNCTION("""COMPUTED_VALUE"""),"VF")</f>
        <v>VF</v>
      </c>
      <c r="F255" s="2">
        <f>IFERROR(__xludf.DUMMYFUNCTION("""COMPUTED_VALUE"""),1.0)</f>
        <v>1</v>
      </c>
      <c r="G255" s="2" t="str">
        <f>IFERROR(__xludf.DUMMYFUNCTION("""COMPUTED_VALUE"""),"PR029")</f>
        <v>PR029</v>
      </c>
      <c r="H255" s="2" t="str">
        <f>IFERROR(__xludf.DUMMYFUNCTION("""COMPUTED_VALUE"""),"VD027")</f>
        <v>VD027</v>
      </c>
      <c r="I255" s="2">
        <f>IFERROR(__xludf.DUMMYFUNCTION("""COMPUTED_VALUE"""),8.0)</f>
        <v>8</v>
      </c>
      <c r="J255" s="2">
        <f>IFERROR(__xludf.DUMMYFUNCTION("""COMPUTED_VALUE"""),2427.6)</f>
        <v>2427.6</v>
      </c>
      <c r="K255" s="2">
        <f>IFERROR(__xludf.DUMMYFUNCTION("""COMPUTED_VALUE"""),2427.6)</f>
        <v>2427.6</v>
      </c>
    </row>
    <row r="256">
      <c r="A256" s="2">
        <f>IFERROR(__xludf.DUMMYFUNCTION("""COMPUTED_VALUE"""),2000.0)</f>
        <v>2000</v>
      </c>
      <c r="B256" s="2">
        <f>IFERROR(__xludf.DUMMYFUNCTION("""COMPUTED_VALUE"""),183646.0)</f>
        <v>183646</v>
      </c>
      <c r="C256" s="2">
        <f>IFERROR(__xludf.DUMMYFUNCTION("""COMPUTED_VALUE"""),2026.0)</f>
        <v>2026</v>
      </c>
      <c r="D256" s="2">
        <f>IFERROR(__xludf.DUMMYFUNCTION("""COMPUTED_VALUE"""),46335.0)</f>
        <v>46335</v>
      </c>
      <c r="E256" s="2" t="str">
        <f>IFERROR(__xludf.DUMMYFUNCTION("""COMPUTED_VALUE"""),"VF")</f>
        <v>VF</v>
      </c>
      <c r="F256" s="2">
        <f>IFERROR(__xludf.DUMMYFUNCTION("""COMPUTED_VALUE"""),1.0)</f>
        <v>1</v>
      </c>
      <c r="G256" s="2" t="str">
        <f>IFERROR(__xludf.DUMMYFUNCTION("""COMPUTED_VALUE"""),"PR021")</f>
        <v>PR021</v>
      </c>
      <c r="H256" s="2" t="str">
        <f>IFERROR(__xludf.DUMMYFUNCTION("""COMPUTED_VALUE"""),"VD011")</f>
        <v>VD011</v>
      </c>
      <c r="I256" s="2">
        <f>IFERROR(__xludf.DUMMYFUNCTION("""COMPUTED_VALUE"""),5.0)</f>
        <v>5</v>
      </c>
      <c r="J256" s="2">
        <f>IFERROR(__xludf.DUMMYFUNCTION("""COMPUTED_VALUE"""),1696.24)</f>
        <v>1696.24</v>
      </c>
      <c r="K256" s="2">
        <f>IFERROR(__xludf.DUMMYFUNCTION("""COMPUTED_VALUE"""),1696.24)</f>
        <v>1696.24</v>
      </c>
    </row>
    <row r="257">
      <c r="A257" s="2">
        <f>IFERROR(__xludf.DUMMYFUNCTION("""COMPUTED_VALUE"""),1000.0)</f>
        <v>1000</v>
      </c>
      <c r="B257" s="2">
        <f>IFERROR(__xludf.DUMMYFUNCTION("""COMPUTED_VALUE"""),183647.0)</f>
        <v>183647</v>
      </c>
      <c r="C257" s="2">
        <f>IFERROR(__xludf.DUMMYFUNCTION("""COMPUTED_VALUE"""),2026.0)</f>
        <v>2026</v>
      </c>
      <c r="D257" s="2">
        <f>IFERROR(__xludf.DUMMYFUNCTION("""COMPUTED_VALUE"""),46335.0)</f>
        <v>46335</v>
      </c>
      <c r="E257" s="2" t="str">
        <f>IFERROR(__xludf.DUMMYFUNCTION("""COMPUTED_VALUE"""),"VF")</f>
        <v>VF</v>
      </c>
      <c r="F257" s="2">
        <f>IFERROR(__xludf.DUMMYFUNCTION("""COMPUTED_VALUE"""),1.0)</f>
        <v>1</v>
      </c>
      <c r="G257" s="2" t="str">
        <f>IFERROR(__xludf.DUMMYFUNCTION("""COMPUTED_VALUE"""),"PR039")</f>
        <v>PR039</v>
      </c>
      <c r="H257" s="2" t="str">
        <f>IFERROR(__xludf.DUMMYFUNCTION("""COMPUTED_VALUE"""),"VD017")</f>
        <v>VD017</v>
      </c>
      <c r="I257" s="2">
        <f>IFERROR(__xludf.DUMMYFUNCTION("""COMPUTED_VALUE"""),6.0)</f>
        <v>6</v>
      </c>
      <c r="J257" s="2">
        <f>IFERROR(__xludf.DUMMYFUNCTION("""COMPUTED_VALUE"""),1033.68)</f>
        <v>1033.68</v>
      </c>
      <c r="K257" s="2">
        <f>IFERROR(__xludf.DUMMYFUNCTION("""COMPUTED_VALUE"""),1033.68)</f>
        <v>1033.68</v>
      </c>
    </row>
    <row r="258">
      <c r="A258" s="2">
        <f>IFERROR(__xludf.DUMMYFUNCTION("""COMPUTED_VALUE"""),2000.0)</f>
        <v>2000</v>
      </c>
      <c r="B258" s="2">
        <f>IFERROR(__xludf.DUMMYFUNCTION("""COMPUTED_VALUE"""),183648.0)</f>
        <v>183648</v>
      </c>
      <c r="C258" s="2">
        <f>IFERROR(__xludf.DUMMYFUNCTION("""COMPUTED_VALUE"""),2026.0)</f>
        <v>2026</v>
      </c>
      <c r="D258" s="2">
        <f>IFERROR(__xludf.DUMMYFUNCTION("""COMPUTED_VALUE"""),46335.0)</f>
        <v>46335</v>
      </c>
      <c r="E258" s="2" t="str">
        <f>IFERROR(__xludf.DUMMYFUNCTION("""COMPUTED_VALUE"""),"VF")</f>
        <v>VF</v>
      </c>
      <c r="F258" s="2">
        <f>IFERROR(__xludf.DUMMYFUNCTION("""COMPUTED_VALUE"""),1.0)</f>
        <v>1</v>
      </c>
      <c r="G258" s="2" t="str">
        <f>IFERROR(__xludf.DUMMYFUNCTION("""COMPUTED_VALUE"""),"PR024")</f>
        <v>PR024</v>
      </c>
      <c r="H258" s="2" t="str">
        <f>IFERROR(__xludf.DUMMYFUNCTION("""COMPUTED_VALUE"""),"VD021")</f>
        <v>VD021</v>
      </c>
      <c r="I258" s="2">
        <f>IFERROR(__xludf.DUMMYFUNCTION("""COMPUTED_VALUE"""),12.0)</f>
        <v>12</v>
      </c>
      <c r="J258" s="2">
        <f>IFERROR(__xludf.DUMMYFUNCTION("""COMPUTED_VALUE"""),3617.81)</f>
        <v>3617.81</v>
      </c>
      <c r="K258" s="2">
        <f>IFERROR(__xludf.DUMMYFUNCTION("""COMPUTED_VALUE"""),3617.81)</f>
        <v>3617.81</v>
      </c>
    </row>
    <row r="259">
      <c r="A259" s="2">
        <f>IFERROR(__xludf.DUMMYFUNCTION("""COMPUTED_VALUE"""),1000.0)</f>
        <v>1000</v>
      </c>
      <c r="B259" s="2">
        <f>IFERROR(__xludf.DUMMYFUNCTION("""COMPUTED_VALUE"""),183649.0)</f>
        <v>183649</v>
      </c>
      <c r="C259" s="2">
        <f>IFERROR(__xludf.DUMMYFUNCTION("""COMPUTED_VALUE"""),2026.0)</f>
        <v>2026</v>
      </c>
      <c r="D259" s="2">
        <f>IFERROR(__xludf.DUMMYFUNCTION("""COMPUTED_VALUE"""),46334.0)</f>
        <v>46334</v>
      </c>
      <c r="E259" s="2" t="str">
        <f>IFERROR(__xludf.DUMMYFUNCTION("""COMPUTED_VALUE"""),"VF")</f>
        <v>VF</v>
      </c>
      <c r="F259" s="2">
        <f>IFERROR(__xludf.DUMMYFUNCTION("""COMPUTED_VALUE"""),1.0)</f>
        <v>1</v>
      </c>
      <c r="G259" s="2" t="str">
        <f>IFERROR(__xludf.DUMMYFUNCTION("""COMPUTED_VALUE"""),"PR039")</f>
        <v>PR039</v>
      </c>
      <c r="H259" s="2" t="str">
        <f>IFERROR(__xludf.DUMMYFUNCTION("""COMPUTED_VALUE"""),"VD042")</f>
        <v>VD042</v>
      </c>
      <c r="I259" s="2">
        <f>IFERROR(__xludf.DUMMYFUNCTION("""COMPUTED_VALUE"""),14.0)</f>
        <v>14</v>
      </c>
      <c r="J259" s="2">
        <f>IFERROR(__xludf.DUMMYFUNCTION("""COMPUTED_VALUE"""),2289.28)</f>
        <v>2289.28</v>
      </c>
      <c r="K259" s="2">
        <f>IFERROR(__xludf.DUMMYFUNCTION("""COMPUTED_VALUE"""),2289.28)</f>
        <v>2289.28</v>
      </c>
    </row>
    <row r="260">
      <c r="A260" s="2">
        <f>IFERROR(__xludf.DUMMYFUNCTION("""COMPUTED_VALUE"""),1000.0)</f>
        <v>1000</v>
      </c>
      <c r="B260" s="2">
        <f>IFERROR(__xludf.DUMMYFUNCTION("""COMPUTED_VALUE"""),183650.0)</f>
        <v>183650</v>
      </c>
      <c r="C260" s="2">
        <f>IFERROR(__xludf.DUMMYFUNCTION("""COMPUTED_VALUE"""),2026.0)</f>
        <v>2026</v>
      </c>
      <c r="D260" s="2">
        <f>IFERROR(__xludf.DUMMYFUNCTION("""COMPUTED_VALUE"""),46334.0)</f>
        <v>46334</v>
      </c>
      <c r="E260" s="2" t="str">
        <f>IFERROR(__xludf.DUMMYFUNCTION("""COMPUTED_VALUE"""),"VF")</f>
        <v>VF</v>
      </c>
      <c r="F260" s="2">
        <f>IFERROR(__xludf.DUMMYFUNCTION("""COMPUTED_VALUE"""),1.0)</f>
        <v>1</v>
      </c>
      <c r="G260" s="2" t="str">
        <f>IFERROR(__xludf.DUMMYFUNCTION("""COMPUTED_VALUE"""),"PR050")</f>
        <v>PR050</v>
      </c>
      <c r="H260" s="2" t="str">
        <f>IFERROR(__xludf.DUMMYFUNCTION("""COMPUTED_VALUE"""),"VD042")</f>
        <v>VD042</v>
      </c>
      <c r="I260" s="2">
        <f>IFERROR(__xludf.DUMMYFUNCTION("""COMPUTED_VALUE"""),8.0)</f>
        <v>8</v>
      </c>
      <c r="J260" s="2">
        <f>IFERROR(__xludf.DUMMYFUNCTION("""COMPUTED_VALUE"""),313.21)</f>
        <v>313.21</v>
      </c>
      <c r="K260" s="2">
        <f>IFERROR(__xludf.DUMMYFUNCTION("""COMPUTED_VALUE"""),313.21)</f>
        <v>313.21</v>
      </c>
    </row>
    <row r="261">
      <c r="A261" s="2">
        <f>IFERROR(__xludf.DUMMYFUNCTION("""COMPUTED_VALUE"""),1000.0)</f>
        <v>1000</v>
      </c>
      <c r="B261" s="2">
        <f>IFERROR(__xludf.DUMMYFUNCTION("""COMPUTED_VALUE"""),183650.0)</f>
        <v>183650</v>
      </c>
      <c r="C261" s="2">
        <f>IFERROR(__xludf.DUMMYFUNCTION("""COMPUTED_VALUE"""),2026.0)</f>
        <v>2026</v>
      </c>
      <c r="D261" s="2">
        <f>IFERROR(__xludf.DUMMYFUNCTION("""COMPUTED_VALUE"""),46334.0)</f>
        <v>46334</v>
      </c>
      <c r="E261" s="2" t="str">
        <f>IFERROR(__xludf.DUMMYFUNCTION("""COMPUTED_VALUE"""),"VF")</f>
        <v>VF</v>
      </c>
      <c r="F261" s="2">
        <f>IFERROR(__xludf.DUMMYFUNCTION("""COMPUTED_VALUE"""),2.0)</f>
        <v>2</v>
      </c>
      <c r="G261" s="2" t="str">
        <f>IFERROR(__xludf.DUMMYFUNCTION("""COMPUTED_VALUE"""),"PR032")</f>
        <v>PR032</v>
      </c>
      <c r="H261" s="2" t="str">
        <f>IFERROR(__xludf.DUMMYFUNCTION("""COMPUTED_VALUE"""),"VD036")</f>
        <v>VD036</v>
      </c>
      <c r="I261" s="2">
        <f>IFERROR(__xludf.DUMMYFUNCTION("""COMPUTED_VALUE"""),30.0)</f>
        <v>30</v>
      </c>
      <c r="J261" s="2">
        <f>IFERROR(__xludf.DUMMYFUNCTION("""COMPUTED_VALUE"""),8925.0)</f>
        <v>8925</v>
      </c>
      <c r="K261" s="2">
        <f>IFERROR(__xludf.DUMMYFUNCTION("""COMPUTED_VALUE"""),8925.0)</f>
        <v>8925</v>
      </c>
    </row>
    <row r="262">
      <c r="A262" s="2">
        <f>IFERROR(__xludf.DUMMYFUNCTION("""COMPUTED_VALUE"""),1000.0)</f>
        <v>1000</v>
      </c>
      <c r="B262" s="2">
        <f>IFERROR(__xludf.DUMMYFUNCTION("""COMPUTED_VALUE"""),183651.0)</f>
        <v>183651</v>
      </c>
      <c r="C262" s="2">
        <f>IFERROR(__xludf.DUMMYFUNCTION("""COMPUTED_VALUE"""),2026.0)</f>
        <v>2026</v>
      </c>
      <c r="D262" s="2">
        <f>IFERROR(__xludf.DUMMYFUNCTION("""COMPUTED_VALUE"""),46334.0)</f>
        <v>46334</v>
      </c>
      <c r="E262" s="2" t="str">
        <f>IFERROR(__xludf.DUMMYFUNCTION("""COMPUTED_VALUE"""),"VF")</f>
        <v>VF</v>
      </c>
      <c r="F262" s="2">
        <f>IFERROR(__xludf.DUMMYFUNCTION("""COMPUTED_VALUE"""),1.0)</f>
        <v>1</v>
      </c>
      <c r="G262" s="2" t="str">
        <f>IFERROR(__xludf.DUMMYFUNCTION("""COMPUTED_VALUE"""),"PR047")</f>
        <v>PR047</v>
      </c>
      <c r="H262" s="2" t="str">
        <f>IFERROR(__xludf.DUMMYFUNCTION("""COMPUTED_VALUE"""),"VD027")</f>
        <v>VD027</v>
      </c>
      <c r="I262" s="2">
        <f>IFERROR(__xludf.DUMMYFUNCTION("""COMPUTED_VALUE"""),8.0)</f>
        <v>8</v>
      </c>
      <c r="J262" s="2">
        <f>IFERROR(__xludf.DUMMYFUNCTION("""COMPUTED_VALUE"""),2481.54)</f>
        <v>2481.54</v>
      </c>
      <c r="K262" s="2">
        <f>IFERROR(__xludf.DUMMYFUNCTION("""COMPUTED_VALUE"""),2481.54)</f>
        <v>2481.54</v>
      </c>
    </row>
    <row r="263">
      <c r="A263" s="2">
        <f>IFERROR(__xludf.DUMMYFUNCTION("""COMPUTED_VALUE"""),1000.0)</f>
        <v>1000</v>
      </c>
      <c r="B263" s="2">
        <f>IFERROR(__xludf.DUMMYFUNCTION("""COMPUTED_VALUE"""),183652.0)</f>
        <v>183652</v>
      </c>
      <c r="C263" s="2">
        <f>IFERROR(__xludf.DUMMYFUNCTION("""COMPUTED_VALUE"""),2026.0)</f>
        <v>2026</v>
      </c>
      <c r="D263" s="2">
        <f>IFERROR(__xludf.DUMMYFUNCTION("""COMPUTED_VALUE"""),46334.0)</f>
        <v>46334</v>
      </c>
      <c r="E263" s="2" t="str">
        <f>IFERROR(__xludf.DUMMYFUNCTION("""COMPUTED_VALUE"""),"VF")</f>
        <v>VF</v>
      </c>
      <c r="F263" s="2">
        <f>IFERROR(__xludf.DUMMYFUNCTION("""COMPUTED_VALUE"""),1.0)</f>
        <v>1</v>
      </c>
      <c r="G263" s="2" t="str">
        <f>IFERROR(__xludf.DUMMYFUNCTION("""COMPUTED_VALUE"""),"PR016")</f>
        <v>PR016</v>
      </c>
      <c r="H263" s="2" t="str">
        <f>IFERROR(__xludf.DUMMYFUNCTION("""COMPUTED_VALUE"""),"VD023")</f>
        <v>VD023</v>
      </c>
      <c r="I263" s="2">
        <f>IFERROR(__xludf.DUMMYFUNCTION("""COMPUTED_VALUE"""),18.0)</f>
        <v>18</v>
      </c>
      <c r="J263" s="2">
        <f>IFERROR(__xludf.DUMMYFUNCTION("""COMPUTED_VALUE"""),470.86)</f>
        <v>470.86</v>
      </c>
      <c r="K263" s="2">
        <f>IFERROR(__xludf.DUMMYFUNCTION("""COMPUTED_VALUE"""),470.86)</f>
        <v>470.86</v>
      </c>
    </row>
    <row r="264">
      <c r="A264" s="2">
        <f>IFERROR(__xludf.DUMMYFUNCTION("""COMPUTED_VALUE"""),1000.0)</f>
        <v>1000</v>
      </c>
      <c r="B264" s="2">
        <f>IFERROR(__xludf.DUMMYFUNCTION("""COMPUTED_VALUE"""),183653.0)</f>
        <v>183653</v>
      </c>
      <c r="C264" s="2">
        <f>IFERROR(__xludf.DUMMYFUNCTION("""COMPUTED_VALUE"""),2026.0)</f>
        <v>2026</v>
      </c>
      <c r="D264" s="2">
        <f>IFERROR(__xludf.DUMMYFUNCTION("""COMPUTED_VALUE"""),46334.0)</f>
        <v>46334</v>
      </c>
      <c r="E264" s="2" t="str">
        <f>IFERROR(__xludf.DUMMYFUNCTION("""COMPUTED_VALUE"""),"VF")</f>
        <v>VF</v>
      </c>
      <c r="F264" s="2">
        <f>IFERROR(__xludf.DUMMYFUNCTION("""COMPUTED_VALUE"""),1.0)</f>
        <v>1</v>
      </c>
      <c r="G264" s="2" t="str">
        <f>IFERROR(__xludf.DUMMYFUNCTION("""COMPUTED_VALUE"""),"PR029")</f>
        <v>PR029</v>
      </c>
      <c r="H264" s="2" t="str">
        <f>IFERROR(__xludf.DUMMYFUNCTION("""COMPUTED_VALUE"""),"VD033")</f>
        <v>VD033</v>
      </c>
      <c r="I264" s="2">
        <f>IFERROR(__xludf.DUMMYFUNCTION("""COMPUTED_VALUE"""),16.0)</f>
        <v>16</v>
      </c>
      <c r="J264" s="2">
        <f>IFERROR(__xludf.DUMMYFUNCTION("""COMPUTED_VALUE"""),4161.6)</f>
        <v>4161.6</v>
      </c>
      <c r="K264" s="2">
        <f>IFERROR(__xludf.DUMMYFUNCTION("""COMPUTED_VALUE"""),4161.6)</f>
        <v>4161.6</v>
      </c>
    </row>
    <row r="265">
      <c r="A265" s="2">
        <f>IFERROR(__xludf.DUMMYFUNCTION("""COMPUTED_VALUE"""),1000.0)</f>
        <v>1000</v>
      </c>
      <c r="B265" s="2">
        <f>IFERROR(__xludf.DUMMYFUNCTION("""COMPUTED_VALUE"""),183654.0)</f>
        <v>183654</v>
      </c>
      <c r="C265" s="2">
        <f>IFERROR(__xludf.DUMMYFUNCTION("""COMPUTED_VALUE"""),2026.0)</f>
        <v>2026</v>
      </c>
      <c r="D265" s="2">
        <f>IFERROR(__xludf.DUMMYFUNCTION("""COMPUTED_VALUE"""),46334.0)</f>
        <v>46334</v>
      </c>
      <c r="E265" s="2" t="str">
        <f>IFERROR(__xludf.DUMMYFUNCTION("""COMPUTED_VALUE"""),"VF")</f>
        <v>VF</v>
      </c>
      <c r="F265" s="2">
        <f>IFERROR(__xludf.DUMMYFUNCTION("""COMPUTED_VALUE"""),1.0)</f>
        <v>1</v>
      </c>
      <c r="G265" s="2" t="str">
        <f>IFERROR(__xludf.DUMMYFUNCTION("""COMPUTED_VALUE"""),"PR050")</f>
        <v>PR050</v>
      </c>
      <c r="H265" s="2" t="str">
        <f>IFERROR(__xludf.DUMMYFUNCTION("""COMPUTED_VALUE"""),"VD036")</f>
        <v>VD036</v>
      </c>
      <c r="I265" s="2">
        <f>IFERROR(__xludf.DUMMYFUNCTION("""COMPUTED_VALUE"""),10.0)</f>
        <v>10</v>
      </c>
      <c r="J265" s="2">
        <f>IFERROR(__xludf.DUMMYFUNCTION("""COMPUTED_VALUE"""),345.45)</f>
        <v>345.45</v>
      </c>
      <c r="K265" s="2">
        <f>IFERROR(__xludf.DUMMYFUNCTION("""COMPUTED_VALUE"""),345.45)</f>
        <v>345.45</v>
      </c>
    </row>
    <row r="266">
      <c r="A266" s="2">
        <f>IFERROR(__xludf.DUMMYFUNCTION("""COMPUTED_VALUE"""),1000.0)</f>
        <v>1000</v>
      </c>
      <c r="B266" s="2">
        <f>IFERROR(__xludf.DUMMYFUNCTION("""COMPUTED_VALUE"""),183654.0)</f>
        <v>183654</v>
      </c>
      <c r="C266" s="2">
        <f>IFERROR(__xludf.DUMMYFUNCTION("""COMPUTED_VALUE"""),2026.0)</f>
        <v>2026</v>
      </c>
      <c r="D266" s="2">
        <f>IFERROR(__xludf.DUMMYFUNCTION("""COMPUTED_VALUE"""),46334.0)</f>
        <v>46334</v>
      </c>
      <c r="E266" s="2" t="str">
        <f>IFERROR(__xludf.DUMMYFUNCTION("""COMPUTED_VALUE"""),"VF")</f>
        <v>VF</v>
      </c>
      <c r="F266" s="2">
        <f>IFERROR(__xludf.DUMMYFUNCTION("""COMPUTED_VALUE"""),2.0)</f>
        <v>2</v>
      </c>
      <c r="G266" s="2" t="str">
        <f>IFERROR(__xludf.DUMMYFUNCTION("""COMPUTED_VALUE"""),"PR045")</f>
        <v>PR045</v>
      </c>
      <c r="H266" s="2" t="str">
        <f>IFERROR(__xludf.DUMMYFUNCTION("""COMPUTED_VALUE"""),"VD045")</f>
        <v>VD045</v>
      </c>
      <c r="I266" s="2">
        <f>IFERROR(__xludf.DUMMYFUNCTION("""COMPUTED_VALUE"""),3.0)</f>
        <v>3</v>
      </c>
      <c r="J266" s="2">
        <f>IFERROR(__xludf.DUMMYFUNCTION("""COMPUTED_VALUE"""),237.08)</f>
        <v>237.08</v>
      </c>
      <c r="K266" s="2">
        <f>IFERROR(__xludf.DUMMYFUNCTION("""COMPUTED_VALUE"""),237.08)</f>
        <v>237.08</v>
      </c>
    </row>
    <row r="267">
      <c r="A267" s="2">
        <f>IFERROR(__xludf.DUMMYFUNCTION("""COMPUTED_VALUE"""),1000.0)</f>
        <v>1000</v>
      </c>
      <c r="B267" s="2">
        <f>IFERROR(__xludf.DUMMYFUNCTION("""COMPUTED_VALUE"""),183654.0)</f>
        <v>183654</v>
      </c>
      <c r="C267" s="2">
        <f>IFERROR(__xludf.DUMMYFUNCTION("""COMPUTED_VALUE"""),2026.0)</f>
        <v>2026</v>
      </c>
      <c r="D267" s="2">
        <f>IFERROR(__xludf.DUMMYFUNCTION("""COMPUTED_VALUE"""),46334.0)</f>
        <v>46334</v>
      </c>
      <c r="E267" s="2" t="str">
        <f>IFERROR(__xludf.DUMMYFUNCTION("""COMPUTED_VALUE"""),"VF")</f>
        <v>VF</v>
      </c>
      <c r="F267" s="2">
        <f>IFERROR(__xludf.DUMMYFUNCTION("""COMPUTED_VALUE"""),3.0)</f>
        <v>3</v>
      </c>
      <c r="G267" s="2" t="str">
        <f>IFERROR(__xludf.DUMMYFUNCTION("""COMPUTED_VALUE"""),"PR053")</f>
        <v>PR053</v>
      </c>
      <c r="H267" s="2" t="str">
        <f>IFERROR(__xludf.DUMMYFUNCTION("""COMPUTED_VALUE"""),"VD022")</f>
        <v>VD022</v>
      </c>
      <c r="I267" s="2">
        <f>IFERROR(__xludf.DUMMYFUNCTION("""COMPUTED_VALUE"""),10.0)</f>
        <v>10</v>
      </c>
      <c r="J267" s="2">
        <f>IFERROR(__xludf.DUMMYFUNCTION("""COMPUTED_VALUE"""),543.91)</f>
        <v>543.91</v>
      </c>
      <c r="K267" s="2">
        <f>IFERROR(__xludf.DUMMYFUNCTION("""COMPUTED_VALUE"""),543.91)</f>
        <v>543.91</v>
      </c>
    </row>
    <row r="268">
      <c r="A268" s="2">
        <f>IFERROR(__xludf.DUMMYFUNCTION("""COMPUTED_VALUE"""),1000.0)</f>
        <v>1000</v>
      </c>
      <c r="B268" s="2">
        <f>IFERROR(__xludf.DUMMYFUNCTION("""COMPUTED_VALUE"""),183655.0)</f>
        <v>183655</v>
      </c>
      <c r="C268" s="2">
        <f>IFERROR(__xludf.DUMMYFUNCTION("""COMPUTED_VALUE"""),2026.0)</f>
        <v>2026</v>
      </c>
      <c r="D268" s="2">
        <f>IFERROR(__xludf.DUMMYFUNCTION("""COMPUTED_VALUE"""),46334.0)</f>
        <v>46334</v>
      </c>
      <c r="E268" s="2" t="str">
        <f>IFERROR(__xludf.DUMMYFUNCTION("""COMPUTED_VALUE"""),"VF")</f>
        <v>VF</v>
      </c>
      <c r="F268" s="2">
        <f>IFERROR(__xludf.DUMMYFUNCTION("""COMPUTED_VALUE"""),1.0)</f>
        <v>1</v>
      </c>
      <c r="G268" s="2" t="str">
        <f>IFERROR(__xludf.DUMMYFUNCTION("""COMPUTED_VALUE"""),"PR042")</f>
        <v>PR042</v>
      </c>
      <c r="H268" s="2" t="str">
        <f>IFERROR(__xludf.DUMMYFUNCTION("""COMPUTED_VALUE"""),"VD020")</f>
        <v>VD020</v>
      </c>
      <c r="I268" s="2">
        <f>IFERROR(__xludf.DUMMYFUNCTION("""COMPUTED_VALUE"""),3.0)</f>
        <v>3</v>
      </c>
      <c r="J268" s="2">
        <f>IFERROR(__xludf.DUMMYFUNCTION("""COMPUTED_VALUE"""),167.99)</f>
        <v>167.99</v>
      </c>
      <c r="K268" s="2">
        <f>IFERROR(__xludf.DUMMYFUNCTION("""COMPUTED_VALUE"""),167.99)</f>
        <v>167.99</v>
      </c>
    </row>
    <row r="269">
      <c r="A269" s="2">
        <f>IFERROR(__xludf.DUMMYFUNCTION("""COMPUTED_VALUE"""),1000.0)</f>
        <v>1000</v>
      </c>
      <c r="B269" s="2">
        <f>IFERROR(__xludf.DUMMYFUNCTION("""COMPUTED_VALUE"""),183656.0)</f>
        <v>183656</v>
      </c>
      <c r="C269" s="2">
        <f>IFERROR(__xludf.DUMMYFUNCTION("""COMPUTED_VALUE"""),2026.0)</f>
        <v>2026</v>
      </c>
      <c r="D269" s="2">
        <f>IFERROR(__xludf.DUMMYFUNCTION("""COMPUTED_VALUE"""),46333.0)</f>
        <v>46333</v>
      </c>
      <c r="E269" s="2" t="str">
        <f>IFERROR(__xludf.DUMMYFUNCTION("""COMPUTED_VALUE"""),"VF")</f>
        <v>VF</v>
      </c>
      <c r="F269" s="2">
        <f>IFERROR(__xludf.DUMMYFUNCTION("""COMPUTED_VALUE"""),1.0)</f>
        <v>1</v>
      </c>
      <c r="G269" s="2" t="str">
        <f>IFERROR(__xludf.DUMMYFUNCTION("""COMPUTED_VALUE"""),"PR049")</f>
        <v>PR049</v>
      </c>
      <c r="H269" s="2" t="str">
        <f>IFERROR(__xludf.DUMMYFUNCTION("""COMPUTED_VALUE"""),"VD019")</f>
        <v>VD019</v>
      </c>
      <c r="I269" s="2">
        <f>IFERROR(__xludf.DUMMYFUNCTION("""COMPUTED_VALUE"""),4.0)</f>
        <v>4</v>
      </c>
      <c r="J269" s="2">
        <f>IFERROR(__xludf.DUMMYFUNCTION("""COMPUTED_VALUE"""),132.92)</f>
        <v>132.92</v>
      </c>
      <c r="K269" s="2">
        <f>IFERROR(__xludf.DUMMYFUNCTION("""COMPUTED_VALUE"""),132.92)</f>
        <v>132.92</v>
      </c>
    </row>
    <row r="270">
      <c r="A270" s="2">
        <f>IFERROR(__xludf.DUMMYFUNCTION("""COMPUTED_VALUE"""),1000.0)</f>
        <v>1000</v>
      </c>
      <c r="B270" s="2">
        <f>IFERROR(__xludf.DUMMYFUNCTION("""COMPUTED_VALUE"""),183656.0)</f>
        <v>183656</v>
      </c>
      <c r="C270" s="2">
        <f>IFERROR(__xludf.DUMMYFUNCTION("""COMPUTED_VALUE"""),2026.0)</f>
        <v>2026</v>
      </c>
      <c r="D270" s="2">
        <f>IFERROR(__xludf.DUMMYFUNCTION("""COMPUTED_VALUE"""),46333.0)</f>
        <v>46333</v>
      </c>
      <c r="E270" s="2" t="str">
        <f>IFERROR(__xludf.DUMMYFUNCTION("""COMPUTED_VALUE"""),"VF")</f>
        <v>VF</v>
      </c>
      <c r="F270" s="2">
        <f>IFERROR(__xludf.DUMMYFUNCTION("""COMPUTED_VALUE"""),2.0)</f>
        <v>2</v>
      </c>
      <c r="G270" s="2" t="str">
        <f>IFERROR(__xludf.DUMMYFUNCTION("""COMPUTED_VALUE"""),"PR045")</f>
        <v>PR045</v>
      </c>
      <c r="H270" s="2" t="str">
        <f>IFERROR(__xludf.DUMMYFUNCTION("""COMPUTED_VALUE"""),"VD015")</f>
        <v>VD015</v>
      </c>
      <c r="I270" s="2">
        <f>IFERROR(__xludf.DUMMYFUNCTION("""COMPUTED_VALUE"""),18.0)</f>
        <v>18</v>
      </c>
      <c r="J270" s="2">
        <f>IFERROR(__xludf.DUMMYFUNCTION("""COMPUTED_VALUE"""),1357.2)</f>
        <v>1357.2</v>
      </c>
      <c r="K270" s="2">
        <f>IFERROR(__xludf.DUMMYFUNCTION("""COMPUTED_VALUE"""),1357.2)</f>
        <v>1357.2</v>
      </c>
    </row>
    <row r="271">
      <c r="A271" s="2">
        <f>IFERROR(__xludf.DUMMYFUNCTION("""COMPUTED_VALUE"""),1000.0)</f>
        <v>1000</v>
      </c>
      <c r="B271" s="2">
        <f>IFERROR(__xludf.DUMMYFUNCTION("""COMPUTED_VALUE"""),183657.0)</f>
        <v>183657</v>
      </c>
      <c r="C271" s="2">
        <f>IFERROR(__xludf.DUMMYFUNCTION("""COMPUTED_VALUE"""),2026.0)</f>
        <v>2026</v>
      </c>
      <c r="D271" s="2">
        <f>IFERROR(__xludf.DUMMYFUNCTION("""COMPUTED_VALUE"""),46333.0)</f>
        <v>46333</v>
      </c>
      <c r="E271" s="2" t="str">
        <f>IFERROR(__xludf.DUMMYFUNCTION("""COMPUTED_VALUE"""),"VF")</f>
        <v>VF</v>
      </c>
      <c r="F271" s="2">
        <f>IFERROR(__xludf.DUMMYFUNCTION("""COMPUTED_VALUE"""),1.0)</f>
        <v>1</v>
      </c>
      <c r="G271" s="2" t="str">
        <f>IFERROR(__xludf.DUMMYFUNCTION("""COMPUTED_VALUE"""),"PR037")</f>
        <v>PR037</v>
      </c>
      <c r="H271" s="2" t="str">
        <f>IFERROR(__xludf.DUMMYFUNCTION("""COMPUTED_VALUE"""),"VD029")</f>
        <v>VD029</v>
      </c>
      <c r="I271" s="2">
        <f>IFERROR(__xludf.DUMMYFUNCTION("""COMPUTED_VALUE"""),6.0)</f>
        <v>6</v>
      </c>
      <c r="J271" s="2">
        <f>IFERROR(__xludf.DUMMYFUNCTION("""COMPUTED_VALUE"""),915.6)</f>
        <v>915.6</v>
      </c>
      <c r="K271" s="2">
        <f>IFERROR(__xludf.DUMMYFUNCTION("""COMPUTED_VALUE"""),915.6)</f>
        <v>915.6</v>
      </c>
    </row>
    <row r="272">
      <c r="A272" s="2">
        <f>IFERROR(__xludf.DUMMYFUNCTION("""COMPUTED_VALUE"""),2000.0)</f>
        <v>2000</v>
      </c>
      <c r="B272" s="2">
        <f>IFERROR(__xludf.DUMMYFUNCTION("""COMPUTED_VALUE"""),183658.0)</f>
        <v>183658</v>
      </c>
      <c r="C272" s="2">
        <f>IFERROR(__xludf.DUMMYFUNCTION("""COMPUTED_VALUE"""),2026.0)</f>
        <v>2026</v>
      </c>
      <c r="D272" s="2">
        <f>IFERROR(__xludf.DUMMYFUNCTION("""COMPUTED_VALUE"""),46333.0)</f>
        <v>46333</v>
      </c>
      <c r="E272" s="2" t="str">
        <f>IFERROR(__xludf.DUMMYFUNCTION("""COMPUTED_VALUE"""),"VF")</f>
        <v>VF</v>
      </c>
      <c r="F272" s="2">
        <f>IFERROR(__xludf.DUMMYFUNCTION("""COMPUTED_VALUE"""),1.0)</f>
        <v>1</v>
      </c>
      <c r="G272" s="2" t="str">
        <f>IFERROR(__xludf.DUMMYFUNCTION("""COMPUTED_VALUE"""),"PR021")</f>
        <v>PR021</v>
      </c>
      <c r="H272" s="2" t="str">
        <f>IFERROR(__xludf.DUMMYFUNCTION("""COMPUTED_VALUE"""),"VD017")</f>
        <v>VD017</v>
      </c>
      <c r="I272" s="2">
        <f>IFERROR(__xludf.DUMMYFUNCTION("""COMPUTED_VALUE"""),10.0)</f>
        <v>10</v>
      </c>
      <c r="J272" s="2">
        <f>IFERROR(__xludf.DUMMYFUNCTION("""COMPUTED_VALUE"""),3331.9)</f>
        <v>3331.9</v>
      </c>
      <c r="K272" s="2">
        <f>IFERROR(__xludf.DUMMYFUNCTION("""COMPUTED_VALUE"""),3331.9)</f>
        <v>3331.9</v>
      </c>
    </row>
    <row r="273">
      <c r="A273" s="2">
        <f>IFERROR(__xludf.DUMMYFUNCTION("""COMPUTED_VALUE"""),1000.0)</f>
        <v>1000</v>
      </c>
      <c r="B273" s="2">
        <f>IFERROR(__xludf.DUMMYFUNCTION("""COMPUTED_VALUE"""),183658.0)</f>
        <v>183658</v>
      </c>
      <c r="C273" s="2">
        <f>IFERROR(__xludf.DUMMYFUNCTION("""COMPUTED_VALUE"""),2026.0)</f>
        <v>2026</v>
      </c>
      <c r="D273" s="2">
        <f>IFERROR(__xludf.DUMMYFUNCTION("""COMPUTED_VALUE"""),46333.0)</f>
        <v>46333</v>
      </c>
      <c r="E273" s="2" t="str">
        <f>IFERROR(__xludf.DUMMYFUNCTION("""COMPUTED_VALUE"""),"VF")</f>
        <v>VF</v>
      </c>
      <c r="F273" s="2">
        <f>IFERROR(__xludf.DUMMYFUNCTION("""COMPUTED_VALUE"""),2.0)</f>
        <v>2</v>
      </c>
      <c r="G273" s="2" t="str">
        <f>IFERROR(__xludf.DUMMYFUNCTION("""COMPUTED_VALUE"""),"PR034")</f>
        <v>PR034</v>
      </c>
      <c r="H273" s="2" t="str">
        <f>IFERROR(__xludf.DUMMYFUNCTION("""COMPUTED_VALUE"""),"VD045")</f>
        <v>VD045</v>
      </c>
      <c r="I273" s="2">
        <f>IFERROR(__xludf.DUMMYFUNCTION("""COMPUTED_VALUE"""),8.0)</f>
        <v>8</v>
      </c>
      <c r="J273" s="2">
        <f>IFERROR(__xludf.DUMMYFUNCTION("""COMPUTED_VALUE"""),719.2)</f>
        <v>719.2</v>
      </c>
      <c r="K273" s="2">
        <f>IFERROR(__xludf.DUMMYFUNCTION("""COMPUTED_VALUE"""),719.2)</f>
        <v>719.2</v>
      </c>
    </row>
    <row r="274">
      <c r="A274" s="2">
        <f>IFERROR(__xludf.DUMMYFUNCTION("""COMPUTED_VALUE"""),1000.0)</f>
        <v>1000</v>
      </c>
      <c r="B274" s="2">
        <f>IFERROR(__xludf.DUMMYFUNCTION("""COMPUTED_VALUE"""),183659.0)</f>
        <v>183659</v>
      </c>
      <c r="C274" s="2">
        <f>IFERROR(__xludf.DUMMYFUNCTION("""COMPUTED_VALUE"""),2026.0)</f>
        <v>2026</v>
      </c>
      <c r="D274" s="2">
        <f>IFERROR(__xludf.DUMMYFUNCTION("""COMPUTED_VALUE"""),46333.0)</f>
        <v>46333</v>
      </c>
      <c r="E274" s="2" t="str">
        <f>IFERROR(__xludf.DUMMYFUNCTION("""COMPUTED_VALUE"""),"VF")</f>
        <v>VF</v>
      </c>
      <c r="F274" s="2">
        <f>IFERROR(__xludf.DUMMYFUNCTION("""COMPUTED_VALUE"""),1.0)</f>
        <v>1</v>
      </c>
      <c r="G274" s="2" t="str">
        <f>IFERROR(__xludf.DUMMYFUNCTION("""COMPUTED_VALUE"""),"PR047")</f>
        <v>PR047</v>
      </c>
      <c r="H274" s="2" t="str">
        <f>IFERROR(__xludf.DUMMYFUNCTION("""COMPUTED_VALUE"""),"VD041")</f>
        <v>VD041</v>
      </c>
      <c r="I274" s="2">
        <f>IFERROR(__xludf.DUMMYFUNCTION("""COMPUTED_VALUE"""),8.0)</f>
        <v>8</v>
      </c>
      <c r="J274" s="2">
        <f>IFERROR(__xludf.DUMMYFUNCTION("""COMPUTED_VALUE"""),2388.78)</f>
        <v>2388.78</v>
      </c>
      <c r="K274" s="2">
        <f>IFERROR(__xludf.DUMMYFUNCTION("""COMPUTED_VALUE"""),2388.78)</f>
        <v>2388.78</v>
      </c>
    </row>
    <row r="275">
      <c r="A275" s="2">
        <f>IFERROR(__xludf.DUMMYFUNCTION("""COMPUTED_VALUE"""),2000.0)</f>
        <v>2000</v>
      </c>
      <c r="B275" s="2">
        <f>IFERROR(__xludf.DUMMYFUNCTION("""COMPUTED_VALUE"""),183659.0)</f>
        <v>183659</v>
      </c>
      <c r="C275" s="2">
        <f>IFERROR(__xludf.DUMMYFUNCTION("""COMPUTED_VALUE"""),2026.0)</f>
        <v>2026</v>
      </c>
      <c r="D275" s="2">
        <f>IFERROR(__xludf.DUMMYFUNCTION("""COMPUTED_VALUE"""),46332.0)</f>
        <v>46332</v>
      </c>
      <c r="E275" s="2" t="str">
        <f>IFERROR(__xludf.DUMMYFUNCTION("""COMPUTED_VALUE"""),"VF")</f>
        <v>VF</v>
      </c>
      <c r="F275" s="2">
        <f>IFERROR(__xludf.DUMMYFUNCTION("""COMPUTED_VALUE"""),2.0)</f>
        <v>2</v>
      </c>
      <c r="G275" s="2" t="str">
        <f>IFERROR(__xludf.DUMMYFUNCTION("""COMPUTED_VALUE"""),"PR025")</f>
        <v>PR025</v>
      </c>
      <c r="H275" s="2" t="str">
        <f>IFERROR(__xludf.DUMMYFUNCTION("""COMPUTED_VALUE"""),"VD033")</f>
        <v>VD033</v>
      </c>
      <c r="I275" s="2">
        <f>IFERROR(__xludf.DUMMYFUNCTION("""COMPUTED_VALUE"""),4.0)</f>
        <v>4</v>
      </c>
      <c r="J275" s="2">
        <f>IFERROR(__xludf.DUMMYFUNCTION("""COMPUTED_VALUE"""),1295.57)</f>
        <v>1295.57</v>
      </c>
      <c r="K275" s="2">
        <f>IFERROR(__xludf.DUMMYFUNCTION("""COMPUTED_VALUE"""),1295.57)</f>
        <v>1295.57</v>
      </c>
    </row>
    <row r="276">
      <c r="A276" s="2">
        <f>IFERROR(__xludf.DUMMYFUNCTION("""COMPUTED_VALUE"""),1000.0)</f>
        <v>1000</v>
      </c>
      <c r="B276" s="2">
        <f>IFERROR(__xludf.DUMMYFUNCTION("""COMPUTED_VALUE"""),183660.0)</f>
        <v>183660</v>
      </c>
      <c r="C276" s="2">
        <f>IFERROR(__xludf.DUMMYFUNCTION("""COMPUTED_VALUE"""),2026.0)</f>
        <v>2026</v>
      </c>
      <c r="D276" s="2">
        <f>IFERROR(__xludf.DUMMYFUNCTION("""COMPUTED_VALUE"""),46332.0)</f>
        <v>46332</v>
      </c>
      <c r="E276" s="2" t="str">
        <f>IFERROR(__xludf.DUMMYFUNCTION("""COMPUTED_VALUE"""),"VF")</f>
        <v>VF</v>
      </c>
      <c r="F276" s="2">
        <f>IFERROR(__xludf.DUMMYFUNCTION("""COMPUTED_VALUE"""),1.0)</f>
        <v>1</v>
      </c>
      <c r="G276" s="2" t="str">
        <f>IFERROR(__xludf.DUMMYFUNCTION("""COMPUTED_VALUE"""),"PR056")</f>
        <v>PR056</v>
      </c>
      <c r="H276" s="2" t="str">
        <f>IFERROR(__xludf.DUMMYFUNCTION("""COMPUTED_VALUE"""),"VD025")</f>
        <v>VD025</v>
      </c>
      <c r="I276" s="2">
        <f>IFERROR(__xludf.DUMMYFUNCTION("""COMPUTED_VALUE"""),30.0)</f>
        <v>30</v>
      </c>
      <c r="J276" s="2">
        <f>IFERROR(__xludf.DUMMYFUNCTION("""COMPUTED_VALUE"""),2697.0)</f>
        <v>2697</v>
      </c>
      <c r="K276" s="2">
        <f>IFERROR(__xludf.DUMMYFUNCTION("""COMPUTED_VALUE"""),2697.0)</f>
        <v>2697</v>
      </c>
    </row>
    <row r="277">
      <c r="A277" s="2">
        <f>IFERROR(__xludf.DUMMYFUNCTION("""COMPUTED_VALUE"""),1000.0)</f>
        <v>1000</v>
      </c>
      <c r="B277" s="2">
        <f>IFERROR(__xludf.DUMMYFUNCTION("""COMPUTED_VALUE"""),183661.0)</f>
        <v>183661</v>
      </c>
      <c r="C277" s="2">
        <f>IFERROR(__xludf.DUMMYFUNCTION("""COMPUTED_VALUE"""),2026.0)</f>
        <v>2026</v>
      </c>
      <c r="D277" s="2">
        <f>IFERROR(__xludf.DUMMYFUNCTION("""COMPUTED_VALUE"""),46332.0)</f>
        <v>46332</v>
      </c>
      <c r="E277" s="2" t="str">
        <f>IFERROR(__xludf.DUMMYFUNCTION("""COMPUTED_VALUE"""),"VF")</f>
        <v>VF</v>
      </c>
      <c r="F277" s="2">
        <f>IFERROR(__xludf.DUMMYFUNCTION("""COMPUTED_VALUE"""),1.0)</f>
        <v>1</v>
      </c>
      <c r="G277" s="2" t="str">
        <f>IFERROR(__xludf.DUMMYFUNCTION("""COMPUTED_VALUE"""),"PR017")</f>
        <v>PR017</v>
      </c>
      <c r="H277" s="2" t="str">
        <f>IFERROR(__xludf.DUMMYFUNCTION("""COMPUTED_VALUE"""),"VD014")</f>
        <v>VD014</v>
      </c>
      <c r="I277" s="2">
        <f>IFERROR(__xludf.DUMMYFUNCTION("""COMPUTED_VALUE"""),10.0)</f>
        <v>10</v>
      </c>
      <c r="J277" s="2">
        <f>IFERROR(__xludf.DUMMYFUNCTION("""COMPUTED_VALUE"""),310.96)</f>
        <v>310.96</v>
      </c>
      <c r="K277" s="2">
        <f>IFERROR(__xludf.DUMMYFUNCTION("""COMPUTED_VALUE"""),310.96)</f>
        <v>310.96</v>
      </c>
    </row>
    <row r="278">
      <c r="A278" s="2">
        <f>IFERROR(__xludf.DUMMYFUNCTION("""COMPUTED_VALUE"""),2000.0)</f>
        <v>2000</v>
      </c>
      <c r="B278" s="2">
        <f>IFERROR(__xludf.DUMMYFUNCTION("""COMPUTED_VALUE"""),183661.0)</f>
        <v>183661</v>
      </c>
      <c r="C278" s="2">
        <f>IFERROR(__xludf.DUMMYFUNCTION("""COMPUTED_VALUE"""),2026.0)</f>
        <v>2026</v>
      </c>
      <c r="D278" s="2">
        <f>IFERROR(__xludf.DUMMYFUNCTION("""COMPUTED_VALUE"""),46332.0)</f>
        <v>46332</v>
      </c>
      <c r="E278" s="2" t="str">
        <f>IFERROR(__xludf.DUMMYFUNCTION("""COMPUTED_VALUE"""),"VF")</f>
        <v>VF</v>
      </c>
      <c r="F278" s="2">
        <f>IFERROR(__xludf.DUMMYFUNCTION("""COMPUTED_VALUE"""),2.0)</f>
        <v>2</v>
      </c>
      <c r="G278" s="2" t="str">
        <f>IFERROR(__xludf.DUMMYFUNCTION("""COMPUTED_VALUE"""),"PR057")</f>
        <v>PR057</v>
      </c>
      <c r="H278" s="2" t="str">
        <f>IFERROR(__xludf.DUMMYFUNCTION("""COMPUTED_VALUE"""),"VD025")</f>
        <v>VD025</v>
      </c>
      <c r="I278" s="2">
        <f>IFERROR(__xludf.DUMMYFUNCTION("""COMPUTED_VALUE"""),3.0)</f>
        <v>3</v>
      </c>
      <c r="J278" s="2">
        <f>IFERROR(__xludf.DUMMYFUNCTION("""COMPUTED_VALUE"""),269.7)</f>
        <v>269.7</v>
      </c>
      <c r="K278" s="2">
        <f>IFERROR(__xludf.DUMMYFUNCTION("""COMPUTED_VALUE"""),269.7)</f>
        <v>269.7</v>
      </c>
    </row>
    <row r="279">
      <c r="A279" s="2">
        <f>IFERROR(__xludf.DUMMYFUNCTION("""COMPUTED_VALUE"""),1000.0)</f>
        <v>1000</v>
      </c>
      <c r="B279" s="2">
        <f>IFERROR(__xludf.DUMMYFUNCTION("""COMPUTED_VALUE"""),183662.0)</f>
        <v>183662</v>
      </c>
      <c r="C279" s="2">
        <f>IFERROR(__xludf.DUMMYFUNCTION("""COMPUTED_VALUE"""),2026.0)</f>
        <v>2026</v>
      </c>
      <c r="D279" s="2">
        <f>IFERROR(__xludf.DUMMYFUNCTION("""COMPUTED_VALUE"""),46332.0)</f>
        <v>46332</v>
      </c>
      <c r="E279" s="2" t="str">
        <f>IFERROR(__xludf.DUMMYFUNCTION("""COMPUTED_VALUE"""),"VF")</f>
        <v>VF</v>
      </c>
      <c r="F279" s="2">
        <f>IFERROR(__xludf.DUMMYFUNCTION("""COMPUTED_VALUE"""),1.0)</f>
        <v>1</v>
      </c>
      <c r="G279" s="2" t="str">
        <f>IFERROR(__xludf.DUMMYFUNCTION("""COMPUTED_VALUE"""),"PR033")</f>
        <v>PR033</v>
      </c>
      <c r="H279" s="2" t="str">
        <f>IFERROR(__xludf.DUMMYFUNCTION("""COMPUTED_VALUE"""),"VD016")</f>
        <v>VD016</v>
      </c>
      <c r="I279" s="2">
        <f>IFERROR(__xludf.DUMMYFUNCTION("""COMPUTED_VALUE"""),3.0)</f>
        <v>3</v>
      </c>
      <c r="J279" s="2">
        <f>IFERROR(__xludf.DUMMYFUNCTION("""COMPUTED_VALUE"""),818.69)</f>
        <v>818.69</v>
      </c>
      <c r="K279" s="2">
        <f>IFERROR(__xludf.DUMMYFUNCTION("""COMPUTED_VALUE"""),818.69)</f>
        <v>818.69</v>
      </c>
    </row>
    <row r="280">
      <c r="A280" s="2">
        <f>IFERROR(__xludf.DUMMYFUNCTION("""COMPUTED_VALUE"""),1000.0)</f>
        <v>1000</v>
      </c>
      <c r="B280" s="2">
        <f>IFERROR(__xludf.DUMMYFUNCTION("""COMPUTED_VALUE"""),183662.0)</f>
        <v>183662</v>
      </c>
      <c r="C280" s="2">
        <f>IFERROR(__xludf.DUMMYFUNCTION("""COMPUTED_VALUE"""),2026.0)</f>
        <v>2026</v>
      </c>
      <c r="D280" s="2">
        <f>IFERROR(__xludf.DUMMYFUNCTION("""COMPUTED_VALUE"""),46331.0)</f>
        <v>46331</v>
      </c>
      <c r="E280" s="2" t="str">
        <f>IFERROR(__xludf.DUMMYFUNCTION("""COMPUTED_VALUE"""),"VF")</f>
        <v>VF</v>
      </c>
      <c r="F280" s="2">
        <f>IFERROR(__xludf.DUMMYFUNCTION("""COMPUTED_VALUE"""),2.0)</f>
        <v>2</v>
      </c>
      <c r="G280" s="2" t="str">
        <f>IFERROR(__xludf.DUMMYFUNCTION("""COMPUTED_VALUE"""),"PR029")</f>
        <v>PR029</v>
      </c>
      <c r="H280" s="2" t="str">
        <f>IFERROR(__xludf.DUMMYFUNCTION("""COMPUTED_VALUE"""),"VD038")</f>
        <v>VD038</v>
      </c>
      <c r="I280" s="2">
        <f>IFERROR(__xludf.DUMMYFUNCTION("""COMPUTED_VALUE"""),3.0)</f>
        <v>3</v>
      </c>
      <c r="J280" s="2">
        <f>IFERROR(__xludf.DUMMYFUNCTION("""COMPUTED_VALUE"""),818.55)</f>
        <v>818.55</v>
      </c>
      <c r="K280" s="2">
        <f>IFERROR(__xludf.DUMMYFUNCTION("""COMPUTED_VALUE"""),818.55)</f>
        <v>818.55</v>
      </c>
    </row>
    <row r="281">
      <c r="A281" s="2">
        <f>IFERROR(__xludf.DUMMYFUNCTION("""COMPUTED_VALUE"""),1000.0)</f>
        <v>1000</v>
      </c>
      <c r="B281" s="2">
        <f>IFERROR(__xludf.DUMMYFUNCTION("""COMPUTED_VALUE"""),183663.0)</f>
        <v>183663</v>
      </c>
      <c r="C281" s="2">
        <f>IFERROR(__xludf.DUMMYFUNCTION("""COMPUTED_VALUE"""),2026.0)</f>
        <v>2026</v>
      </c>
      <c r="D281" s="2">
        <f>IFERROR(__xludf.DUMMYFUNCTION("""COMPUTED_VALUE"""),46331.0)</f>
        <v>46331</v>
      </c>
      <c r="E281" s="2" t="str">
        <f>IFERROR(__xludf.DUMMYFUNCTION("""COMPUTED_VALUE"""),"VF")</f>
        <v>VF</v>
      </c>
      <c r="F281" s="2">
        <f>IFERROR(__xludf.DUMMYFUNCTION("""COMPUTED_VALUE"""),1.0)</f>
        <v>1</v>
      </c>
      <c r="G281" s="2" t="str">
        <f>IFERROR(__xludf.DUMMYFUNCTION("""COMPUTED_VALUE"""),"PR060")</f>
        <v>PR060</v>
      </c>
      <c r="H281" s="2" t="str">
        <f>IFERROR(__xludf.DUMMYFUNCTION("""COMPUTED_VALUE"""),"VD039")</f>
        <v>VD039</v>
      </c>
      <c r="I281" s="2">
        <f>IFERROR(__xludf.DUMMYFUNCTION("""COMPUTED_VALUE"""),7.0)</f>
        <v>7</v>
      </c>
      <c r="J281" s="2">
        <f>IFERROR(__xludf.DUMMYFUNCTION("""COMPUTED_VALUE"""),1386.0)</f>
        <v>1386</v>
      </c>
      <c r="K281" s="2">
        <f>IFERROR(__xludf.DUMMYFUNCTION("""COMPUTED_VALUE"""),1386.0)</f>
        <v>1386</v>
      </c>
    </row>
    <row r="282">
      <c r="A282" s="2">
        <f>IFERROR(__xludf.DUMMYFUNCTION("""COMPUTED_VALUE"""),1000.0)</f>
        <v>1000</v>
      </c>
      <c r="B282" s="2">
        <f>IFERROR(__xludf.DUMMYFUNCTION("""COMPUTED_VALUE"""),183663.0)</f>
        <v>183663</v>
      </c>
      <c r="C282" s="2">
        <f>IFERROR(__xludf.DUMMYFUNCTION("""COMPUTED_VALUE"""),2026.0)</f>
        <v>2026</v>
      </c>
      <c r="D282" s="2">
        <f>IFERROR(__xludf.DUMMYFUNCTION("""COMPUTED_VALUE"""),46331.0)</f>
        <v>46331</v>
      </c>
      <c r="E282" s="2" t="str">
        <f>IFERROR(__xludf.DUMMYFUNCTION("""COMPUTED_VALUE"""),"VF")</f>
        <v>VF</v>
      </c>
      <c r="F282" s="2">
        <f>IFERROR(__xludf.DUMMYFUNCTION("""COMPUTED_VALUE"""),2.0)</f>
        <v>2</v>
      </c>
      <c r="G282" s="2" t="str">
        <f>IFERROR(__xludf.DUMMYFUNCTION("""COMPUTED_VALUE"""),"PR031")</f>
        <v>PR031</v>
      </c>
      <c r="H282" s="2" t="str">
        <f>IFERROR(__xludf.DUMMYFUNCTION("""COMPUTED_VALUE"""),"VD029")</f>
        <v>VD029</v>
      </c>
      <c r="I282" s="2">
        <f>IFERROR(__xludf.DUMMYFUNCTION("""COMPUTED_VALUE"""),6.0)</f>
        <v>6</v>
      </c>
      <c r="J282" s="2">
        <f>IFERROR(__xludf.DUMMYFUNCTION("""COMPUTED_VALUE"""),1484.7)</f>
        <v>1484.7</v>
      </c>
      <c r="K282" s="2">
        <f>IFERROR(__xludf.DUMMYFUNCTION("""COMPUTED_VALUE"""),1484.7)</f>
        <v>1484.7</v>
      </c>
    </row>
    <row r="283">
      <c r="A283" s="2">
        <f>IFERROR(__xludf.DUMMYFUNCTION("""COMPUTED_VALUE"""),1000.0)</f>
        <v>1000</v>
      </c>
      <c r="B283" s="2">
        <f>IFERROR(__xludf.DUMMYFUNCTION("""COMPUTED_VALUE"""),183664.0)</f>
        <v>183664</v>
      </c>
      <c r="C283" s="2">
        <f>IFERROR(__xludf.DUMMYFUNCTION("""COMPUTED_VALUE"""),2026.0)</f>
        <v>2026</v>
      </c>
      <c r="D283" s="2">
        <f>IFERROR(__xludf.DUMMYFUNCTION("""COMPUTED_VALUE"""),46330.0)</f>
        <v>46330</v>
      </c>
      <c r="E283" s="2" t="str">
        <f>IFERROR(__xludf.DUMMYFUNCTION("""COMPUTED_VALUE"""),"VF")</f>
        <v>VF</v>
      </c>
      <c r="F283" s="2">
        <f>IFERROR(__xludf.DUMMYFUNCTION("""COMPUTED_VALUE"""),1.0)</f>
        <v>1</v>
      </c>
      <c r="G283" s="2" t="str">
        <f>IFERROR(__xludf.DUMMYFUNCTION("""COMPUTED_VALUE"""),"PR038")</f>
        <v>PR038</v>
      </c>
      <c r="H283" s="2" t="str">
        <f>IFERROR(__xludf.DUMMYFUNCTION("""COMPUTED_VALUE"""),"VD036")</f>
        <v>VD036</v>
      </c>
      <c r="I283" s="2">
        <f>IFERROR(__xludf.DUMMYFUNCTION("""COMPUTED_VALUE"""),21.0)</f>
        <v>21</v>
      </c>
      <c r="J283" s="2">
        <f>IFERROR(__xludf.DUMMYFUNCTION("""COMPUTED_VALUE"""),3240.97)</f>
        <v>3240.97</v>
      </c>
      <c r="K283" s="2">
        <f>IFERROR(__xludf.DUMMYFUNCTION("""COMPUTED_VALUE"""),3240.97)</f>
        <v>3240.97</v>
      </c>
    </row>
    <row r="284">
      <c r="A284" s="2">
        <f>IFERROR(__xludf.DUMMYFUNCTION("""COMPUTED_VALUE"""),1000.0)</f>
        <v>1000</v>
      </c>
      <c r="B284" s="2">
        <f>IFERROR(__xludf.DUMMYFUNCTION("""COMPUTED_VALUE"""),183665.0)</f>
        <v>183665</v>
      </c>
      <c r="C284" s="2">
        <f>IFERROR(__xludf.DUMMYFUNCTION("""COMPUTED_VALUE"""),2026.0)</f>
        <v>2026</v>
      </c>
      <c r="D284" s="2">
        <f>IFERROR(__xludf.DUMMYFUNCTION("""COMPUTED_VALUE"""),46330.0)</f>
        <v>46330</v>
      </c>
      <c r="E284" s="2" t="str">
        <f>IFERROR(__xludf.DUMMYFUNCTION("""COMPUTED_VALUE"""),"VF")</f>
        <v>VF</v>
      </c>
      <c r="F284" s="2">
        <f>IFERROR(__xludf.DUMMYFUNCTION("""COMPUTED_VALUE"""),1.0)</f>
        <v>1</v>
      </c>
      <c r="G284" s="2" t="str">
        <f>IFERROR(__xludf.DUMMYFUNCTION("""COMPUTED_VALUE"""),"PR054")</f>
        <v>PR054</v>
      </c>
      <c r="H284" s="2" t="str">
        <f>IFERROR(__xludf.DUMMYFUNCTION("""COMPUTED_VALUE"""),"VD041")</f>
        <v>VD041</v>
      </c>
      <c r="I284" s="2">
        <f>IFERROR(__xludf.DUMMYFUNCTION("""COMPUTED_VALUE"""),10.0)</f>
        <v>10</v>
      </c>
      <c r="J284" s="2">
        <f>IFERROR(__xludf.DUMMYFUNCTION("""COMPUTED_VALUE"""),499.0)</f>
        <v>499</v>
      </c>
      <c r="K284" s="2">
        <f>IFERROR(__xludf.DUMMYFUNCTION("""COMPUTED_VALUE"""),499.0)</f>
        <v>499</v>
      </c>
    </row>
    <row r="285">
      <c r="A285" s="2">
        <f>IFERROR(__xludf.DUMMYFUNCTION("""COMPUTED_VALUE"""),1000.0)</f>
        <v>1000</v>
      </c>
      <c r="B285" s="2">
        <f>IFERROR(__xludf.DUMMYFUNCTION("""COMPUTED_VALUE"""),183666.0)</f>
        <v>183666</v>
      </c>
      <c r="C285" s="2">
        <f>IFERROR(__xludf.DUMMYFUNCTION("""COMPUTED_VALUE"""),2026.0)</f>
        <v>2026</v>
      </c>
      <c r="D285" s="2">
        <f>IFERROR(__xludf.DUMMYFUNCTION("""COMPUTED_VALUE"""),46330.0)</f>
        <v>46330</v>
      </c>
      <c r="E285" s="2" t="str">
        <f>IFERROR(__xludf.DUMMYFUNCTION("""COMPUTED_VALUE"""),"VF")</f>
        <v>VF</v>
      </c>
      <c r="F285" s="2">
        <f>IFERROR(__xludf.DUMMYFUNCTION("""COMPUTED_VALUE"""),1.0)</f>
        <v>1</v>
      </c>
      <c r="G285" s="2" t="str">
        <f>IFERROR(__xludf.DUMMYFUNCTION("""COMPUTED_VALUE"""),"PR022")</f>
        <v>PR022</v>
      </c>
      <c r="H285" s="2" t="str">
        <f>IFERROR(__xludf.DUMMYFUNCTION("""COMPUTED_VALUE"""),"VD045")</f>
        <v>VD045</v>
      </c>
      <c r="I285" s="2">
        <f>IFERROR(__xludf.DUMMYFUNCTION("""COMPUTED_VALUE"""),1.0)</f>
        <v>1</v>
      </c>
      <c r="J285" s="2">
        <f>IFERROR(__xludf.DUMMYFUNCTION("""COMPUTED_VALUE"""),306.0)</f>
        <v>306</v>
      </c>
      <c r="K285" s="2">
        <f>IFERROR(__xludf.DUMMYFUNCTION("""COMPUTED_VALUE"""),306.0)</f>
        <v>306</v>
      </c>
    </row>
    <row r="286">
      <c r="A286" s="2">
        <f>IFERROR(__xludf.DUMMYFUNCTION("""COMPUTED_VALUE"""),2000.0)</f>
        <v>2000</v>
      </c>
      <c r="B286" s="2">
        <f>IFERROR(__xludf.DUMMYFUNCTION("""COMPUTED_VALUE"""),183667.0)</f>
        <v>183667</v>
      </c>
      <c r="C286" s="2">
        <f>IFERROR(__xludf.DUMMYFUNCTION("""COMPUTED_VALUE"""),2026.0)</f>
        <v>2026</v>
      </c>
      <c r="D286" s="2">
        <f>IFERROR(__xludf.DUMMYFUNCTION("""COMPUTED_VALUE"""),46329.0)</f>
        <v>46329</v>
      </c>
      <c r="E286" s="2" t="str">
        <f>IFERROR(__xludf.DUMMYFUNCTION("""COMPUTED_VALUE"""),"VF")</f>
        <v>VF</v>
      </c>
      <c r="F286" s="2">
        <f>IFERROR(__xludf.DUMMYFUNCTION("""COMPUTED_VALUE"""),1.0)</f>
        <v>1</v>
      </c>
      <c r="G286" s="2" t="str">
        <f>IFERROR(__xludf.DUMMYFUNCTION("""COMPUTED_VALUE"""),"PR034")</f>
        <v>PR034</v>
      </c>
      <c r="H286" s="2" t="str">
        <f>IFERROR(__xludf.DUMMYFUNCTION("""COMPUTED_VALUE"""),"VD033")</f>
        <v>VD033</v>
      </c>
      <c r="I286" s="2">
        <f>IFERROR(__xludf.DUMMYFUNCTION("""COMPUTED_VALUE"""),18.0)</f>
        <v>18</v>
      </c>
      <c r="J286" s="2">
        <f>IFERROR(__xludf.DUMMYFUNCTION("""COMPUTED_VALUE"""),1747.66)</f>
        <v>1747.66</v>
      </c>
      <c r="K286" s="2">
        <f>IFERROR(__xludf.DUMMYFUNCTION("""COMPUTED_VALUE"""),1747.66)</f>
        <v>1747.66</v>
      </c>
    </row>
    <row r="287">
      <c r="A287" s="2">
        <f>IFERROR(__xludf.DUMMYFUNCTION("""COMPUTED_VALUE"""),1000.0)</f>
        <v>1000</v>
      </c>
      <c r="B287" s="2">
        <f>IFERROR(__xludf.DUMMYFUNCTION("""COMPUTED_VALUE"""),183668.0)</f>
        <v>183668</v>
      </c>
      <c r="C287" s="2">
        <f>IFERROR(__xludf.DUMMYFUNCTION("""COMPUTED_VALUE"""),2026.0)</f>
        <v>2026</v>
      </c>
      <c r="D287" s="2">
        <f>IFERROR(__xludf.DUMMYFUNCTION("""COMPUTED_VALUE"""),46329.0)</f>
        <v>46329</v>
      </c>
      <c r="E287" s="2" t="str">
        <f>IFERROR(__xludf.DUMMYFUNCTION("""COMPUTED_VALUE"""),"VF")</f>
        <v>VF</v>
      </c>
      <c r="F287" s="2">
        <f>IFERROR(__xludf.DUMMYFUNCTION("""COMPUTED_VALUE"""),1.0)</f>
        <v>1</v>
      </c>
      <c r="G287" s="2" t="str">
        <f>IFERROR(__xludf.DUMMYFUNCTION("""COMPUTED_VALUE"""),"PR010")</f>
        <v>PR010</v>
      </c>
      <c r="H287" s="2" t="str">
        <f>IFERROR(__xludf.DUMMYFUNCTION("""COMPUTED_VALUE"""),"VD034")</f>
        <v>VD034</v>
      </c>
      <c r="I287" s="2">
        <f>IFERROR(__xludf.DUMMYFUNCTION("""COMPUTED_VALUE"""),12.0)</f>
        <v>12</v>
      </c>
      <c r="J287" s="2">
        <f>IFERROR(__xludf.DUMMYFUNCTION("""COMPUTED_VALUE"""),538.8)</f>
        <v>538.8</v>
      </c>
      <c r="K287" s="2">
        <f>IFERROR(__xludf.DUMMYFUNCTION("""COMPUTED_VALUE"""),538.8)</f>
        <v>538.8</v>
      </c>
    </row>
    <row r="288">
      <c r="A288" s="2">
        <f>IFERROR(__xludf.DUMMYFUNCTION("""COMPUTED_VALUE"""),2000.0)</f>
        <v>2000</v>
      </c>
      <c r="B288" s="2">
        <f>IFERROR(__xludf.DUMMYFUNCTION("""COMPUTED_VALUE"""),183668.0)</f>
        <v>183668</v>
      </c>
      <c r="C288" s="2">
        <f>IFERROR(__xludf.DUMMYFUNCTION("""COMPUTED_VALUE"""),2026.0)</f>
        <v>2026</v>
      </c>
      <c r="D288" s="2">
        <f>IFERROR(__xludf.DUMMYFUNCTION("""COMPUTED_VALUE"""),46329.0)</f>
        <v>46329</v>
      </c>
      <c r="E288" s="2" t="str">
        <f>IFERROR(__xludf.DUMMYFUNCTION("""COMPUTED_VALUE"""),"VF")</f>
        <v>VF</v>
      </c>
      <c r="F288" s="2">
        <f>IFERROR(__xludf.DUMMYFUNCTION("""COMPUTED_VALUE"""),2.0)</f>
        <v>2</v>
      </c>
      <c r="G288" s="2" t="str">
        <f>IFERROR(__xludf.DUMMYFUNCTION("""COMPUTED_VALUE"""),"PR058")</f>
        <v>PR058</v>
      </c>
      <c r="H288" s="2" t="str">
        <f>IFERROR(__xludf.DUMMYFUNCTION("""COMPUTED_VALUE"""),"VD031")</f>
        <v>VD031</v>
      </c>
      <c r="I288" s="2">
        <f>IFERROR(__xludf.DUMMYFUNCTION("""COMPUTED_VALUE"""),10.0)</f>
        <v>10</v>
      </c>
      <c r="J288" s="2">
        <f>IFERROR(__xludf.DUMMYFUNCTION("""COMPUTED_VALUE"""),1890.0)</f>
        <v>1890</v>
      </c>
      <c r="K288" s="2">
        <f>IFERROR(__xludf.DUMMYFUNCTION("""COMPUTED_VALUE"""),1890.0)</f>
        <v>1890</v>
      </c>
    </row>
    <row r="289">
      <c r="A289" s="2">
        <f>IFERROR(__xludf.DUMMYFUNCTION("""COMPUTED_VALUE"""),2000.0)</f>
        <v>2000</v>
      </c>
      <c r="B289" s="2">
        <f>IFERROR(__xludf.DUMMYFUNCTION("""COMPUTED_VALUE"""),183668.0)</f>
        <v>183668</v>
      </c>
      <c r="C289" s="2">
        <f>IFERROR(__xludf.DUMMYFUNCTION("""COMPUTED_VALUE"""),2026.0)</f>
        <v>2026</v>
      </c>
      <c r="D289" s="2">
        <f>IFERROR(__xludf.DUMMYFUNCTION("""COMPUTED_VALUE"""),46329.0)</f>
        <v>46329</v>
      </c>
      <c r="E289" s="2" t="str">
        <f>IFERROR(__xludf.DUMMYFUNCTION("""COMPUTED_VALUE"""),"VF")</f>
        <v>VF</v>
      </c>
      <c r="F289" s="2">
        <f>IFERROR(__xludf.DUMMYFUNCTION("""COMPUTED_VALUE"""),3.0)</f>
        <v>3</v>
      </c>
      <c r="G289" s="2" t="str">
        <f>IFERROR(__xludf.DUMMYFUNCTION("""COMPUTED_VALUE"""),"PR012")</f>
        <v>PR012</v>
      </c>
      <c r="H289" s="2" t="str">
        <f>IFERROR(__xludf.DUMMYFUNCTION("""COMPUTED_VALUE"""),"VD015")</f>
        <v>VD015</v>
      </c>
      <c r="I289" s="2">
        <f>IFERROR(__xludf.DUMMYFUNCTION("""COMPUTED_VALUE"""),2.0)</f>
        <v>2</v>
      </c>
      <c r="J289" s="2">
        <f>IFERROR(__xludf.DUMMYFUNCTION("""COMPUTED_VALUE"""),103.67)</f>
        <v>103.67</v>
      </c>
      <c r="K289" s="2">
        <f>IFERROR(__xludf.DUMMYFUNCTION("""COMPUTED_VALUE"""),103.67)</f>
        <v>103.67</v>
      </c>
    </row>
    <row r="290">
      <c r="A290" s="2">
        <f>IFERROR(__xludf.DUMMYFUNCTION("""COMPUTED_VALUE"""),1000.0)</f>
        <v>1000</v>
      </c>
      <c r="B290" s="2">
        <f>IFERROR(__xludf.DUMMYFUNCTION("""COMPUTED_VALUE"""),183669.0)</f>
        <v>183669</v>
      </c>
      <c r="C290" s="2">
        <f>IFERROR(__xludf.DUMMYFUNCTION("""COMPUTED_VALUE"""),2026.0)</f>
        <v>2026</v>
      </c>
      <c r="D290" s="2">
        <f>IFERROR(__xludf.DUMMYFUNCTION("""COMPUTED_VALUE"""),46329.0)</f>
        <v>46329</v>
      </c>
      <c r="E290" s="2" t="str">
        <f>IFERROR(__xludf.DUMMYFUNCTION("""COMPUTED_VALUE"""),"VF")</f>
        <v>VF</v>
      </c>
      <c r="F290" s="2">
        <f>IFERROR(__xludf.DUMMYFUNCTION("""COMPUTED_VALUE"""),1.0)</f>
        <v>1</v>
      </c>
      <c r="G290" s="2" t="str">
        <f>IFERROR(__xludf.DUMMYFUNCTION("""COMPUTED_VALUE"""),"PR004")</f>
        <v>PR004</v>
      </c>
      <c r="H290" s="2" t="str">
        <f>IFERROR(__xludf.DUMMYFUNCTION("""COMPUTED_VALUE"""),"VD031")</f>
        <v>VD031</v>
      </c>
      <c r="I290" s="2">
        <f>IFERROR(__xludf.DUMMYFUNCTION("""COMPUTED_VALUE"""),1.0)</f>
        <v>1</v>
      </c>
      <c r="J290" s="2">
        <f>IFERROR(__xludf.DUMMYFUNCTION("""COMPUTED_VALUE"""),149.35)</f>
        <v>149.35</v>
      </c>
      <c r="K290" s="2">
        <f>IFERROR(__xludf.DUMMYFUNCTION("""COMPUTED_VALUE"""),149.35)</f>
        <v>149.35</v>
      </c>
    </row>
    <row r="291">
      <c r="A291" s="2">
        <f>IFERROR(__xludf.DUMMYFUNCTION("""COMPUTED_VALUE"""),1000.0)</f>
        <v>1000</v>
      </c>
      <c r="B291" s="2">
        <f>IFERROR(__xludf.DUMMYFUNCTION("""COMPUTED_VALUE"""),183670.0)</f>
        <v>183670</v>
      </c>
      <c r="C291" s="2">
        <f>IFERROR(__xludf.DUMMYFUNCTION("""COMPUTED_VALUE"""),2026.0)</f>
        <v>2026</v>
      </c>
      <c r="D291" s="2">
        <f>IFERROR(__xludf.DUMMYFUNCTION("""COMPUTED_VALUE"""),46329.0)</f>
        <v>46329</v>
      </c>
      <c r="E291" s="2" t="str">
        <f>IFERROR(__xludf.DUMMYFUNCTION("""COMPUTED_VALUE"""),"VF")</f>
        <v>VF</v>
      </c>
      <c r="F291" s="2">
        <f>IFERROR(__xludf.DUMMYFUNCTION("""COMPUTED_VALUE"""),1.0)</f>
        <v>1</v>
      </c>
      <c r="G291" s="2" t="str">
        <f>IFERROR(__xludf.DUMMYFUNCTION("""COMPUTED_VALUE"""),"PR027")</f>
        <v>PR027</v>
      </c>
      <c r="H291" s="2" t="str">
        <f>IFERROR(__xludf.DUMMYFUNCTION("""COMPUTED_VALUE"""),"VD030")</f>
        <v>VD030</v>
      </c>
      <c r="I291" s="2">
        <f>IFERROR(__xludf.DUMMYFUNCTION("""COMPUTED_VALUE"""),6.0)</f>
        <v>6</v>
      </c>
      <c r="J291" s="2">
        <f>IFERROR(__xludf.DUMMYFUNCTION("""COMPUTED_VALUE"""),770.4)</f>
        <v>770.4</v>
      </c>
      <c r="K291" s="2">
        <f>IFERROR(__xludf.DUMMYFUNCTION("""COMPUTED_VALUE"""),770.4)</f>
        <v>770.4</v>
      </c>
    </row>
    <row r="292">
      <c r="A292" s="2">
        <f>IFERROR(__xludf.DUMMYFUNCTION("""COMPUTED_VALUE"""),1000.0)</f>
        <v>1000</v>
      </c>
      <c r="B292" s="2">
        <f>IFERROR(__xludf.DUMMYFUNCTION("""COMPUTED_VALUE"""),183671.0)</f>
        <v>183671</v>
      </c>
      <c r="C292" s="2">
        <f>IFERROR(__xludf.DUMMYFUNCTION("""COMPUTED_VALUE"""),2026.0)</f>
        <v>2026</v>
      </c>
      <c r="D292" s="2">
        <f>IFERROR(__xludf.DUMMYFUNCTION("""COMPUTED_VALUE"""),46329.0)</f>
        <v>46329</v>
      </c>
      <c r="E292" s="2" t="str">
        <f>IFERROR(__xludf.DUMMYFUNCTION("""COMPUTED_VALUE"""),"VF")</f>
        <v>VF</v>
      </c>
      <c r="F292" s="2">
        <f>IFERROR(__xludf.DUMMYFUNCTION("""COMPUTED_VALUE"""),1.0)</f>
        <v>1</v>
      </c>
      <c r="G292" s="2" t="str">
        <f>IFERROR(__xludf.DUMMYFUNCTION("""COMPUTED_VALUE"""),"PR020")</f>
        <v>PR020</v>
      </c>
      <c r="H292" s="2" t="str">
        <f>IFERROR(__xludf.DUMMYFUNCTION("""COMPUTED_VALUE"""),"VD032")</f>
        <v>VD032</v>
      </c>
      <c r="I292" s="2">
        <f>IFERROR(__xludf.DUMMYFUNCTION("""COMPUTED_VALUE"""),18.0)</f>
        <v>18</v>
      </c>
      <c r="J292" s="2">
        <f>IFERROR(__xludf.DUMMYFUNCTION("""COMPUTED_VALUE"""),5668.11)</f>
        <v>5668.11</v>
      </c>
      <c r="K292" s="2">
        <f>IFERROR(__xludf.DUMMYFUNCTION("""COMPUTED_VALUE"""),5668.11)</f>
        <v>5668.11</v>
      </c>
    </row>
    <row r="293">
      <c r="A293" s="2">
        <f>IFERROR(__xludf.DUMMYFUNCTION("""COMPUTED_VALUE"""),1000.0)</f>
        <v>1000</v>
      </c>
      <c r="B293" s="2">
        <f>IFERROR(__xludf.DUMMYFUNCTION("""COMPUTED_VALUE"""),183671.0)</f>
        <v>183671</v>
      </c>
      <c r="C293" s="2">
        <f>IFERROR(__xludf.DUMMYFUNCTION("""COMPUTED_VALUE"""),2026.0)</f>
        <v>2026</v>
      </c>
      <c r="D293" s="2">
        <f>IFERROR(__xludf.DUMMYFUNCTION("""COMPUTED_VALUE"""),46329.0)</f>
        <v>46329</v>
      </c>
      <c r="E293" s="2" t="str">
        <f>IFERROR(__xludf.DUMMYFUNCTION("""COMPUTED_VALUE"""),"VF")</f>
        <v>VF</v>
      </c>
      <c r="F293" s="2">
        <f>IFERROR(__xludf.DUMMYFUNCTION("""COMPUTED_VALUE"""),2.0)</f>
        <v>2</v>
      </c>
      <c r="G293" s="2" t="str">
        <f>IFERROR(__xludf.DUMMYFUNCTION("""COMPUTED_VALUE"""),"PR016")</f>
        <v>PR016</v>
      </c>
      <c r="H293" s="2" t="str">
        <f>IFERROR(__xludf.DUMMYFUNCTION("""COMPUTED_VALUE"""),"VD032")</f>
        <v>VD032</v>
      </c>
      <c r="I293" s="2">
        <f>IFERROR(__xludf.DUMMYFUNCTION("""COMPUTED_VALUE"""),12.0)</f>
        <v>12</v>
      </c>
      <c r="J293" s="2">
        <f>IFERROR(__xludf.DUMMYFUNCTION("""COMPUTED_VALUE"""),320.12)</f>
        <v>320.12</v>
      </c>
      <c r="K293" s="2">
        <f>IFERROR(__xludf.DUMMYFUNCTION("""COMPUTED_VALUE"""),320.12)</f>
        <v>320.12</v>
      </c>
    </row>
    <row r="294">
      <c r="A294" s="2">
        <f>IFERROR(__xludf.DUMMYFUNCTION("""COMPUTED_VALUE"""),1000.0)</f>
        <v>1000</v>
      </c>
      <c r="B294" s="2">
        <f>IFERROR(__xludf.DUMMYFUNCTION("""COMPUTED_VALUE"""),183671.0)</f>
        <v>183671</v>
      </c>
      <c r="C294" s="2">
        <f>IFERROR(__xludf.DUMMYFUNCTION("""COMPUTED_VALUE"""),2026.0)</f>
        <v>2026</v>
      </c>
      <c r="D294" s="2">
        <f>IFERROR(__xludf.DUMMYFUNCTION("""COMPUTED_VALUE"""),46329.0)</f>
        <v>46329</v>
      </c>
      <c r="E294" s="2" t="str">
        <f>IFERROR(__xludf.DUMMYFUNCTION("""COMPUTED_VALUE"""),"VF")</f>
        <v>VF</v>
      </c>
      <c r="F294" s="2">
        <f>IFERROR(__xludf.DUMMYFUNCTION("""COMPUTED_VALUE"""),3.0)</f>
        <v>3</v>
      </c>
      <c r="G294" s="2" t="str">
        <f>IFERROR(__xludf.DUMMYFUNCTION("""COMPUTED_VALUE"""),"PR056")</f>
        <v>PR056</v>
      </c>
      <c r="H294" s="2" t="str">
        <f>IFERROR(__xludf.DUMMYFUNCTION("""COMPUTED_VALUE"""),"VD015")</f>
        <v>VD015</v>
      </c>
      <c r="I294" s="2">
        <f>IFERROR(__xludf.DUMMYFUNCTION("""COMPUTED_VALUE"""),1.0)</f>
        <v>1</v>
      </c>
      <c r="J294" s="2">
        <f>IFERROR(__xludf.DUMMYFUNCTION("""COMPUTED_VALUE"""),96.19)</f>
        <v>96.19</v>
      </c>
      <c r="K294" s="2">
        <f>IFERROR(__xludf.DUMMYFUNCTION("""COMPUTED_VALUE"""),96.19)</f>
        <v>96.19</v>
      </c>
    </row>
    <row r="295">
      <c r="A295" s="2">
        <f>IFERROR(__xludf.DUMMYFUNCTION("""COMPUTED_VALUE"""),1000.0)</f>
        <v>1000</v>
      </c>
      <c r="B295" s="2">
        <f>IFERROR(__xludf.DUMMYFUNCTION("""COMPUTED_VALUE"""),183672.0)</f>
        <v>183672</v>
      </c>
      <c r="C295" s="2">
        <f>IFERROR(__xludf.DUMMYFUNCTION("""COMPUTED_VALUE"""),2026.0)</f>
        <v>2026</v>
      </c>
      <c r="D295" s="2">
        <f>IFERROR(__xludf.DUMMYFUNCTION("""COMPUTED_VALUE"""),46329.0)</f>
        <v>46329</v>
      </c>
      <c r="E295" s="2" t="str">
        <f>IFERROR(__xludf.DUMMYFUNCTION("""COMPUTED_VALUE"""),"VF")</f>
        <v>VF</v>
      </c>
      <c r="F295" s="2">
        <f>IFERROR(__xludf.DUMMYFUNCTION("""COMPUTED_VALUE"""),1.0)</f>
        <v>1</v>
      </c>
      <c r="G295" s="2" t="str">
        <f>IFERROR(__xludf.DUMMYFUNCTION("""COMPUTED_VALUE"""),"PR017")</f>
        <v>PR017</v>
      </c>
      <c r="H295" s="2" t="str">
        <f>IFERROR(__xludf.DUMMYFUNCTION("""COMPUTED_VALUE"""),"VD016")</f>
        <v>VD016</v>
      </c>
      <c r="I295" s="2">
        <f>IFERROR(__xludf.DUMMYFUNCTION("""COMPUTED_VALUE"""),8.0)</f>
        <v>8</v>
      </c>
      <c r="J295" s="2">
        <f>IFERROR(__xludf.DUMMYFUNCTION("""COMPUTED_VALUE"""),241.59)</f>
        <v>241.59</v>
      </c>
      <c r="K295" s="2">
        <f>IFERROR(__xludf.DUMMYFUNCTION("""COMPUTED_VALUE"""),241.59)</f>
        <v>241.59</v>
      </c>
    </row>
    <row r="296">
      <c r="A296" s="2">
        <f>IFERROR(__xludf.DUMMYFUNCTION("""COMPUTED_VALUE"""),1000.0)</f>
        <v>1000</v>
      </c>
      <c r="B296" s="2">
        <f>IFERROR(__xludf.DUMMYFUNCTION("""COMPUTED_VALUE"""),183672.0)</f>
        <v>183672</v>
      </c>
      <c r="C296" s="2">
        <f>IFERROR(__xludf.DUMMYFUNCTION("""COMPUTED_VALUE"""),2026.0)</f>
        <v>2026</v>
      </c>
      <c r="D296" s="2">
        <f>IFERROR(__xludf.DUMMYFUNCTION("""COMPUTED_VALUE"""),46329.0)</f>
        <v>46329</v>
      </c>
      <c r="E296" s="2" t="str">
        <f>IFERROR(__xludf.DUMMYFUNCTION("""COMPUTED_VALUE"""),"VF")</f>
        <v>VF</v>
      </c>
      <c r="F296" s="2">
        <f>IFERROR(__xludf.DUMMYFUNCTION("""COMPUTED_VALUE"""),2.0)</f>
        <v>2</v>
      </c>
      <c r="G296" s="2" t="str">
        <f>IFERROR(__xludf.DUMMYFUNCTION("""COMPUTED_VALUE"""),"PR001")</f>
        <v>PR001</v>
      </c>
      <c r="H296" s="2" t="str">
        <f>IFERROR(__xludf.DUMMYFUNCTION("""COMPUTED_VALUE"""),"VD044")</f>
        <v>VD044</v>
      </c>
      <c r="I296" s="2">
        <f>IFERROR(__xludf.DUMMYFUNCTION("""COMPUTED_VALUE"""),6.0)</f>
        <v>6</v>
      </c>
      <c r="J296" s="2">
        <f>IFERROR(__xludf.DUMMYFUNCTION("""COMPUTED_VALUE"""),403.31)</f>
        <v>403.31</v>
      </c>
      <c r="K296" s="2">
        <f>IFERROR(__xludf.DUMMYFUNCTION("""COMPUTED_VALUE"""),403.31)</f>
        <v>403.31</v>
      </c>
    </row>
    <row r="297">
      <c r="A297" s="2">
        <f>IFERROR(__xludf.DUMMYFUNCTION("""COMPUTED_VALUE"""),1000.0)</f>
        <v>1000</v>
      </c>
      <c r="B297" s="2">
        <f>IFERROR(__xludf.DUMMYFUNCTION("""COMPUTED_VALUE"""),183673.0)</f>
        <v>183673</v>
      </c>
      <c r="C297" s="2">
        <f>IFERROR(__xludf.DUMMYFUNCTION("""COMPUTED_VALUE"""),2026.0)</f>
        <v>2026</v>
      </c>
      <c r="D297" s="2">
        <f>IFERROR(__xludf.DUMMYFUNCTION("""COMPUTED_VALUE"""),46328.0)</f>
        <v>46328</v>
      </c>
      <c r="E297" s="2" t="str">
        <f>IFERROR(__xludf.DUMMYFUNCTION("""COMPUTED_VALUE"""),"VF")</f>
        <v>VF</v>
      </c>
      <c r="F297" s="2">
        <f>IFERROR(__xludf.DUMMYFUNCTION("""COMPUTED_VALUE"""),1.0)</f>
        <v>1</v>
      </c>
      <c r="G297" s="2" t="str">
        <f>IFERROR(__xludf.DUMMYFUNCTION("""COMPUTED_VALUE"""),"PR059")</f>
        <v>PR059</v>
      </c>
      <c r="H297" s="2" t="str">
        <f>IFERROR(__xludf.DUMMYFUNCTION("""COMPUTED_VALUE"""),"VD042")</f>
        <v>VD042</v>
      </c>
      <c r="I297" s="2">
        <f>IFERROR(__xludf.DUMMYFUNCTION("""COMPUTED_VALUE"""),21.0)</f>
        <v>21</v>
      </c>
      <c r="J297" s="2">
        <f>IFERROR(__xludf.DUMMYFUNCTION("""COMPUTED_VALUE"""),3817.8)</f>
        <v>3817.8</v>
      </c>
      <c r="K297" s="2">
        <f>IFERROR(__xludf.DUMMYFUNCTION("""COMPUTED_VALUE"""),3817.8)</f>
        <v>3817.8</v>
      </c>
    </row>
    <row r="298">
      <c r="A298" s="2">
        <f>IFERROR(__xludf.DUMMYFUNCTION("""COMPUTED_VALUE"""),1000.0)</f>
        <v>1000</v>
      </c>
      <c r="B298" s="2">
        <f>IFERROR(__xludf.DUMMYFUNCTION("""COMPUTED_VALUE"""),183673.0)</f>
        <v>183673</v>
      </c>
      <c r="C298" s="2">
        <f>IFERROR(__xludf.DUMMYFUNCTION("""COMPUTED_VALUE"""),2026.0)</f>
        <v>2026</v>
      </c>
      <c r="D298" s="2">
        <f>IFERROR(__xludf.DUMMYFUNCTION("""COMPUTED_VALUE"""),46328.0)</f>
        <v>46328</v>
      </c>
      <c r="E298" s="2" t="str">
        <f>IFERROR(__xludf.DUMMYFUNCTION("""COMPUTED_VALUE"""),"VF")</f>
        <v>VF</v>
      </c>
      <c r="F298" s="2">
        <f>IFERROR(__xludf.DUMMYFUNCTION("""COMPUTED_VALUE"""),2.0)</f>
        <v>2</v>
      </c>
      <c r="G298" s="2" t="str">
        <f>IFERROR(__xludf.DUMMYFUNCTION("""COMPUTED_VALUE"""),"PR039")</f>
        <v>PR039</v>
      </c>
      <c r="H298" s="2" t="str">
        <f>IFERROR(__xludf.DUMMYFUNCTION("""COMPUTED_VALUE"""),"VD013")</f>
        <v>VD013</v>
      </c>
      <c r="I298" s="2">
        <f>IFERROR(__xludf.DUMMYFUNCTION("""COMPUTED_VALUE"""),3.0)</f>
        <v>3</v>
      </c>
      <c r="J298" s="2">
        <f>IFERROR(__xludf.DUMMYFUNCTION("""COMPUTED_VALUE"""),438.0)</f>
        <v>438</v>
      </c>
      <c r="K298" s="2">
        <f>IFERROR(__xludf.DUMMYFUNCTION("""COMPUTED_VALUE"""),438.0)</f>
        <v>438</v>
      </c>
    </row>
    <row r="299">
      <c r="A299" s="2">
        <f>IFERROR(__xludf.DUMMYFUNCTION("""COMPUTED_VALUE"""),1000.0)</f>
        <v>1000</v>
      </c>
      <c r="B299" s="2">
        <f>IFERROR(__xludf.DUMMYFUNCTION("""COMPUTED_VALUE"""),183674.0)</f>
        <v>183674</v>
      </c>
      <c r="C299" s="2">
        <f>IFERROR(__xludf.DUMMYFUNCTION("""COMPUTED_VALUE"""),2026.0)</f>
        <v>2026</v>
      </c>
      <c r="D299" s="2">
        <f>IFERROR(__xludf.DUMMYFUNCTION("""COMPUTED_VALUE"""),46328.0)</f>
        <v>46328</v>
      </c>
      <c r="E299" s="2" t="str">
        <f>IFERROR(__xludf.DUMMYFUNCTION("""COMPUTED_VALUE"""),"VF")</f>
        <v>VF</v>
      </c>
      <c r="F299" s="2">
        <f>IFERROR(__xludf.DUMMYFUNCTION("""COMPUTED_VALUE"""),1.0)</f>
        <v>1</v>
      </c>
      <c r="G299" s="2" t="str">
        <f>IFERROR(__xludf.DUMMYFUNCTION("""COMPUTED_VALUE"""),"PR035")</f>
        <v>PR035</v>
      </c>
      <c r="H299" s="2" t="str">
        <f>IFERROR(__xludf.DUMMYFUNCTION("""COMPUTED_VALUE"""),"VD011")</f>
        <v>VD011</v>
      </c>
      <c r="I299" s="2">
        <f>IFERROR(__xludf.DUMMYFUNCTION("""COMPUTED_VALUE"""),4.0)</f>
        <v>4</v>
      </c>
      <c r="J299" s="2">
        <f>IFERROR(__xludf.DUMMYFUNCTION("""COMPUTED_VALUE"""),383.88)</f>
        <v>383.88</v>
      </c>
      <c r="K299" s="2">
        <f>IFERROR(__xludf.DUMMYFUNCTION("""COMPUTED_VALUE"""),383.88)</f>
        <v>383.88</v>
      </c>
    </row>
    <row r="300">
      <c r="A300" s="2">
        <f>IFERROR(__xludf.DUMMYFUNCTION("""COMPUTED_VALUE"""),1000.0)</f>
        <v>1000</v>
      </c>
      <c r="B300" s="2">
        <f>IFERROR(__xludf.DUMMYFUNCTION("""COMPUTED_VALUE"""),183675.0)</f>
        <v>183675</v>
      </c>
      <c r="C300" s="2">
        <f>IFERROR(__xludf.DUMMYFUNCTION("""COMPUTED_VALUE"""),2026.0)</f>
        <v>2026</v>
      </c>
      <c r="D300" s="2">
        <f>IFERROR(__xludf.DUMMYFUNCTION("""COMPUTED_VALUE"""),46328.0)</f>
        <v>46328</v>
      </c>
      <c r="E300" s="2" t="str">
        <f>IFERROR(__xludf.DUMMYFUNCTION("""COMPUTED_VALUE"""),"VF")</f>
        <v>VF</v>
      </c>
      <c r="F300" s="2">
        <f>IFERROR(__xludf.DUMMYFUNCTION("""COMPUTED_VALUE"""),1.0)</f>
        <v>1</v>
      </c>
      <c r="G300" s="2" t="str">
        <f>IFERROR(__xludf.DUMMYFUNCTION("""COMPUTED_VALUE"""),"PR051")</f>
        <v>PR051</v>
      </c>
      <c r="H300" s="2" t="str">
        <f>IFERROR(__xludf.DUMMYFUNCTION("""COMPUTED_VALUE"""),"VD041")</f>
        <v>VD041</v>
      </c>
      <c r="I300" s="2">
        <f>IFERROR(__xludf.DUMMYFUNCTION("""COMPUTED_VALUE"""),30.0)</f>
        <v>30</v>
      </c>
      <c r="J300" s="2">
        <f>IFERROR(__xludf.DUMMYFUNCTION("""COMPUTED_VALUE"""),1026.48)</f>
        <v>1026.48</v>
      </c>
      <c r="K300" s="2">
        <f>IFERROR(__xludf.DUMMYFUNCTION("""COMPUTED_VALUE"""),1026.48)</f>
        <v>1026.48</v>
      </c>
    </row>
    <row r="301">
      <c r="A301" s="2">
        <f>IFERROR(__xludf.DUMMYFUNCTION("""COMPUTED_VALUE"""),2000.0)</f>
        <v>2000</v>
      </c>
      <c r="B301" s="2">
        <f>IFERROR(__xludf.DUMMYFUNCTION("""COMPUTED_VALUE"""),183676.0)</f>
        <v>183676</v>
      </c>
      <c r="C301" s="2">
        <f>IFERROR(__xludf.DUMMYFUNCTION("""COMPUTED_VALUE"""),2026.0)</f>
        <v>2026</v>
      </c>
      <c r="D301" s="2">
        <f>IFERROR(__xludf.DUMMYFUNCTION("""COMPUTED_VALUE"""),46328.0)</f>
        <v>46328</v>
      </c>
      <c r="E301" s="2" t="str">
        <f>IFERROR(__xludf.DUMMYFUNCTION("""COMPUTED_VALUE"""),"VF")</f>
        <v>VF</v>
      </c>
      <c r="F301" s="2">
        <f>IFERROR(__xludf.DUMMYFUNCTION("""COMPUTED_VALUE"""),1.0)</f>
        <v>1</v>
      </c>
      <c r="G301" s="2" t="str">
        <f>IFERROR(__xludf.DUMMYFUNCTION("""COMPUTED_VALUE"""),"PR047")</f>
        <v>PR047</v>
      </c>
      <c r="H301" s="2" t="str">
        <f>IFERROR(__xludf.DUMMYFUNCTION("""COMPUTED_VALUE"""),"VD034")</f>
        <v>VD034</v>
      </c>
      <c r="I301" s="2">
        <f>IFERROR(__xludf.DUMMYFUNCTION("""COMPUTED_VALUE"""),6.0)</f>
        <v>6</v>
      </c>
      <c r="J301" s="2">
        <f>IFERROR(__xludf.DUMMYFUNCTION("""COMPUTED_VALUE"""),1774.19)</f>
        <v>1774.19</v>
      </c>
      <c r="K301" s="2">
        <f>IFERROR(__xludf.DUMMYFUNCTION("""COMPUTED_VALUE"""),1774.19)</f>
        <v>1774.19</v>
      </c>
    </row>
    <row r="302">
      <c r="A302" s="2">
        <f>IFERROR(__xludf.DUMMYFUNCTION("""COMPUTED_VALUE"""),2000.0)</f>
        <v>2000</v>
      </c>
      <c r="B302" s="2">
        <f>IFERROR(__xludf.DUMMYFUNCTION("""COMPUTED_VALUE"""),183676.0)</f>
        <v>183676</v>
      </c>
      <c r="C302" s="2">
        <f>IFERROR(__xludf.DUMMYFUNCTION("""COMPUTED_VALUE"""),2026.0)</f>
        <v>2026</v>
      </c>
      <c r="D302" s="2">
        <f>IFERROR(__xludf.DUMMYFUNCTION("""COMPUTED_VALUE"""),46328.0)</f>
        <v>46328</v>
      </c>
      <c r="E302" s="2" t="str">
        <f>IFERROR(__xludf.DUMMYFUNCTION("""COMPUTED_VALUE"""),"VF")</f>
        <v>VF</v>
      </c>
      <c r="F302" s="2">
        <f>IFERROR(__xludf.DUMMYFUNCTION("""COMPUTED_VALUE"""),2.0)</f>
        <v>2</v>
      </c>
      <c r="G302" s="2" t="str">
        <f>IFERROR(__xludf.DUMMYFUNCTION("""COMPUTED_VALUE"""),"PR008")</f>
        <v>PR008</v>
      </c>
      <c r="H302" s="2" t="str">
        <f>IFERROR(__xludf.DUMMYFUNCTION("""COMPUTED_VALUE"""),"VD025")</f>
        <v>VD025</v>
      </c>
      <c r="I302" s="2">
        <f>IFERROR(__xludf.DUMMYFUNCTION("""COMPUTED_VALUE"""),12.0)</f>
        <v>12</v>
      </c>
      <c r="J302" s="2">
        <f>IFERROR(__xludf.DUMMYFUNCTION("""COMPUTED_VALUE"""),1121.95)</f>
        <v>1121.95</v>
      </c>
      <c r="K302" s="2">
        <f>IFERROR(__xludf.DUMMYFUNCTION("""COMPUTED_VALUE"""),1121.95)</f>
        <v>1121.95</v>
      </c>
    </row>
    <row r="303">
      <c r="A303" s="2">
        <f>IFERROR(__xludf.DUMMYFUNCTION("""COMPUTED_VALUE"""),2000.0)</f>
        <v>2000</v>
      </c>
      <c r="B303" s="2">
        <f>IFERROR(__xludf.DUMMYFUNCTION("""COMPUTED_VALUE"""),183676.0)</f>
        <v>183676</v>
      </c>
      <c r="C303" s="2">
        <f>IFERROR(__xludf.DUMMYFUNCTION("""COMPUTED_VALUE"""),2026.0)</f>
        <v>2026</v>
      </c>
      <c r="D303" s="2">
        <f>IFERROR(__xludf.DUMMYFUNCTION("""COMPUTED_VALUE"""),46327.0)</f>
        <v>46327</v>
      </c>
      <c r="E303" s="2" t="str">
        <f>IFERROR(__xludf.DUMMYFUNCTION("""COMPUTED_VALUE"""),"VF")</f>
        <v>VF</v>
      </c>
      <c r="F303" s="2">
        <f>IFERROR(__xludf.DUMMYFUNCTION("""COMPUTED_VALUE"""),3.0)</f>
        <v>3</v>
      </c>
      <c r="G303" s="2" t="str">
        <f>IFERROR(__xludf.DUMMYFUNCTION("""COMPUTED_VALUE"""),"PR045")</f>
        <v>PR045</v>
      </c>
      <c r="H303" s="2" t="str">
        <f>IFERROR(__xludf.DUMMYFUNCTION("""COMPUTED_VALUE"""),"VD035")</f>
        <v>VD035</v>
      </c>
      <c r="I303" s="2">
        <f>IFERROR(__xludf.DUMMYFUNCTION("""COMPUTED_VALUE"""),8.0)</f>
        <v>8</v>
      </c>
      <c r="J303" s="2">
        <f>IFERROR(__xludf.DUMMYFUNCTION("""COMPUTED_VALUE"""),609.0)</f>
        <v>609</v>
      </c>
      <c r="K303" s="2">
        <f>IFERROR(__xludf.DUMMYFUNCTION("""COMPUTED_VALUE"""),609.0)</f>
        <v>609</v>
      </c>
    </row>
    <row r="304">
      <c r="A304" s="2">
        <f>IFERROR(__xludf.DUMMYFUNCTION("""COMPUTED_VALUE"""),1000.0)</f>
        <v>1000</v>
      </c>
      <c r="B304" s="2">
        <f>IFERROR(__xludf.DUMMYFUNCTION("""COMPUTED_VALUE"""),183677.0)</f>
        <v>183677</v>
      </c>
      <c r="C304" s="2">
        <f>IFERROR(__xludf.DUMMYFUNCTION("""COMPUTED_VALUE"""),2026.0)</f>
        <v>2026</v>
      </c>
      <c r="D304" s="2">
        <f>IFERROR(__xludf.DUMMYFUNCTION("""COMPUTED_VALUE"""),46327.0)</f>
        <v>46327</v>
      </c>
      <c r="E304" s="2" t="str">
        <f>IFERROR(__xludf.DUMMYFUNCTION("""COMPUTED_VALUE"""),"VF")</f>
        <v>VF</v>
      </c>
      <c r="F304" s="2">
        <f>IFERROR(__xludf.DUMMYFUNCTION("""COMPUTED_VALUE"""),1.0)</f>
        <v>1</v>
      </c>
      <c r="G304" s="2" t="str">
        <f>IFERROR(__xludf.DUMMYFUNCTION("""COMPUTED_VALUE"""),"PR029")</f>
        <v>PR029</v>
      </c>
      <c r="H304" s="2" t="str">
        <f>IFERROR(__xludf.DUMMYFUNCTION("""COMPUTED_VALUE"""),"VD043")</f>
        <v>VD043</v>
      </c>
      <c r="I304" s="2">
        <f>IFERROR(__xludf.DUMMYFUNCTION("""COMPUTED_VALUE"""),21.0)</f>
        <v>21</v>
      </c>
      <c r="J304" s="2">
        <f>IFERROR(__xludf.DUMMYFUNCTION("""COMPUTED_VALUE"""),5462.1)</f>
        <v>5462.1</v>
      </c>
      <c r="K304" s="2">
        <f>IFERROR(__xludf.DUMMYFUNCTION("""COMPUTED_VALUE"""),5462.1)</f>
        <v>5462.1</v>
      </c>
    </row>
    <row r="305">
      <c r="A305" s="2">
        <f>IFERROR(__xludf.DUMMYFUNCTION("""COMPUTED_VALUE"""),2000.0)</f>
        <v>2000</v>
      </c>
      <c r="B305" s="2">
        <f>IFERROR(__xludf.DUMMYFUNCTION("""COMPUTED_VALUE"""),183678.0)</f>
        <v>183678</v>
      </c>
      <c r="C305" s="2">
        <f>IFERROR(__xludf.DUMMYFUNCTION("""COMPUTED_VALUE"""),2026.0)</f>
        <v>2026</v>
      </c>
      <c r="D305" s="2">
        <f>IFERROR(__xludf.DUMMYFUNCTION("""COMPUTED_VALUE"""),46327.0)</f>
        <v>46327</v>
      </c>
      <c r="E305" s="2" t="str">
        <f>IFERROR(__xludf.DUMMYFUNCTION("""COMPUTED_VALUE"""),"VF")</f>
        <v>VF</v>
      </c>
      <c r="F305" s="2">
        <f>IFERROR(__xludf.DUMMYFUNCTION("""COMPUTED_VALUE"""),1.0)</f>
        <v>1</v>
      </c>
      <c r="G305" s="2" t="str">
        <f>IFERROR(__xludf.DUMMYFUNCTION("""COMPUTED_VALUE"""),"PR054")</f>
        <v>PR054</v>
      </c>
      <c r="H305" s="2" t="str">
        <f>IFERROR(__xludf.DUMMYFUNCTION("""COMPUTED_VALUE"""),"VD015")</f>
        <v>VD015</v>
      </c>
      <c r="I305" s="2">
        <f>IFERROR(__xludf.DUMMYFUNCTION("""COMPUTED_VALUE"""),2.0)</f>
        <v>2</v>
      </c>
      <c r="J305" s="2">
        <f>IFERROR(__xludf.DUMMYFUNCTION("""COMPUTED_VALUE"""),105.79)</f>
        <v>105.79</v>
      </c>
      <c r="K305" s="2">
        <f>IFERROR(__xludf.DUMMYFUNCTION("""COMPUTED_VALUE"""),105.79)</f>
        <v>105.79</v>
      </c>
    </row>
    <row r="306">
      <c r="A306" s="2">
        <f>IFERROR(__xludf.DUMMYFUNCTION("""COMPUTED_VALUE"""),1000.0)</f>
        <v>1000</v>
      </c>
      <c r="B306" s="2">
        <f>IFERROR(__xludf.DUMMYFUNCTION("""COMPUTED_VALUE"""),183679.0)</f>
        <v>183679</v>
      </c>
      <c r="C306" s="2">
        <f>IFERROR(__xludf.DUMMYFUNCTION("""COMPUTED_VALUE"""),2026.0)</f>
        <v>2026</v>
      </c>
      <c r="D306" s="2">
        <f>IFERROR(__xludf.DUMMYFUNCTION("""COMPUTED_VALUE"""),46327.0)</f>
        <v>46327</v>
      </c>
      <c r="E306" s="2" t="str">
        <f>IFERROR(__xludf.DUMMYFUNCTION("""COMPUTED_VALUE"""),"VF")</f>
        <v>VF</v>
      </c>
      <c r="F306" s="2">
        <f>IFERROR(__xludf.DUMMYFUNCTION("""COMPUTED_VALUE"""),1.0)</f>
        <v>1</v>
      </c>
      <c r="G306" s="2" t="str">
        <f>IFERROR(__xludf.DUMMYFUNCTION("""COMPUTED_VALUE"""),"PR033")</f>
        <v>PR033</v>
      </c>
      <c r="H306" s="2" t="str">
        <f>IFERROR(__xludf.DUMMYFUNCTION("""COMPUTED_VALUE"""),"VD025")</f>
        <v>VD025</v>
      </c>
      <c r="I306" s="2">
        <f>IFERROR(__xludf.DUMMYFUNCTION("""COMPUTED_VALUE"""),4.0)</f>
        <v>4</v>
      </c>
      <c r="J306" s="2">
        <f>IFERROR(__xludf.DUMMYFUNCTION("""COMPUTED_VALUE"""),1133.16)</f>
        <v>1133.16</v>
      </c>
      <c r="K306" s="2">
        <f>IFERROR(__xludf.DUMMYFUNCTION("""COMPUTED_VALUE"""),1133.16)</f>
        <v>1133.16</v>
      </c>
    </row>
    <row r="307">
      <c r="A307" s="2">
        <f>IFERROR(__xludf.DUMMYFUNCTION("""COMPUTED_VALUE"""),1000.0)</f>
        <v>1000</v>
      </c>
      <c r="B307" s="2">
        <f>IFERROR(__xludf.DUMMYFUNCTION("""COMPUTED_VALUE"""),183680.0)</f>
        <v>183680</v>
      </c>
      <c r="C307" s="2">
        <f>IFERROR(__xludf.DUMMYFUNCTION("""COMPUTED_VALUE"""),2026.0)</f>
        <v>2026</v>
      </c>
      <c r="D307" s="2">
        <f>IFERROR(__xludf.DUMMYFUNCTION("""COMPUTED_VALUE"""),46326.0)</f>
        <v>46326</v>
      </c>
      <c r="E307" s="2" t="str">
        <f>IFERROR(__xludf.DUMMYFUNCTION("""COMPUTED_VALUE"""),"VF")</f>
        <v>VF</v>
      </c>
      <c r="F307" s="2">
        <f>IFERROR(__xludf.DUMMYFUNCTION("""COMPUTED_VALUE"""),1.0)</f>
        <v>1</v>
      </c>
      <c r="G307" s="2" t="str">
        <f>IFERROR(__xludf.DUMMYFUNCTION("""COMPUTED_VALUE"""),"PR001")</f>
        <v>PR001</v>
      </c>
      <c r="H307" s="2" t="str">
        <f>IFERROR(__xludf.DUMMYFUNCTION("""COMPUTED_VALUE"""),"VD021")</f>
        <v>VD021</v>
      </c>
      <c r="I307" s="2">
        <f>IFERROR(__xludf.DUMMYFUNCTION("""COMPUTED_VALUE"""),6.0)</f>
        <v>6</v>
      </c>
      <c r="J307" s="2">
        <f>IFERROR(__xludf.DUMMYFUNCTION("""COMPUTED_VALUE"""),430.99)</f>
        <v>430.99</v>
      </c>
      <c r="K307" s="2">
        <f>IFERROR(__xludf.DUMMYFUNCTION("""COMPUTED_VALUE"""),430.99)</f>
        <v>430.99</v>
      </c>
    </row>
    <row r="308">
      <c r="A308" s="2">
        <f>IFERROR(__xludf.DUMMYFUNCTION("""COMPUTED_VALUE"""),1000.0)</f>
        <v>1000</v>
      </c>
      <c r="B308" s="2">
        <f>IFERROR(__xludf.DUMMYFUNCTION("""COMPUTED_VALUE"""),183681.0)</f>
        <v>183681</v>
      </c>
      <c r="C308" s="2">
        <f>IFERROR(__xludf.DUMMYFUNCTION("""COMPUTED_VALUE"""),2026.0)</f>
        <v>2026</v>
      </c>
      <c r="D308" s="2">
        <f>IFERROR(__xludf.DUMMYFUNCTION("""COMPUTED_VALUE"""),46326.0)</f>
        <v>46326</v>
      </c>
      <c r="E308" s="2" t="str">
        <f>IFERROR(__xludf.DUMMYFUNCTION("""COMPUTED_VALUE"""),"VF")</f>
        <v>VF</v>
      </c>
      <c r="F308" s="2">
        <f>IFERROR(__xludf.DUMMYFUNCTION("""COMPUTED_VALUE"""),1.0)</f>
        <v>1</v>
      </c>
      <c r="G308" s="2" t="str">
        <f>IFERROR(__xludf.DUMMYFUNCTION("""COMPUTED_VALUE"""),"PR010")</f>
        <v>PR010</v>
      </c>
      <c r="H308" s="2" t="str">
        <f>IFERROR(__xludf.DUMMYFUNCTION("""COMPUTED_VALUE"""),"VD029")</f>
        <v>VD029</v>
      </c>
      <c r="I308" s="2">
        <f>IFERROR(__xludf.DUMMYFUNCTION("""COMPUTED_VALUE"""),3.0)</f>
        <v>3</v>
      </c>
      <c r="J308" s="2">
        <f>IFERROR(__xludf.DUMMYFUNCTION("""COMPUTED_VALUE"""),134.7)</f>
        <v>134.7</v>
      </c>
      <c r="K308" s="2">
        <f>IFERROR(__xludf.DUMMYFUNCTION("""COMPUTED_VALUE"""),134.7)</f>
        <v>134.7</v>
      </c>
    </row>
    <row r="309">
      <c r="A309" s="2">
        <f>IFERROR(__xludf.DUMMYFUNCTION("""COMPUTED_VALUE"""),1000.0)</f>
        <v>1000</v>
      </c>
      <c r="B309" s="2">
        <f>IFERROR(__xludf.DUMMYFUNCTION("""COMPUTED_VALUE"""),183681.0)</f>
        <v>183681</v>
      </c>
      <c r="C309" s="2">
        <f>IFERROR(__xludf.DUMMYFUNCTION("""COMPUTED_VALUE"""),2026.0)</f>
        <v>2026</v>
      </c>
      <c r="D309" s="2">
        <f>IFERROR(__xludf.DUMMYFUNCTION("""COMPUTED_VALUE"""),46326.0)</f>
        <v>46326</v>
      </c>
      <c r="E309" s="2" t="str">
        <f>IFERROR(__xludf.DUMMYFUNCTION("""COMPUTED_VALUE"""),"VF")</f>
        <v>VF</v>
      </c>
      <c r="F309" s="2">
        <f>IFERROR(__xludf.DUMMYFUNCTION("""COMPUTED_VALUE"""),2.0)</f>
        <v>2</v>
      </c>
      <c r="G309" s="2" t="str">
        <f>IFERROR(__xludf.DUMMYFUNCTION("""COMPUTED_VALUE"""),"PR005")</f>
        <v>PR005</v>
      </c>
      <c r="H309" s="2" t="str">
        <f>IFERROR(__xludf.DUMMYFUNCTION("""COMPUTED_VALUE"""),"VD038")</f>
        <v>VD038</v>
      </c>
      <c r="I309" s="2">
        <f>IFERROR(__xludf.DUMMYFUNCTION("""COMPUTED_VALUE"""),10.0)</f>
        <v>10</v>
      </c>
      <c r="J309" s="2">
        <f>IFERROR(__xludf.DUMMYFUNCTION("""COMPUTED_VALUE"""),2728.95)</f>
        <v>2728.95</v>
      </c>
      <c r="K309" s="2">
        <f>IFERROR(__xludf.DUMMYFUNCTION("""COMPUTED_VALUE"""),2728.95)</f>
        <v>2728.95</v>
      </c>
    </row>
    <row r="310">
      <c r="A310" s="2">
        <f>IFERROR(__xludf.DUMMYFUNCTION("""COMPUTED_VALUE"""),1000.0)</f>
        <v>1000</v>
      </c>
      <c r="B310" s="2">
        <f>IFERROR(__xludf.DUMMYFUNCTION("""COMPUTED_VALUE"""),183682.0)</f>
        <v>183682</v>
      </c>
      <c r="C310" s="2">
        <f>IFERROR(__xludf.DUMMYFUNCTION("""COMPUTED_VALUE"""),2026.0)</f>
        <v>2026</v>
      </c>
      <c r="D310" s="2">
        <f>IFERROR(__xludf.DUMMYFUNCTION("""COMPUTED_VALUE"""),46326.0)</f>
        <v>46326</v>
      </c>
      <c r="E310" s="2" t="str">
        <f>IFERROR(__xludf.DUMMYFUNCTION("""COMPUTED_VALUE"""),"VF")</f>
        <v>VF</v>
      </c>
      <c r="F310" s="2">
        <f>IFERROR(__xludf.DUMMYFUNCTION("""COMPUTED_VALUE"""),1.0)</f>
        <v>1</v>
      </c>
      <c r="G310" s="2" t="str">
        <f>IFERROR(__xludf.DUMMYFUNCTION("""COMPUTED_VALUE"""),"PR040")</f>
        <v>PR040</v>
      </c>
      <c r="H310" s="2" t="str">
        <f>IFERROR(__xludf.DUMMYFUNCTION("""COMPUTED_VALUE"""),"VD045")</f>
        <v>VD045</v>
      </c>
      <c r="I310" s="2">
        <f>IFERROR(__xludf.DUMMYFUNCTION("""COMPUTED_VALUE"""),21.0)</f>
        <v>21</v>
      </c>
      <c r="J310" s="2">
        <f>IFERROR(__xludf.DUMMYFUNCTION("""COMPUTED_VALUE"""),1543.5)</f>
        <v>1543.5</v>
      </c>
      <c r="K310" s="2">
        <f>IFERROR(__xludf.DUMMYFUNCTION("""COMPUTED_VALUE"""),1543.5)</f>
        <v>1543.5</v>
      </c>
    </row>
    <row r="311">
      <c r="A311" s="2">
        <f>IFERROR(__xludf.DUMMYFUNCTION("""COMPUTED_VALUE"""),1000.0)</f>
        <v>1000</v>
      </c>
      <c r="B311" s="2">
        <f>IFERROR(__xludf.DUMMYFUNCTION("""COMPUTED_VALUE"""),183683.0)</f>
        <v>183683</v>
      </c>
      <c r="C311" s="2">
        <f>IFERROR(__xludf.DUMMYFUNCTION("""COMPUTED_VALUE"""),2026.0)</f>
        <v>2026</v>
      </c>
      <c r="D311" s="2">
        <f>IFERROR(__xludf.DUMMYFUNCTION("""COMPUTED_VALUE"""),46326.0)</f>
        <v>46326</v>
      </c>
      <c r="E311" s="2" t="str">
        <f>IFERROR(__xludf.DUMMYFUNCTION("""COMPUTED_VALUE"""),"VF")</f>
        <v>VF</v>
      </c>
      <c r="F311" s="2">
        <f>IFERROR(__xludf.DUMMYFUNCTION("""COMPUTED_VALUE"""),1.0)</f>
        <v>1</v>
      </c>
      <c r="G311" s="2" t="str">
        <f>IFERROR(__xludf.DUMMYFUNCTION("""COMPUTED_VALUE"""),"PR017")</f>
        <v>PR017</v>
      </c>
      <c r="H311" s="2" t="str">
        <f>IFERROR(__xludf.DUMMYFUNCTION("""COMPUTED_VALUE"""),"VD029")</f>
        <v>VD029</v>
      </c>
      <c r="I311" s="2">
        <f>IFERROR(__xludf.DUMMYFUNCTION("""COMPUTED_VALUE"""),27.0)</f>
        <v>27</v>
      </c>
      <c r="J311" s="2">
        <f>IFERROR(__xludf.DUMMYFUNCTION("""COMPUTED_VALUE"""),815.37)</f>
        <v>815.37</v>
      </c>
      <c r="K311" s="2">
        <f>IFERROR(__xludf.DUMMYFUNCTION("""COMPUTED_VALUE"""),815.37)</f>
        <v>815.37</v>
      </c>
    </row>
    <row r="312">
      <c r="A312" s="2">
        <f>IFERROR(__xludf.DUMMYFUNCTION("""COMPUTED_VALUE"""),1000.0)</f>
        <v>1000</v>
      </c>
      <c r="B312" s="2">
        <f>IFERROR(__xludf.DUMMYFUNCTION("""COMPUTED_VALUE"""),183683.0)</f>
        <v>183683</v>
      </c>
      <c r="C312" s="2">
        <f>IFERROR(__xludf.DUMMYFUNCTION("""COMPUTED_VALUE"""),2026.0)</f>
        <v>2026</v>
      </c>
      <c r="D312" s="2">
        <f>IFERROR(__xludf.DUMMYFUNCTION("""COMPUTED_VALUE"""),46326.0)</f>
        <v>46326</v>
      </c>
      <c r="E312" s="2" t="str">
        <f>IFERROR(__xludf.DUMMYFUNCTION("""COMPUTED_VALUE"""),"VF")</f>
        <v>VF</v>
      </c>
      <c r="F312" s="2">
        <f>IFERROR(__xludf.DUMMYFUNCTION("""COMPUTED_VALUE"""),2.0)</f>
        <v>2</v>
      </c>
      <c r="G312" s="2" t="str">
        <f>IFERROR(__xludf.DUMMYFUNCTION("""COMPUTED_VALUE"""),"PR045")</f>
        <v>PR045</v>
      </c>
      <c r="H312" s="2" t="str">
        <f>IFERROR(__xludf.DUMMYFUNCTION("""COMPUTED_VALUE"""),"VD041")</f>
        <v>VD041</v>
      </c>
      <c r="I312" s="2">
        <f>IFERROR(__xludf.DUMMYFUNCTION("""COMPUTED_VALUE"""),10.0)</f>
        <v>10</v>
      </c>
      <c r="J312" s="2">
        <f>IFERROR(__xludf.DUMMYFUNCTION("""COMPUTED_VALUE"""),768.5)</f>
        <v>768.5</v>
      </c>
      <c r="K312" s="2">
        <f>IFERROR(__xludf.DUMMYFUNCTION("""COMPUTED_VALUE"""),768.5)</f>
        <v>768.5</v>
      </c>
    </row>
    <row r="313">
      <c r="A313" s="2">
        <f>IFERROR(__xludf.DUMMYFUNCTION("""COMPUTED_VALUE"""),1000.0)</f>
        <v>1000</v>
      </c>
      <c r="B313" s="2">
        <f>IFERROR(__xludf.DUMMYFUNCTION("""COMPUTED_VALUE"""),183684.0)</f>
        <v>183684</v>
      </c>
      <c r="C313" s="2">
        <f>IFERROR(__xludf.DUMMYFUNCTION("""COMPUTED_VALUE"""),2026.0)</f>
        <v>2026</v>
      </c>
      <c r="D313" s="2">
        <f>IFERROR(__xludf.DUMMYFUNCTION("""COMPUTED_VALUE"""),46326.0)</f>
        <v>46326</v>
      </c>
      <c r="E313" s="2" t="str">
        <f>IFERROR(__xludf.DUMMYFUNCTION("""COMPUTED_VALUE"""),"VF")</f>
        <v>VF</v>
      </c>
      <c r="F313" s="2">
        <f>IFERROR(__xludf.DUMMYFUNCTION("""COMPUTED_VALUE"""),1.0)</f>
        <v>1</v>
      </c>
      <c r="G313" s="2" t="str">
        <f>IFERROR(__xludf.DUMMYFUNCTION("""COMPUTED_VALUE"""),"PR014")</f>
        <v>PR014</v>
      </c>
      <c r="H313" s="2" t="str">
        <f>IFERROR(__xludf.DUMMYFUNCTION("""COMPUTED_VALUE"""),"VD018")</f>
        <v>VD018</v>
      </c>
      <c r="I313" s="2">
        <f>IFERROR(__xludf.DUMMYFUNCTION("""COMPUTED_VALUE"""),27.0)</f>
        <v>27</v>
      </c>
      <c r="J313" s="2">
        <f>IFERROR(__xludf.DUMMYFUNCTION("""COMPUTED_VALUE"""),1141.94)</f>
        <v>1141.94</v>
      </c>
      <c r="K313" s="2">
        <f>IFERROR(__xludf.DUMMYFUNCTION("""COMPUTED_VALUE"""),1141.94)</f>
        <v>1141.94</v>
      </c>
    </row>
    <row r="314">
      <c r="A314" s="2">
        <f>IFERROR(__xludf.DUMMYFUNCTION("""COMPUTED_VALUE"""),1000.0)</f>
        <v>1000</v>
      </c>
      <c r="B314" s="2">
        <f>IFERROR(__xludf.DUMMYFUNCTION("""COMPUTED_VALUE"""),183685.0)</f>
        <v>183685</v>
      </c>
      <c r="C314" s="2">
        <f>IFERROR(__xludf.DUMMYFUNCTION("""COMPUTED_VALUE"""),2026.0)</f>
        <v>2026</v>
      </c>
      <c r="D314" s="2">
        <f>IFERROR(__xludf.DUMMYFUNCTION("""COMPUTED_VALUE"""),46325.0)</f>
        <v>46325</v>
      </c>
      <c r="E314" s="2" t="str">
        <f>IFERROR(__xludf.DUMMYFUNCTION("""COMPUTED_VALUE"""),"VF")</f>
        <v>VF</v>
      </c>
      <c r="F314" s="2">
        <f>IFERROR(__xludf.DUMMYFUNCTION("""COMPUTED_VALUE"""),1.0)</f>
        <v>1</v>
      </c>
      <c r="G314" s="2" t="str">
        <f>IFERROR(__xludf.DUMMYFUNCTION("""COMPUTED_VALUE"""),"PR028")</f>
        <v>PR028</v>
      </c>
      <c r="H314" s="2" t="str">
        <f>IFERROR(__xludf.DUMMYFUNCTION("""COMPUTED_VALUE"""),"VD015")</f>
        <v>VD015</v>
      </c>
      <c r="I314" s="2">
        <f>IFERROR(__xludf.DUMMYFUNCTION("""COMPUTED_VALUE"""),15.0)</f>
        <v>15</v>
      </c>
      <c r="J314" s="2">
        <f>IFERROR(__xludf.DUMMYFUNCTION("""COMPUTED_VALUE"""),3785.99)</f>
        <v>3785.99</v>
      </c>
      <c r="K314" s="2">
        <f>IFERROR(__xludf.DUMMYFUNCTION("""COMPUTED_VALUE"""),3785.99)</f>
        <v>3785.99</v>
      </c>
    </row>
    <row r="315">
      <c r="A315" s="2">
        <f>IFERROR(__xludf.DUMMYFUNCTION("""COMPUTED_VALUE"""),1000.0)</f>
        <v>1000</v>
      </c>
      <c r="B315" s="2">
        <f>IFERROR(__xludf.DUMMYFUNCTION("""COMPUTED_VALUE"""),183686.0)</f>
        <v>183686</v>
      </c>
      <c r="C315" s="2">
        <f>IFERROR(__xludf.DUMMYFUNCTION("""COMPUTED_VALUE"""),2026.0)</f>
        <v>2026</v>
      </c>
      <c r="D315" s="2">
        <f>IFERROR(__xludf.DUMMYFUNCTION("""COMPUTED_VALUE"""),46325.0)</f>
        <v>46325</v>
      </c>
      <c r="E315" s="2" t="str">
        <f>IFERROR(__xludf.DUMMYFUNCTION("""COMPUTED_VALUE"""),"VF")</f>
        <v>VF</v>
      </c>
      <c r="F315" s="2">
        <f>IFERROR(__xludf.DUMMYFUNCTION("""COMPUTED_VALUE"""),1.0)</f>
        <v>1</v>
      </c>
      <c r="G315" s="2" t="str">
        <f>IFERROR(__xludf.DUMMYFUNCTION("""COMPUTED_VALUE"""),"PR046")</f>
        <v>PR046</v>
      </c>
      <c r="H315" s="2" t="str">
        <f>IFERROR(__xludf.DUMMYFUNCTION("""COMPUTED_VALUE"""),"VD021")</f>
        <v>VD021</v>
      </c>
      <c r="I315" s="2">
        <f>IFERROR(__xludf.DUMMYFUNCTION("""COMPUTED_VALUE"""),14.0)</f>
        <v>14</v>
      </c>
      <c r="J315" s="2">
        <f>IFERROR(__xludf.DUMMYFUNCTION("""COMPUTED_VALUE"""),4180.36)</f>
        <v>4180.36</v>
      </c>
      <c r="K315" s="2">
        <f>IFERROR(__xludf.DUMMYFUNCTION("""COMPUTED_VALUE"""),4180.36)</f>
        <v>4180.36</v>
      </c>
    </row>
    <row r="316">
      <c r="A316" s="2">
        <f>IFERROR(__xludf.DUMMYFUNCTION("""COMPUTED_VALUE"""),1000.0)</f>
        <v>1000</v>
      </c>
      <c r="B316" s="2">
        <f>IFERROR(__xludf.DUMMYFUNCTION("""COMPUTED_VALUE"""),183687.0)</f>
        <v>183687</v>
      </c>
      <c r="C316" s="2">
        <f>IFERROR(__xludf.DUMMYFUNCTION("""COMPUTED_VALUE"""),2026.0)</f>
        <v>2026</v>
      </c>
      <c r="D316" s="2">
        <f>IFERROR(__xludf.DUMMYFUNCTION("""COMPUTED_VALUE"""),46325.0)</f>
        <v>46325</v>
      </c>
      <c r="E316" s="2" t="str">
        <f>IFERROR(__xludf.DUMMYFUNCTION("""COMPUTED_VALUE"""),"VF")</f>
        <v>VF</v>
      </c>
      <c r="F316" s="2">
        <f>IFERROR(__xludf.DUMMYFUNCTION("""COMPUTED_VALUE"""),1.0)</f>
        <v>1</v>
      </c>
      <c r="G316" s="2" t="str">
        <f>IFERROR(__xludf.DUMMYFUNCTION("""COMPUTED_VALUE"""),"PR043")</f>
        <v>PR043</v>
      </c>
      <c r="H316" s="2" t="str">
        <f>IFERROR(__xludf.DUMMYFUNCTION("""COMPUTED_VALUE"""),"VD015")</f>
        <v>VD015</v>
      </c>
      <c r="I316" s="2">
        <f>IFERROR(__xludf.DUMMYFUNCTION("""COMPUTED_VALUE"""),20.0)</f>
        <v>20</v>
      </c>
      <c r="J316" s="2">
        <f>IFERROR(__xludf.DUMMYFUNCTION("""COMPUTED_VALUE"""),1595.0)</f>
        <v>1595</v>
      </c>
      <c r="K316" s="2">
        <f>IFERROR(__xludf.DUMMYFUNCTION("""COMPUTED_VALUE"""),1595.0)</f>
        <v>1595</v>
      </c>
    </row>
    <row r="317">
      <c r="A317" s="2">
        <f>IFERROR(__xludf.DUMMYFUNCTION("""COMPUTED_VALUE"""),1000.0)</f>
        <v>1000</v>
      </c>
      <c r="B317" s="2">
        <f>IFERROR(__xludf.DUMMYFUNCTION("""COMPUTED_VALUE"""),183688.0)</f>
        <v>183688</v>
      </c>
      <c r="C317" s="2">
        <f>IFERROR(__xludf.DUMMYFUNCTION("""COMPUTED_VALUE"""),2026.0)</f>
        <v>2026</v>
      </c>
      <c r="D317" s="2">
        <f>IFERROR(__xludf.DUMMYFUNCTION("""COMPUTED_VALUE"""),46324.0)</f>
        <v>46324</v>
      </c>
      <c r="E317" s="2" t="str">
        <f>IFERROR(__xludf.DUMMYFUNCTION("""COMPUTED_VALUE"""),"VF")</f>
        <v>VF</v>
      </c>
      <c r="F317" s="2">
        <f>IFERROR(__xludf.DUMMYFUNCTION("""COMPUTED_VALUE"""),1.0)</f>
        <v>1</v>
      </c>
      <c r="G317" s="2" t="str">
        <f>IFERROR(__xludf.DUMMYFUNCTION("""COMPUTED_VALUE"""),"PR030")</f>
        <v>PR030</v>
      </c>
      <c r="H317" s="2" t="str">
        <f>IFERROR(__xludf.DUMMYFUNCTION("""COMPUTED_VALUE"""),"VD017")</f>
        <v>VD017</v>
      </c>
      <c r="I317" s="2">
        <f>IFERROR(__xludf.DUMMYFUNCTION("""COMPUTED_VALUE"""),18.0)</f>
        <v>18</v>
      </c>
      <c r="J317" s="2">
        <f>IFERROR(__xludf.DUMMYFUNCTION("""COMPUTED_VALUE"""),4865.33)</f>
        <v>4865.33</v>
      </c>
      <c r="K317" s="2">
        <f>IFERROR(__xludf.DUMMYFUNCTION("""COMPUTED_VALUE"""),4865.33)</f>
        <v>4865.33</v>
      </c>
    </row>
    <row r="318">
      <c r="A318" s="2">
        <f>IFERROR(__xludf.DUMMYFUNCTION("""COMPUTED_VALUE"""),1000.0)</f>
        <v>1000</v>
      </c>
      <c r="B318" s="2">
        <f>IFERROR(__xludf.DUMMYFUNCTION("""COMPUTED_VALUE"""),183688.0)</f>
        <v>183688</v>
      </c>
      <c r="C318" s="2">
        <f>IFERROR(__xludf.DUMMYFUNCTION("""COMPUTED_VALUE"""),2026.0)</f>
        <v>2026</v>
      </c>
      <c r="D318" s="2">
        <f>IFERROR(__xludf.DUMMYFUNCTION("""COMPUTED_VALUE"""),46324.0)</f>
        <v>46324</v>
      </c>
      <c r="E318" s="2" t="str">
        <f>IFERROR(__xludf.DUMMYFUNCTION("""COMPUTED_VALUE"""),"VF")</f>
        <v>VF</v>
      </c>
      <c r="F318" s="2">
        <f>IFERROR(__xludf.DUMMYFUNCTION("""COMPUTED_VALUE"""),2.0)</f>
        <v>2</v>
      </c>
      <c r="G318" s="2" t="str">
        <f>IFERROR(__xludf.DUMMYFUNCTION("""COMPUTED_VALUE"""),"PR047")</f>
        <v>PR047</v>
      </c>
      <c r="H318" s="2" t="str">
        <f>IFERROR(__xludf.DUMMYFUNCTION("""COMPUTED_VALUE"""),"VD024")</f>
        <v>VD024</v>
      </c>
      <c r="I318" s="2">
        <f>IFERROR(__xludf.DUMMYFUNCTION("""COMPUTED_VALUE"""),24.0)</f>
        <v>24</v>
      </c>
      <c r="J318" s="2">
        <f>IFERROR(__xludf.DUMMYFUNCTION("""COMPUTED_VALUE"""),7027.18)</f>
        <v>7027.18</v>
      </c>
      <c r="K318" s="2">
        <f>IFERROR(__xludf.DUMMYFUNCTION("""COMPUTED_VALUE"""),7027.18)</f>
        <v>7027.18</v>
      </c>
    </row>
    <row r="319">
      <c r="A319" s="2">
        <f>IFERROR(__xludf.DUMMYFUNCTION("""COMPUTED_VALUE"""),1000.0)</f>
        <v>1000</v>
      </c>
      <c r="B319" s="2">
        <f>IFERROR(__xludf.DUMMYFUNCTION("""COMPUTED_VALUE"""),183689.0)</f>
        <v>183689</v>
      </c>
      <c r="C319" s="2">
        <f>IFERROR(__xludf.DUMMYFUNCTION("""COMPUTED_VALUE"""),2026.0)</f>
        <v>2026</v>
      </c>
      <c r="D319" s="2">
        <f>IFERROR(__xludf.DUMMYFUNCTION("""COMPUTED_VALUE"""),46324.0)</f>
        <v>46324</v>
      </c>
      <c r="E319" s="2" t="str">
        <f>IFERROR(__xludf.DUMMYFUNCTION("""COMPUTED_VALUE"""),"VF")</f>
        <v>VF</v>
      </c>
      <c r="F319" s="2">
        <f>IFERROR(__xludf.DUMMYFUNCTION("""COMPUTED_VALUE"""),1.0)</f>
        <v>1</v>
      </c>
      <c r="G319" s="2" t="str">
        <f>IFERROR(__xludf.DUMMYFUNCTION("""COMPUTED_VALUE"""),"PR010")</f>
        <v>PR010</v>
      </c>
      <c r="H319" s="2" t="str">
        <f>IFERROR(__xludf.DUMMYFUNCTION("""COMPUTED_VALUE"""),"VD028")</f>
        <v>VD028</v>
      </c>
      <c r="I319" s="2">
        <f>IFERROR(__xludf.DUMMYFUNCTION("""COMPUTED_VALUE"""),2.0)</f>
        <v>2</v>
      </c>
      <c r="J319" s="2">
        <f>IFERROR(__xludf.DUMMYFUNCTION("""COMPUTED_VALUE"""),95.19)</f>
        <v>95.19</v>
      </c>
      <c r="K319" s="2">
        <f>IFERROR(__xludf.DUMMYFUNCTION("""COMPUTED_VALUE"""),95.19)</f>
        <v>95.19</v>
      </c>
    </row>
    <row r="320">
      <c r="A320" s="2">
        <f>IFERROR(__xludf.DUMMYFUNCTION("""COMPUTED_VALUE"""),2000.0)</f>
        <v>2000</v>
      </c>
      <c r="B320" s="2">
        <f>IFERROR(__xludf.DUMMYFUNCTION("""COMPUTED_VALUE"""),183689.0)</f>
        <v>183689</v>
      </c>
      <c r="C320" s="2">
        <f>IFERROR(__xludf.DUMMYFUNCTION("""COMPUTED_VALUE"""),2026.0)</f>
        <v>2026</v>
      </c>
      <c r="D320" s="2">
        <f>IFERROR(__xludf.DUMMYFUNCTION("""COMPUTED_VALUE"""),46324.0)</f>
        <v>46324</v>
      </c>
      <c r="E320" s="2" t="str">
        <f>IFERROR(__xludf.DUMMYFUNCTION("""COMPUTED_VALUE"""),"VF")</f>
        <v>VF</v>
      </c>
      <c r="F320" s="2">
        <f>IFERROR(__xludf.DUMMYFUNCTION("""COMPUTED_VALUE"""),2.0)</f>
        <v>2</v>
      </c>
      <c r="G320" s="2" t="str">
        <f>IFERROR(__xludf.DUMMYFUNCTION("""COMPUTED_VALUE"""),"PR001")</f>
        <v>PR001</v>
      </c>
      <c r="H320" s="2" t="str">
        <f>IFERROR(__xludf.DUMMYFUNCTION("""COMPUTED_VALUE"""),"VD035")</f>
        <v>VD035</v>
      </c>
      <c r="I320" s="2">
        <f>IFERROR(__xludf.DUMMYFUNCTION("""COMPUTED_VALUE"""),1.0)</f>
        <v>1</v>
      </c>
      <c r="J320" s="2">
        <f>IFERROR(__xludf.DUMMYFUNCTION("""COMPUTED_VALUE"""),72.49)</f>
        <v>72.49</v>
      </c>
      <c r="K320" s="2">
        <f>IFERROR(__xludf.DUMMYFUNCTION("""COMPUTED_VALUE"""),72.49)</f>
        <v>72.49</v>
      </c>
    </row>
    <row r="321">
      <c r="A321" s="2">
        <f>IFERROR(__xludf.DUMMYFUNCTION("""COMPUTED_VALUE"""),2000.0)</f>
        <v>2000</v>
      </c>
      <c r="B321" s="2">
        <f>IFERROR(__xludf.DUMMYFUNCTION("""COMPUTED_VALUE"""),183690.0)</f>
        <v>183690</v>
      </c>
      <c r="C321" s="2">
        <f>IFERROR(__xludf.DUMMYFUNCTION("""COMPUTED_VALUE"""),2026.0)</f>
        <v>2026</v>
      </c>
      <c r="D321" s="2">
        <f>IFERROR(__xludf.DUMMYFUNCTION("""COMPUTED_VALUE"""),46323.0)</f>
        <v>46323</v>
      </c>
      <c r="E321" s="2" t="str">
        <f>IFERROR(__xludf.DUMMYFUNCTION("""COMPUTED_VALUE"""),"VF")</f>
        <v>VF</v>
      </c>
      <c r="F321" s="2">
        <f>IFERROR(__xludf.DUMMYFUNCTION("""COMPUTED_VALUE"""),1.0)</f>
        <v>1</v>
      </c>
      <c r="G321" s="2" t="str">
        <f>IFERROR(__xludf.DUMMYFUNCTION("""COMPUTED_VALUE"""),"PR014")</f>
        <v>PR014</v>
      </c>
      <c r="H321" s="2" t="str">
        <f>IFERROR(__xludf.DUMMYFUNCTION("""COMPUTED_VALUE"""),"VD030")</f>
        <v>VD030</v>
      </c>
      <c r="I321" s="2">
        <f>IFERROR(__xludf.DUMMYFUNCTION("""COMPUTED_VALUE"""),9.0)</f>
        <v>9</v>
      </c>
      <c r="J321" s="2">
        <f>IFERROR(__xludf.DUMMYFUNCTION("""COMPUTED_VALUE"""),377.06)</f>
        <v>377.06</v>
      </c>
      <c r="K321" s="2">
        <f>IFERROR(__xludf.DUMMYFUNCTION("""COMPUTED_VALUE"""),377.06)</f>
        <v>377.06</v>
      </c>
    </row>
    <row r="322">
      <c r="A322" s="2">
        <f>IFERROR(__xludf.DUMMYFUNCTION("""COMPUTED_VALUE"""),2000.0)</f>
        <v>2000</v>
      </c>
      <c r="B322" s="2">
        <f>IFERROR(__xludf.DUMMYFUNCTION("""COMPUTED_VALUE"""),183691.0)</f>
        <v>183691</v>
      </c>
      <c r="C322" s="2">
        <f>IFERROR(__xludf.DUMMYFUNCTION("""COMPUTED_VALUE"""),2026.0)</f>
        <v>2026</v>
      </c>
      <c r="D322" s="2">
        <f>IFERROR(__xludf.DUMMYFUNCTION("""COMPUTED_VALUE"""),46323.0)</f>
        <v>46323</v>
      </c>
      <c r="E322" s="2" t="str">
        <f>IFERROR(__xludf.DUMMYFUNCTION("""COMPUTED_VALUE"""),"VF")</f>
        <v>VF</v>
      </c>
      <c r="F322" s="2">
        <f>IFERROR(__xludf.DUMMYFUNCTION("""COMPUTED_VALUE"""),1.0)</f>
        <v>1</v>
      </c>
      <c r="G322" s="2" t="str">
        <f>IFERROR(__xludf.DUMMYFUNCTION("""COMPUTED_VALUE"""),"PR041")</f>
        <v>PR041</v>
      </c>
      <c r="H322" s="2" t="str">
        <f>IFERROR(__xludf.DUMMYFUNCTION("""COMPUTED_VALUE"""),"VD042")</f>
        <v>VD042</v>
      </c>
      <c r="I322" s="2">
        <f>IFERROR(__xludf.DUMMYFUNCTION("""COMPUTED_VALUE"""),2.0)</f>
        <v>2</v>
      </c>
      <c r="J322" s="2">
        <f>IFERROR(__xludf.DUMMYFUNCTION("""COMPUTED_VALUE"""),109.8)</f>
        <v>109.8</v>
      </c>
      <c r="K322" s="2">
        <f>IFERROR(__xludf.DUMMYFUNCTION("""COMPUTED_VALUE"""),109.8)</f>
        <v>109.8</v>
      </c>
    </row>
    <row r="323">
      <c r="A323" s="2">
        <f>IFERROR(__xludf.DUMMYFUNCTION("""COMPUTED_VALUE"""),1000.0)</f>
        <v>1000</v>
      </c>
      <c r="B323" s="2">
        <f>IFERROR(__xludf.DUMMYFUNCTION("""COMPUTED_VALUE"""),183691.0)</f>
        <v>183691</v>
      </c>
      <c r="C323" s="2">
        <f>IFERROR(__xludf.DUMMYFUNCTION("""COMPUTED_VALUE"""),2026.0)</f>
        <v>2026</v>
      </c>
      <c r="D323" s="2">
        <f>IFERROR(__xludf.DUMMYFUNCTION("""COMPUTED_VALUE"""),46323.0)</f>
        <v>46323</v>
      </c>
      <c r="E323" s="2" t="str">
        <f>IFERROR(__xludf.DUMMYFUNCTION("""COMPUTED_VALUE"""),"VF")</f>
        <v>VF</v>
      </c>
      <c r="F323" s="2">
        <f>IFERROR(__xludf.DUMMYFUNCTION("""COMPUTED_VALUE"""),2.0)</f>
        <v>2</v>
      </c>
      <c r="G323" s="2" t="str">
        <f>IFERROR(__xludf.DUMMYFUNCTION("""COMPUTED_VALUE"""),"PR037")</f>
        <v>PR037</v>
      </c>
      <c r="H323" s="2" t="str">
        <f>IFERROR(__xludf.DUMMYFUNCTION("""COMPUTED_VALUE"""),"VD028")</f>
        <v>VD028</v>
      </c>
      <c r="I323" s="2">
        <f>IFERROR(__xludf.DUMMYFUNCTION("""COMPUTED_VALUE"""),8.0)</f>
        <v>8</v>
      </c>
      <c r="J323" s="2">
        <f>IFERROR(__xludf.DUMMYFUNCTION("""COMPUTED_VALUE"""),1187.2)</f>
        <v>1187.2</v>
      </c>
      <c r="K323" s="2">
        <f>IFERROR(__xludf.DUMMYFUNCTION("""COMPUTED_VALUE"""),1187.2)</f>
        <v>1187.2</v>
      </c>
    </row>
    <row r="324">
      <c r="A324" s="2">
        <f>IFERROR(__xludf.DUMMYFUNCTION("""COMPUTED_VALUE"""),1000.0)</f>
        <v>1000</v>
      </c>
      <c r="B324" s="2">
        <f>IFERROR(__xludf.DUMMYFUNCTION("""COMPUTED_VALUE"""),183692.0)</f>
        <v>183692</v>
      </c>
      <c r="C324" s="2">
        <f>IFERROR(__xludf.DUMMYFUNCTION("""COMPUTED_VALUE"""),2026.0)</f>
        <v>2026</v>
      </c>
      <c r="D324" s="2">
        <f>IFERROR(__xludf.DUMMYFUNCTION("""COMPUTED_VALUE"""),46322.0)</f>
        <v>46322</v>
      </c>
      <c r="E324" s="2" t="str">
        <f>IFERROR(__xludf.DUMMYFUNCTION("""COMPUTED_VALUE"""),"VF")</f>
        <v>VF</v>
      </c>
      <c r="F324" s="2">
        <f>IFERROR(__xludf.DUMMYFUNCTION("""COMPUTED_VALUE"""),1.0)</f>
        <v>1</v>
      </c>
      <c r="G324" s="2" t="str">
        <f>IFERROR(__xludf.DUMMYFUNCTION("""COMPUTED_VALUE"""),"PR003")</f>
        <v>PR003</v>
      </c>
      <c r="H324" s="2" t="str">
        <f>IFERROR(__xludf.DUMMYFUNCTION("""COMPUTED_VALUE"""),"VD048")</f>
        <v>VD048</v>
      </c>
      <c r="I324" s="2">
        <f>IFERROR(__xludf.DUMMYFUNCTION("""COMPUTED_VALUE"""),3.0)</f>
        <v>3</v>
      </c>
      <c r="J324" s="2">
        <f>IFERROR(__xludf.DUMMYFUNCTION("""COMPUTED_VALUE"""),227.59)</f>
        <v>227.59</v>
      </c>
      <c r="K324" s="2">
        <f>IFERROR(__xludf.DUMMYFUNCTION("""COMPUTED_VALUE"""),227.59)</f>
        <v>227.59</v>
      </c>
    </row>
    <row r="325">
      <c r="A325" s="2">
        <f>IFERROR(__xludf.DUMMYFUNCTION("""COMPUTED_VALUE"""),1000.0)</f>
        <v>1000</v>
      </c>
      <c r="B325" s="2">
        <f>IFERROR(__xludf.DUMMYFUNCTION("""COMPUTED_VALUE"""),183692.0)</f>
        <v>183692</v>
      </c>
      <c r="C325" s="2">
        <f>IFERROR(__xludf.DUMMYFUNCTION("""COMPUTED_VALUE"""),2026.0)</f>
        <v>2026</v>
      </c>
      <c r="D325" s="2">
        <f>IFERROR(__xludf.DUMMYFUNCTION("""COMPUTED_VALUE"""),46322.0)</f>
        <v>46322</v>
      </c>
      <c r="E325" s="2" t="str">
        <f>IFERROR(__xludf.DUMMYFUNCTION("""COMPUTED_VALUE"""),"VF")</f>
        <v>VF</v>
      </c>
      <c r="F325" s="2">
        <f>IFERROR(__xludf.DUMMYFUNCTION("""COMPUTED_VALUE"""),2.0)</f>
        <v>2</v>
      </c>
      <c r="G325" s="2" t="str">
        <f>IFERROR(__xludf.DUMMYFUNCTION("""COMPUTED_VALUE"""),"PR006")</f>
        <v>PR006</v>
      </c>
      <c r="H325" s="2" t="str">
        <f>IFERROR(__xludf.DUMMYFUNCTION("""COMPUTED_VALUE"""),"VD012")</f>
        <v>VD012</v>
      </c>
      <c r="I325" s="2">
        <f>IFERROR(__xludf.DUMMYFUNCTION("""COMPUTED_VALUE"""),3.0)</f>
        <v>3</v>
      </c>
      <c r="J325" s="2">
        <f>IFERROR(__xludf.DUMMYFUNCTION("""COMPUTED_VALUE"""),122.09)</f>
        <v>122.09</v>
      </c>
      <c r="K325" s="2">
        <f>IFERROR(__xludf.DUMMYFUNCTION("""COMPUTED_VALUE"""),122.09)</f>
        <v>122.09</v>
      </c>
    </row>
    <row r="326">
      <c r="A326" s="2">
        <f>IFERROR(__xludf.DUMMYFUNCTION("""COMPUTED_VALUE"""),1000.0)</f>
        <v>1000</v>
      </c>
      <c r="B326" s="2">
        <f>IFERROR(__xludf.DUMMYFUNCTION("""COMPUTED_VALUE"""),183692.0)</f>
        <v>183692</v>
      </c>
      <c r="C326" s="2">
        <f>IFERROR(__xludf.DUMMYFUNCTION("""COMPUTED_VALUE"""),2026.0)</f>
        <v>2026</v>
      </c>
      <c r="D326" s="2">
        <f>IFERROR(__xludf.DUMMYFUNCTION("""COMPUTED_VALUE"""),46322.0)</f>
        <v>46322</v>
      </c>
      <c r="E326" s="2" t="str">
        <f>IFERROR(__xludf.DUMMYFUNCTION("""COMPUTED_VALUE"""),"VF")</f>
        <v>VF</v>
      </c>
      <c r="F326" s="2">
        <f>IFERROR(__xludf.DUMMYFUNCTION("""COMPUTED_VALUE"""),3.0)</f>
        <v>3</v>
      </c>
      <c r="G326" s="2" t="str">
        <f>IFERROR(__xludf.DUMMYFUNCTION("""COMPUTED_VALUE"""),"PR012")</f>
        <v>PR012</v>
      </c>
      <c r="H326" s="2" t="str">
        <f>IFERROR(__xludf.DUMMYFUNCTION("""COMPUTED_VALUE"""),"VD023")</f>
        <v>VD023</v>
      </c>
      <c r="I326" s="2">
        <f>IFERROR(__xludf.DUMMYFUNCTION("""COMPUTED_VALUE"""),16.0)</f>
        <v>16</v>
      </c>
      <c r="J326" s="2">
        <f>IFERROR(__xludf.DUMMYFUNCTION("""COMPUTED_VALUE"""),805.87)</f>
        <v>805.87</v>
      </c>
      <c r="K326" s="2">
        <f>IFERROR(__xludf.DUMMYFUNCTION("""COMPUTED_VALUE"""),805.87)</f>
        <v>805.87</v>
      </c>
    </row>
    <row r="327">
      <c r="A327" s="2">
        <f>IFERROR(__xludf.DUMMYFUNCTION("""COMPUTED_VALUE"""),1000.0)</f>
        <v>1000</v>
      </c>
      <c r="B327" s="2">
        <f>IFERROR(__xludf.DUMMYFUNCTION("""COMPUTED_VALUE"""),183692.0)</f>
        <v>183692</v>
      </c>
      <c r="C327" s="2">
        <f>IFERROR(__xludf.DUMMYFUNCTION("""COMPUTED_VALUE"""),2026.0)</f>
        <v>2026</v>
      </c>
      <c r="D327" s="2">
        <f>IFERROR(__xludf.DUMMYFUNCTION("""COMPUTED_VALUE"""),46322.0)</f>
        <v>46322</v>
      </c>
      <c r="E327" s="2" t="str">
        <f>IFERROR(__xludf.DUMMYFUNCTION("""COMPUTED_VALUE"""),"VF")</f>
        <v>VF</v>
      </c>
      <c r="F327" s="2">
        <f>IFERROR(__xludf.DUMMYFUNCTION("""COMPUTED_VALUE"""),4.0)</f>
        <v>4</v>
      </c>
      <c r="G327" s="2" t="str">
        <f>IFERROR(__xludf.DUMMYFUNCTION("""COMPUTED_VALUE"""),"PR028")</f>
        <v>PR028</v>
      </c>
      <c r="H327" s="2" t="str">
        <f>IFERROR(__xludf.DUMMYFUNCTION("""COMPUTED_VALUE"""),"VD015")</f>
        <v>VD015</v>
      </c>
      <c r="I327" s="2">
        <f>IFERROR(__xludf.DUMMYFUNCTION("""COMPUTED_VALUE"""),2.0)</f>
        <v>2</v>
      </c>
      <c r="J327" s="2">
        <f>IFERROR(__xludf.DUMMYFUNCTION("""COMPUTED_VALUE"""),549.78)</f>
        <v>549.78</v>
      </c>
      <c r="K327" s="2">
        <f>IFERROR(__xludf.DUMMYFUNCTION("""COMPUTED_VALUE"""),549.78)</f>
        <v>549.78</v>
      </c>
    </row>
    <row r="328">
      <c r="A328" s="2">
        <f>IFERROR(__xludf.DUMMYFUNCTION("""COMPUTED_VALUE"""),1000.0)</f>
        <v>1000</v>
      </c>
      <c r="B328" s="2">
        <f>IFERROR(__xludf.DUMMYFUNCTION("""COMPUTED_VALUE"""),183693.0)</f>
        <v>183693</v>
      </c>
      <c r="C328" s="2">
        <f>IFERROR(__xludf.DUMMYFUNCTION("""COMPUTED_VALUE"""),2026.0)</f>
        <v>2026</v>
      </c>
      <c r="D328" s="2">
        <f>IFERROR(__xludf.DUMMYFUNCTION("""COMPUTED_VALUE"""),46322.0)</f>
        <v>46322</v>
      </c>
      <c r="E328" s="2" t="str">
        <f>IFERROR(__xludf.DUMMYFUNCTION("""COMPUTED_VALUE"""),"VF")</f>
        <v>VF</v>
      </c>
      <c r="F328" s="2">
        <f>IFERROR(__xludf.DUMMYFUNCTION("""COMPUTED_VALUE"""),1.0)</f>
        <v>1</v>
      </c>
      <c r="G328" s="2" t="str">
        <f>IFERROR(__xludf.DUMMYFUNCTION("""COMPUTED_VALUE"""),"PR043")</f>
        <v>PR043</v>
      </c>
      <c r="H328" s="2" t="str">
        <f>IFERROR(__xludf.DUMMYFUNCTION("""COMPUTED_VALUE"""),"VD031")</f>
        <v>VD031</v>
      </c>
      <c r="I328" s="2">
        <f>IFERROR(__xludf.DUMMYFUNCTION("""COMPUTED_VALUE"""),6.0)</f>
        <v>6</v>
      </c>
      <c r="J328" s="2">
        <f>IFERROR(__xludf.DUMMYFUNCTION("""COMPUTED_VALUE"""),443.7)</f>
        <v>443.7</v>
      </c>
      <c r="K328" s="2">
        <f>IFERROR(__xludf.DUMMYFUNCTION("""COMPUTED_VALUE"""),443.7)</f>
        <v>443.7</v>
      </c>
    </row>
    <row r="329">
      <c r="A329" s="2">
        <f>IFERROR(__xludf.DUMMYFUNCTION("""COMPUTED_VALUE"""),1000.0)</f>
        <v>1000</v>
      </c>
      <c r="B329" s="2">
        <f>IFERROR(__xludf.DUMMYFUNCTION("""COMPUTED_VALUE"""),183693.0)</f>
        <v>183693</v>
      </c>
      <c r="C329" s="2">
        <f>IFERROR(__xludf.DUMMYFUNCTION("""COMPUTED_VALUE"""),2026.0)</f>
        <v>2026</v>
      </c>
      <c r="D329" s="2">
        <f>IFERROR(__xludf.DUMMYFUNCTION("""COMPUTED_VALUE"""),46322.0)</f>
        <v>46322</v>
      </c>
      <c r="E329" s="2" t="str">
        <f>IFERROR(__xludf.DUMMYFUNCTION("""COMPUTED_VALUE"""),"VF")</f>
        <v>VF</v>
      </c>
      <c r="F329" s="2">
        <f>IFERROR(__xludf.DUMMYFUNCTION("""COMPUTED_VALUE"""),2.0)</f>
        <v>2</v>
      </c>
      <c r="G329" s="2" t="str">
        <f>IFERROR(__xludf.DUMMYFUNCTION("""COMPUTED_VALUE"""),"PR031")</f>
        <v>PR031</v>
      </c>
      <c r="H329" s="2" t="str">
        <f>IFERROR(__xludf.DUMMYFUNCTION("""COMPUTED_VALUE"""),"VD023")</f>
        <v>VD023</v>
      </c>
      <c r="I329" s="2">
        <f>IFERROR(__xludf.DUMMYFUNCTION("""COMPUTED_VALUE"""),8.0)</f>
        <v>8</v>
      </c>
      <c r="J329" s="2">
        <f>IFERROR(__xludf.DUMMYFUNCTION("""COMPUTED_VALUE"""),1999.2)</f>
        <v>1999.2</v>
      </c>
      <c r="K329" s="2">
        <f>IFERROR(__xludf.DUMMYFUNCTION("""COMPUTED_VALUE"""),1999.2)</f>
        <v>1999.2</v>
      </c>
    </row>
    <row r="330">
      <c r="A330" s="2">
        <f>IFERROR(__xludf.DUMMYFUNCTION("""COMPUTED_VALUE"""),1000.0)</f>
        <v>1000</v>
      </c>
      <c r="B330" s="2">
        <f>IFERROR(__xludf.DUMMYFUNCTION("""COMPUTED_VALUE"""),183694.0)</f>
        <v>183694</v>
      </c>
      <c r="C330" s="2">
        <f>IFERROR(__xludf.DUMMYFUNCTION("""COMPUTED_VALUE"""),2026.0)</f>
        <v>2026</v>
      </c>
      <c r="D330" s="2">
        <f>IFERROR(__xludf.DUMMYFUNCTION("""COMPUTED_VALUE"""),46322.0)</f>
        <v>46322</v>
      </c>
      <c r="E330" s="2" t="str">
        <f>IFERROR(__xludf.DUMMYFUNCTION("""COMPUTED_VALUE"""),"VF")</f>
        <v>VF</v>
      </c>
      <c r="F330" s="2">
        <f>IFERROR(__xludf.DUMMYFUNCTION("""COMPUTED_VALUE"""),1.0)</f>
        <v>1</v>
      </c>
      <c r="G330" s="2" t="str">
        <f>IFERROR(__xludf.DUMMYFUNCTION("""COMPUTED_VALUE"""),"PR005")</f>
        <v>PR005</v>
      </c>
      <c r="H330" s="2" t="str">
        <f>IFERROR(__xludf.DUMMYFUNCTION("""COMPUTED_VALUE"""),"VD030")</f>
        <v>VD030</v>
      </c>
      <c r="I330" s="2">
        <f>IFERROR(__xludf.DUMMYFUNCTION("""COMPUTED_VALUE"""),15.0)</f>
        <v>15</v>
      </c>
      <c r="J330" s="2">
        <f>IFERROR(__xludf.DUMMYFUNCTION("""COMPUTED_VALUE"""),4210.38)</f>
        <v>4210.38</v>
      </c>
      <c r="K330" s="2">
        <f>IFERROR(__xludf.DUMMYFUNCTION("""COMPUTED_VALUE"""),4210.38)</f>
        <v>4210.38</v>
      </c>
    </row>
    <row r="331">
      <c r="A331" s="2">
        <f>IFERROR(__xludf.DUMMYFUNCTION("""COMPUTED_VALUE"""),1000.0)</f>
        <v>1000</v>
      </c>
      <c r="B331" s="2">
        <f>IFERROR(__xludf.DUMMYFUNCTION("""COMPUTED_VALUE"""),183695.0)</f>
        <v>183695</v>
      </c>
      <c r="C331" s="2">
        <f>IFERROR(__xludf.DUMMYFUNCTION("""COMPUTED_VALUE"""),2026.0)</f>
        <v>2026</v>
      </c>
      <c r="D331" s="2">
        <f>IFERROR(__xludf.DUMMYFUNCTION("""COMPUTED_VALUE"""),46322.0)</f>
        <v>46322</v>
      </c>
      <c r="E331" s="2" t="str">
        <f>IFERROR(__xludf.DUMMYFUNCTION("""COMPUTED_VALUE"""),"VF")</f>
        <v>VF</v>
      </c>
      <c r="F331" s="2">
        <f>IFERROR(__xludf.DUMMYFUNCTION("""COMPUTED_VALUE"""),1.0)</f>
        <v>1</v>
      </c>
      <c r="G331" s="2" t="str">
        <f>IFERROR(__xludf.DUMMYFUNCTION("""COMPUTED_VALUE"""),"PR051")</f>
        <v>PR051</v>
      </c>
      <c r="H331" s="2" t="str">
        <f>IFERROR(__xludf.DUMMYFUNCTION("""COMPUTED_VALUE"""),"VD041")</f>
        <v>VD041</v>
      </c>
      <c r="I331" s="2">
        <f>IFERROR(__xludf.DUMMYFUNCTION("""COMPUTED_VALUE"""),5.0)</f>
        <v>5</v>
      </c>
      <c r="J331" s="2">
        <f>IFERROR(__xludf.DUMMYFUNCTION("""COMPUTED_VALUE"""),171.08)</f>
        <v>171.08</v>
      </c>
      <c r="K331" s="2">
        <f>IFERROR(__xludf.DUMMYFUNCTION("""COMPUTED_VALUE"""),171.08)</f>
        <v>171.08</v>
      </c>
    </row>
    <row r="332">
      <c r="A332" s="2">
        <f>IFERROR(__xludf.DUMMYFUNCTION("""COMPUTED_VALUE"""),1000.0)</f>
        <v>1000</v>
      </c>
      <c r="B332" s="2">
        <f>IFERROR(__xludf.DUMMYFUNCTION("""COMPUTED_VALUE"""),183696.0)</f>
        <v>183696</v>
      </c>
      <c r="C332" s="2">
        <f>IFERROR(__xludf.DUMMYFUNCTION("""COMPUTED_VALUE"""),2026.0)</f>
        <v>2026</v>
      </c>
      <c r="D332" s="2">
        <f>IFERROR(__xludf.DUMMYFUNCTION("""COMPUTED_VALUE"""),46322.0)</f>
        <v>46322</v>
      </c>
      <c r="E332" s="2" t="str">
        <f>IFERROR(__xludf.DUMMYFUNCTION("""COMPUTED_VALUE"""),"VF")</f>
        <v>VF</v>
      </c>
      <c r="F332" s="2">
        <f>IFERROR(__xludf.DUMMYFUNCTION("""COMPUTED_VALUE"""),1.0)</f>
        <v>1</v>
      </c>
      <c r="G332" s="2" t="str">
        <f>IFERROR(__xludf.DUMMYFUNCTION("""COMPUTED_VALUE"""),"PR018")</f>
        <v>PR018</v>
      </c>
      <c r="H332" s="2" t="str">
        <f>IFERROR(__xludf.DUMMYFUNCTION("""COMPUTED_VALUE"""),"VD028")</f>
        <v>VD028</v>
      </c>
      <c r="I332" s="2">
        <f>IFERROR(__xludf.DUMMYFUNCTION("""COMPUTED_VALUE"""),12.0)</f>
        <v>12</v>
      </c>
      <c r="J332" s="2">
        <f>IFERROR(__xludf.DUMMYFUNCTION("""COMPUTED_VALUE"""),430.33)</f>
        <v>430.33</v>
      </c>
      <c r="K332" s="2">
        <f>IFERROR(__xludf.DUMMYFUNCTION("""COMPUTED_VALUE"""),430.33)</f>
        <v>430.33</v>
      </c>
    </row>
    <row r="333">
      <c r="A333" s="2">
        <f>IFERROR(__xludf.DUMMYFUNCTION("""COMPUTED_VALUE"""),2000.0)</f>
        <v>2000</v>
      </c>
      <c r="B333" s="2">
        <f>IFERROR(__xludf.DUMMYFUNCTION("""COMPUTED_VALUE"""),183697.0)</f>
        <v>183697</v>
      </c>
      <c r="C333" s="2">
        <f>IFERROR(__xludf.DUMMYFUNCTION("""COMPUTED_VALUE"""),2026.0)</f>
        <v>2026</v>
      </c>
      <c r="D333" s="2">
        <f>IFERROR(__xludf.DUMMYFUNCTION("""COMPUTED_VALUE"""),46322.0)</f>
        <v>46322</v>
      </c>
      <c r="E333" s="2" t="str">
        <f>IFERROR(__xludf.DUMMYFUNCTION("""COMPUTED_VALUE"""),"VF")</f>
        <v>VF</v>
      </c>
      <c r="F333" s="2">
        <f>IFERROR(__xludf.DUMMYFUNCTION("""COMPUTED_VALUE"""),1.0)</f>
        <v>1</v>
      </c>
      <c r="G333" s="2" t="str">
        <f>IFERROR(__xludf.DUMMYFUNCTION("""COMPUTED_VALUE"""),"PR016")</f>
        <v>PR016</v>
      </c>
      <c r="H333" s="2" t="str">
        <f>IFERROR(__xludf.DUMMYFUNCTION("""COMPUTED_VALUE"""),"VD042")</f>
        <v>VD042</v>
      </c>
      <c r="I333" s="2">
        <f>IFERROR(__xludf.DUMMYFUNCTION("""COMPUTED_VALUE"""),5.0)</f>
        <v>5</v>
      </c>
      <c r="J333" s="2">
        <f>IFERROR(__xludf.DUMMYFUNCTION("""COMPUTED_VALUE"""),138.57)</f>
        <v>138.57</v>
      </c>
      <c r="K333" s="2">
        <f>IFERROR(__xludf.DUMMYFUNCTION("""COMPUTED_VALUE"""),138.57)</f>
        <v>138.57</v>
      </c>
    </row>
    <row r="334">
      <c r="A334" s="2">
        <f>IFERROR(__xludf.DUMMYFUNCTION("""COMPUTED_VALUE"""),1000.0)</f>
        <v>1000</v>
      </c>
      <c r="B334" s="2">
        <f>IFERROR(__xludf.DUMMYFUNCTION("""COMPUTED_VALUE"""),183698.0)</f>
        <v>183698</v>
      </c>
      <c r="C334" s="2">
        <f>IFERROR(__xludf.DUMMYFUNCTION("""COMPUTED_VALUE"""),2026.0)</f>
        <v>2026</v>
      </c>
      <c r="D334" s="2">
        <f>IFERROR(__xludf.DUMMYFUNCTION("""COMPUTED_VALUE"""),46322.0)</f>
        <v>46322</v>
      </c>
      <c r="E334" s="2" t="str">
        <f>IFERROR(__xludf.DUMMYFUNCTION("""COMPUTED_VALUE"""),"VF")</f>
        <v>VF</v>
      </c>
      <c r="F334" s="2">
        <f>IFERROR(__xludf.DUMMYFUNCTION("""COMPUTED_VALUE"""),1.0)</f>
        <v>1</v>
      </c>
      <c r="G334" s="2" t="str">
        <f>IFERROR(__xludf.DUMMYFUNCTION("""COMPUTED_VALUE"""),"PR048")</f>
        <v>PR048</v>
      </c>
      <c r="H334" s="2" t="str">
        <f>IFERROR(__xludf.DUMMYFUNCTION("""COMPUTED_VALUE"""),"VD019")</f>
        <v>VD019</v>
      </c>
      <c r="I334" s="2">
        <f>IFERROR(__xludf.DUMMYFUNCTION("""COMPUTED_VALUE"""),2.0)</f>
        <v>2</v>
      </c>
      <c r="J334" s="2">
        <f>IFERROR(__xludf.DUMMYFUNCTION("""COMPUTED_VALUE"""),614.59)</f>
        <v>614.59</v>
      </c>
      <c r="K334" s="2">
        <f>IFERROR(__xludf.DUMMYFUNCTION("""COMPUTED_VALUE"""),614.59)</f>
        <v>614.59</v>
      </c>
    </row>
    <row r="335">
      <c r="A335" s="2">
        <f>IFERROR(__xludf.DUMMYFUNCTION("""COMPUTED_VALUE"""),1000.0)</f>
        <v>1000</v>
      </c>
      <c r="B335" s="2">
        <f>IFERROR(__xludf.DUMMYFUNCTION("""COMPUTED_VALUE"""),183699.0)</f>
        <v>183699</v>
      </c>
      <c r="C335" s="2">
        <f>IFERROR(__xludf.DUMMYFUNCTION("""COMPUTED_VALUE"""),2026.0)</f>
        <v>2026</v>
      </c>
      <c r="D335" s="2">
        <f>IFERROR(__xludf.DUMMYFUNCTION("""COMPUTED_VALUE"""),46322.0)</f>
        <v>46322</v>
      </c>
      <c r="E335" s="2" t="str">
        <f>IFERROR(__xludf.DUMMYFUNCTION("""COMPUTED_VALUE"""),"VF")</f>
        <v>VF</v>
      </c>
      <c r="F335" s="2">
        <f>IFERROR(__xludf.DUMMYFUNCTION("""COMPUTED_VALUE"""),1.0)</f>
        <v>1</v>
      </c>
      <c r="G335" s="2" t="str">
        <f>IFERROR(__xludf.DUMMYFUNCTION("""COMPUTED_VALUE"""),"PR036")</f>
        <v>PR036</v>
      </c>
      <c r="H335" s="2" t="str">
        <f>IFERROR(__xludf.DUMMYFUNCTION("""COMPUTED_VALUE"""),"VD036")</f>
        <v>VD036</v>
      </c>
      <c r="I335" s="2">
        <f>IFERROR(__xludf.DUMMYFUNCTION("""COMPUTED_VALUE"""),16.0)</f>
        <v>16</v>
      </c>
      <c r="J335" s="2">
        <f>IFERROR(__xludf.DUMMYFUNCTION("""COMPUTED_VALUE"""),1630.64)</f>
        <v>1630.64</v>
      </c>
      <c r="K335" s="2">
        <f>IFERROR(__xludf.DUMMYFUNCTION("""COMPUTED_VALUE"""),1630.64)</f>
        <v>1630.64</v>
      </c>
    </row>
    <row r="336">
      <c r="A336" s="2">
        <f>IFERROR(__xludf.DUMMYFUNCTION("""COMPUTED_VALUE"""),1000.0)</f>
        <v>1000</v>
      </c>
      <c r="B336" s="2">
        <f>IFERROR(__xludf.DUMMYFUNCTION("""COMPUTED_VALUE"""),183700.0)</f>
        <v>183700</v>
      </c>
      <c r="C336" s="2">
        <f>IFERROR(__xludf.DUMMYFUNCTION("""COMPUTED_VALUE"""),2026.0)</f>
        <v>2026</v>
      </c>
      <c r="D336" s="2">
        <f>IFERROR(__xludf.DUMMYFUNCTION("""COMPUTED_VALUE"""),46322.0)</f>
        <v>46322</v>
      </c>
      <c r="E336" s="2" t="str">
        <f>IFERROR(__xludf.DUMMYFUNCTION("""COMPUTED_VALUE"""),"VF")</f>
        <v>VF</v>
      </c>
      <c r="F336" s="2">
        <f>IFERROR(__xludf.DUMMYFUNCTION("""COMPUTED_VALUE"""),1.0)</f>
        <v>1</v>
      </c>
      <c r="G336" s="2" t="str">
        <f>IFERROR(__xludf.DUMMYFUNCTION("""COMPUTED_VALUE"""),"PR023")</f>
        <v>PR023</v>
      </c>
      <c r="H336" s="2" t="str">
        <f>IFERROR(__xludf.DUMMYFUNCTION("""COMPUTED_VALUE"""),"VD032")</f>
        <v>VD032</v>
      </c>
      <c r="I336" s="2">
        <f>IFERROR(__xludf.DUMMYFUNCTION("""COMPUTED_VALUE"""),8.0)</f>
        <v>8</v>
      </c>
      <c r="J336" s="2">
        <f>IFERROR(__xludf.DUMMYFUNCTION("""COMPUTED_VALUE"""),2199.12)</f>
        <v>2199.12</v>
      </c>
      <c r="K336" s="2">
        <f>IFERROR(__xludf.DUMMYFUNCTION("""COMPUTED_VALUE"""),2199.12)</f>
        <v>2199.12</v>
      </c>
    </row>
    <row r="337">
      <c r="A337" s="2">
        <f>IFERROR(__xludf.DUMMYFUNCTION("""COMPUTED_VALUE"""),1000.0)</f>
        <v>1000</v>
      </c>
      <c r="B337" s="2">
        <f>IFERROR(__xludf.DUMMYFUNCTION("""COMPUTED_VALUE"""),183701.0)</f>
        <v>183701</v>
      </c>
      <c r="C337" s="2">
        <f>IFERROR(__xludf.DUMMYFUNCTION("""COMPUTED_VALUE"""),2026.0)</f>
        <v>2026</v>
      </c>
      <c r="D337" s="2">
        <f>IFERROR(__xludf.DUMMYFUNCTION("""COMPUTED_VALUE"""),46322.0)</f>
        <v>46322</v>
      </c>
      <c r="E337" s="2" t="str">
        <f>IFERROR(__xludf.DUMMYFUNCTION("""COMPUTED_VALUE"""),"VF")</f>
        <v>VF</v>
      </c>
      <c r="F337" s="2">
        <f>IFERROR(__xludf.DUMMYFUNCTION("""COMPUTED_VALUE"""),1.0)</f>
        <v>1</v>
      </c>
      <c r="G337" s="2" t="str">
        <f>IFERROR(__xludf.DUMMYFUNCTION("""COMPUTED_VALUE"""),"PR038")</f>
        <v>PR038</v>
      </c>
      <c r="H337" s="2" t="str">
        <f>IFERROR(__xludf.DUMMYFUNCTION("""COMPUTED_VALUE"""),"VD032")</f>
        <v>VD032</v>
      </c>
      <c r="I337" s="2">
        <f>IFERROR(__xludf.DUMMYFUNCTION("""COMPUTED_VALUE"""),15.0)</f>
        <v>15</v>
      </c>
      <c r="J337" s="2">
        <f>IFERROR(__xludf.DUMMYFUNCTION("""COMPUTED_VALUE"""),2357.85)</f>
        <v>2357.85</v>
      </c>
      <c r="K337" s="2">
        <f>IFERROR(__xludf.DUMMYFUNCTION("""COMPUTED_VALUE"""),2357.85)</f>
        <v>2357.85</v>
      </c>
    </row>
    <row r="338">
      <c r="A338" s="2">
        <f>IFERROR(__xludf.DUMMYFUNCTION("""COMPUTED_VALUE"""),1000.0)</f>
        <v>1000</v>
      </c>
      <c r="B338" s="2">
        <f>IFERROR(__xludf.DUMMYFUNCTION("""COMPUTED_VALUE"""),183701.0)</f>
        <v>183701</v>
      </c>
      <c r="C338" s="2">
        <f>IFERROR(__xludf.DUMMYFUNCTION("""COMPUTED_VALUE"""),2026.0)</f>
        <v>2026</v>
      </c>
      <c r="D338" s="2">
        <f>IFERROR(__xludf.DUMMYFUNCTION("""COMPUTED_VALUE"""),46321.0)</f>
        <v>46321</v>
      </c>
      <c r="E338" s="2" t="str">
        <f>IFERROR(__xludf.DUMMYFUNCTION("""COMPUTED_VALUE"""),"VF")</f>
        <v>VF</v>
      </c>
      <c r="F338" s="2">
        <f>IFERROR(__xludf.DUMMYFUNCTION("""COMPUTED_VALUE"""),2.0)</f>
        <v>2</v>
      </c>
      <c r="G338" s="2" t="str">
        <f>IFERROR(__xludf.DUMMYFUNCTION("""COMPUTED_VALUE"""),"PR037")</f>
        <v>PR037</v>
      </c>
      <c r="H338" s="2" t="str">
        <f>IFERROR(__xludf.DUMMYFUNCTION("""COMPUTED_VALUE"""),"VD025")</f>
        <v>VD025</v>
      </c>
      <c r="I338" s="2">
        <f>IFERROR(__xludf.DUMMYFUNCTION("""COMPUTED_VALUE"""),27.0)</f>
        <v>27</v>
      </c>
      <c r="J338" s="2">
        <f>IFERROR(__xludf.DUMMYFUNCTION("""COMPUTED_VALUE"""),3780.0)</f>
        <v>3780</v>
      </c>
      <c r="K338" s="2">
        <f>IFERROR(__xludf.DUMMYFUNCTION("""COMPUTED_VALUE"""),3780.0)</f>
        <v>3780</v>
      </c>
    </row>
    <row r="339">
      <c r="A339" s="2">
        <f>IFERROR(__xludf.DUMMYFUNCTION("""COMPUTED_VALUE"""),1000.0)</f>
        <v>1000</v>
      </c>
      <c r="B339" s="2">
        <f>IFERROR(__xludf.DUMMYFUNCTION("""COMPUTED_VALUE"""),183701.0)</f>
        <v>183701</v>
      </c>
      <c r="C339" s="2">
        <f>IFERROR(__xludf.DUMMYFUNCTION("""COMPUTED_VALUE"""),2026.0)</f>
        <v>2026</v>
      </c>
      <c r="D339" s="2">
        <f>IFERROR(__xludf.DUMMYFUNCTION("""COMPUTED_VALUE"""),46321.0)</f>
        <v>46321</v>
      </c>
      <c r="E339" s="2" t="str">
        <f>IFERROR(__xludf.DUMMYFUNCTION("""COMPUTED_VALUE"""),"VF")</f>
        <v>VF</v>
      </c>
      <c r="F339" s="2">
        <f>IFERROR(__xludf.DUMMYFUNCTION("""COMPUTED_VALUE"""),3.0)</f>
        <v>3</v>
      </c>
      <c r="G339" s="2" t="str">
        <f>IFERROR(__xludf.DUMMYFUNCTION("""COMPUTED_VALUE"""),"PR020")</f>
        <v>PR020</v>
      </c>
      <c r="H339" s="2" t="str">
        <f>IFERROR(__xludf.DUMMYFUNCTION("""COMPUTED_VALUE"""),"VD016")</f>
        <v>VD016</v>
      </c>
      <c r="I339" s="2">
        <f>IFERROR(__xludf.DUMMYFUNCTION("""COMPUTED_VALUE"""),12.0)</f>
        <v>12</v>
      </c>
      <c r="J339" s="2">
        <f>IFERROR(__xludf.DUMMYFUNCTION("""COMPUTED_VALUE"""),3778.74)</f>
        <v>3778.74</v>
      </c>
      <c r="K339" s="2">
        <f>IFERROR(__xludf.DUMMYFUNCTION("""COMPUTED_VALUE"""),3778.74)</f>
        <v>3778.74</v>
      </c>
    </row>
    <row r="340">
      <c r="A340" s="2">
        <f>IFERROR(__xludf.DUMMYFUNCTION("""COMPUTED_VALUE"""),2000.0)</f>
        <v>2000</v>
      </c>
      <c r="B340" s="2">
        <f>IFERROR(__xludf.DUMMYFUNCTION("""COMPUTED_VALUE"""),183702.0)</f>
        <v>183702</v>
      </c>
      <c r="C340" s="2">
        <f>IFERROR(__xludf.DUMMYFUNCTION("""COMPUTED_VALUE"""),2026.0)</f>
        <v>2026</v>
      </c>
      <c r="D340" s="2">
        <f>IFERROR(__xludf.DUMMYFUNCTION("""COMPUTED_VALUE"""),46321.0)</f>
        <v>46321</v>
      </c>
      <c r="E340" s="2" t="str">
        <f>IFERROR(__xludf.DUMMYFUNCTION("""COMPUTED_VALUE"""),"VF")</f>
        <v>VF</v>
      </c>
      <c r="F340" s="2">
        <f>IFERROR(__xludf.DUMMYFUNCTION("""COMPUTED_VALUE"""),1.0)</f>
        <v>1</v>
      </c>
      <c r="G340" s="2" t="str">
        <f>IFERROR(__xludf.DUMMYFUNCTION("""COMPUTED_VALUE"""),"PR049")</f>
        <v>PR049</v>
      </c>
      <c r="H340" s="2" t="str">
        <f>IFERROR(__xludf.DUMMYFUNCTION("""COMPUTED_VALUE"""),"VD017")</f>
        <v>VD017</v>
      </c>
      <c r="I340" s="2">
        <f>IFERROR(__xludf.DUMMYFUNCTION("""COMPUTED_VALUE"""),21.0)</f>
        <v>21</v>
      </c>
      <c r="J340" s="2">
        <f>IFERROR(__xludf.DUMMYFUNCTION("""COMPUTED_VALUE"""),753.08)</f>
        <v>753.08</v>
      </c>
      <c r="K340" s="2">
        <f>IFERROR(__xludf.DUMMYFUNCTION("""COMPUTED_VALUE"""),753.08)</f>
        <v>753.08</v>
      </c>
    </row>
    <row r="341">
      <c r="A341" s="2">
        <f>IFERROR(__xludf.DUMMYFUNCTION("""COMPUTED_VALUE"""),1000.0)</f>
        <v>1000</v>
      </c>
      <c r="B341" s="2">
        <f>IFERROR(__xludf.DUMMYFUNCTION("""COMPUTED_VALUE"""),183703.0)</f>
        <v>183703</v>
      </c>
      <c r="C341" s="2">
        <f>IFERROR(__xludf.DUMMYFUNCTION("""COMPUTED_VALUE"""),2026.0)</f>
        <v>2026</v>
      </c>
      <c r="D341" s="2">
        <f>IFERROR(__xludf.DUMMYFUNCTION("""COMPUTED_VALUE"""),46321.0)</f>
        <v>46321</v>
      </c>
      <c r="E341" s="2" t="str">
        <f>IFERROR(__xludf.DUMMYFUNCTION("""COMPUTED_VALUE"""),"VF")</f>
        <v>VF</v>
      </c>
      <c r="F341" s="2">
        <f>IFERROR(__xludf.DUMMYFUNCTION("""COMPUTED_VALUE"""),1.0)</f>
        <v>1</v>
      </c>
      <c r="G341" s="2" t="str">
        <f>IFERROR(__xludf.DUMMYFUNCTION("""COMPUTED_VALUE"""),"PR007")</f>
        <v>PR007</v>
      </c>
      <c r="H341" s="2" t="str">
        <f>IFERROR(__xludf.DUMMYFUNCTION("""COMPUTED_VALUE"""),"VD029")</f>
        <v>VD029</v>
      </c>
      <c r="I341" s="2">
        <f>IFERROR(__xludf.DUMMYFUNCTION("""COMPUTED_VALUE"""),18.0)</f>
        <v>18</v>
      </c>
      <c r="J341" s="2">
        <f>IFERROR(__xludf.DUMMYFUNCTION("""COMPUTED_VALUE"""),1561.66)</f>
        <v>1561.66</v>
      </c>
      <c r="K341" s="2">
        <f>IFERROR(__xludf.DUMMYFUNCTION("""COMPUTED_VALUE"""),1561.66)</f>
        <v>1561.66</v>
      </c>
    </row>
    <row r="342">
      <c r="A342" s="2">
        <f>IFERROR(__xludf.DUMMYFUNCTION("""COMPUTED_VALUE"""),1000.0)</f>
        <v>1000</v>
      </c>
      <c r="B342" s="2">
        <f>IFERROR(__xludf.DUMMYFUNCTION("""COMPUTED_VALUE"""),183704.0)</f>
        <v>183704</v>
      </c>
      <c r="C342" s="2">
        <f>IFERROR(__xludf.DUMMYFUNCTION("""COMPUTED_VALUE"""),2026.0)</f>
        <v>2026</v>
      </c>
      <c r="D342" s="2">
        <f>IFERROR(__xludf.DUMMYFUNCTION("""COMPUTED_VALUE"""),46321.0)</f>
        <v>46321</v>
      </c>
      <c r="E342" s="2" t="str">
        <f>IFERROR(__xludf.DUMMYFUNCTION("""COMPUTED_VALUE"""),"VF")</f>
        <v>VF</v>
      </c>
      <c r="F342" s="2">
        <f>IFERROR(__xludf.DUMMYFUNCTION("""COMPUTED_VALUE"""),1.0)</f>
        <v>1</v>
      </c>
      <c r="G342" s="2" t="str">
        <f>IFERROR(__xludf.DUMMYFUNCTION("""COMPUTED_VALUE"""),"PR056")</f>
        <v>PR056</v>
      </c>
      <c r="H342" s="2" t="str">
        <f>IFERROR(__xludf.DUMMYFUNCTION("""COMPUTED_VALUE"""),"VD043")</f>
        <v>VD043</v>
      </c>
      <c r="I342" s="2">
        <f>IFERROR(__xludf.DUMMYFUNCTION("""COMPUTED_VALUE"""),3.0)</f>
        <v>3</v>
      </c>
      <c r="J342" s="2">
        <f>IFERROR(__xludf.DUMMYFUNCTION("""COMPUTED_VALUE"""),272.4)</f>
        <v>272.4</v>
      </c>
      <c r="K342" s="2">
        <f>IFERROR(__xludf.DUMMYFUNCTION("""COMPUTED_VALUE"""),272.4)</f>
        <v>272.4</v>
      </c>
    </row>
    <row r="343">
      <c r="A343" s="2">
        <f>IFERROR(__xludf.DUMMYFUNCTION("""COMPUTED_VALUE"""),2000.0)</f>
        <v>2000</v>
      </c>
      <c r="B343" s="2">
        <f>IFERROR(__xludf.DUMMYFUNCTION("""COMPUTED_VALUE"""),183704.0)</f>
        <v>183704</v>
      </c>
      <c r="C343" s="2">
        <f>IFERROR(__xludf.DUMMYFUNCTION("""COMPUTED_VALUE"""),2026.0)</f>
        <v>2026</v>
      </c>
      <c r="D343" s="2">
        <f>IFERROR(__xludf.DUMMYFUNCTION("""COMPUTED_VALUE"""),46321.0)</f>
        <v>46321</v>
      </c>
      <c r="E343" s="2" t="str">
        <f>IFERROR(__xludf.DUMMYFUNCTION("""COMPUTED_VALUE"""),"VF")</f>
        <v>VF</v>
      </c>
      <c r="F343" s="2">
        <f>IFERROR(__xludf.DUMMYFUNCTION("""COMPUTED_VALUE"""),2.0)</f>
        <v>2</v>
      </c>
      <c r="G343" s="2" t="str">
        <f>IFERROR(__xludf.DUMMYFUNCTION("""COMPUTED_VALUE"""),"PR019")</f>
        <v>PR019</v>
      </c>
      <c r="H343" s="2" t="str">
        <f>IFERROR(__xludf.DUMMYFUNCTION("""COMPUTED_VALUE"""),"VD039")</f>
        <v>VD039</v>
      </c>
      <c r="I343" s="2">
        <f>IFERROR(__xludf.DUMMYFUNCTION("""COMPUTED_VALUE"""),20.0)</f>
        <v>20</v>
      </c>
      <c r="J343" s="2">
        <f>IFERROR(__xludf.DUMMYFUNCTION("""COMPUTED_VALUE"""),1057.88)</f>
        <v>1057.88</v>
      </c>
      <c r="K343" s="2">
        <f>IFERROR(__xludf.DUMMYFUNCTION("""COMPUTED_VALUE"""),1057.88)</f>
        <v>1057.88</v>
      </c>
    </row>
    <row r="344">
      <c r="A344" s="2">
        <f>IFERROR(__xludf.DUMMYFUNCTION("""COMPUTED_VALUE"""),1000.0)</f>
        <v>1000</v>
      </c>
      <c r="B344" s="2">
        <f>IFERROR(__xludf.DUMMYFUNCTION("""COMPUTED_VALUE"""),183704.0)</f>
        <v>183704</v>
      </c>
      <c r="C344" s="2">
        <f>IFERROR(__xludf.DUMMYFUNCTION("""COMPUTED_VALUE"""),2026.0)</f>
        <v>2026</v>
      </c>
      <c r="D344" s="2">
        <f>IFERROR(__xludf.DUMMYFUNCTION("""COMPUTED_VALUE"""),46321.0)</f>
        <v>46321</v>
      </c>
      <c r="E344" s="2" t="str">
        <f>IFERROR(__xludf.DUMMYFUNCTION("""COMPUTED_VALUE"""),"VF")</f>
        <v>VF</v>
      </c>
      <c r="F344" s="2">
        <f>IFERROR(__xludf.DUMMYFUNCTION("""COMPUTED_VALUE"""),3.0)</f>
        <v>3</v>
      </c>
      <c r="G344" s="2" t="str">
        <f>IFERROR(__xludf.DUMMYFUNCTION("""COMPUTED_VALUE"""),"PR015")</f>
        <v>PR015</v>
      </c>
      <c r="H344" s="2" t="str">
        <f>IFERROR(__xludf.DUMMYFUNCTION("""COMPUTED_VALUE"""),"VD046")</f>
        <v>VD046</v>
      </c>
      <c r="I344" s="2">
        <f>IFERROR(__xludf.DUMMYFUNCTION("""COMPUTED_VALUE"""),3.0)</f>
        <v>3</v>
      </c>
      <c r="J344" s="2">
        <f>IFERROR(__xludf.DUMMYFUNCTION("""COMPUTED_VALUE"""),135.15)</f>
        <v>135.15</v>
      </c>
      <c r="K344" s="2">
        <f>IFERROR(__xludf.DUMMYFUNCTION("""COMPUTED_VALUE"""),135.15)</f>
        <v>135.15</v>
      </c>
    </row>
    <row r="345">
      <c r="A345" s="2">
        <f>IFERROR(__xludf.DUMMYFUNCTION("""COMPUTED_VALUE"""),1000.0)</f>
        <v>1000</v>
      </c>
      <c r="B345" s="2">
        <f>IFERROR(__xludf.DUMMYFUNCTION("""COMPUTED_VALUE"""),183704.0)</f>
        <v>183704</v>
      </c>
      <c r="C345" s="2">
        <f>IFERROR(__xludf.DUMMYFUNCTION("""COMPUTED_VALUE"""),2026.0)</f>
        <v>2026</v>
      </c>
      <c r="D345" s="2">
        <f>IFERROR(__xludf.DUMMYFUNCTION("""COMPUTED_VALUE"""),46321.0)</f>
        <v>46321</v>
      </c>
      <c r="E345" s="2" t="str">
        <f>IFERROR(__xludf.DUMMYFUNCTION("""COMPUTED_VALUE"""),"VF")</f>
        <v>VF</v>
      </c>
      <c r="F345" s="2">
        <f>IFERROR(__xludf.DUMMYFUNCTION("""COMPUTED_VALUE"""),4.0)</f>
        <v>4</v>
      </c>
      <c r="G345" s="2" t="str">
        <f>IFERROR(__xludf.DUMMYFUNCTION("""COMPUTED_VALUE"""),"PR019")</f>
        <v>PR019</v>
      </c>
      <c r="H345" s="2" t="str">
        <f>IFERROR(__xludf.DUMMYFUNCTION("""COMPUTED_VALUE"""),"VD043")</f>
        <v>VD043</v>
      </c>
      <c r="I345" s="2">
        <f>IFERROR(__xludf.DUMMYFUNCTION("""COMPUTED_VALUE"""),21.0)</f>
        <v>21</v>
      </c>
      <c r="J345" s="2">
        <f>IFERROR(__xludf.DUMMYFUNCTION("""COMPUTED_VALUE"""),1100.3)</f>
        <v>1100.3</v>
      </c>
      <c r="K345" s="2">
        <f>IFERROR(__xludf.DUMMYFUNCTION("""COMPUTED_VALUE"""),1100.3)</f>
        <v>1100.3</v>
      </c>
    </row>
    <row r="346">
      <c r="A346" s="2">
        <f>IFERROR(__xludf.DUMMYFUNCTION("""COMPUTED_VALUE"""),1000.0)</f>
        <v>1000</v>
      </c>
      <c r="B346" s="2">
        <f>IFERROR(__xludf.DUMMYFUNCTION("""COMPUTED_VALUE"""),183705.0)</f>
        <v>183705</v>
      </c>
      <c r="C346" s="2">
        <f>IFERROR(__xludf.DUMMYFUNCTION("""COMPUTED_VALUE"""),2026.0)</f>
        <v>2026</v>
      </c>
      <c r="D346" s="2">
        <f>IFERROR(__xludf.DUMMYFUNCTION("""COMPUTED_VALUE"""),46321.0)</f>
        <v>46321</v>
      </c>
      <c r="E346" s="2" t="str">
        <f>IFERROR(__xludf.DUMMYFUNCTION("""COMPUTED_VALUE"""),"VF")</f>
        <v>VF</v>
      </c>
      <c r="F346" s="2">
        <f>IFERROR(__xludf.DUMMYFUNCTION("""COMPUTED_VALUE"""),1.0)</f>
        <v>1</v>
      </c>
      <c r="G346" s="2" t="str">
        <f>IFERROR(__xludf.DUMMYFUNCTION("""COMPUTED_VALUE"""),"PR043")</f>
        <v>PR043</v>
      </c>
      <c r="H346" s="2" t="str">
        <f>IFERROR(__xludf.DUMMYFUNCTION("""COMPUTED_VALUE"""),"VD031")</f>
        <v>VD031</v>
      </c>
      <c r="I346" s="2">
        <f>IFERROR(__xludf.DUMMYFUNCTION("""COMPUTED_VALUE"""),9.0)</f>
        <v>9</v>
      </c>
      <c r="J346" s="2">
        <f>IFERROR(__xludf.DUMMYFUNCTION("""COMPUTED_VALUE"""),698.18)</f>
        <v>698.18</v>
      </c>
      <c r="K346" s="2">
        <f>IFERROR(__xludf.DUMMYFUNCTION("""COMPUTED_VALUE"""),698.18)</f>
        <v>698.18</v>
      </c>
    </row>
    <row r="347">
      <c r="A347" s="2">
        <f>IFERROR(__xludf.DUMMYFUNCTION("""COMPUTED_VALUE"""),2000.0)</f>
        <v>2000</v>
      </c>
      <c r="B347" s="2">
        <f>IFERROR(__xludf.DUMMYFUNCTION("""COMPUTED_VALUE"""),183705.0)</f>
        <v>183705</v>
      </c>
      <c r="C347" s="2">
        <f>IFERROR(__xludf.DUMMYFUNCTION("""COMPUTED_VALUE"""),2026.0)</f>
        <v>2026</v>
      </c>
      <c r="D347" s="2">
        <f>IFERROR(__xludf.DUMMYFUNCTION("""COMPUTED_VALUE"""),46321.0)</f>
        <v>46321</v>
      </c>
      <c r="E347" s="2" t="str">
        <f>IFERROR(__xludf.DUMMYFUNCTION("""COMPUTED_VALUE"""),"VF")</f>
        <v>VF</v>
      </c>
      <c r="F347" s="2">
        <f>IFERROR(__xludf.DUMMYFUNCTION("""COMPUTED_VALUE"""),2.0)</f>
        <v>2</v>
      </c>
      <c r="G347" s="2" t="str">
        <f>IFERROR(__xludf.DUMMYFUNCTION("""COMPUTED_VALUE"""),"PR038")</f>
        <v>PR038</v>
      </c>
      <c r="H347" s="2" t="str">
        <f>IFERROR(__xludf.DUMMYFUNCTION("""COMPUTED_VALUE"""),"VD015")</f>
        <v>VD015</v>
      </c>
      <c r="I347" s="2">
        <f>IFERROR(__xludf.DUMMYFUNCTION("""COMPUTED_VALUE"""),12.0)</f>
        <v>12</v>
      </c>
      <c r="J347" s="2">
        <f>IFERROR(__xludf.DUMMYFUNCTION("""COMPUTED_VALUE"""),1869.13)</f>
        <v>1869.13</v>
      </c>
      <c r="K347" s="2">
        <f>IFERROR(__xludf.DUMMYFUNCTION("""COMPUTED_VALUE"""),1869.13)</f>
        <v>1869.13</v>
      </c>
    </row>
    <row r="348">
      <c r="A348" s="2">
        <f>IFERROR(__xludf.DUMMYFUNCTION("""COMPUTED_VALUE"""),1000.0)</f>
        <v>1000</v>
      </c>
      <c r="B348" s="2">
        <f>IFERROR(__xludf.DUMMYFUNCTION("""COMPUTED_VALUE"""),183706.0)</f>
        <v>183706</v>
      </c>
      <c r="C348" s="2">
        <f>IFERROR(__xludf.DUMMYFUNCTION("""COMPUTED_VALUE"""),2026.0)</f>
        <v>2026</v>
      </c>
      <c r="D348" s="2">
        <f>IFERROR(__xludf.DUMMYFUNCTION("""COMPUTED_VALUE"""),46321.0)</f>
        <v>46321</v>
      </c>
      <c r="E348" s="2" t="str">
        <f>IFERROR(__xludf.DUMMYFUNCTION("""COMPUTED_VALUE"""),"VF")</f>
        <v>VF</v>
      </c>
      <c r="F348" s="2">
        <f>IFERROR(__xludf.DUMMYFUNCTION("""COMPUTED_VALUE"""),1.0)</f>
        <v>1</v>
      </c>
      <c r="G348" s="2" t="str">
        <f>IFERROR(__xludf.DUMMYFUNCTION("""COMPUTED_VALUE"""),"PR050")</f>
        <v>PR050</v>
      </c>
      <c r="H348" s="2" t="str">
        <f>IFERROR(__xludf.DUMMYFUNCTION("""COMPUTED_VALUE"""),"VD042")</f>
        <v>VD042</v>
      </c>
      <c r="I348" s="2">
        <f>IFERROR(__xludf.DUMMYFUNCTION("""COMPUTED_VALUE"""),1.0)</f>
        <v>1</v>
      </c>
      <c r="J348" s="2">
        <f>IFERROR(__xludf.DUMMYFUNCTION("""COMPUTED_VALUE"""),33.89)</f>
        <v>33.89</v>
      </c>
      <c r="K348" s="2">
        <f>IFERROR(__xludf.DUMMYFUNCTION("""COMPUTED_VALUE"""),33.89)</f>
        <v>33.89</v>
      </c>
    </row>
    <row r="349">
      <c r="A349" s="2">
        <f>IFERROR(__xludf.DUMMYFUNCTION("""COMPUTED_VALUE"""),1000.0)</f>
        <v>1000</v>
      </c>
      <c r="B349" s="2">
        <f>IFERROR(__xludf.DUMMYFUNCTION("""COMPUTED_VALUE"""),183707.0)</f>
        <v>183707</v>
      </c>
      <c r="C349" s="2">
        <f>IFERROR(__xludf.DUMMYFUNCTION("""COMPUTED_VALUE"""),2026.0)</f>
        <v>2026</v>
      </c>
      <c r="D349" s="2">
        <f>IFERROR(__xludf.DUMMYFUNCTION("""COMPUTED_VALUE"""),46320.0)</f>
        <v>46320</v>
      </c>
      <c r="E349" s="2" t="str">
        <f>IFERROR(__xludf.DUMMYFUNCTION("""COMPUTED_VALUE"""),"VF")</f>
        <v>VF</v>
      </c>
      <c r="F349" s="2">
        <f>IFERROR(__xludf.DUMMYFUNCTION("""COMPUTED_VALUE"""),1.0)</f>
        <v>1</v>
      </c>
      <c r="G349" s="2" t="str">
        <f>IFERROR(__xludf.DUMMYFUNCTION("""COMPUTED_VALUE"""),"PR005")</f>
        <v>PR005</v>
      </c>
      <c r="H349" s="2" t="str">
        <f>IFERROR(__xludf.DUMMYFUNCTION("""COMPUTED_VALUE"""),"VD022")</f>
        <v>VD022</v>
      </c>
      <c r="I349" s="2">
        <f>IFERROR(__xludf.DUMMYFUNCTION("""COMPUTED_VALUE"""),6.0)</f>
        <v>6</v>
      </c>
      <c r="J349" s="2">
        <f>IFERROR(__xludf.DUMMYFUNCTION("""COMPUTED_VALUE"""),1574.99)</f>
        <v>1574.99</v>
      </c>
      <c r="K349" s="2">
        <f>IFERROR(__xludf.DUMMYFUNCTION("""COMPUTED_VALUE"""),1574.99)</f>
        <v>1574.99</v>
      </c>
    </row>
    <row r="350">
      <c r="A350" s="2">
        <f>IFERROR(__xludf.DUMMYFUNCTION("""COMPUTED_VALUE"""),1000.0)</f>
        <v>1000</v>
      </c>
      <c r="B350" s="2">
        <f>IFERROR(__xludf.DUMMYFUNCTION("""COMPUTED_VALUE"""),183708.0)</f>
        <v>183708</v>
      </c>
      <c r="C350" s="2">
        <f>IFERROR(__xludf.DUMMYFUNCTION("""COMPUTED_VALUE"""),2026.0)</f>
        <v>2026</v>
      </c>
      <c r="D350" s="2">
        <f>IFERROR(__xludf.DUMMYFUNCTION("""COMPUTED_VALUE"""),46320.0)</f>
        <v>46320</v>
      </c>
      <c r="E350" s="2" t="str">
        <f>IFERROR(__xludf.DUMMYFUNCTION("""COMPUTED_VALUE"""),"VF")</f>
        <v>VF</v>
      </c>
      <c r="F350" s="2">
        <f>IFERROR(__xludf.DUMMYFUNCTION("""COMPUTED_VALUE"""),1.0)</f>
        <v>1</v>
      </c>
      <c r="G350" s="2" t="str">
        <f>IFERROR(__xludf.DUMMYFUNCTION("""COMPUTED_VALUE"""),"PR018")</f>
        <v>PR018</v>
      </c>
      <c r="H350" s="2" t="str">
        <f>IFERROR(__xludf.DUMMYFUNCTION("""COMPUTED_VALUE"""),"VD047")</f>
        <v>VD047</v>
      </c>
      <c r="I350" s="2">
        <f>IFERROR(__xludf.DUMMYFUNCTION("""COMPUTED_VALUE"""),6.0)</f>
        <v>6</v>
      </c>
      <c r="J350" s="2">
        <f>IFERROR(__xludf.DUMMYFUNCTION("""COMPUTED_VALUE"""),197.4)</f>
        <v>197.4</v>
      </c>
      <c r="K350" s="2">
        <f>IFERROR(__xludf.DUMMYFUNCTION("""COMPUTED_VALUE"""),197.4)</f>
        <v>197.4</v>
      </c>
    </row>
    <row r="351">
      <c r="A351" s="2">
        <f>IFERROR(__xludf.DUMMYFUNCTION("""COMPUTED_VALUE"""),2000.0)</f>
        <v>2000</v>
      </c>
      <c r="B351" s="2">
        <f>IFERROR(__xludf.DUMMYFUNCTION("""COMPUTED_VALUE"""),183709.0)</f>
        <v>183709</v>
      </c>
      <c r="C351" s="2">
        <f>IFERROR(__xludf.DUMMYFUNCTION("""COMPUTED_VALUE"""),2026.0)</f>
        <v>2026</v>
      </c>
      <c r="D351" s="2">
        <f>IFERROR(__xludf.DUMMYFUNCTION("""COMPUTED_VALUE"""),46319.0)</f>
        <v>46319</v>
      </c>
      <c r="E351" s="2" t="str">
        <f>IFERROR(__xludf.DUMMYFUNCTION("""COMPUTED_VALUE"""),"VF")</f>
        <v>VF</v>
      </c>
      <c r="F351" s="2">
        <f>IFERROR(__xludf.DUMMYFUNCTION("""COMPUTED_VALUE"""),1.0)</f>
        <v>1</v>
      </c>
      <c r="G351" s="2" t="str">
        <f>IFERROR(__xludf.DUMMYFUNCTION("""COMPUTED_VALUE"""),"PR057")</f>
        <v>PR057</v>
      </c>
      <c r="H351" s="2" t="str">
        <f>IFERROR(__xludf.DUMMYFUNCTION("""COMPUTED_VALUE"""),"VD043")</f>
        <v>VD043</v>
      </c>
      <c r="I351" s="2">
        <f>IFERROR(__xludf.DUMMYFUNCTION("""COMPUTED_VALUE"""),1.0)</f>
        <v>1</v>
      </c>
      <c r="J351" s="2">
        <f>IFERROR(__xludf.DUMMYFUNCTION("""COMPUTED_VALUE"""),96.19)</f>
        <v>96.19</v>
      </c>
      <c r="K351" s="2">
        <f>IFERROR(__xludf.DUMMYFUNCTION("""COMPUTED_VALUE"""),96.19)</f>
        <v>96.19</v>
      </c>
    </row>
    <row r="352">
      <c r="A352" s="2">
        <f>IFERROR(__xludf.DUMMYFUNCTION("""COMPUTED_VALUE"""),1000.0)</f>
        <v>1000</v>
      </c>
      <c r="B352" s="2">
        <f>IFERROR(__xludf.DUMMYFUNCTION("""COMPUTED_VALUE"""),183709.0)</f>
        <v>183709</v>
      </c>
      <c r="C352" s="2">
        <f>IFERROR(__xludf.DUMMYFUNCTION("""COMPUTED_VALUE"""),2026.0)</f>
        <v>2026</v>
      </c>
      <c r="D352" s="2">
        <f>IFERROR(__xludf.DUMMYFUNCTION("""COMPUTED_VALUE"""),46319.0)</f>
        <v>46319</v>
      </c>
      <c r="E352" s="2" t="str">
        <f>IFERROR(__xludf.DUMMYFUNCTION("""COMPUTED_VALUE"""),"VF")</f>
        <v>VF</v>
      </c>
      <c r="F352" s="2">
        <f>IFERROR(__xludf.DUMMYFUNCTION("""COMPUTED_VALUE"""),2.0)</f>
        <v>2</v>
      </c>
      <c r="G352" s="2" t="str">
        <f>IFERROR(__xludf.DUMMYFUNCTION("""COMPUTED_VALUE"""),"PR010")</f>
        <v>PR010</v>
      </c>
      <c r="H352" s="2" t="str">
        <f>IFERROR(__xludf.DUMMYFUNCTION("""COMPUTED_VALUE"""),"VD042")</f>
        <v>VD042</v>
      </c>
      <c r="I352" s="2">
        <f>IFERROR(__xludf.DUMMYFUNCTION("""COMPUTED_VALUE"""),16.0)</f>
        <v>16</v>
      </c>
      <c r="J352" s="2">
        <f>IFERROR(__xludf.DUMMYFUNCTION("""COMPUTED_VALUE"""),732.77)</f>
        <v>732.77</v>
      </c>
      <c r="K352" s="2">
        <f>IFERROR(__xludf.DUMMYFUNCTION("""COMPUTED_VALUE"""),732.77)</f>
        <v>732.77</v>
      </c>
    </row>
    <row r="353">
      <c r="A353" s="2">
        <f>IFERROR(__xludf.DUMMYFUNCTION("""COMPUTED_VALUE"""),1000.0)</f>
        <v>1000</v>
      </c>
      <c r="B353" s="2">
        <f>IFERROR(__xludf.DUMMYFUNCTION("""COMPUTED_VALUE"""),183710.0)</f>
        <v>183710</v>
      </c>
      <c r="C353" s="2">
        <f>IFERROR(__xludf.DUMMYFUNCTION("""COMPUTED_VALUE"""),2026.0)</f>
        <v>2026</v>
      </c>
      <c r="D353" s="2">
        <f>IFERROR(__xludf.DUMMYFUNCTION("""COMPUTED_VALUE"""),46319.0)</f>
        <v>46319</v>
      </c>
      <c r="E353" s="2" t="str">
        <f>IFERROR(__xludf.DUMMYFUNCTION("""COMPUTED_VALUE"""),"VF")</f>
        <v>VF</v>
      </c>
      <c r="F353" s="2">
        <f>IFERROR(__xludf.DUMMYFUNCTION("""COMPUTED_VALUE"""),1.0)</f>
        <v>1</v>
      </c>
      <c r="G353" s="2" t="str">
        <f>IFERROR(__xludf.DUMMYFUNCTION("""COMPUTED_VALUE"""),"PR001")</f>
        <v>PR001</v>
      </c>
      <c r="H353" s="2" t="str">
        <f>IFERROR(__xludf.DUMMYFUNCTION("""COMPUTED_VALUE"""),"VD034")</f>
        <v>VD034</v>
      </c>
      <c r="I353" s="2">
        <f>IFERROR(__xludf.DUMMYFUNCTION("""COMPUTED_VALUE"""),6.0)</f>
        <v>6</v>
      </c>
      <c r="J353" s="2">
        <f>IFERROR(__xludf.DUMMYFUNCTION("""COMPUTED_VALUE"""),419.12)</f>
        <v>419.12</v>
      </c>
      <c r="K353" s="2">
        <f>IFERROR(__xludf.DUMMYFUNCTION("""COMPUTED_VALUE"""),419.12)</f>
        <v>419.12</v>
      </c>
    </row>
    <row r="354">
      <c r="A354" s="2">
        <f>IFERROR(__xludf.DUMMYFUNCTION("""COMPUTED_VALUE"""),1000.0)</f>
        <v>1000</v>
      </c>
      <c r="B354" s="2">
        <f>IFERROR(__xludf.DUMMYFUNCTION("""COMPUTED_VALUE"""),183711.0)</f>
        <v>183711</v>
      </c>
      <c r="C354" s="2">
        <f>IFERROR(__xludf.DUMMYFUNCTION("""COMPUTED_VALUE"""),2026.0)</f>
        <v>2026</v>
      </c>
      <c r="D354" s="2">
        <f>IFERROR(__xludf.DUMMYFUNCTION("""COMPUTED_VALUE"""),46319.0)</f>
        <v>46319</v>
      </c>
      <c r="E354" s="2" t="str">
        <f>IFERROR(__xludf.DUMMYFUNCTION("""COMPUTED_VALUE"""),"VF")</f>
        <v>VF</v>
      </c>
      <c r="F354" s="2">
        <f>IFERROR(__xludf.DUMMYFUNCTION("""COMPUTED_VALUE"""),1.0)</f>
        <v>1</v>
      </c>
      <c r="G354" s="2" t="str">
        <f>IFERROR(__xludf.DUMMYFUNCTION("""COMPUTED_VALUE"""),"PR036")</f>
        <v>PR036</v>
      </c>
      <c r="H354" s="2" t="str">
        <f>IFERROR(__xludf.DUMMYFUNCTION("""COMPUTED_VALUE"""),"VD046")</f>
        <v>VD046</v>
      </c>
      <c r="I354" s="2">
        <f>IFERROR(__xludf.DUMMYFUNCTION("""COMPUTED_VALUE"""),7.0)</f>
        <v>7</v>
      </c>
      <c r="J354" s="2">
        <f>IFERROR(__xludf.DUMMYFUNCTION("""COMPUTED_VALUE"""),706.86)</f>
        <v>706.86</v>
      </c>
      <c r="K354" s="2">
        <f>IFERROR(__xludf.DUMMYFUNCTION("""COMPUTED_VALUE"""),706.86)</f>
        <v>706.86</v>
      </c>
    </row>
    <row r="355">
      <c r="A355" s="2">
        <f>IFERROR(__xludf.DUMMYFUNCTION("""COMPUTED_VALUE"""),1000.0)</f>
        <v>1000</v>
      </c>
      <c r="B355" s="2">
        <f>IFERROR(__xludf.DUMMYFUNCTION("""COMPUTED_VALUE"""),183712.0)</f>
        <v>183712</v>
      </c>
      <c r="C355" s="2">
        <f>IFERROR(__xludf.DUMMYFUNCTION("""COMPUTED_VALUE"""),2026.0)</f>
        <v>2026</v>
      </c>
      <c r="D355" s="2">
        <f>IFERROR(__xludf.DUMMYFUNCTION("""COMPUTED_VALUE"""),46318.0)</f>
        <v>46318</v>
      </c>
      <c r="E355" s="2" t="str">
        <f>IFERROR(__xludf.DUMMYFUNCTION("""COMPUTED_VALUE"""),"VF")</f>
        <v>VF</v>
      </c>
      <c r="F355" s="2">
        <f>IFERROR(__xludf.DUMMYFUNCTION("""COMPUTED_VALUE"""),1.0)</f>
        <v>1</v>
      </c>
      <c r="G355" s="2" t="str">
        <f>IFERROR(__xludf.DUMMYFUNCTION("""COMPUTED_VALUE"""),"PR051")</f>
        <v>PR051</v>
      </c>
      <c r="H355" s="2" t="str">
        <f>IFERROR(__xludf.DUMMYFUNCTION("""COMPUTED_VALUE"""),"VD026")</f>
        <v>VD026</v>
      </c>
      <c r="I355" s="2">
        <f>IFERROR(__xludf.DUMMYFUNCTION("""COMPUTED_VALUE"""),20.0)</f>
        <v>20</v>
      </c>
      <c r="J355" s="2">
        <f>IFERROR(__xludf.DUMMYFUNCTION("""COMPUTED_VALUE"""),704.06)</f>
        <v>704.06</v>
      </c>
      <c r="K355" s="2">
        <f>IFERROR(__xludf.DUMMYFUNCTION("""COMPUTED_VALUE"""),704.06)</f>
        <v>704.06</v>
      </c>
    </row>
    <row r="356">
      <c r="A356" s="2">
        <f>IFERROR(__xludf.DUMMYFUNCTION("""COMPUTED_VALUE"""),1000.0)</f>
        <v>1000</v>
      </c>
      <c r="B356" s="2">
        <f>IFERROR(__xludf.DUMMYFUNCTION("""COMPUTED_VALUE"""),183712.0)</f>
        <v>183712</v>
      </c>
      <c r="C356" s="2">
        <f>IFERROR(__xludf.DUMMYFUNCTION("""COMPUTED_VALUE"""),2026.0)</f>
        <v>2026</v>
      </c>
      <c r="D356" s="2">
        <f>IFERROR(__xludf.DUMMYFUNCTION("""COMPUTED_VALUE"""),46318.0)</f>
        <v>46318</v>
      </c>
      <c r="E356" s="2" t="str">
        <f>IFERROR(__xludf.DUMMYFUNCTION("""COMPUTED_VALUE"""),"VF")</f>
        <v>VF</v>
      </c>
      <c r="F356" s="2">
        <f>IFERROR(__xludf.DUMMYFUNCTION("""COMPUTED_VALUE"""),2.0)</f>
        <v>2</v>
      </c>
      <c r="G356" s="2" t="str">
        <f>IFERROR(__xludf.DUMMYFUNCTION("""COMPUTED_VALUE"""),"PR030")</f>
        <v>PR030</v>
      </c>
      <c r="H356" s="2" t="str">
        <f>IFERROR(__xludf.DUMMYFUNCTION("""COMPUTED_VALUE"""),"VD036")</f>
        <v>VD036</v>
      </c>
      <c r="I356" s="2">
        <f>IFERROR(__xludf.DUMMYFUNCTION("""COMPUTED_VALUE"""),21.0)</f>
        <v>21</v>
      </c>
      <c r="J356" s="2">
        <f>IFERROR(__xludf.DUMMYFUNCTION("""COMPUTED_VALUE"""),5457.9)</f>
        <v>5457.9</v>
      </c>
      <c r="K356" s="2">
        <f>IFERROR(__xludf.DUMMYFUNCTION("""COMPUTED_VALUE"""),5457.9)</f>
        <v>5457.9</v>
      </c>
    </row>
    <row r="357">
      <c r="A357" s="2">
        <f>IFERROR(__xludf.DUMMYFUNCTION("""COMPUTED_VALUE"""),1000.0)</f>
        <v>1000</v>
      </c>
      <c r="B357" s="2">
        <f>IFERROR(__xludf.DUMMYFUNCTION("""COMPUTED_VALUE"""),183713.0)</f>
        <v>183713</v>
      </c>
      <c r="C357" s="2">
        <f>IFERROR(__xludf.DUMMYFUNCTION("""COMPUTED_VALUE"""),2026.0)</f>
        <v>2026</v>
      </c>
      <c r="D357" s="2">
        <f>IFERROR(__xludf.DUMMYFUNCTION("""COMPUTED_VALUE"""),46317.0)</f>
        <v>46317</v>
      </c>
      <c r="E357" s="2" t="str">
        <f>IFERROR(__xludf.DUMMYFUNCTION("""COMPUTED_VALUE"""),"VF")</f>
        <v>VF</v>
      </c>
      <c r="F357" s="2">
        <f>IFERROR(__xludf.DUMMYFUNCTION("""COMPUTED_VALUE"""),1.0)</f>
        <v>1</v>
      </c>
      <c r="G357" s="2" t="str">
        <f>IFERROR(__xludf.DUMMYFUNCTION("""COMPUTED_VALUE"""),"PR045")</f>
        <v>PR045</v>
      </c>
      <c r="H357" s="2" t="str">
        <f>IFERROR(__xludf.DUMMYFUNCTION("""COMPUTED_VALUE"""),"VD039")</f>
        <v>VD039</v>
      </c>
      <c r="I357" s="2">
        <f>IFERROR(__xludf.DUMMYFUNCTION("""COMPUTED_VALUE"""),18.0)</f>
        <v>18</v>
      </c>
      <c r="J357" s="2">
        <f>IFERROR(__xludf.DUMMYFUNCTION("""COMPUTED_VALUE"""),1409.4)</f>
        <v>1409.4</v>
      </c>
      <c r="K357" s="2">
        <f>IFERROR(__xludf.DUMMYFUNCTION("""COMPUTED_VALUE"""),1409.4)</f>
        <v>1409.4</v>
      </c>
    </row>
    <row r="358">
      <c r="A358" s="2">
        <f>IFERROR(__xludf.DUMMYFUNCTION("""COMPUTED_VALUE"""),1000.0)</f>
        <v>1000</v>
      </c>
      <c r="B358" s="2">
        <f>IFERROR(__xludf.DUMMYFUNCTION("""COMPUTED_VALUE"""),183714.0)</f>
        <v>183714</v>
      </c>
      <c r="C358" s="2">
        <f>IFERROR(__xludf.DUMMYFUNCTION("""COMPUTED_VALUE"""),2026.0)</f>
        <v>2026</v>
      </c>
      <c r="D358" s="2">
        <f>IFERROR(__xludf.DUMMYFUNCTION("""COMPUTED_VALUE"""),46317.0)</f>
        <v>46317</v>
      </c>
      <c r="E358" s="2" t="str">
        <f>IFERROR(__xludf.DUMMYFUNCTION("""COMPUTED_VALUE"""),"VF")</f>
        <v>VF</v>
      </c>
      <c r="F358" s="2">
        <f>IFERROR(__xludf.DUMMYFUNCTION("""COMPUTED_VALUE"""),1.0)</f>
        <v>1</v>
      </c>
      <c r="G358" s="2" t="str">
        <f>IFERROR(__xludf.DUMMYFUNCTION("""COMPUTED_VALUE"""),"PR025")</f>
        <v>PR025</v>
      </c>
      <c r="H358" s="2" t="str">
        <f>IFERROR(__xludf.DUMMYFUNCTION("""COMPUTED_VALUE"""),"VD013")</f>
        <v>VD013</v>
      </c>
      <c r="I358" s="2">
        <f>IFERROR(__xludf.DUMMYFUNCTION("""COMPUTED_VALUE"""),6.0)</f>
        <v>6</v>
      </c>
      <c r="J358" s="2">
        <f>IFERROR(__xludf.DUMMYFUNCTION("""COMPUTED_VALUE"""),1817.39)</f>
        <v>1817.39</v>
      </c>
      <c r="K358" s="2">
        <f>IFERROR(__xludf.DUMMYFUNCTION("""COMPUTED_VALUE"""),1817.39)</f>
        <v>1817.39</v>
      </c>
    </row>
    <row r="359">
      <c r="A359" s="2">
        <f>IFERROR(__xludf.DUMMYFUNCTION("""COMPUTED_VALUE"""),1000.0)</f>
        <v>1000</v>
      </c>
      <c r="B359" s="2">
        <f>IFERROR(__xludf.DUMMYFUNCTION("""COMPUTED_VALUE"""),183715.0)</f>
        <v>183715</v>
      </c>
      <c r="C359" s="2">
        <f>IFERROR(__xludf.DUMMYFUNCTION("""COMPUTED_VALUE"""),2026.0)</f>
        <v>2026</v>
      </c>
      <c r="D359" s="2">
        <f>IFERROR(__xludf.DUMMYFUNCTION("""COMPUTED_VALUE"""),46316.0)</f>
        <v>46316</v>
      </c>
      <c r="E359" s="2" t="str">
        <f>IFERROR(__xludf.DUMMYFUNCTION("""COMPUTED_VALUE"""),"VF")</f>
        <v>VF</v>
      </c>
      <c r="F359" s="2">
        <f>IFERROR(__xludf.DUMMYFUNCTION("""COMPUTED_VALUE"""),1.0)</f>
        <v>1</v>
      </c>
      <c r="G359" s="2" t="str">
        <f>IFERROR(__xludf.DUMMYFUNCTION("""COMPUTED_VALUE"""),"PR025")</f>
        <v>PR025</v>
      </c>
      <c r="H359" s="2" t="str">
        <f>IFERROR(__xludf.DUMMYFUNCTION("""COMPUTED_VALUE"""),"VD043")</f>
        <v>VD043</v>
      </c>
      <c r="I359" s="2">
        <f>IFERROR(__xludf.DUMMYFUNCTION("""COMPUTED_VALUE"""),16.0)</f>
        <v>16</v>
      </c>
      <c r="J359" s="2">
        <f>IFERROR(__xludf.DUMMYFUNCTION("""COMPUTED_VALUE"""),4990.34)</f>
        <v>4990.34</v>
      </c>
      <c r="K359" s="2">
        <f>IFERROR(__xludf.DUMMYFUNCTION("""COMPUTED_VALUE"""),4990.34)</f>
        <v>4990.34</v>
      </c>
    </row>
    <row r="360">
      <c r="A360" s="2">
        <f>IFERROR(__xludf.DUMMYFUNCTION("""COMPUTED_VALUE"""),1000.0)</f>
        <v>1000</v>
      </c>
      <c r="B360" s="2">
        <f>IFERROR(__xludf.DUMMYFUNCTION("""COMPUTED_VALUE"""),183715.0)</f>
        <v>183715</v>
      </c>
      <c r="C360" s="2">
        <f>IFERROR(__xludf.DUMMYFUNCTION("""COMPUTED_VALUE"""),2026.0)</f>
        <v>2026</v>
      </c>
      <c r="D360" s="2">
        <f>IFERROR(__xludf.DUMMYFUNCTION("""COMPUTED_VALUE"""),46316.0)</f>
        <v>46316</v>
      </c>
      <c r="E360" s="2" t="str">
        <f>IFERROR(__xludf.DUMMYFUNCTION("""COMPUTED_VALUE"""),"VF")</f>
        <v>VF</v>
      </c>
      <c r="F360" s="2">
        <f>IFERROR(__xludf.DUMMYFUNCTION("""COMPUTED_VALUE"""),2.0)</f>
        <v>2</v>
      </c>
      <c r="G360" s="2" t="str">
        <f>IFERROR(__xludf.DUMMYFUNCTION("""COMPUTED_VALUE"""),"PR047")</f>
        <v>PR047</v>
      </c>
      <c r="H360" s="2" t="str">
        <f>IFERROR(__xludf.DUMMYFUNCTION("""COMPUTED_VALUE"""),"VD011")</f>
        <v>VD011</v>
      </c>
      <c r="I360" s="2">
        <f>IFERROR(__xludf.DUMMYFUNCTION("""COMPUTED_VALUE"""),3.0)</f>
        <v>3</v>
      </c>
      <c r="J360" s="2">
        <f>IFERROR(__xludf.DUMMYFUNCTION("""COMPUTED_VALUE"""),913.19)</f>
        <v>913.19</v>
      </c>
      <c r="K360" s="2">
        <f>IFERROR(__xludf.DUMMYFUNCTION("""COMPUTED_VALUE"""),913.19)</f>
        <v>913.19</v>
      </c>
    </row>
    <row r="361">
      <c r="A361" s="2">
        <f>IFERROR(__xludf.DUMMYFUNCTION("""COMPUTED_VALUE"""),1000.0)</f>
        <v>1000</v>
      </c>
      <c r="B361" s="2">
        <f>IFERROR(__xludf.DUMMYFUNCTION("""COMPUTED_VALUE"""),183716.0)</f>
        <v>183716</v>
      </c>
      <c r="C361" s="2">
        <f>IFERROR(__xludf.DUMMYFUNCTION("""COMPUTED_VALUE"""),2026.0)</f>
        <v>2026</v>
      </c>
      <c r="D361" s="2">
        <f>IFERROR(__xludf.DUMMYFUNCTION("""COMPUTED_VALUE"""),46316.0)</f>
        <v>46316</v>
      </c>
      <c r="E361" s="2" t="str">
        <f>IFERROR(__xludf.DUMMYFUNCTION("""COMPUTED_VALUE"""),"VF")</f>
        <v>VF</v>
      </c>
      <c r="F361" s="2">
        <f>IFERROR(__xludf.DUMMYFUNCTION("""COMPUTED_VALUE"""),1.0)</f>
        <v>1</v>
      </c>
      <c r="G361" s="2" t="str">
        <f>IFERROR(__xludf.DUMMYFUNCTION("""COMPUTED_VALUE"""),"PR060")</f>
        <v>PR060</v>
      </c>
      <c r="H361" s="2" t="str">
        <f>IFERROR(__xludf.DUMMYFUNCTION("""COMPUTED_VALUE"""),"VD044")</f>
        <v>VD044</v>
      </c>
      <c r="I361" s="2">
        <f>IFERROR(__xludf.DUMMYFUNCTION("""COMPUTED_VALUE"""),6.0)</f>
        <v>6</v>
      </c>
      <c r="J361" s="2">
        <f>IFERROR(__xludf.DUMMYFUNCTION("""COMPUTED_VALUE"""),1101.6)</f>
        <v>1101.6</v>
      </c>
      <c r="K361" s="2">
        <f>IFERROR(__xludf.DUMMYFUNCTION("""COMPUTED_VALUE"""),1101.6)</f>
        <v>1101.6</v>
      </c>
    </row>
    <row r="362">
      <c r="A362" s="2">
        <f>IFERROR(__xludf.DUMMYFUNCTION("""COMPUTED_VALUE"""),1000.0)</f>
        <v>1000</v>
      </c>
      <c r="B362" s="2">
        <f>IFERROR(__xludf.DUMMYFUNCTION("""COMPUTED_VALUE"""),183716.0)</f>
        <v>183716</v>
      </c>
      <c r="C362" s="2">
        <f>IFERROR(__xludf.DUMMYFUNCTION("""COMPUTED_VALUE"""),2026.0)</f>
        <v>2026</v>
      </c>
      <c r="D362" s="2">
        <f>IFERROR(__xludf.DUMMYFUNCTION("""COMPUTED_VALUE"""),46316.0)</f>
        <v>46316</v>
      </c>
      <c r="E362" s="2" t="str">
        <f>IFERROR(__xludf.DUMMYFUNCTION("""COMPUTED_VALUE"""),"VF")</f>
        <v>VF</v>
      </c>
      <c r="F362" s="2">
        <f>IFERROR(__xludf.DUMMYFUNCTION("""COMPUTED_VALUE"""),2.0)</f>
        <v>2</v>
      </c>
      <c r="G362" s="2" t="str">
        <f>IFERROR(__xludf.DUMMYFUNCTION("""COMPUTED_VALUE"""),"PR012")</f>
        <v>PR012</v>
      </c>
      <c r="H362" s="2" t="str">
        <f>IFERROR(__xludf.DUMMYFUNCTION("""COMPUTED_VALUE"""),"VD022")</f>
        <v>VD022</v>
      </c>
      <c r="I362" s="2">
        <f>IFERROR(__xludf.DUMMYFUNCTION("""COMPUTED_VALUE"""),27.0)</f>
        <v>27</v>
      </c>
      <c r="J362" s="2">
        <f>IFERROR(__xludf.DUMMYFUNCTION("""COMPUTED_VALUE"""),1333.5)</f>
        <v>1333.5</v>
      </c>
      <c r="K362" s="2">
        <f>IFERROR(__xludf.DUMMYFUNCTION("""COMPUTED_VALUE"""),1333.5)</f>
        <v>1333.5</v>
      </c>
    </row>
    <row r="363">
      <c r="A363" s="2">
        <f>IFERROR(__xludf.DUMMYFUNCTION("""COMPUTED_VALUE"""),1000.0)</f>
        <v>1000</v>
      </c>
      <c r="B363" s="2">
        <f>IFERROR(__xludf.DUMMYFUNCTION("""COMPUTED_VALUE"""),183716.0)</f>
        <v>183716</v>
      </c>
      <c r="C363" s="2">
        <f>IFERROR(__xludf.DUMMYFUNCTION("""COMPUTED_VALUE"""),2026.0)</f>
        <v>2026</v>
      </c>
      <c r="D363" s="2">
        <f>IFERROR(__xludf.DUMMYFUNCTION("""COMPUTED_VALUE"""),46315.0)</f>
        <v>46315</v>
      </c>
      <c r="E363" s="2" t="str">
        <f>IFERROR(__xludf.DUMMYFUNCTION("""COMPUTED_VALUE"""),"VF")</f>
        <v>VF</v>
      </c>
      <c r="F363" s="2">
        <f>IFERROR(__xludf.DUMMYFUNCTION("""COMPUTED_VALUE"""),3.0)</f>
        <v>3</v>
      </c>
      <c r="G363" s="2" t="str">
        <f>IFERROR(__xludf.DUMMYFUNCTION("""COMPUTED_VALUE"""),"PR009")</f>
        <v>PR009</v>
      </c>
      <c r="H363" s="2" t="str">
        <f>IFERROR(__xludf.DUMMYFUNCTION("""COMPUTED_VALUE"""),"VD019")</f>
        <v>VD019</v>
      </c>
      <c r="I363" s="2">
        <f>IFERROR(__xludf.DUMMYFUNCTION("""COMPUTED_VALUE"""),2.0)</f>
        <v>2</v>
      </c>
      <c r="J363" s="2">
        <f>IFERROR(__xludf.DUMMYFUNCTION("""COMPUTED_VALUE"""),185.8)</f>
        <v>185.8</v>
      </c>
      <c r="K363" s="2">
        <f>IFERROR(__xludf.DUMMYFUNCTION("""COMPUTED_VALUE"""),185.8)</f>
        <v>185.8</v>
      </c>
    </row>
    <row r="364">
      <c r="A364" s="2">
        <f>IFERROR(__xludf.DUMMYFUNCTION("""COMPUTED_VALUE"""),1000.0)</f>
        <v>1000</v>
      </c>
      <c r="B364" s="2">
        <f>IFERROR(__xludf.DUMMYFUNCTION("""COMPUTED_VALUE"""),183717.0)</f>
        <v>183717</v>
      </c>
      <c r="C364" s="2">
        <f>IFERROR(__xludf.DUMMYFUNCTION("""COMPUTED_VALUE"""),2026.0)</f>
        <v>2026</v>
      </c>
      <c r="D364" s="2">
        <f>IFERROR(__xludf.DUMMYFUNCTION("""COMPUTED_VALUE"""),46315.0)</f>
        <v>46315</v>
      </c>
      <c r="E364" s="2" t="str">
        <f>IFERROR(__xludf.DUMMYFUNCTION("""COMPUTED_VALUE"""),"VF")</f>
        <v>VF</v>
      </c>
      <c r="F364" s="2">
        <f>IFERROR(__xludf.DUMMYFUNCTION("""COMPUTED_VALUE"""),1.0)</f>
        <v>1</v>
      </c>
      <c r="G364" s="2" t="str">
        <f>IFERROR(__xludf.DUMMYFUNCTION("""COMPUTED_VALUE"""),"PR010")</f>
        <v>PR010</v>
      </c>
      <c r="H364" s="2" t="str">
        <f>IFERROR(__xludf.DUMMYFUNCTION("""COMPUTED_VALUE"""),"VD041")</f>
        <v>VD041</v>
      </c>
      <c r="I364" s="2">
        <f>IFERROR(__xludf.DUMMYFUNCTION("""COMPUTED_VALUE"""),5.0)</f>
        <v>5</v>
      </c>
      <c r="J364" s="2">
        <f>IFERROR(__xludf.DUMMYFUNCTION("""COMPUTED_VALUE"""),237.97)</f>
        <v>237.97</v>
      </c>
      <c r="K364" s="2">
        <f>IFERROR(__xludf.DUMMYFUNCTION("""COMPUTED_VALUE"""),237.97)</f>
        <v>237.97</v>
      </c>
    </row>
    <row r="365">
      <c r="A365" s="2">
        <f>IFERROR(__xludf.DUMMYFUNCTION("""COMPUTED_VALUE"""),1000.0)</f>
        <v>1000</v>
      </c>
      <c r="B365" s="2">
        <f>IFERROR(__xludf.DUMMYFUNCTION("""COMPUTED_VALUE"""),183718.0)</f>
        <v>183718</v>
      </c>
      <c r="C365" s="2">
        <f>IFERROR(__xludf.DUMMYFUNCTION("""COMPUTED_VALUE"""),2026.0)</f>
        <v>2026</v>
      </c>
      <c r="D365" s="2">
        <f>IFERROR(__xludf.DUMMYFUNCTION("""COMPUTED_VALUE"""),46315.0)</f>
        <v>46315</v>
      </c>
      <c r="E365" s="2" t="str">
        <f>IFERROR(__xludf.DUMMYFUNCTION("""COMPUTED_VALUE"""),"VF")</f>
        <v>VF</v>
      </c>
      <c r="F365" s="2">
        <f>IFERROR(__xludf.DUMMYFUNCTION("""COMPUTED_VALUE"""),1.0)</f>
        <v>1</v>
      </c>
      <c r="G365" s="2" t="str">
        <f>IFERROR(__xludf.DUMMYFUNCTION("""COMPUTED_VALUE"""),"PR049")</f>
        <v>PR049</v>
      </c>
      <c r="H365" s="2" t="str">
        <f>IFERROR(__xludf.DUMMYFUNCTION("""COMPUTED_VALUE"""),"VD049")</f>
        <v>VD049</v>
      </c>
      <c r="I365" s="2">
        <f>IFERROR(__xludf.DUMMYFUNCTION("""COMPUTED_VALUE"""),4.0)</f>
        <v>4</v>
      </c>
      <c r="J365" s="2">
        <f>IFERROR(__xludf.DUMMYFUNCTION("""COMPUTED_VALUE"""),143.44)</f>
        <v>143.44</v>
      </c>
      <c r="K365" s="2">
        <f>IFERROR(__xludf.DUMMYFUNCTION("""COMPUTED_VALUE"""),143.44)</f>
        <v>143.44</v>
      </c>
    </row>
    <row r="366">
      <c r="A366" s="2">
        <f>IFERROR(__xludf.DUMMYFUNCTION("""COMPUTED_VALUE"""),2000.0)</f>
        <v>2000</v>
      </c>
      <c r="B366" s="2">
        <f>IFERROR(__xludf.DUMMYFUNCTION("""COMPUTED_VALUE"""),183719.0)</f>
        <v>183719</v>
      </c>
      <c r="C366" s="2">
        <f>IFERROR(__xludf.DUMMYFUNCTION("""COMPUTED_VALUE"""),2026.0)</f>
        <v>2026</v>
      </c>
      <c r="D366" s="2">
        <f>IFERROR(__xludf.DUMMYFUNCTION("""COMPUTED_VALUE"""),46314.0)</f>
        <v>46314</v>
      </c>
      <c r="E366" s="2" t="str">
        <f>IFERROR(__xludf.DUMMYFUNCTION("""COMPUTED_VALUE"""),"VF")</f>
        <v>VF</v>
      </c>
      <c r="F366" s="2">
        <f>IFERROR(__xludf.DUMMYFUNCTION("""COMPUTED_VALUE"""),1.0)</f>
        <v>1</v>
      </c>
      <c r="G366" s="2" t="str">
        <f>IFERROR(__xludf.DUMMYFUNCTION("""COMPUTED_VALUE"""),"PR016")</f>
        <v>PR016</v>
      </c>
      <c r="H366" s="2" t="str">
        <f>IFERROR(__xludf.DUMMYFUNCTION("""COMPUTED_VALUE"""),"VD044")</f>
        <v>VD044</v>
      </c>
      <c r="I366" s="2">
        <f>IFERROR(__xludf.DUMMYFUNCTION("""COMPUTED_VALUE"""),6.0)</f>
        <v>6</v>
      </c>
      <c r="J366" s="2">
        <f>IFERROR(__xludf.DUMMYFUNCTION("""COMPUTED_VALUE"""),161.62)</f>
        <v>161.62</v>
      </c>
      <c r="K366" s="2">
        <f>IFERROR(__xludf.DUMMYFUNCTION("""COMPUTED_VALUE"""),161.62)</f>
        <v>161.62</v>
      </c>
    </row>
    <row r="367">
      <c r="A367" s="2">
        <f>IFERROR(__xludf.DUMMYFUNCTION("""COMPUTED_VALUE"""),2000.0)</f>
        <v>2000</v>
      </c>
      <c r="B367" s="2">
        <f>IFERROR(__xludf.DUMMYFUNCTION("""COMPUTED_VALUE"""),183719.0)</f>
        <v>183719</v>
      </c>
      <c r="C367" s="2">
        <f>IFERROR(__xludf.DUMMYFUNCTION("""COMPUTED_VALUE"""),2026.0)</f>
        <v>2026</v>
      </c>
      <c r="D367" s="2">
        <f>IFERROR(__xludf.DUMMYFUNCTION("""COMPUTED_VALUE"""),46314.0)</f>
        <v>46314</v>
      </c>
      <c r="E367" s="2" t="str">
        <f>IFERROR(__xludf.DUMMYFUNCTION("""COMPUTED_VALUE"""),"VF")</f>
        <v>VF</v>
      </c>
      <c r="F367" s="2">
        <f>IFERROR(__xludf.DUMMYFUNCTION("""COMPUTED_VALUE"""),2.0)</f>
        <v>2</v>
      </c>
      <c r="G367" s="2" t="str">
        <f>IFERROR(__xludf.DUMMYFUNCTION("""COMPUTED_VALUE"""),"PR008")</f>
        <v>PR008</v>
      </c>
      <c r="H367" s="2" t="str">
        <f>IFERROR(__xludf.DUMMYFUNCTION("""COMPUTED_VALUE"""),"VD033")</f>
        <v>VD033</v>
      </c>
      <c r="I367" s="2">
        <f>IFERROR(__xludf.DUMMYFUNCTION("""COMPUTED_VALUE"""),27.0)</f>
        <v>27</v>
      </c>
      <c r="J367" s="2">
        <f>IFERROR(__xludf.DUMMYFUNCTION("""COMPUTED_VALUE"""),2548.67)</f>
        <v>2548.67</v>
      </c>
      <c r="K367" s="2">
        <f>IFERROR(__xludf.DUMMYFUNCTION("""COMPUTED_VALUE"""),2548.67)</f>
        <v>2548.67</v>
      </c>
    </row>
    <row r="368">
      <c r="A368" s="2">
        <f>IFERROR(__xludf.DUMMYFUNCTION("""COMPUTED_VALUE"""),1000.0)</f>
        <v>1000</v>
      </c>
      <c r="B368" s="2">
        <f>IFERROR(__xludf.DUMMYFUNCTION("""COMPUTED_VALUE"""),183720.0)</f>
        <v>183720</v>
      </c>
      <c r="C368" s="2">
        <f>IFERROR(__xludf.DUMMYFUNCTION("""COMPUTED_VALUE"""),2026.0)</f>
        <v>2026</v>
      </c>
      <c r="D368" s="2">
        <f>IFERROR(__xludf.DUMMYFUNCTION("""COMPUTED_VALUE"""),46314.0)</f>
        <v>46314</v>
      </c>
      <c r="E368" s="2" t="str">
        <f>IFERROR(__xludf.DUMMYFUNCTION("""COMPUTED_VALUE"""),"VF")</f>
        <v>VF</v>
      </c>
      <c r="F368" s="2">
        <f>IFERROR(__xludf.DUMMYFUNCTION("""COMPUTED_VALUE"""),1.0)</f>
        <v>1</v>
      </c>
      <c r="G368" s="2" t="str">
        <f>IFERROR(__xludf.DUMMYFUNCTION("""COMPUTED_VALUE"""),"PR018")</f>
        <v>PR018</v>
      </c>
      <c r="H368" s="2" t="str">
        <f>IFERROR(__xludf.DUMMYFUNCTION("""COMPUTED_VALUE"""),"VD033")</f>
        <v>VD033</v>
      </c>
      <c r="I368" s="2">
        <f>IFERROR(__xludf.DUMMYFUNCTION("""COMPUTED_VALUE"""),1.0)</f>
        <v>1</v>
      </c>
      <c r="J368" s="2">
        <f>IFERROR(__xludf.DUMMYFUNCTION("""COMPUTED_VALUE"""),34.87)</f>
        <v>34.87</v>
      </c>
      <c r="K368" s="2">
        <f>IFERROR(__xludf.DUMMYFUNCTION("""COMPUTED_VALUE"""),34.87)</f>
        <v>34.87</v>
      </c>
    </row>
    <row r="369">
      <c r="A369" s="2">
        <f>IFERROR(__xludf.DUMMYFUNCTION("""COMPUTED_VALUE"""),2000.0)</f>
        <v>2000</v>
      </c>
      <c r="B369" s="2">
        <f>IFERROR(__xludf.DUMMYFUNCTION("""COMPUTED_VALUE"""),183720.0)</f>
        <v>183720</v>
      </c>
      <c r="C369" s="2">
        <f>IFERROR(__xludf.DUMMYFUNCTION("""COMPUTED_VALUE"""),2026.0)</f>
        <v>2026</v>
      </c>
      <c r="D369" s="2">
        <f>IFERROR(__xludf.DUMMYFUNCTION("""COMPUTED_VALUE"""),46314.0)</f>
        <v>46314</v>
      </c>
      <c r="E369" s="2" t="str">
        <f>IFERROR(__xludf.DUMMYFUNCTION("""COMPUTED_VALUE"""),"VF")</f>
        <v>VF</v>
      </c>
      <c r="F369" s="2">
        <f>IFERROR(__xludf.DUMMYFUNCTION("""COMPUTED_VALUE"""),2.0)</f>
        <v>2</v>
      </c>
      <c r="G369" s="2" t="str">
        <f>IFERROR(__xludf.DUMMYFUNCTION("""COMPUTED_VALUE"""),"PR017")</f>
        <v>PR017</v>
      </c>
      <c r="H369" s="2" t="str">
        <f>IFERROR(__xludf.DUMMYFUNCTION("""COMPUTED_VALUE"""),"VD013")</f>
        <v>VD013</v>
      </c>
      <c r="I369" s="2">
        <f>IFERROR(__xludf.DUMMYFUNCTION("""COMPUTED_VALUE"""),9.0)</f>
        <v>9</v>
      </c>
      <c r="J369" s="2">
        <f>IFERROR(__xludf.DUMMYFUNCTION("""COMPUTED_VALUE"""),293.32)</f>
        <v>293.32</v>
      </c>
      <c r="K369" s="2">
        <f>IFERROR(__xludf.DUMMYFUNCTION("""COMPUTED_VALUE"""),293.32)</f>
        <v>293.32</v>
      </c>
    </row>
    <row r="370">
      <c r="A370" s="2">
        <f>IFERROR(__xludf.DUMMYFUNCTION("""COMPUTED_VALUE"""),1000.0)</f>
        <v>1000</v>
      </c>
      <c r="B370" s="2">
        <f>IFERROR(__xludf.DUMMYFUNCTION("""COMPUTED_VALUE"""),183721.0)</f>
        <v>183721</v>
      </c>
      <c r="C370" s="2">
        <f>IFERROR(__xludf.DUMMYFUNCTION("""COMPUTED_VALUE"""),2026.0)</f>
        <v>2026</v>
      </c>
      <c r="D370" s="2">
        <f>IFERROR(__xludf.DUMMYFUNCTION("""COMPUTED_VALUE"""),46314.0)</f>
        <v>46314</v>
      </c>
      <c r="E370" s="2" t="str">
        <f>IFERROR(__xludf.DUMMYFUNCTION("""COMPUTED_VALUE"""),"VF")</f>
        <v>VF</v>
      </c>
      <c r="F370" s="2">
        <f>IFERROR(__xludf.DUMMYFUNCTION("""COMPUTED_VALUE"""),1.0)</f>
        <v>1</v>
      </c>
      <c r="G370" s="2" t="str">
        <f>IFERROR(__xludf.DUMMYFUNCTION("""COMPUTED_VALUE"""),"PR050")</f>
        <v>PR050</v>
      </c>
      <c r="H370" s="2" t="str">
        <f>IFERROR(__xludf.DUMMYFUNCTION("""COMPUTED_VALUE"""),"VD030")</f>
        <v>VD030</v>
      </c>
      <c r="I370" s="2">
        <f>IFERROR(__xludf.DUMMYFUNCTION("""COMPUTED_VALUE"""),6.0)</f>
        <v>6</v>
      </c>
      <c r="J370" s="2">
        <f>IFERROR(__xludf.DUMMYFUNCTION("""COMPUTED_VALUE"""),205.3)</f>
        <v>205.3</v>
      </c>
      <c r="K370" s="2">
        <f>IFERROR(__xludf.DUMMYFUNCTION("""COMPUTED_VALUE"""),205.3)</f>
        <v>205.3</v>
      </c>
    </row>
    <row r="371">
      <c r="A371" s="2">
        <f>IFERROR(__xludf.DUMMYFUNCTION("""COMPUTED_VALUE"""),1000.0)</f>
        <v>1000</v>
      </c>
      <c r="B371" s="2">
        <f>IFERROR(__xludf.DUMMYFUNCTION("""COMPUTED_VALUE"""),183722.0)</f>
        <v>183722</v>
      </c>
      <c r="C371" s="2">
        <f>IFERROR(__xludf.DUMMYFUNCTION("""COMPUTED_VALUE"""),2026.0)</f>
        <v>2026</v>
      </c>
      <c r="D371" s="2">
        <f>IFERROR(__xludf.DUMMYFUNCTION("""COMPUTED_VALUE"""),46314.0)</f>
        <v>46314</v>
      </c>
      <c r="E371" s="2" t="str">
        <f>IFERROR(__xludf.DUMMYFUNCTION("""COMPUTED_VALUE"""),"VF")</f>
        <v>VF</v>
      </c>
      <c r="F371" s="2">
        <f>IFERROR(__xludf.DUMMYFUNCTION("""COMPUTED_VALUE"""),1.0)</f>
        <v>1</v>
      </c>
      <c r="G371" s="2" t="str">
        <f>IFERROR(__xludf.DUMMYFUNCTION("""COMPUTED_VALUE"""),"PR018")</f>
        <v>PR018</v>
      </c>
      <c r="H371" s="2" t="str">
        <f>IFERROR(__xludf.DUMMYFUNCTION("""COMPUTED_VALUE"""),"VD040")</f>
        <v>VD040</v>
      </c>
      <c r="I371" s="2">
        <f>IFERROR(__xludf.DUMMYFUNCTION("""COMPUTED_VALUE"""),20.0)</f>
        <v>20</v>
      </c>
      <c r="J371" s="2">
        <f>IFERROR(__xludf.DUMMYFUNCTION("""COMPUTED_VALUE"""),671.16)</f>
        <v>671.16</v>
      </c>
      <c r="K371" s="2">
        <f>IFERROR(__xludf.DUMMYFUNCTION("""COMPUTED_VALUE"""),671.16)</f>
        <v>671.16</v>
      </c>
    </row>
    <row r="372">
      <c r="A372" s="2">
        <f>IFERROR(__xludf.DUMMYFUNCTION("""COMPUTED_VALUE"""),1000.0)</f>
        <v>1000</v>
      </c>
      <c r="B372" s="2">
        <f>IFERROR(__xludf.DUMMYFUNCTION("""COMPUTED_VALUE"""),183722.0)</f>
        <v>183722</v>
      </c>
      <c r="C372" s="2">
        <f>IFERROR(__xludf.DUMMYFUNCTION("""COMPUTED_VALUE"""),2026.0)</f>
        <v>2026</v>
      </c>
      <c r="D372" s="2">
        <f>IFERROR(__xludf.DUMMYFUNCTION("""COMPUTED_VALUE"""),46313.0)</f>
        <v>46313</v>
      </c>
      <c r="E372" s="2" t="str">
        <f>IFERROR(__xludf.DUMMYFUNCTION("""COMPUTED_VALUE"""),"VF")</f>
        <v>VF</v>
      </c>
      <c r="F372" s="2">
        <f>IFERROR(__xludf.DUMMYFUNCTION("""COMPUTED_VALUE"""),2.0)</f>
        <v>2</v>
      </c>
      <c r="G372" s="2" t="str">
        <f>IFERROR(__xludf.DUMMYFUNCTION("""COMPUTED_VALUE"""),"PR001")</f>
        <v>PR001</v>
      </c>
      <c r="H372" s="2" t="str">
        <f>IFERROR(__xludf.DUMMYFUNCTION("""COMPUTED_VALUE"""),"VD045")</f>
        <v>VD045</v>
      </c>
      <c r="I372" s="2">
        <f>IFERROR(__xludf.DUMMYFUNCTION("""COMPUTED_VALUE"""),9.0)</f>
        <v>9</v>
      </c>
      <c r="J372" s="2">
        <f>IFERROR(__xludf.DUMMYFUNCTION("""COMPUTED_VALUE"""),634.62)</f>
        <v>634.62</v>
      </c>
      <c r="K372" s="2">
        <f>IFERROR(__xludf.DUMMYFUNCTION("""COMPUTED_VALUE"""),634.62)</f>
        <v>634.62</v>
      </c>
    </row>
    <row r="373">
      <c r="A373" s="2">
        <f>IFERROR(__xludf.DUMMYFUNCTION("""COMPUTED_VALUE"""),1000.0)</f>
        <v>1000</v>
      </c>
      <c r="B373" s="2">
        <f>IFERROR(__xludf.DUMMYFUNCTION("""COMPUTED_VALUE"""),183723.0)</f>
        <v>183723</v>
      </c>
      <c r="C373" s="2">
        <f>IFERROR(__xludf.DUMMYFUNCTION("""COMPUTED_VALUE"""),2026.0)</f>
        <v>2026</v>
      </c>
      <c r="D373" s="2">
        <f>IFERROR(__xludf.DUMMYFUNCTION("""COMPUTED_VALUE"""),46313.0)</f>
        <v>46313</v>
      </c>
      <c r="E373" s="2" t="str">
        <f>IFERROR(__xludf.DUMMYFUNCTION("""COMPUTED_VALUE"""),"VF")</f>
        <v>VF</v>
      </c>
      <c r="F373" s="2">
        <f>IFERROR(__xludf.DUMMYFUNCTION("""COMPUTED_VALUE"""),1.0)</f>
        <v>1</v>
      </c>
      <c r="G373" s="2" t="str">
        <f>IFERROR(__xludf.DUMMYFUNCTION("""COMPUTED_VALUE"""),"PR053")</f>
        <v>PR053</v>
      </c>
      <c r="H373" s="2" t="str">
        <f>IFERROR(__xludf.DUMMYFUNCTION("""COMPUTED_VALUE"""),"VD033")</f>
        <v>VD033</v>
      </c>
      <c r="I373" s="2">
        <f>IFERROR(__xludf.DUMMYFUNCTION("""COMPUTED_VALUE"""),6.0)</f>
        <v>6</v>
      </c>
      <c r="J373" s="2">
        <f>IFERROR(__xludf.DUMMYFUNCTION("""COMPUTED_VALUE"""),314.37)</f>
        <v>314.37</v>
      </c>
      <c r="K373" s="2">
        <f>IFERROR(__xludf.DUMMYFUNCTION("""COMPUTED_VALUE"""),314.37)</f>
        <v>314.37</v>
      </c>
    </row>
    <row r="374">
      <c r="A374" s="2">
        <f>IFERROR(__xludf.DUMMYFUNCTION("""COMPUTED_VALUE"""),1000.0)</f>
        <v>1000</v>
      </c>
      <c r="B374" s="2">
        <f>IFERROR(__xludf.DUMMYFUNCTION("""COMPUTED_VALUE"""),183724.0)</f>
        <v>183724</v>
      </c>
      <c r="C374" s="2">
        <f>IFERROR(__xludf.DUMMYFUNCTION("""COMPUTED_VALUE"""),2026.0)</f>
        <v>2026</v>
      </c>
      <c r="D374" s="2">
        <f>IFERROR(__xludf.DUMMYFUNCTION("""COMPUTED_VALUE"""),46313.0)</f>
        <v>46313</v>
      </c>
      <c r="E374" s="2" t="str">
        <f>IFERROR(__xludf.DUMMYFUNCTION("""COMPUTED_VALUE"""),"VF")</f>
        <v>VF</v>
      </c>
      <c r="F374" s="2">
        <f>IFERROR(__xludf.DUMMYFUNCTION("""COMPUTED_VALUE"""),1.0)</f>
        <v>1</v>
      </c>
      <c r="G374" s="2" t="str">
        <f>IFERROR(__xludf.DUMMYFUNCTION("""COMPUTED_VALUE"""),"PR011")</f>
        <v>PR011</v>
      </c>
      <c r="H374" s="2" t="str">
        <f>IFERROR(__xludf.DUMMYFUNCTION("""COMPUTED_VALUE"""),"VD046")</f>
        <v>VD046</v>
      </c>
      <c r="I374" s="2">
        <f>IFERROR(__xludf.DUMMYFUNCTION("""COMPUTED_VALUE"""),8.0)</f>
        <v>8</v>
      </c>
      <c r="J374" s="2">
        <f>IFERROR(__xludf.DUMMYFUNCTION("""COMPUTED_VALUE"""),375.2)</f>
        <v>375.2</v>
      </c>
      <c r="K374" s="2">
        <f>IFERROR(__xludf.DUMMYFUNCTION("""COMPUTED_VALUE"""),375.2)</f>
        <v>375.2</v>
      </c>
    </row>
    <row r="375">
      <c r="A375" s="2">
        <f>IFERROR(__xludf.DUMMYFUNCTION("""COMPUTED_VALUE"""),2000.0)</f>
        <v>2000</v>
      </c>
      <c r="B375" s="2">
        <f>IFERROR(__xludf.DUMMYFUNCTION("""COMPUTED_VALUE"""),183724.0)</f>
        <v>183724</v>
      </c>
      <c r="C375" s="2">
        <f>IFERROR(__xludf.DUMMYFUNCTION("""COMPUTED_VALUE"""),2026.0)</f>
        <v>2026</v>
      </c>
      <c r="D375" s="2">
        <f>IFERROR(__xludf.DUMMYFUNCTION("""COMPUTED_VALUE"""),46313.0)</f>
        <v>46313</v>
      </c>
      <c r="E375" s="2" t="str">
        <f>IFERROR(__xludf.DUMMYFUNCTION("""COMPUTED_VALUE"""),"VF")</f>
        <v>VF</v>
      </c>
      <c r="F375" s="2">
        <f>IFERROR(__xludf.DUMMYFUNCTION("""COMPUTED_VALUE"""),2.0)</f>
        <v>2</v>
      </c>
      <c r="G375" s="2" t="str">
        <f>IFERROR(__xludf.DUMMYFUNCTION("""COMPUTED_VALUE"""),"PR036")</f>
        <v>PR036</v>
      </c>
      <c r="H375" s="2" t="str">
        <f>IFERROR(__xludf.DUMMYFUNCTION("""COMPUTED_VALUE"""),"VD044")</f>
        <v>VD044</v>
      </c>
      <c r="I375" s="2">
        <f>IFERROR(__xludf.DUMMYFUNCTION("""COMPUTED_VALUE"""),9.0)</f>
        <v>9</v>
      </c>
      <c r="J375" s="2">
        <f>IFERROR(__xludf.DUMMYFUNCTION("""COMPUTED_VALUE"""),849.92)</f>
        <v>849.92</v>
      </c>
      <c r="K375" s="2">
        <f>IFERROR(__xludf.DUMMYFUNCTION("""COMPUTED_VALUE"""),849.92)</f>
        <v>849.92</v>
      </c>
    </row>
    <row r="376">
      <c r="A376" s="2">
        <f>IFERROR(__xludf.DUMMYFUNCTION("""COMPUTED_VALUE"""),2000.0)</f>
        <v>2000</v>
      </c>
      <c r="B376" s="2">
        <f>IFERROR(__xludf.DUMMYFUNCTION("""COMPUTED_VALUE"""),183725.0)</f>
        <v>183725</v>
      </c>
      <c r="C376" s="2">
        <f>IFERROR(__xludf.DUMMYFUNCTION("""COMPUTED_VALUE"""),2026.0)</f>
        <v>2026</v>
      </c>
      <c r="D376" s="2">
        <f>IFERROR(__xludf.DUMMYFUNCTION("""COMPUTED_VALUE"""),46313.0)</f>
        <v>46313</v>
      </c>
      <c r="E376" s="2" t="str">
        <f>IFERROR(__xludf.DUMMYFUNCTION("""COMPUTED_VALUE"""),"VF")</f>
        <v>VF</v>
      </c>
      <c r="F376" s="2">
        <f>IFERROR(__xludf.DUMMYFUNCTION("""COMPUTED_VALUE"""),1.0)</f>
        <v>1</v>
      </c>
      <c r="G376" s="2" t="str">
        <f>IFERROR(__xludf.DUMMYFUNCTION("""COMPUTED_VALUE"""),"PR007")</f>
        <v>PR007</v>
      </c>
      <c r="H376" s="2" t="str">
        <f>IFERROR(__xludf.DUMMYFUNCTION("""COMPUTED_VALUE"""),"VD035")</f>
        <v>VD035</v>
      </c>
      <c r="I376" s="2">
        <f>IFERROR(__xludf.DUMMYFUNCTION("""COMPUTED_VALUE"""),8.0)</f>
        <v>8</v>
      </c>
      <c r="J376" s="2">
        <f>IFERROR(__xludf.DUMMYFUNCTION("""COMPUTED_VALUE"""),700.94)</f>
        <v>700.94</v>
      </c>
      <c r="K376" s="2">
        <f>IFERROR(__xludf.DUMMYFUNCTION("""COMPUTED_VALUE"""),700.94)</f>
        <v>700.94</v>
      </c>
    </row>
    <row r="377">
      <c r="A377" s="2">
        <f>IFERROR(__xludf.DUMMYFUNCTION("""COMPUTED_VALUE"""),1000.0)</f>
        <v>1000</v>
      </c>
      <c r="B377" s="2">
        <f>IFERROR(__xludf.DUMMYFUNCTION("""COMPUTED_VALUE"""),183725.0)</f>
        <v>183725</v>
      </c>
      <c r="C377" s="2">
        <f>IFERROR(__xludf.DUMMYFUNCTION("""COMPUTED_VALUE"""),2026.0)</f>
        <v>2026</v>
      </c>
      <c r="D377" s="2">
        <f>IFERROR(__xludf.DUMMYFUNCTION("""COMPUTED_VALUE"""),46313.0)</f>
        <v>46313</v>
      </c>
      <c r="E377" s="2" t="str">
        <f>IFERROR(__xludf.DUMMYFUNCTION("""COMPUTED_VALUE"""),"VF")</f>
        <v>VF</v>
      </c>
      <c r="F377" s="2">
        <f>IFERROR(__xludf.DUMMYFUNCTION("""COMPUTED_VALUE"""),2.0)</f>
        <v>2</v>
      </c>
      <c r="G377" s="2" t="str">
        <f>IFERROR(__xludf.DUMMYFUNCTION("""COMPUTED_VALUE"""),"PR017")</f>
        <v>PR017</v>
      </c>
      <c r="H377" s="2" t="str">
        <f>IFERROR(__xludf.DUMMYFUNCTION("""COMPUTED_VALUE"""),"VD013")</f>
        <v>VD013</v>
      </c>
      <c r="I377" s="2">
        <f>IFERROR(__xludf.DUMMYFUNCTION("""COMPUTED_VALUE"""),2.0)</f>
        <v>2</v>
      </c>
      <c r="J377" s="2">
        <f>IFERROR(__xludf.DUMMYFUNCTION("""COMPUTED_VALUE"""),62.79)</f>
        <v>62.79</v>
      </c>
      <c r="K377" s="2">
        <f>IFERROR(__xludf.DUMMYFUNCTION("""COMPUTED_VALUE"""),62.79)</f>
        <v>62.79</v>
      </c>
    </row>
    <row r="378">
      <c r="A378" s="2">
        <f>IFERROR(__xludf.DUMMYFUNCTION("""COMPUTED_VALUE"""),1000.0)</f>
        <v>1000</v>
      </c>
      <c r="B378" s="2">
        <f>IFERROR(__xludf.DUMMYFUNCTION("""COMPUTED_VALUE"""),183726.0)</f>
        <v>183726</v>
      </c>
      <c r="C378" s="2">
        <f>IFERROR(__xludf.DUMMYFUNCTION("""COMPUTED_VALUE"""),2026.0)</f>
        <v>2026</v>
      </c>
      <c r="D378" s="2">
        <f>IFERROR(__xludf.DUMMYFUNCTION("""COMPUTED_VALUE"""),46313.0)</f>
        <v>46313</v>
      </c>
      <c r="E378" s="2" t="str">
        <f>IFERROR(__xludf.DUMMYFUNCTION("""COMPUTED_VALUE"""),"VF")</f>
        <v>VF</v>
      </c>
      <c r="F378" s="2">
        <f>IFERROR(__xludf.DUMMYFUNCTION("""COMPUTED_VALUE"""),1.0)</f>
        <v>1</v>
      </c>
      <c r="G378" s="2" t="str">
        <f>IFERROR(__xludf.DUMMYFUNCTION("""COMPUTED_VALUE"""),"PR029")</f>
        <v>PR029</v>
      </c>
      <c r="H378" s="2" t="str">
        <f>IFERROR(__xludf.DUMMYFUNCTION("""COMPUTED_VALUE"""),"VD022")</f>
        <v>VD022</v>
      </c>
      <c r="I378" s="2">
        <f>IFERROR(__xludf.DUMMYFUNCTION("""COMPUTED_VALUE"""),24.0)</f>
        <v>24</v>
      </c>
      <c r="J378" s="2">
        <f>IFERROR(__xludf.DUMMYFUNCTION("""COMPUTED_VALUE"""),6364.8)</f>
        <v>6364.8</v>
      </c>
      <c r="K378" s="2">
        <f>IFERROR(__xludf.DUMMYFUNCTION("""COMPUTED_VALUE"""),6364.8)</f>
        <v>6364.8</v>
      </c>
    </row>
    <row r="379">
      <c r="A379" s="2">
        <f>IFERROR(__xludf.DUMMYFUNCTION("""COMPUTED_VALUE"""),2000.0)</f>
        <v>2000</v>
      </c>
      <c r="B379" s="2">
        <f>IFERROR(__xludf.DUMMYFUNCTION("""COMPUTED_VALUE"""),183727.0)</f>
        <v>183727</v>
      </c>
      <c r="C379" s="2">
        <f>IFERROR(__xludf.DUMMYFUNCTION("""COMPUTED_VALUE"""),2026.0)</f>
        <v>2026</v>
      </c>
      <c r="D379" s="2">
        <f>IFERROR(__xludf.DUMMYFUNCTION("""COMPUTED_VALUE"""),46313.0)</f>
        <v>46313</v>
      </c>
      <c r="E379" s="2" t="str">
        <f>IFERROR(__xludf.DUMMYFUNCTION("""COMPUTED_VALUE"""),"VF")</f>
        <v>VF</v>
      </c>
      <c r="F379" s="2">
        <f>IFERROR(__xludf.DUMMYFUNCTION("""COMPUTED_VALUE"""),1.0)</f>
        <v>1</v>
      </c>
      <c r="G379" s="2" t="str">
        <f>IFERROR(__xludf.DUMMYFUNCTION("""COMPUTED_VALUE"""),"PR049")</f>
        <v>PR049</v>
      </c>
      <c r="H379" s="2" t="str">
        <f>IFERROR(__xludf.DUMMYFUNCTION("""COMPUTED_VALUE"""),"VD046")</f>
        <v>VD046</v>
      </c>
      <c r="I379" s="2">
        <f>IFERROR(__xludf.DUMMYFUNCTION("""COMPUTED_VALUE"""),2.0)</f>
        <v>2</v>
      </c>
      <c r="J379" s="2">
        <f>IFERROR(__xludf.DUMMYFUNCTION("""COMPUTED_VALUE"""),71.72)</f>
        <v>71.72</v>
      </c>
      <c r="K379" s="2">
        <f>IFERROR(__xludf.DUMMYFUNCTION("""COMPUTED_VALUE"""),71.72)</f>
        <v>71.72</v>
      </c>
    </row>
    <row r="380">
      <c r="A380" s="2">
        <f>IFERROR(__xludf.DUMMYFUNCTION("""COMPUTED_VALUE"""),1000.0)</f>
        <v>1000</v>
      </c>
      <c r="B380" s="2">
        <f>IFERROR(__xludf.DUMMYFUNCTION("""COMPUTED_VALUE"""),183728.0)</f>
        <v>183728</v>
      </c>
      <c r="C380" s="2">
        <f>IFERROR(__xludf.DUMMYFUNCTION("""COMPUTED_VALUE"""),2026.0)</f>
        <v>2026</v>
      </c>
      <c r="D380" s="2">
        <f>IFERROR(__xludf.DUMMYFUNCTION("""COMPUTED_VALUE"""),46313.0)</f>
        <v>46313</v>
      </c>
      <c r="E380" s="2" t="str">
        <f>IFERROR(__xludf.DUMMYFUNCTION("""COMPUTED_VALUE"""),"VF")</f>
        <v>VF</v>
      </c>
      <c r="F380" s="2">
        <f>IFERROR(__xludf.DUMMYFUNCTION("""COMPUTED_VALUE"""),1.0)</f>
        <v>1</v>
      </c>
      <c r="G380" s="2" t="str">
        <f>IFERROR(__xludf.DUMMYFUNCTION("""COMPUTED_VALUE"""),"PR036")</f>
        <v>PR036</v>
      </c>
      <c r="H380" s="2" t="str">
        <f>IFERROR(__xludf.DUMMYFUNCTION("""COMPUTED_VALUE"""),"VD035")</f>
        <v>VD035</v>
      </c>
      <c r="I380" s="2">
        <f>IFERROR(__xludf.DUMMYFUNCTION("""COMPUTED_VALUE"""),18.0)</f>
        <v>18</v>
      </c>
      <c r="J380" s="2">
        <f>IFERROR(__xludf.DUMMYFUNCTION("""COMPUTED_VALUE"""),1783.98)</f>
        <v>1783.98</v>
      </c>
      <c r="K380" s="2">
        <f>IFERROR(__xludf.DUMMYFUNCTION("""COMPUTED_VALUE"""),1783.98)</f>
        <v>1783.98</v>
      </c>
    </row>
    <row r="381">
      <c r="A381" s="2">
        <f>IFERROR(__xludf.DUMMYFUNCTION("""COMPUTED_VALUE"""),1000.0)</f>
        <v>1000</v>
      </c>
      <c r="B381" s="2">
        <f>IFERROR(__xludf.DUMMYFUNCTION("""COMPUTED_VALUE"""),183729.0)</f>
        <v>183729</v>
      </c>
      <c r="C381" s="2">
        <f>IFERROR(__xludf.DUMMYFUNCTION("""COMPUTED_VALUE"""),2026.0)</f>
        <v>2026</v>
      </c>
      <c r="D381" s="2">
        <f>IFERROR(__xludf.DUMMYFUNCTION("""COMPUTED_VALUE"""),46313.0)</f>
        <v>46313</v>
      </c>
      <c r="E381" s="2" t="str">
        <f>IFERROR(__xludf.DUMMYFUNCTION("""COMPUTED_VALUE"""),"VF")</f>
        <v>VF</v>
      </c>
      <c r="F381" s="2">
        <f>IFERROR(__xludf.DUMMYFUNCTION("""COMPUTED_VALUE"""),1.0)</f>
        <v>1</v>
      </c>
      <c r="G381" s="2" t="str">
        <f>IFERROR(__xludf.DUMMYFUNCTION("""COMPUTED_VALUE"""),"PR039")</f>
        <v>PR039</v>
      </c>
      <c r="H381" s="2" t="str">
        <f>IFERROR(__xludf.DUMMYFUNCTION("""COMPUTED_VALUE"""),"VD047")</f>
        <v>VD047</v>
      </c>
      <c r="I381" s="2">
        <f>IFERROR(__xludf.DUMMYFUNCTION("""COMPUTED_VALUE"""),14.0)</f>
        <v>14</v>
      </c>
      <c r="J381" s="2">
        <f>IFERROR(__xludf.DUMMYFUNCTION("""COMPUTED_VALUE"""),2227.96)</f>
        <v>2227.96</v>
      </c>
      <c r="K381" s="2">
        <f>IFERROR(__xludf.DUMMYFUNCTION("""COMPUTED_VALUE"""),2227.96)</f>
        <v>2227.96</v>
      </c>
    </row>
    <row r="382">
      <c r="A382" s="2">
        <f>IFERROR(__xludf.DUMMYFUNCTION("""COMPUTED_VALUE"""),1000.0)</f>
        <v>1000</v>
      </c>
      <c r="B382" s="2">
        <f>IFERROR(__xludf.DUMMYFUNCTION("""COMPUTED_VALUE"""),183730.0)</f>
        <v>183730</v>
      </c>
      <c r="C382" s="2">
        <f>IFERROR(__xludf.DUMMYFUNCTION("""COMPUTED_VALUE"""),2026.0)</f>
        <v>2026</v>
      </c>
      <c r="D382" s="2">
        <f>IFERROR(__xludf.DUMMYFUNCTION("""COMPUTED_VALUE"""),46312.0)</f>
        <v>46312</v>
      </c>
      <c r="E382" s="2" t="str">
        <f>IFERROR(__xludf.DUMMYFUNCTION("""COMPUTED_VALUE"""),"VF")</f>
        <v>VF</v>
      </c>
      <c r="F382" s="2">
        <f>IFERROR(__xludf.DUMMYFUNCTION("""COMPUTED_VALUE"""),1.0)</f>
        <v>1</v>
      </c>
      <c r="G382" s="2" t="str">
        <f>IFERROR(__xludf.DUMMYFUNCTION("""COMPUTED_VALUE"""),"PR043")</f>
        <v>PR043</v>
      </c>
      <c r="H382" s="2" t="str">
        <f>IFERROR(__xludf.DUMMYFUNCTION("""COMPUTED_VALUE"""),"VD049")</f>
        <v>VD049</v>
      </c>
      <c r="I382" s="2">
        <f>IFERROR(__xludf.DUMMYFUNCTION("""COMPUTED_VALUE"""),8.0)</f>
        <v>8</v>
      </c>
      <c r="J382" s="2">
        <f>IFERROR(__xludf.DUMMYFUNCTION("""COMPUTED_VALUE"""),585.8)</f>
        <v>585.8</v>
      </c>
      <c r="K382" s="2">
        <f>IFERROR(__xludf.DUMMYFUNCTION("""COMPUTED_VALUE"""),585.8)</f>
        <v>585.8</v>
      </c>
    </row>
    <row r="383">
      <c r="A383" s="2">
        <f>IFERROR(__xludf.DUMMYFUNCTION("""COMPUTED_VALUE"""),1000.0)</f>
        <v>1000</v>
      </c>
      <c r="B383" s="2">
        <f>IFERROR(__xludf.DUMMYFUNCTION("""COMPUTED_VALUE"""),183731.0)</f>
        <v>183731</v>
      </c>
      <c r="C383" s="2">
        <f>IFERROR(__xludf.DUMMYFUNCTION("""COMPUTED_VALUE"""),2026.0)</f>
        <v>2026</v>
      </c>
      <c r="D383" s="2">
        <f>IFERROR(__xludf.DUMMYFUNCTION("""COMPUTED_VALUE"""),46312.0)</f>
        <v>46312</v>
      </c>
      <c r="E383" s="2" t="str">
        <f>IFERROR(__xludf.DUMMYFUNCTION("""COMPUTED_VALUE"""),"VF")</f>
        <v>VF</v>
      </c>
      <c r="F383" s="2">
        <f>IFERROR(__xludf.DUMMYFUNCTION("""COMPUTED_VALUE"""),1.0)</f>
        <v>1</v>
      </c>
      <c r="G383" s="2" t="str">
        <f>IFERROR(__xludf.DUMMYFUNCTION("""COMPUTED_VALUE"""),"PR039")</f>
        <v>PR039</v>
      </c>
      <c r="H383" s="2" t="str">
        <f>IFERROR(__xludf.DUMMYFUNCTION("""COMPUTED_VALUE"""),"VD036")</f>
        <v>VD036</v>
      </c>
      <c r="I383" s="2">
        <f>IFERROR(__xludf.DUMMYFUNCTION("""COMPUTED_VALUE"""),7.0)</f>
        <v>7</v>
      </c>
      <c r="J383" s="2">
        <f>IFERROR(__xludf.DUMMYFUNCTION("""COMPUTED_VALUE"""),1124.2)</f>
        <v>1124.2</v>
      </c>
      <c r="K383" s="2">
        <f>IFERROR(__xludf.DUMMYFUNCTION("""COMPUTED_VALUE"""),1124.2)</f>
        <v>1124.2</v>
      </c>
    </row>
    <row r="384">
      <c r="A384" s="2">
        <f>IFERROR(__xludf.DUMMYFUNCTION("""COMPUTED_VALUE"""),2000.0)</f>
        <v>2000</v>
      </c>
      <c r="B384" s="2">
        <f>IFERROR(__xludf.DUMMYFUNCTION("""COMPUTED_VALUE"""),183732.0)</f>
        <v>183732</v>
      </c>
      <c r="C384" s="2">
        <f>IFERROR(__xludf.DUMMYFUNCTION("""COMPUTED_VALUE"""),2026.0)</f>
        <v>2026</v>
      </c>
      <c r="D384" s="2">
        <f>IFERROR(__xludf.DUMMYFUNCTION("""COMPUTED_VALUE"""),46311.0)</f>
        <v>46311</v>
      </c>
      <c r="E384" s="2" t="str">
        <f>IFERROR(__xludf.DUMMYFUNCTION("""COMPUTED_VALUE"""),"VF")</f>
        <v>VF</v>
      </c>
      <c r="F384" s="2">
        <f>IFERROR(__xludf.DUMMYFUNCTION("""COMPUTED_VALUE"""),1.0)</f>
        <v>1</v>
      </c>
      <c r="G384" s="2" t="str">
        <f>IFERROR(__xludf.DUMMYFUNCTION("""COMPUTED_VALUE"""),"PR039")</f>
        <v>PR039</v>
      </c>
      <c r="H384" s="2" t="str">
        <f>IFERROR(__xludf.DUMMYFUNCTION("""COMPUTED_VALUE"""),"VD032")</f>
        <v>VD032</v>
      </c>
      <c r="I384" s="2">
        <f>IFERROR(__xludf.DUMMYFUNCTION("""COMPUTED_VALUE"""),2.0)</f>
        <v>2</v>
      </c>
      <c r="J384" s="2">
        <f>IFERROR(__xludf.DUMMYFUNCTION("""COMPUTED_VALUE"""),312.44)</f>
        <v>312.44</v>
      </c>
      <c r="K384" s="2">
        <f>IFERROR(__xludf.DUMMYFUNCTION("""COMPUTED_VALUE"""),312.44)</f>
        <v>312.44</v>
      </c>
    </row>
    <row r="385">
      <c r="A385" s="2">
        <f>IFERROR(__xludf.DUMMYFUNCTION("""COMPUTED_VALUE"""),1000.0)</f>
        <v>1000</v>
      </c>
      <c r="B385" s="2">
        <f>IFERROR(__xludf.DUMMYFUNCTION("""COMPUTED_VALUE"""),183732.0)</f>
        <v>183732</v>
      </c>
      <c r="C385" s="2">
        <f>IFERROR(__xludf.DUMMYFUNCTION("""COMPUTED_VALUE"""),2026.0)</f>
        <v>2026</v>
      </c>
      <c r="D385" s="2">
        <f>IFERROR(__xludf.DUMMYFUNCTION("""COMPUTED_VALUE"""),46311.0)</f>
        <v>46311</v>
      </c>
      <c r="E385" s="2" t="str">
        <f>IFERROR(__xludf.DUMMYFUNCTION("""COMPUTED_VALUE"""),"VF")</f>
        <v>VF</v>
      </c>
      <c r="F385" s="2">
        <f>IFERROR(__xludf.DUMMYFUNCTION("""COMPUTED_VALUE"""),2.0)</f>
        <v>2</v>
      </c>
      <c r="G385" s="2" t="str">
        <f>IFERROR(__xludf.DUMMYFUNCTION("""COMPUTED_VALUE"""),"PR043")</f>
        <v>PR043</v>
      </c>
      <c r="H385" s="2" t="str">
        <f>IFERROR(__xludf.DUMMYFUNCTION("""COMPUTED_VALUE"""),"VD038")</f>
        <v>VD038</v>
      </c>
      <c r="I385" s="2">
        <f>IFERROR(__xludf.DUMMYFUNCTION("""COMPUTED_VALUE"""),3.0)</f>
        <v>3</v>
      </c>
      <c r="J385" s="2">
        <f>IFERROR(__xludf.DUMMYFUNCTION("""COMPUTED_VALUE"""),221.85)</f>
        <v>221.85</v>
      </c>
      <c r="K385" s="2">
        <f>IFERROR(__xludf.DUMMYFUNCTION("""COMPUTED_VALUE"""),221.85)</f>
        <v>221.85</v>
      </c>
    </row>
    <row r="386">
      <c r="A386" s="2">
        <f>IFERROR(__xludf.DUMMYFUNCTION("""COMPUTED_VALUE"""),1000.0)</f>
        <v>1000</v>
      </c>
      <c r="B386" s="2">
        <f>IFERROR(__xludf.DUMMYFUNCTION("""COMPUTED_VALUE"""),183733.0)</f>
        <v>183733</v>
      </c>
      <c r="C386" s="2">
        <f>IFERROR(__xludf.DUMMYFUNCTION("""COMPUTED_VALUE"""),2026.0)</f>
        <v>2026</v>
      </c>
      <c r="D386" s="2">
        <f>IFERROR(__xludf.DUMMYFUNCTION("""COMPUTED_VALUE"""),46310.0)</f>
        <v>46310</v>
      </c>
      <c r="E386" s="2" t="str">
        <f>IFERROR(__xludf.DUMMYFUNCTION("""COMPUTED_VALUE"""),"VF")</f>
        <v>VF</v>
      </c>
      <c r="F386" s="2">
        <f>IFERROR(__xludf.DUMMYFUNCTION("""COMPUTED_VALUE"""),1.0)</f>
        <v>1</v>
      </c>
      <c r="G386" s="2" t="str">
        <f>IFERROR(__xludf.DUMMYFUNCTION("""COMPUTED_VALUE"""),"PR005")</f>
        <v>PR005</v>
      </c>
      <c r="H386" s="2" t="str">
        <f>IFERROR(__xludf.DUMMYFUNCTION("""COMPUTED_VALUE"""),"VD021")</f>
        <v>VD021</v>
      </c>
      <c r="I386" s="2">
        <f>IFERROR(__xludf.DUMMYFUNCTION("""COMPUTED_VALUE"""),14.0)</f>
        <v>14</v>
      </c>
      <c r="J386" s="2">
        <f>IFERROR(__xludf.DUMMYFUNCTION("""COMPUTED_VALUE"""),3893.3)</f>
        <v>3893.3</v>
      </c>
      <c r="K386" s="2">
        <f>IFERROR(__xludf.DUMMYFUNCTION("""COMPUTED_VALUE"""),3893.3)</f>
        <v>3893.3</v>
      </c>
    </row>
    <row r="387">
      <c r="A387" s="2">
        <f>IFERROR(__xludf.DUMMYFUNCTION("""COMPUTED_VALUE"""),1000.0)</f>
        <v>1000</v>
      </c>
      <c r="B387" s="2">
        <f>IFERROR(__xludf.DUMMYFUNCTION("""COMPUTED_VALUE"""),183733.0)</f>
        <v>183733</v>
      </c>
      <c r="C387" s="2">
        <f>IFERROR(__xludf.DUMMYFUNCTION("""COMPUTED_VALUE"""),2026.0)</f>
        <v>2026</v>
      </c>
      <c r="D387" s="2">
        <f>IFERROR(__xludf.DUMMYFUNCTION("""COMPUTED_VALUE"""),46310.0)</f>
        <v>46310</v>
      </c>
      <c r="E387" s="2" t="str">
        <f>IFERROR(__xludf.DUMMYFUNCTION("""COMPUTED_VALUE"""),"VF")</f>
        <v>VF</v>
      </c>
      <c r="F387" s="2">
        <f>IFERROR(__xludf.DUMMYFUNCTION("""COMPUTED_VALUE"""),2.0)</f>
        <v>2</v>
      </c>
      <c r="G387" s="2" t="str">
        <f>IFERROR(__xludf.DUMMYFUNCTION("""COMPUTED_VALUE"""),"PR012")</f>
        <v>PR012</v>
      </c>
      <c r="H387" s="2" t="str">
        <f>IFERROR(__xludf.DUMMYFUNCTION("""COMPUTED_VALUE"""),"VD047")</f>
        <v>VD047</v>
      </c>
      <c r="I387" s="2">
        <f>IFERROR(__xludf.DUMMYFUNCTION("""COMPUTED_VALUE"""),2.0)</f>
        <v>2</v>
      </c>
      <c r="J387" s="2">
        <f>IFERROR(__xludf.DUMMYFUNCTION("""COMPUTED_VALUE"""),101.71)</f>
        <v>101.71</v>
      </c>
      <c r="K387" s="2">
        <f>IFERROR(__xludf.DUMMYFUNCTION("""COMPUTED_VALUE"""),101.71)</f>
        <v>101.71</v>
      </c>
    </row>
    <row r="388">
      <c r="A388" s="2">
        <f>IFERROR(__xludf.DUMMYFUNCTION("""COMPUTED_VALUE"""),2000.0)</f>
        <v>2000</v>
      </c>
      <c r="B388" s="2">
        <f>IFERROR(__xludf.DUMMYFUNCTION("""COMPUTED_VALUE"""),183733.0)</f>
        <v>183733</v>
      </c>
      <c r="C388" s="2">
        <f>IFERROR(__xludf.DUMMYFUNCTION("""COMPUTED_VALUE"""),2026.0)</f>
        <v>2026</v>
      </c>
      <c r="D388" s="2">
        <f>IFERROR(__xludf.DUMMYFUNCTION("""COMPUTED_VALUE"""),46310.0)</f>
        <v>46310</v>
      </c>
      <c r="E388" s="2" t="str">
        <f>IFERROR(__xludf.DUMMYFUNCTION("""COMPUTED_VALUE"""),"VF")</f>
        <v>VF</v>
      </c>
      <c r="F388" s="2">
        <f>IFERROR(__xludf.DUMMYFUNCTION("""COMPUTED_VALUE"""),3.0)</f>
        <v>3</v>
      </c>
      <c r="G388" s="2" t="str">
        <f>IFERROR(__xludf.DUMMYFUNCTION("""COMPUTED_VALUE"""),"PR039")</f>
        <v>PR039</v>
      </c>
      <c r="H388" s="2" t="str">
        <f>IFERROR(__xludf.DUMMYFUNCTION("""COMPUTED_VALUE"""),"VD042")</f>
        <v>VD042</v>
      </c>
      <c r="I388" s="2">
        <f>IFERROR(__xludf.DUMMYFUNCTION("""COMPUTED_VALUE"""),2.0)</f>
        <v>2</v>
      </c>
      <c r="J388" s="2">
        <f>IFERROR(__xludf.DUMMYFUNCTION("""COMPUTED_VALUE"""),292.0)</f>
        <v>292</v>
      </c>
      <c r="K388" s="2">
        <f>IFERROR(__xludf.DUMMYFUNCTION("""COMPUTED_VALUE"""),292.0)</f>
        <v>292</v>
      </c>
    </row>
    <row r="389">
      <c r="A389" s="2">
        <f>IFERROR(__xludf.DUMMYFUNCTION("""COMPUTED_VALUE"""),2000.0)</f>
        <v>2000</v>
      </c>
      <c r="B389" s="2">
        <f>IFERROR(__xludf.DUMMYFUNCTION("""COMPUTED_VALUE"""),183734.0)</f>
        <v>183734</v>
      </c>
      <c r="C389" s="2">
        <f>IFERROR(__xludf.DUMMYFUNCTION("""COMPUTED_VALUE"""),2026.0)</f>
        <v>2026</v>
      </c>
      <c r="D389" s="2">
        <f>IFERROR(__xludf.DUMMYFUNCTION("""COMPUTED_VALUE"""),46310.0)</f>
        <v>46310</v>
      </c>
      <c r="E389" s="2" t="str">
        <f>IFERROR(__xludf.DUMMYFUNCTION("""COMPUTED_VALUE"""),"VF")</f>
        <v>VF</v>
      </c>
      <c r="F389" s="2">
        <f>IFERROR(__xludf.DUMMYFUNCTION("""COMPUTED_VALUE"""),1.0)</f>
        <v>1</v>
      </c>
      <c r="G389" s="2" t="str">
        <f>IFERROR(__xludf.DUMMYFUNCTION("""COMPUTED_VALUE"""),"PR040")</f>
        <v>PR040</v>
      </c>
      <c r="H389" s="2" t="str">
        <f>IFERROR(__xludf.DUMMYFUNCTION("""COMPUTED_VALUE"""),"VD038")</f>
        <v>VD038</v>
      </c>
      <c r="I389" s="2">
        <f>IFERROR(__xludf.DUMMYFUNCTION("""COMPUTED_VALUE"""),2.0)</f>
        <v>2</v>
      </c>
      <c r="J389" s="2">
        <f>IFERROR(__xludf.DUMMYFUNCTION("""COMPUTED_VALUE"""),145.6)</f>
        <v>145.6</v>
      </c>
      <c r="K389" s="2">
        <f>IFERROR(__xludf.DUMMYFUNCTION("""COMPUTED_VALUE"""),145.6)</f>
        <v>145.6</v>
      </c>
    </row>
    <row r="390">
      <c r="A390" s="2">
        <f>IFERROR(__xludf.DUMMYFUNCTION("""COMPUTED_VALUE"""),1000.0)</f>
        <v>1000</v>
      </c>
      <c r="B390" s="2">
        <f>IFERROR(__xludf.DUMMYFUNCTION("""COMPUTED_VALUE"""),183735.0)</f>
        <v>183735</v>
      </c>
      <c r="C390" s="2">
        <f>IFERROR(__xludf.DUMMYFUNCTION("""COMPUTED_VALUE"""),2026.0)</f>
        <v>2026</v>
      </c>
      <c r="D390" s="2">
        <f>IFERROR(__xludf.DUMMYFUNCTION("""COMPUTED_VALUE"""),46309.0)</f>
        <v>46309</v>
      </c>
      <c r="E390" s="2" t="str">
        <f>IFERROR(__xludf.DUMMYFUNCTION("""COMPUTED_VALUE"""),"VF")</f>
        <v>VF</v>
      </c>
      <c r="F390" s="2">
        <f>IFERROR(__xludf.DUMMYFUNCTION("""COMPUTED_VALUE"""),1.0)</f>
        <v>1</v>
      </c>
      <c r="G390" s="2" t="str">
        <f>IFERROR(__xludf.DUMMYFUNCTION("""COMPUTED_VALUE"""),"PR053")</f>
        <v>PR053</v>
      </c>
      <c r="H390" s="2" t="str">
        <f>IFERROR(__xludf.DUMMYFUNCTION("""COMPUTED_VALUE"""),"VD031")</f>
        <v>VD031</v>
      </c>
      <c r="I390" s="2">
        <f>IFERROR(__xludf.DUMMYFUNCTION("""COMPUTED_VALUE"""),10.0)</f>
        <v>10</v>
      </c>
      <c r="J390" s="2">
        <f>IFERROR(__xludf.DUMMYFUNCTION("""COMPUTED_VALUE"""),523.95)</f>
        <v>523.95</v>
      </c>
      <c r="K390" s="2">
        <f>IFERROR(__xludf.DUMMYFUNCTION("""COMPUTED_VALUE"""),523.95)</f>
        <v>523.95</v>
      </c>
    </row>
    <row r="391">
      <c r="A391" s="2">
        <f>IFERROR(__xludf.DUMMYFUNCTION("""COMPUTED_VALUE"""),1000.0)</f>
        <v>1000</v>
      </c>
      <c r="B391" s="2">
        <f>IFERROR(__xludf.DUMMYFUNCTION("""COMPUTED_VALUE"""),183736.0)</f>
        <v>183736</v>
      </c>
      <c r="C391" s="2">
        <f>IFERROR(__xludf.DUMMYFUNCTION("""COMPUTED_VALUE"""),2026.0)</f>
        <v>2026</v>
      </c>
      <c r="D391" s="2">
        <f>IFERROR(__xludf.DUMMYFUNCTION("""COMPUTED_VALUE"""),46309.0)</f>
        <v>46309</v>
      </c>
      <c r="E391" s="2" t="str">
        <f>IFERROR(__xludf.DUMMYFUNCTION("""COMPUTED_VALUE"""),"VF")</f>
        <v>VF</v>
      </c>
      <c r="F391" s="2">
        <f>IFERROR(__xludf.DUMMYFUNCTION("""COMPUTED_VALUE"""),1.0)</f>
        <v>1</v>
      </c>
      <c r="G391" s="2" t="str">
        <f>IFERROR(__xludf.DUMMYFUNCTION("""COMPUTED_VALUE"""),"PR033")</f>
        <v>PR033</v>
      </c>
      <c r="H391" s="2" t="str">
        <f>IFERROR(__xludf.DUMMYFUNCTION("""COMPUTED_VALUE"""),"VD030")</f>
        <v>VD030</v>
      </c>
      <c r="I391" s="2">
        <f>IFERROR(__xludf.DUMMYFUNCTION("""COMPUTED_VALUE"""),10.0)</f>
        <v>10</v>
      </c>
      <c r="J391" s="2">
        <f>IFERROR(__xludf.DUMMYFUNCTION("""COMPUTED_VALUE"""),2858.9)</f>
        <v>2858.9</v>
      </c>
      <c r="K391" s="2">
        <f>IFERROR(__xludf.DUMMYFUNCTION("""COMPUTED_VALUE"""),2858.9)</f>
        <v>2858.9</v>
      </c>
    </row>
    <row r="392">
      <c r="A392" s="2">
        <f>IFERROR(__xludf.DUMMYFUNCTION("""COMPUTED_VALUE"""),2000.0)</f>
        <v>2000</v>
      </c>
      <c r="B392" s="2">
        <f>IFERROR(__xludf.DUMMYFUNCTION("""COMPUTED_VALUE"""),183736.0)</f>
        <v>183736</v>
      </c>
      <c r="C392" s="2">
        <f>IFERROR(__xludf.DUMMYFUNCTION("""COMPUTED_VALUE"""),2026.0)</f>
        <v>2026</v>
      </c>
      <c r="D392" s="2">
        <f>IFERROR(__xludf.DUMMYFUNCTION("""COMPUTED_VALUE"""),46309.0)</f>
        <v>46309</v>
      </c>
      <c r="E392" s="2" t="str">
        <f>IFERROR(__xludf.DUMMYFUNCTION("""COMPUTED_VALUE"""),"VF")</f>
        <v>VF</v>
      </c>
      <c r="F392" s="2">
        <f>IFERROR(__xludf.DUMMYFUNCTION("""COMPUTED_VALUE"""),2.0)</f>
        <v>2</v>
      </c>
      <c r="G392" s="2" t="str">
        <f>IFERROR(__xludf.DUMMYFUNCTION("""COMPUTED_VALUE"""),"PR045")</f>
        <v>PR045</v>
      </c>
      <c r="H392" s="2" t="str">
        <f>IFERROR(__xludf.DUMMYFUNCTION("""COMPUTED_VALUE"""),"VD026")</f>
        <v>VD026</v>
      </c>
      <c r="I392" s="2">
        <f>IFERROR(__xludf.DUMMYFUNCTION("""COMPUTED_VALUE"""),12.0)</f>
        <v>12</v>
      </c>
      <c r="J392" s="2">
        <f>IFERROR(__xludf.DUMMYFUNCTION("""COMPUTED_VALUE"""),913.5)</f>
        <v>913.5</v>
      </c>
      <c r="K392" s="2">
        <f>IFERROR(__xludf.DUMMYFUNCTION("""COMPUTED_VALUE"""),913.5)</f>
        <v>913.5</v>
      </c>
    </row>
    <row r="393">
      <c r="A393" s="2">
        <f>IFERROR(__xludf.DUMMYFUNCTION("""COMPUTED_VALUE"""),2000.0)</f>
        <v>2000</v>
      </c>
      <c r="B393" s="2">
        <f>IFERROR(__xludf.DUMMYFUNCTION("""COMPUTED_VALUE"""),183737.0)</f>
        <v>183737</v>
      </c>
      <c r="C393" s="2">
        <f>IFERROR(__xludf.DUMMYFUNCTION("""COMPUTED_VALUE"""),2026.0)</f>
        <v>2026</v>
      </c>
      <c r="D393" s="2">
        <f>IFERROR(__xludf.DUMMYFUNCTION("""COMPUTED_VALUE"""),46309.0)</f>
        <v>46309</v>
      </c>
      <c r="E393" s="2" t="str">
        <f>IFERROR(__xludf.DUMMYFUNCTION("""COMPUTED_VALUE"""),"VF")</f>
        <v>VF</v>
      </c>
      <c r="F393" s="2">
        <f>IFERROR(__xludf.DUMMYFUNCTION("""COMPUTED_VALUE"""),1.0)</f>
        <v>1</v>
      </c>
      <c r="G393" s="2" t="str">
        <f>IFERROR(__xludf.DUMMYFUNCTION("""COMPUTED_VALUE"""),"PR012")</f>
        <v>PR012</v>
      </c>
      <c r="H393" s="2" t="str">
        <f>IFERROR(__xludf.DUMMYFUNCTION("""COMPUTED_VALUE"""),"VD042")</f>
        <v>VD042</v>
      </c>
      <c r="I393" s="2">
        <f>IFERROR(__xludf.DUMMYFUNCTION("""COMPUTED_VALUE"""),10.0)</f>
        <v>10</v>
      </c>
      <c r="J393" s="2">
        <f>IFERROR(__xludf.DUMMYFUNCTION("""COMPUTED_VALUE"""),498.78)</f>
        <v>498.78</v>
      </c>
      <c r="K393" s="2">
        <f>IFERROR(__xludf.DUMMYFUNCTION("""COMPUTED_VALUE"""),498.78)</f>
        <v>498.78</v>
      </c>
    </row>
    <row r="394">
      <c r="A394" s="2">
        <f>IFERROR(__xludf.DUMMYFUNCTION("""COMPUTED_VALUE"""),1000.0)</f>
        <v>1000</v>
      </c>
      <c r="B394" s="2">
        <f>IFERROR(__xludf.DUMMYFUNCTION("""COMPUTED_VALUE"""),183738.0)</f>
        <v>183738</v>
      </c>
      <c r="C394" s="2">
        <f>IFERROR(__xludf.DUMMYFUNCTION("""COMPUTED_VALUE"""),2026.0)</f>
        <v>2026</v>
      </c>
      <c r="D394" s="2">
        <f>IFERROR(__xludf.DUMMYFUNCTION("""COMPUTED_VALUE"""),46308.0)</f>
        <v>46308</v>
      </c>
      <c r="E394" s="2" t="str">
        <f>IFERROR(__xludf.DUMMYFUNCTION("""COMPUTED_VALUE"""),"VF")</f>
        <v>VF</v>
      </c>
      <c r="F394" s="2">
        <f>IFERROR(__xludf.DUMMYFUNCTION("""COMPUTED_VALUE"""),1.0)</f>
        <v>1</v>
      </c>
      <c r="G394" s="2" t="str">
        <f>IFERROR(__xludf.DUMMYFUNCTION("""COMPUTED_VALUE"""),"PR002")</f>
        <v>PR002</v>
      </c>
      <c r="H394" s="2" t="str">
        <f>IFERROR(__xludf.DUMMYFUNCTION("""COMPUTED_VALUE"""),"VD037")</f>
        <v>VD037</v>
      </c>
      <c r="I394" s="2">
        <f>IFERROR(__xludf.DUMMYFUNCTION("""COMPUTED_VALUE"""),3.0)</f>
        <v>3</v>
      </c>
      <c r="J394" s="2">
        <f>IFERROR(__xludf.DUMMYFUNCTION("""COMPUTED_VALUE"""),215.99)</f>
        <v>215.99</v>
      </c>
      <c r="K394" s="2">
        <f>IFERROR(__xludf.DUMMYFUNCTION("""COMPUTED_VALUE"""),215.99)</f>
        <v>215.99</v>
      </c>
    </row>
    <row r="395">
      <c r="A395" s="2">
        <f>IFERROR(__xludf.DUMMYFUNCTION("""COMPUTED_VALUE"""),1000.0)</f>
        <v>1000</v>
      </c>
      <c r="B395" s="2">
        <f>IFERROR(__xludf.DUMMYFUNCTION("""COMPUTED_VALUE"""),183739.0)</f>
        <v>183739</v>
      </c>
      <c r="C395" s="2">
        <f>IFERROR(__xludf.DUMMYFUNCTION("""COMPUTED_VALUE"""),2026.0)</f>
        <v>2026</v>
      </c>
      <c r="D395" s="2">
        <f>IFERROR(__xludf.DUMMYFUNCTION("""COMPUTED_VALUE"""),46308.0)</f>
        <v>46308</v>
      </c>
      <c r="E395" s="2" t="str">
        <f>IFERROR(__xludf.DUMMYFUNCTION("""COMPUTED_VALUE"""),"VF")</f>
        <v>VF</v>
      </c>
      <c r="F395" s="2">
        <f>IFERROR(__xludf.DUMMYFUNCTION("""COMPUTED_VALUE"""),1.0)</f>
        <v>1</v>
      </c>
      <c r="G395" s="2" t="str">
        <f>IFERROR(__xludf.DUMMYFUNCTION("""COMPUTED_VALUE"""),"PR024")</f>
        <v>PR024</v>
      </c>
      <c r="H395" s="2" t="str">
        <f>IFERROR(__xludf.DUMMYFUNCTION("""COMPUTED_VALUE"""),"VD023")</f>
        <v>VD023</v>
      </c>
      <c r="I395" s="2">
        <f>IFERROR(__xludf.DUMMYFUNCTION("""COMPUTED_VALUE"""),9.0)</f>
        <v>9</v>
      </c>
      <c r="J395" s="2">
        <f>IFERROR(__xludf.DUMMYFUNCTION("""COMPUTED_VALUE"""),2549.62)</f>
        <v>2549.62</v>
      </c>
      <c r="K395" s="2">
        <f>IFERROR(__xludf.DUMMYFUNCTION("""COMPUTED_VALUE"""),2549.62)</f>
        <v>2549.62</v>
      </c>
    </row>
    <row r="396">
      <c r="A396" s="2">
        <f>IFERROR(__xludf.DUMMYFUNCTION("""COMPUTED_VALUE"""),1000.0)</f>
        <v>1000</v>
      </c>
      <c r="B396" s="2">
        <f>IFERROR(__xludf.DUMMYFUNCTION("""COMPUTED_VALUE"""),183740.0)</f>
        <v>183740</v>
      </c>
      <c r="C396" s="2">
        <f>IFERROR(__xludf.DUMMYFUNCTION("""COMPUTED_VALUE"""),2026.0)</f>
        <v>2026</v>
      </c>
      <c r="D396" s="2">
        <f>IFERROR(__xludf.DUMMYFUNCTION("""COMPUTED_VALUE"""),46308.0)</f>
        <v>46308</v>
      </c>
      <c r="E396" s="2" t="str">
        <f>IFERROR(__xludf.DUMMYFUNCTION("""COMPUTED_VALUE"""),"VF")</f>
        <v>VF</v>
      </c>
      <c r="F396" s="2">
        <f>IFERROR(__xludf.DUMMYFUNCTION("""COMPUTED_VALUE"""),1.0)</f>
        <v>1</v>
      </c>
      <c r="G396" s="2" t="str">
        <f>IFERROR(__xludf.DUMMYFUNCTION("""COMPUTED_VALUE"""),"PR039")</f>
        <v>PR039</v>
      </c>
      <c r="H396" s="2" t="str">
        <f>IFERROR(__xludf.DUMMYFUNCTION("""COMPUTED_VALUE"""),"VD028")</f>
        <v>VD028</v>
      </c>
      <c r="I396" s="2">
        <f>IFERROR(__xludf.DUMMYFUNCTION("""COMPUTED_VALUE"""),4.0)</f>
        <v>4</v>
      </c>
      <c r="J396" s="2">
        <f>IFERROR(__xludf.DUMMYFUNCTION("""COMPUTED_VALUE"""),601.52)</f>
        <v>601.52</v>
      </c>
      <c r="K396" s="2">
        <f>IFERROR(__xludf.DUMMYFUNCTION("""COMPUTED_VALUE"""),601.52)</f>
        <v>601.52</v>
      </c>
    </row>
    <row r="397">
      <c r="A397" s="2">
        <f>IFERROR(__xludf.DUMMYFUNCTION("""COMPUTED_VALUE"""),1000.0)</f>
        <v>1000</v>
      </c>
      <c r="B397" s="2">
        <f>IFERROR(__xludf.DUMMYFUNCTION("""COMPUTED_VALUE"""),183741.0)</f>
        <v>183741</v>
      </c>
      <c r="C397" s="2">
        <f>IFERROR(__xludf.DUMMYFUNCTION("""COMPUTED_VALUE"""),2026.0)</f>
        <v>2026</v>
      </c>
      <c r="D397" s="2">
        <f>IFERROR(__xludf.DUMMYFUNCTION("""COMPUTED_VALUE"""),46308.0)</f>
        <v>46308</v>
      </c>
      <c r="E397" s="2" t="str">
        <f>IFERROR(__xludf.DUMMYFUNCTION("""COMPUTED_VALUE"""),"VF")</f>
        <v>VF</v>
      </c>
      <c r="F397" s="2">
        <f>IFERROR(__xludf.DUMMYFUNCTION("""COMPUTED_VALUE"""),1.0)</f>
        <v>1</v>
      </c>
      <c r="G397" s="2" t="str">
        <f>IFERROR(__xludf.DUMMYFUNCTION("""COMPUTED_VALUE"""),"PR058")</f>
        <v>PR058</v>
      </c>
      <c r="H397" s="2" t="str">
        <f>IFERROR(__xludf.DUMMYFUNCTION("""COMPUTED_VALUE"""),"VD028")</f>
        <v>VD028</v>
      </c>
      <c r="I397" s="2">
        <f>IFERROR(__xludf.DUMMYFUNCTION("""COMPUTED_VALUE"""),3.0)</f>
        <v>3</v>
      </c>
      <c r="J397" s="2">
        <f>IFERROR(__xludf.DUMMYFUNCTION("""COMPUTED_VALUE"""),594.0)</f>
        <v>594</v>
      </c>
      <c r="K397" s="2">
        <f>IFERROR(__xludf.DUMMYFUNCTION("""COMPUTED_VALUE"""),594.0)</f>
        <v>594</v>
      </c>
    </row>
    <row r="398">
      <c r="A398" s="2">
        <f>IFERROR(__xludf.DUMMYFUNCTION("""COMPUTED_VALUE"""),1000.0)</f>
        <v>1000</v>
      </c>
      <c r="B398" s="2">
        <f>IFERROR(__xludf.DUMMYFUNCTION("""COMPUTED_VALUE"""),183742.0)</f>
        <v>183742</v>
      </c>
      <c r="C398" s="2">
        <f>IFERROR(__xludf.DUMMYFUNCTION("""COMPUTED_VALUE"""),2026.0)</f>
        <v>2026</v>
      </c>
      <c r="D398" s="2">
        <f>IFERROR(__xludf.DUMMYFUNCTION("""COMPUTED_VALUE"""),46307.0)</f>
        <v>46307</v>
      </c>
      <c r="E398" s="2" t="str">
        <f>IFERROR(__xludf.DUMMYFUNCTION("""COMPUTED_VALUE"""),"VF")</f>
        <v>VF</v>
      </c>
      <c r="F398" s="2">
        <f>IFERROR(__xludf.DUMMYFUNCTION("""COMPUTED_VALUE"""),1.0)</f>
        <v>1</v>
      </c>
      <c r="G398" s="2" t="str">
        <f>IFERROR(__xludf.DUMMYFUNCTION("""COMPUTED_VALUE"""),"PR027")</f>
        <v>PR027</v>
      </c>
      <c r="H398" s="2" t="str">
        <f>IFERROR(__xludf.DUMMYFUNCTION("""COMPUTED_VALUE"""),"VD040")</f>
        <v>VD040</v>
      </c>
      <c r="I398" s="2">
        <f>IFERROR(__xludf.DUMMYFUNCTION("""COMPUTED_VALUE"""),14.0)</f>
        <v>14</v>
      </c>
      <c r="J398" s="2">
        <f>IFERROR(__xludf.DUMMYFUNCTION("""COMPUTED_VALUE"""),1730.4)</f>
        <v>1730.4</v>
      </c>
      <c r="K398" s="2">
        <f>IFERROR(__xludf.DUMMYFUNCTION("""COMPUTED_VALUE"""),1730.4)</f>
        <v>1730.4</v>
      </c>
    </row>
    <row r="399">
      <c r="A399" s="2">
        <f>IFERROR(__xludf.DUMMYFUNCTION("""COMPUTED_VALUE"""),1000.0)</f>
        <v>1000</v>
      </c>
      <c r="B399" s="2">
        <f>IFERROR(__xludf.DUMMYFUNCTION("""COMPUTED_VALUE"""),183743.0)</f>
        <v>183743</v>
      </c>
      <c r="C399" s="2">
        <f>IFERROR(__xludf.DUMMYFUNCTION("""COMPUTED_VALUE"""),2026.0)</f>
        <v>2026</v>
      </c>
      <c r="D399" s="2">
        <f>IFERROR(__xludf.DUMMYFUNCTION("""COMPUTED_VALUE"""),46307.0)</f>
        <v>46307</v>
      </c>
      <c r="E399" s="2" t="str">
        <f>IFERROR(__xludf.DUMMYFUNCTION("""COMPUTED_VALUE"""),"VF")</f>
        <v>VF</v>
      </c>
      <c r="F399" s="2">
        <f>IFERROR(__xludf.DUMMYFUNCTION("""COMPUTED_VALUE"""),1.0)</f>
        <v>1</v>
      </c>
      <c r="G399" s="2" t="str">
        <f>IFERROR(__xludf.DUMMYFUNCTION("""COMPUTED_VALUE"""),"PR003")</f>
        <v>PR003</v>
      </c>
      <c r="H399" s="2" t="str">
        <f>IFERROR(__xludf.DUMMYFUNCTION("""COMPUTED_VALUE"""),"VD029")</f>
        <v>VD029</v>
      </c>
      <c r="I399" s="2">
        <f>IFERROR(__xludf.DUMMYFUNCTION("""COMPUTED_VALUE"""),24.0)</f>
        <v>24</v>
      </c>
      <c r="J399" s="2">
        <f>IFERROR(__xludf.DUMMYFUNCTION("""COMPUTED_VALUE"""),1769.66)</f>
        <v>1769.66</v>
      </c>
      <c r="K399" s="2">
        <f>IFERROR(__xludf.DUMMYFUNCTION("""COMPUTED_VALUE"""),1769.66)</f>
        <v>1769.66</v>
      </c>
    </row>
    <row r="400">
      <c r="A400" s="2">
        <f>IFERROR(__xludf.DUMMYFUNCTION("""COMPUTED_VALUE"""),1000.0)</f>
        <v>1000</v>
      </c>
      <c r="B400" s="2">
        <f>IFERROR(__xludf.DUMMYFUNCTION("""COMPUTED_VALUE"""),183744.0)</f>
        <v>183744</v>
      </c>
      <c r="C400" s="2">
        <f>IFERROR(__xludf.DUMMYFUNCTION("""COMPUTED_VALUE"""),2026.0)</f>
        <v>2026</v>
      </c>
      <c r="D400" s="2">
        <f>IFERROR(__xludf.DUMMYFUNCTION("""COMPUTED_VALUE"""),46307.0)</f>
        <v>46307</v>
      </c>
      <c r="E400" s="2" t="str">
        <f>IFERROR(__xludf.DUMMYFUNCTION("""COMPUTED_VALUE"""),"VF")</f>
        <v>VF</v>
      </c>
      <c r="F400" s="2">
        <f>IFERROR(__xludf.DUMMYFUNCTION("""COMPUTED_VALUE"""),1.0)</f>
        <v>1</v>
      </c>
      <c r="G400" s="2" t="str">
        <f>IFERROR(__xludf.DUMMYFUNCTION("""COMPUTED_VALUE"""),"PR032")</f>
        <v>PR032</v>
      </c>
      <c r="H400" s="2" t="str">
        <f>IFERROR(__xludf.DUMMYFUNCTION("""COMPUTED_VALUE"""),"VD016")</f>
        <v>VD016</v>
      </c>
      <c r="I400" s="2">
        <f>IFERROR(__xludf.DUMMYFUNCTION("""COMPUTED_VALUE"""),4.0)</f>
        <v>4</v>
      </c>
      <c r="J400" s="2">
        <f>IFERROR(__xludf.DUMMYFUNCTION("""COMPUTED_VALUE"""),1060.0)</f>
        <v>1060</v>
      </c>
      <c r="K400" s="2">
        <f>IFERROR(__xludf.DUMMYFUNCTION("""COMPUTED_VALUE"""),1060.0)</f>
        <v>1060</v>
      </c>
    </row>
    <row r="401">
      <c r="A401" s="2">
        <f>IFERROR(__xludf.DUMMYFUNCTION("""COMPUTED_VALUE"""),2000.0)</f>
        <v>2000</v>
      </c>
      <c r="B401" s="2">
        <f>IFERROR(__xludf.DUMMYFUNCTION("""COMPUTED_VALUE"""),183745.0)</f>
        <v>183745</v>
      </c>
      <c r="C401" s="2">
        <f>IFERROR(__xludf.DUMMYFUNCTION("""COMPUTED_VALUE"""),2026.0)</f>
        <v>2026</v>
      </c>
      <c r="D401" s="2">
        <f>IFERROR(__xludf.DUMMYFUNCTION("""COMPUTED_VALUE"""),46307.0)</f>
        <v>46307</v>
      </c>
      <c r="E401" s="2" t="str">
        <f>IFERROR(__xludf.DUMMYFUNCTION("""COMPUTED_VALUE"""),"VF")</f>
        <v>VF</v>
      </c>
      <c r="F401" s="2">
        <f>IFERROR(__xludf.DUMMYFUNCTION("""COMPUTED_VALUE"""),1.0)</f>
        <v>1</v>
      </c>
      <c r="G401" s="2" t="str">
        <f>IFERROR(__xludf.DUMMYFUNCTION("""COMPUTED_VALUE"""),"PR049")</f>
        <v>PR049</v>
      </c>
      <c r="H401" s="2" t="str">
        <f>IFERROR(__xludf.DUMMYFUNCTION("""COMPUTED_VALUE"""),"VD015")</f>
        <v>VD015</v>
      </c>
      <c r="I401" s="2">
        <f>IFERROR(__xludf.DUMMYFUNCTION("""COMPUTED_VALUE"""),12.0)</f>
        <v>12</v>
      </c>
      <c r="J401" s="2">
        <f>IFERROR(__xludf.DUMMYFUNCTION("""COMPUTED_VALUE"""),406.64)</f>
        <v>406.64</v>
      </c>
      <c r="K401" s="2">
        <f>IFERROR(__xludf.DUMMYFUNCTION("""COMPUTED_VALUE"""),406.64)</f>
        <v>406.64</v>
      </c>
    </row>
    <row r="402">
      <c r="A402" s="2">
        <f>IFERROR(__xludf.DUMMYFUNCTION("""COMPUTED_VALUE"""),1000.0)</f>
        <v>1000</v>
      </c>
      <c r="B402" s="2">
        <f>IFERROR(__xludf.DUMMYFUNCTION("""COMPUTED_VALUE"""),183746.0)</f>
        <v>183746</v>
      </c>
      <c r="C402" s="2">
        <f>IFERROR(__xludf.DUMMYFUNCTION("""COMPUTED_VALUE"""),2026.0)</f>
        <v>2026</v>
      </c>
      <c r="D402" s="2">
        <f>IFERROR(__xludf.DUMMYFUNCTION("""COMPUTED_VALUE"""),46307.0)</f>
        <v>46307</v>
      </c>
      <c r="E402" s="2" t="str">
        <f>IFERROR(__xludf.DUMMYFUNCTION("""COMPUTED_VALUE"""),"VF")</f>
        <v>VF</v>
      </c>
      <c r="F402" s="2">
        <f>IFERROR(__xludf.DUMMYFUNCTION("""COMPUTED_VALUE"""),1.0)</f>
        <v>1</v>
      </c>
      <c r="G402" s="2" t="str">
        <f>IFERROR(__xludf.DUMMYFUNCTION("""COMPUTED_VALUE"""),"PR011")</f>
        <v>PR011</v>
      </c>
      <c r="H402" s="2" t="str">
        <f>IFERROR(__xludf.DUMMYFUNCTION("""COMPUTED_VALUE"""),"VD016")</f>
        <v>VD016</v>
      </c>
      <c r="I402" s="2">
        <f>IFERROR(__xludf.DUMMYFUNCTION("""COMPUTED_VALUE"""),18.0)</f>
        <v>18</v>
      </c>
      <c r="J402" s="2">
        <f>IFERROR(__xludf.DUMMYFUNCTION("""COMPUTED_VALUE"""),903.29)</f>
        <v>903.29</v>
      </c>
      <c r="K402" s="2">
        <f>IFERROR(__xludf.DUMMYFUNCTION("""COMPUTED_VALUE"""),903.29)</f>
        <v>903.29</v>
      </c>
    </row>
    <row r="403">
      <c r="A403" s="2">
        <f>IFERROR(__xludf.DUMMYFUNCTION("""COMPUTED_VALUE"""),1000.0)</f>
        <v>1000</v>
      </c>
      <c r="B403" s="2">
        <f>IFERROR(__xludf.DUMMYFUNCTION("""COMPUTED_VALUE"""),183746.0)</f>
        <v>183746</v>
      </c>
      <c r="C403" s="2">
        <f>IFERROR(__xludf.DUMMYFUNCTION("""COMPUTED_VALUE"""),2026.0)</f>
        <v>2026</v>
      </c>
      <c r="D403" s="2">
        <f>IFERROR(__xludf.DUMMYFUNCTION("""COMPUTED_VALUE"""),46306.0)</f>
        <v>46306</v>
      </c>
      <c r="E403" s="2" t="str">
        <f>IFERROR(__xludf.DUMMYFUNCTION("""COMPUTED_VALUE"""),"VF")</f>
        <v>VF</v>
      </c>
      <c r="F403" s="2">
        <f>IFERROR(__xludf.DUMMYFUNCTION("""COMPUTED_VALUE"""),2.0)</f>
        <v>2</v>
      </c>
      <c r="G403" s="2" t="str">
        <f>IFERROR(__xludf.DUMMYFUNCTION("""COMPUTED_VALUE"""),"PR015")</f>
        <v>PR015</v>
      </c>
      <c r="H403" s="2" t="str">
        <f>IFERROR(__xludf.DUMMYFUNCTION("""COMPUTED_VALUE"""),"VD028")</f>
        <v>VD028</v>
      </c>
      <c r="I403" s="2">
        <f>IFERROR(__xludf.DUMMYFUNCTION("""COMPUTED_VALUE"""),1.0)</f>
        <v>1</v>
      </c>
      <c r="J403" s="2">
        <f>IFERROR(__xludf.DUMMYFUNCTION("""COMPUTED_VALUE"""),42.93)</f>
        <v>42.93</v>
      </c>
      <c r="K403" s="2">
        <f>IFERROR(__xludf.DUMMYFUNCTION("""COMPUTED_VALUE"""),42.93)</f>
        <v>42.93</v>
      </c>
    </row>
    <row r="404">
      <c r="A404" s="2">
        <f>IFERROR(__xludf.DUMMYFUNCTION("""COMPUTED_VALUE"""),1000.0)</f>
        <v>1000</v>
      </c>
      <c r="B404" s="2">
        <f>IFERROR(__xludf.DUMMYFUNCTION("""COMPUTED_VALUE"""),183747.0)</f>
        <v>183747</v>
      </c>
      <c r="C404" s="2">
        <f>IFERROR(__xludf.DUMMYFUNCTION("""COMPUTED_VALUE"""),2026.0)</f>
        <v>2026</v>
      </c>
      <c r="D404" s="2">
        <f>IFERROR(__xludf.DUMMYFUNCTION("""COMPUTED_VALUE"""),46306.0)</f>
        <v>46306</v>
      </c>
      <c r="E404" s="2" t="str">
        <f>IFERROR(__xludf.DUMMYFUNCTION("""COMPUTED_VALUE"""),"VF")</f>
        <v>VF</v>
      </c>
      <c r="F404" s="2">
        <f>IFERROR(__xludf.DUMMYFUNCTION("""COMPUTED_VALUE"""),1.0)</f>
        <v>1</v>
      </c>
      <c r="G404" s="2" t="str">
        <f>IFERROR(__xludf.DUMMYFUNCTION("""COMPUTED_VALUE"""),"PR025")</f>
        <v>PR025</v>
      </c>
      <c r="H404" s="2" t="str">
        <f>IFERROR(__xludf.DUMMYFUNCTION("""COMPUTED_VALUE"""),"VD025")</f>
        <v>VD025</v>
      </c>
      <c r="I404" s="2">
        <f>IFERROR(__xludf.DUMMYFUNCTION("""COMPUTED_VALUE"""),16.0)</f>
        <v>16</v>
      </c>
      <c r="J404" s="2">
        <f>IFERROR(__xludf.DUMMYFUNCTION("""COMPUTED_VALUE"""),4942.35)</f>
        <v>4942.35</v>
      </c>
      <c r="K404" s="2">
        <f>IFERROR(__xludf.DUMMYFUNCTION("""COMPUTED_VALUE"""),4942.35)</f>
        <v>4942.35</v>
      </c>
    </row>
    <row r="405">
      <c r="A405" s="2">
        <f>IFERROR(__xludf.DUMMYFUNCTION("""COMPUTED_VALUE"""),2000.0)</f>
        <v>2000</v>
      </c>
      <c r="B405" s="2">
        <f>IFERROR(__xludf.DUMMYFUNCTION("""COMPUTED_VALUE"""),183748.0)</f>
        <v>183748</v>
      </c>
      <c r="C405" s="2">
        <f>IFERROR(__xludf.DUMMYFUNCTION("""COMPUTED_VALUE"""),2026.0)</f>
        <v>2026</v>
      </c>
      <c r="D405" s="2">
        <f>IFERROR(__xludf.DUMMYFUNCTION("""COMPUTED_VALUE"""),46306.0)</f>
        <v>46306</v>
      </c>
      <c r="E405" s="2" t="str">
        <f>IFERROR(__xludf.DUMMYFUNCTION("""COMPUTED_VALUE"""),"VF")</f>
        <v>VF</v>
      </c>
      <c r="F405" s="2">
        <f>IFERROR(__xludf.DUMMYFUNCTION("""COMPUTED_VALUE"""),1.0)</f>
        <v>1</v>
      </c>
      <c r="G405" s="2" t="str">
        <f>IFERROR(__xludf.DUMMYFUNCTION("""COMPUTED_VALUE"""),"PR023")</f>
        <v>PR023</v>
      </c>
      <c r="H405" s="2" t="str">
        <f>IFERROR(__xludf.DUMMYFUNCTION("""COMPUTED_VALUE"""),"VD047")</f>
        <v>VD047</v>
      </c>
      <c r="I405" s="2">
        <f>IFERROR(__xludf.DUMMYFUNCTION("""COMPUTED_VALUE"""),2.0)</f>
        <v>2</v>
      </c>
      <c r="J405" s="2">
        <f>IFERROR(__xludf.DUMMYFUNCTION("""COMPUTED_VALUE"""),539.78)</f>
        <v>539.78</v>
      </c>
      <c r="K405" s="2">
        <f>IFERROR(__xludf.DUMMYFUNCTION("""COMPUTED_VALUE"""),539.78)</f>
        <v>539.78</v>
      </c>
    </row>
    <row r="406">
      <c r="A406" s="2">
        <f>IFERROR(__xludf.DUMMYFUNCTION("""COMPUTED_VALUE"""),1000.0)</f>
        <v>1000</v>
      </c>
      <c r="B406" s="2">
        <f>IFERROR(__xludf.DUMMYFUNCTION("""COMPUTED_VALUE"""),183748.0)</f>
        <v>183748</v>
      </c>
      <c r="C406" s="2">
        <f>IFERROR(__xludf.DUMMYFUNCTION("""COMPUTED_VALUE"""),2026.0)</f>
        <v>2026</v>
      </c>
      <c r="D406" s="2">
        <f>IFERROR(__xludf.DUMMYFUNCTION("""COMPUTED_VALUE"""),46306.0)</f>
        <v>46306</v>
      </c>
      <c r="E406" s="2" t="str">
        <f>IFERROR(__xludf.DUMMYFUNCTION("""COMPUTED_VALUE"""),"VF")</f>
        <v>VF</v>
      </c>
      <c r="F406" s="2">
        <f>IFERROR(__xludf.DUMMYFUNCTION("""COMPUTED_VALUE"""),2.0)</f>
        <v>2</v>
      </c>
      <c r="G406" s="2" t="str">
        <f>IFERROR(__xludf.DUMMYFUNCTION("""COMPUTED_VALUE"""),"PR031")</f>
        <v>PR031</v>
      </c>
      <c r="H406" s="2" t="str">
        <f>IFERROR(__xludf.DUMMYFUNCTION("""COMPUTED_VALUE"""),"VD035")</f>
        <v>VD035</v>
      </c>
      <c r="I406" s="2">
        <f>IFERROR(__xludf.DUMMYFUNCTION("""COMPUTED_VALUE"""),9.0)</f>
        <v>9</v>
      </c>
      <c r="J406" s="2">
        <f>IFERROR(__xludf.DUMMYFUNCTION("""COMPUTED_VALUE"""),2337.3)</f>
        <v>2337.3</v>
      </c>
      <c r="K406" s="2">
        <f>IFERROR(__xludf.DUMMYFUNCTION("""COMPUTED_VALUE"""),2337.3)</f>
        <v>2337.3</v>
      </c>
    </row>
    <row r="407">
      <c r="A407" s="2">
        <f>IFERROR(__xludf.DUMMYFUNCTION("""COMPUTED_VALUE"""),1000.0)</f>
        <v>1000</v>
      </c>
      <c r="B407" s="2">
        <f>IFERROR(__xludf.DUMMYFUNCTION("""COMPUTED_VALUE"""),183748.0)</f>
        <v>183748</v>
      </c>
      <c r="C407" s="2">
        <f>IFERROR(__xludf.DUMMYFUNCTION("""COMPUTED_VALUE"""),2026.0)</f>
        <v>2026</v>
      </c>
      <c r="D407" s="2">
        <f>IFERROR(__xludf.DUMMYFUNCTION("""COMPUTED_VALUE"""),46305.0)</f>
        <v>46305</v>
      </c>
      <c r="E407" s="2" t="str">
        <f>IFERROR(__xludf.DUMMYFUNCTION("""COMPUTED_VALUE"""),"VF")</f>
        <v>VF</v>
      </c>
      <c r="F407" s="2">
        <f>IFERROR(__xludf.DUMMYFUNCTION("""COMPUTED_VALUE"""),3.0)</f>
        <v>3</v>
      </c>
      <c r="G407" s="2" t="str">
        <f>IFERROR(__xludf.DUMMYFUNCTION("""COMPUTED_VALUE"""),"PR004")</f>
        <v>PR004</v>
      </c>
      <c r="H407" s="2" t="str">
        <f>IFERROR(__xludf.DUMMYFUNCTION("""COMPUTED_VALUE"""),"VD030")</f>
        <v>VD030</v>
      </c>
      <c r="I407" s="2">
        <f>IFERROR(__xludf.DUMMYFUNCTION("""COMPUTED_VALUE"""),5.0)</f>
        <v>5</v>
      </c>
      <c r="J407" s="2">
        <f>IFERROR(__xludf.DUMMYFUNCTION("""COMPUTED_VALUE"""),768.5)</f>
        <v>768.5</v>
      </c>
      <c r="K407" s="2">
        <f>IFERROR(__xludf.DUMMYFUNCTION("""COMPUTED_VALUE"""),768.5)</f>
        <v>768.5</v>
      </c>
    </row>
    <row r="408">
      <c r="A408" s="2">
        <f>IFERROR(__xludf.DUMMYFUNCTION("""COMPUTED_VALUE"""),1000.0)</f>
        <v>1000</v>
      </c>
      <c r="B408" s="2">
        <f>IFERROR(__xludf.DUMMYFUNCTION("""COMPUTED_VALUE"""),183749.0)</f>
        <v>183749</v>
      </c>
      <c r="C408" s="2">
        <f>IFERROR(__xludf.DUMMYFUNCTION("""COMPUTED_VALUE"""),2026.0)</f>
        <v>2026</v>
      </c>
      <c r="D408" s="2">
        <f>IFERROR(__xludf.DUMMYFUNCTION("""COMPUTED_VALUE"""),46305.0)</f>
        <v>46305</v>
      </c>
      <c r="E408" s="2" t="str">
        <f>IFERROR(__xludf.DUMMYFUNCTION("""COMPUTED_VALUE"""),"VF")</f>
        <v>VF</v>
      </c>
      <c r="F408" s="2">
        <f>IFERROR(__xludf.DUMMYFUNCTION("""COMPUTED_VALUE"""),1.0)</f>
        <v>1</v>
      </c>
      <c r="G408" s="2" t="str">
        <f>IFERROR(__xludf.DUMMYFUNCTION("""COMPUTED_VALUE"""),"PR001")</f>
        <v>PR001</v>
      </c>
      <c r="H408" s="2" t="str">
        <f>IFERROR(__xludf.DUMMYFUNCTION("""COMPUTED_VALUE"""),"VD037")</f>
        <v>VD037</v>
      </c>
      <c r="I408" s="2">
        <f>IFERROR(__xludf.DUMMYFUNCTION("""COMPUTED_VALUE"""),4.0)</f>
        <v>4</v>
      </c>
      <c r="J408" s="2">
        <f>IFERROR(__xludf.DUMMYFUNCTION("""COMPUTED_VALUE"""),263.6)</f>
        <v>263.6</v>
      </c>
      <c r="K408" s="2">
        <f>IFERROR(__xludf.DUMMYFUNCTION("""COMPUTED_VALUE"""),263.6)</f>
        <v>263.6</v>
      </c>
    </row>
    <row r="409">
      <c r="A409" s="2">
        <f>IFERROR(__xludf.DUMMYFUNCTION("""COMPUTED_VALUE"""),1000.0)</f>
        <v>1000</v>
      </c>
      <c r="B409" s="2">
        <f>IFERROR(__xludf.DUMMYFUNCTION("""COMPUTED_VALUE"""),183750.0)</f>
        <v>183750</v>
      </c>
      <c r="C409" s="2">
        <f>IFERROR(__xludf.DUMMYFUNCTION("""COMPUTED_VALUE"""),2026.0)</f>
        <v>2026</v>
      </c>
      <c r="D409" s="2">
        <f>IFERROR(__xludf.DUMMYFUNCTION("""COMPUTED_VALUE"""),46305.0)</f>
        <v>46305</v>
      </c>
      <c r="E409" s="2" t="str">
        <f>IFERROR(__xludf.DUMMYFUNCTION("""COMPUTED_VALUE"""),"VF")</f>
        <v>VF</v>
      </c>
      <c r="F409" s="2">
        <f>IFERROR(__xludf.DUMMYFUNCTION("""COMPUTED_VALUE"""),1.0)</f>
        <v>1</v>
      </c>
      <c r="G409" s="2" t="str">
        <f>IFERROR(__xludf.DUMMYFUNCTION("""COMPUTED_VALUE"""),"PR006")</f>
        <v>PR006</v>
      </c>
      <c r="H409" s="2" t="str">
        <f>IFERROR(__xludf.DUMMYFUNCTION("""COMPUTED_VALUE"""),"VD025")</f>
        <v>VD025</v>
      </c>
      <c r="I409" s="2">
        <f>IFERROR(__xludf.DUMMYFUNCTION("""COMPUTED_VALUE"""),8.0)</f>
        <v>8</v>
      </c>
      <c r="J409" s="2">
        <f>IFERROR(__xludf.DUMMYFUNCTION("""COMPUTED_VALUE"""),328.78)</f>
        <v>328.78</v>
      </c>
      <c r="K409" s="2">
        <f>IFERROR(__xludf.DUMMYFUNCTION("""COMPUTED_VALUE"""),328.78)</f>
        <v>328.78</v>
      </c>
    </row>
    <row r="410">
      <c r="A410" s="2">
        <f>IFERROR(__xludf.DUMMYFUNCTION("""COMPUTED_VALUE"""),1000.0)</f>
        <v>1000</v>
      </c>
      <c r="B410" s="2">
        <f>IFERROR(__xludf.DUMMYFUNCTION("""COMPUTED_VALUE"""),183751.0)</f>
        <v>183751</v>
      </c>
      <c r="C410" s="2">
        <f>IFERROR(__xludf.DUMMYFUNCTION("""COMPUTED_VALUE"""),2026.0)</f>
        <v>2026</v>
      </c>
      <c r="D410" s="2">
        <f>IFERROR(__xludf.DUMMYFUNCTION("""COMPUTED_VALUE"""),46305.0)</f>
        <v>46305</v>
      </c>
      <c r="E410" s="2" t="str">
        <f>IFERROR(__xludf.DUMMYFUNCTION("""COMPUTED_VALUE"""),"VF")</f>
        <v>VF</v>
      </c>
      <c r="F410" s="2">
        <f>IFERROR(__xludf.DUMMYFUNCTION("""COMPUTED_VALUE"""),1.0)</f>
        <v>1</v>
      </c>
      <c r="G410" s="2" t="str">
        <f>IFERROR(__xludf.DUMMYFUNCTION("""COMPUTED_VALUE"""),"PR019")</f>
        <v>PR019</v>
      </c>
      <c r="H410" s="2" t="str">
        <f>IFERROR(__xludf.DUMMYFUNCTION("""COMPUTED_VALUE"""),"VD030")</f>
        <v>VD030</v>
      </c>
      <c r="I410" s="2">
        <f>IFERROR(__xludf.DUMMYFUNCTION("""COMPUTED_VALUE"""),6.0)</f>
        <v>6</v>
      </c>
      <c r="J410" s="2">
        <f>IFERROR(__xludf.DUMMYFUNCTION("""COMPUTED_VALUE"""),299.4)</f>
        <v>299.4</v>
      </c>
      <c r="K410" s="2">
        <f>IFERROR(__xludf.DUMMYFUNCTION("""COMPUTED_VALUE"""),299.4)</f>
        <v>299.4</v>
      </c>
    </row>
    <row r="411">
      <c r="A411" s="2">
        <f>IFERROR(__xludf.DUMMYFUNCTION("""COMPUTED_VALUE"""),1000.0)</f>
        <v>1000</v>
      </c>
      <c r="B411" s="2">
        <f>IFERROR(__xludf.DUMMYFUNCTION("""COMPUTED_VALUE"""),183752.0)</f>
        <v>183752</v>
      </c>
      <c r="C411" s="2">
        <f>IFERROR(__xludf.DUMMYFUNCTION("""COMPUTED_VALUE"""),2026.0)</f>
        <v>2026</v>
      </c>
      <c r="D411" s="2">
        <f>IFERROR(__xludf.DUMMYFUNCTION("""COMPUTED_VALUE"""),46305.0)</f>
        <v>46305</v>
      </c>
      <c r="E411" s="2" t="str">
        <f>IFERROR(__xludf.DUMMYFUNCTION("""COMPUTED_VALUE"""),"VF")</f>
        <v>VF</v>
      </c>
      <c r="F411" s="2">
        <f>IFERROR(__xludf.DUMMYFUNCTION("""COMPUTED_VALUE"""),1.0)</f>
        <v>1</v>
      </c>
      <c r="G411" s="2" t="str">
        <f>IFERROR(__xludf.DUMMYFUNCTION("""COMPUTED_VALUE"""),"PR048")</f>
        <v>PR048</v>
      </c>
      <c r="H411" s="2" t="str">
        <f>IFERROR(__xludf.DUMMYFUNCTION("""COMPUTED_VALUE"""),"VD037")</f>
        <v>VD037</v>
      </c>
      <c r="I411" s="2">
        <f>IFERROR(__xludf.DUMMYFUNCTION("""COMPUTED_VALUE"""),6.0)</f>
        <v>6</v>
      </c>
      <c r="J411" s="2">
        <f>IFERROR(__xludf.DUMMYFUNCTION("""COMPUTED_VALUE"""),1861.16)</f>
        <v>1861.16</v>
      </c>
      <c r="K411" s="2">
        <f>IFERROR(__xludf.DUMMYFUNCTION("""COMPUTED_VALUE"""),1861.16)</f>
        <v>1861.16</v>
      </c>
    </row>
    <row r="412">
      <c r="A412" s="2">
        <f>IFERROR(__xludf.DUMMYFUNCTION("""COMPUTED_VALUE"""),2000.0)</f>
        <v>2000</v>
      </c>
      <c r="B412" s="2">
        <f>IFERROR(__xludf.DUMMYFUNCTION("""COMPUTED_VALUE"""),183753.0)</f>
        <v>183753</v>
      </c>
      <c r="C412" s="2">
        <f>IFERROR(__xludf.DUMMYFUNCTION("""COMPUTED_VALUE"""),2026.0)</f>
        <v>2026</v>
      </c>
      <c r="D412" s="2">
        <f>IFERROR(__xludf.DUMMYFUNCTION("""COMPUTED_VALUE"""),46305.0)</f>
        <v>46305</v>
      </c>
      <c r="E412" s="2" t="str">
        <f>IFERROR(__xludf.DUMMYFUNCTION("""COMPUTED_VALUE"""),"VF")</f>
        <v>VF</v>
      </c>
      <c r="F412" s="2">
        <f>IFERROR(__xludf.DUMMYFUNCTION("""COMPUTED_VALUE"""),1.0)</f>
        <v>1</v>
      </c>
      <c r="G412" s="2" t="str">
        <f>IFERROR(__xludf.DUMMYFUNCTION("""COMPUTED_VALUE"""),"PR060")</f>
        <v>PR060</v>
      </c>
      <c r="H412" s="2" t="str">
        <f>IFERROR(__xludf.DUMMYFUNCTION("""COMPUTED_VALUE"""),"VD032")</f>
        <v>VD032</v>
      </c>
      <c r="I412" s="2">
        <f>IFERROR(__xludf.DUMMYFUNCTION("""COMPUTED_VALUE"""),30.0)</f>
        <v>30</v>
      </c>
      <c r="J412" s="2">
        <f>IFERROR(__xludf.DUMMYFUNCTION("""COMPUTED_VALUE"""),5832.0)</f>
        <v>5832</v>
      </c>
      <c r="K412" s="2">
        <f>IFERROR(__xludf.DUMMYFUNCTION("""COMPUTED_VALUE"""),5832.0)</f>
        <v>5832</v>
      </c>
    </row>
    <row r="413">
      <c r="A413" s="2">
        <f>IFERROR(__xludf.DUMMYFUNCTION("""COMPUTED_VALUE"""),1000.0)</f>
        <v>1000</v>
      </c>
      <c r="B413" s="2">
        <f>IFERROR(__xludf.DUMMYFUNCTION("""COMPUTED_VALUE"""),183754.0)</f>
        <v>183754</v>
      </c>
      <c r="C413" s="2">
        <f>IFERROR(__xludf.DUMMYFUNCTION("""COMPUTED_VALUE"""),2026.0)</f>
        <v>2026</v>
      </c>
      <c r="D413" s="2">
        <f>IFERROR(__xludf.DUMMYFUNCTION("""COMPUTED_VALUE"""),46305.0)</f>
        <v>46305</v>
      </c>
      <c r="E413" s="2" t="str">
        <f>IFERROR(__xludf.DUMMYFUNCTION("""COMPUTED_VALUE"""),"VF")</f>
        <v>VF</v>
      </c>
      <c r="F413" s="2">
        <f>IFERROR(__xludf.DUMMYFUNCTION("""COMPUTED_VALUE"""),1.0)</f>
        <v>1</v>
      </c>
      <c r="G413" s="2" t="str">
        <f>IFERROR(__xludf.DUMMYFUNCTION("""COMPUTED_VALUE"""),"PR045")</f>
        <v>PR045</v>
      </c>
      <c r="H413" s="2" t="str">
        <f>IFERROR(__xludf.DUMMYFUNCTION("""COMPUTED_VALUE"""),"VD041")</f>
        <v>VD041</v>
      </c>
      <c r="I413" s="2">
        <f>IFERROR(__xludf.DUMMYFUNCTION("""COMPUTED_VALUE"""),7.0)</f>
        <v>7</v>
      </c>
      <c r="J413" s="2">
        <f>IFERROR(__xludf.DUMMYFUNCTION("""COMPUTED_VALUE"""),553.18)</f>
        <v>553.18</v>
      </c>
      <c r="K413" s="2">
        <f>IFERROR(__xludf.DUMMYFUNCTION("""COMPUTED_VALUE"""),553.18)</f>
        <v>553.18</v>
      </c>
    </row>
    <row r="414">
      <c r="A414" s="2">
        <f>IFERROR(__xludf.DUMMYFUNCTION("""COMPUTED_VALUE"""),1000.0)</f>
        <v>1000</v>
      </c>
      <c r="B414" s="2">
        <f>IFERROR(__xludf.DUMMYFUNCTION("""COMPUTED_VALUE"""),183755.0)</f>
        <v>183755</v>
      </c>
      <c r="C414" s="2">
        <f>IFERROR(__xludf.DUMMYFUNCTION("""COMPUTED_VALUE"""),2026.0)</f>
        <v>2026</v>
      </c>
      <c r="D414" s="2">
        <f>IFERROR(__xludf.DUMMYFUNCTION("""COMPUTED_VALUE"""),46304.0)</f>
        <v>46304</v>
      </c>
      <c r="E414" s="2" t="str">
        <f>IFERROR(__xludf.DUMMYFUNCTION("""COMPUTED_VALUE"""),"VF")</f>
        <v>VF</v>
      </c>
      <c r="F414" s="2">
        <f>IFERROR(__xludf.DUMMYFUNCTION("""COMPUTED_VALUE"""),1.0)</f>
        <v>1</v>
      </c>
      <c r="G414" s="2" t="str">
        <f>IFERROR(__xludf.DUMMYFUNCTION("""COMPUTED_VALUE"""),"PR003")</f>
        <v>PR003</v>
      </c>
      <c r="H414" s="2" t="str">
        <f>IFERROR(__xludf.DUMMYFUNCTION("""COMPUTED_VALUE"""),"VD012")</f>
        <v>VD012</v>
      </c>
      <c r="I414" s="2">
        <f>IFERROR(__xludf.DUMMYFUNCTION("""COMPUTED_VALUE"""),27.0)</f>
        <v>27</v>
      </c>
      <c r="J414" s="2">
        <f>IFERROR(__xludf.DUMMYFUNCTION("""COMPUTED_VALUE"""),1914.3)</f>
        <v>1914.3</v>
      </c>
      <c r="K414" s="2">
        <f>IFERROR(__xludf.DUMMYFUNCTION("""COMPUTED_VALUE"""),1914.3)</f>
        <v>1914.3</v>
      </c>
    </row>
    <row r="415">
      <c r="A415" s="2">
        <f>IFERROR(__xludf.DUMMYFUNCTION("""COMPUTED_VALUE"""),1000.0)</f>
        <v>1000</v>
      </c>
      <c r="B415" s="2">
        <f>IFERROR(__xludf.DUMMYFUNCTION("""COMPUTED_VALUE"""),183756.0)</f>
        <v>183756</v>
      </c>
      <c r="C415" s="2">
        <f>IFERROR(__xludf.DUMMYFUNCTION("""COMPUTED_VALUE"""),2026.0)</f>
        <v>2026</v>
      </c>
      <c r="D415" s="2">
        <f>IFERROR(__xludf.DUMMYFUNCTION("""COMPUTED_VALUE"""),46304.0)</f>
        <v>46304</v>
      </c>
      <c r="E415" s="2" t="str">
        <f>IFERROR(__xludf.DUMMYFUNCTION("""COMPUTED_VALUE"""),"VF")</f>
        <v>VF</v>
      </c>
      <c r="F415" s="2">
        <f>IFERROR(__xludf.DUMMYFUNCTION("""COMPUTED_VALUE"""),1.0)</f>
        <v>1</v>
      </c>
      <c r="G415" s="2" t="str">
        <f>IFERROR(__xludf.DUMMYFUNCTION("""COMPUTED_VALUE"""),"PR056")</f>
        <v>PR056</v>
      </c>
      <c r="H415" s="2" t="str">
        <f>IFERROR(__xludf.DUMMYFUNCTION("""COMPUTED_VALUE"""),"VD030")</f>
        <v>VD030</v>
      </c>
      <c r="I415" s="2">
        <f>IFERROR(__xludf.DUMMYFUNCTION("""COMPUTED_VALUE"""),12.0)</f>
        <v>12</v>
      </c>
      <c r="J415" s="2">
        <f>IFERROR(__xludf.DUMMYFUNCTION("""COMPUTED_VALUE"""),1089.59)</f>
        <v>1089.59</v>
      </c>
      <c r="K415" s="2">
        <f>IFERROR(__xludf.DUMMYFUNCTION("""COMPUTED_VALUE"""),1089.59)</f>
        <v>1089.59</v>
      </c>
    </row>
    <row r="416">
      <c r="A416" s="2">
        <f>IFERROR(__xludf.DUMMYFUNCTION("""COMPUTED_VALUE"""),1000.0)</f>
        <v>1000</v>
      </c>
      <c r="B416" s="2">
        <f>IFERROR(__xludf.DUMMYFUNCTION("""COMPUTED_VALUE"""),183757.0)</f>
        <v>183757</v>
      </c>
      <c r="C416" s="2">
        <f>IFERROR(__xludf.DUMMYFUNCTION("""COMPUTED_VALUE"""),2026.0)</f>
        <v>2026</v>
      </c>
      <c r="D416" s="2">
        <f>IFERROR(__xludf.DUMMYFUNCTION("""COMPUTED_VALUE"""),46304.0)</f>
        <v>46304</v>
      </c>
      <c r="E416" s="2" t="str">
        <f>IFERROR(__xludf.DUMMYFUNCTION("""COMPUTED_VALUE"""),"VF")</f>
        <v>VF</v>
      </c>
      <c r="F416" s="2">
        <f>IFERROR(__xludf.DUMMYFUNCTION("""COMPUTED_VALUE"""),1.0)</f>
        <v>1</v>
      </c>
      <c r="G416" s="2" t="str">
        <f>IFERROR(__xludf.DUMMYFUNCTION("""COMPUTED_VALUE"""),"PR033")</f>
        <v>PR033</v>
      </c>
      <c r="H416" s="2" t="str">
        <f>IFERROR(__xludf.DUMMYFUNCTION("""COMPUTED_VALUE"""),"VD014")</f>
        <v>VD014</v>
      </c>
      <c r="I416" s="2">
        <f>IFERROR(__xludf.DUMMYFUNCTION("""COMPUTED_VALUE"""),10.0)</f>
        <v>10</v>
      </c>
      <c r="J416" s="2">
        <f>IFERROR(__xludf.DUMMYFUNCTION("""COMPUTED_VALUE"""),2702.96)</f>
        <v>2702.96</v>
      </c>
      <c r="K416" s="2">
        <f>IFERROR(__xludf.DUMMYFUNCTION("""COMPUTED_VALUE"""),2702.96)</f>
        <v>2702.96</v>
      </c>
    </row>
    <row r="417">
      <c r="A417" s="2">
        <f>IFERROR(__xludf.DUMMYFUNCTION("""COMPUTED_VALUE"""),1000.0)</f>
        <v>1000</v>
      </c>
      <c r="B417" s="2">
        <f>IFERROR(__xludf.DUMMYFUNCTION("""COMPUTED_VALUE"""),183758.0)</f>
        <v>183758</v>
      </c>
      <c r="C417" s="2">
        <f>IFERROR(__xludf.DUMMYFUNCTION("""COMPUTED_VALUE"""),2026.0)</f>
        <v>2026</v>
      </c>
      <c r="D417" s="2">
        <f>IFERROR(__xludf.DUMMYFUNCTION("""COMPUTED_VALUE"""),46304.0)</f>
        <v>46304</v>
      </c>
      <c r="E417" s="2" t="str">
        <f>IFERROR(__xludf.DUMMYFUNCTION("""COMPUTED_VALUE"""),"VF")</f>
        <v>VF</v>
      </c>
      <c r="F417" s="2">
        <f>IFERROR(__xludf.DUMMYFUNCTION("""COMPUTED_VALUE"""),1.0)</f>
        <v>1</v>
      </c>
      <c r="G417" s="2" t="str">
        <f>IFERROR(__xludf.DUMMYFUNCTION("""COMPUTED_VALUE"""),"PR041")</f>
        <v>PR041</v>
      </c>
      <c r="H417" s="2" t="str">
        <f>IFERROR(__xludf.DUMMYFUNCTION("""COMPUTED_VALUE"""),"VD014")</f>
        <v>VD014</v>
      </c>
      <c r="I417" s="2">
        <f>IFERROR(__xludf.DUMMYFUNCTION("""COMPUTED_VALUE"""),20.0)</f>
        <v>20</v>
      </c>
      <c r="J417" s="2">
        <f>IFERROR(__xludf.DUMMYFUNCTION("""COMPUTED_VALUE"""),1108.98)</f>
        <v>1108.98</v>
      </c>
      <c r="K417" s="2">
        <f>IFERROR(__xludf.DUMMYFUNCTION("""COMPUTED_VALUE"""),1108.98)</f>
        <v>1108.98</v>
      </c>
    </row>
    <row r="418">
      <c r="A418" s="2">
        <f>IFERROR(__xludf.DUMMYFUNCTION("""COMPUTED_VALUE"""),1000.0)</f>
        <v>1000</v>
      </c>
      <c r="B418" s="2">
        <f>IFERROR(__xludf.DUMMYFUNCTION("""COMPUTED_VALUE"""),183759.0)</f>
        <v>183759</v>
      </c>
      <c r="C418" s="2">
        <f>IFERROR(__xludf.DUMMYFUNCTION("""COMPUTED_VALUE"""),2026.0)</f>
        <v>2026</v>
      </c>
      <c r="D418" s="2">
        <f>IFERROR(__xludf.DUMMYFUNCTION("""COMPUTED_VALUE"""),46304.0)</f>
        <v>46304</v>
      </c>
      <c r="E418" s="2" t="str">
        <f>IFERROR(__xludf.DUMMYFUNCTION("""COMPUTED_VALUE"""),"VF")</f>
        <v>VF</v>
      </c>
      <c r="F418" s="2">
        <f>IFERROR(__xludf.DUMMYFUNCTION("""COMPUTED_VALUE"""),1.0)</f>
        <v>1</v>
      </c>
      <c r="G418" s="2" t="str">
        <f>IFERROR(__xludf.DUMMYFUNCTION("""COMPUTED_VALUE"""),"PR004")</f>
        <v>PR004</v>
      </c>
      <c r="H418" s="2" t="str">
        <f>IFERROR(__xludf.DUMMYFUNCTION("""COMPUTED_VALUE"""),"VD011")</f>
        <v>VD011</v>
      </c>
      <c r="I418" s="2">
        <f>IFERROR(__xludf.DUMMYFUNCTION("""COMPUTED_VALUE"""),10.0)</f>
        <v>10</v>
      </c>
      <c r="J418" s="2">
        <f>IFERROR(__xludf.DUMMYFUNCTION("""COMPUTED_VALUE"""),1464.5)</f>
        <v>1464.5</v>
      </c>
      <c r="K418" s="2">
        <f>IFERROR(__xludf.DUMMYFUNCTION("""COMPUTED_VALUE"""),1464.5)</f>
        <v>1464.5</v>
      </c>
    </row>
    <row r="419">
      <c r="A419" s="2">
        <f>IFERROR(__xludf.DUMMYFUNCTION("""COMPUTED_VALUE"""),1000.0)</f>
        <v>1000</v>
      </c>
      <c r="B419" s="2">
        <f>IFERROR(__xludf.DUMMYFUNCTION("""COMPUTED_VALUE"""),183760.0)</f>
        <v>183760</v>
      </c>
      <c r="C419" s="2">
        <f>IFERROR(__xludf.DUMMYFUNCTION("""COMPUTED_VALUE"""),2026.0)</f>
        <v>2026</v>
      </c>
      <c r="D419" s="2">
        <f>IFERROR(__xludf.DUMMYFUNCTION("""COMPUTED_VALUE"""),46304.0)</f>
        <v>46304</v>
      </c>
      <c r="E419" s="2" t="str">
        <f>IFERROR(__xludf.DUMMYFUNCTION("""COMPUTED_VALUE"""),"VF")</f>
        <v>VF</v>
      </c>
      <c r="F419" s="2">
        <f>IFERROR(__xludf.DUMMYFUNCTION("""COMPUTED_VALUE"""),1.0)</f>
        <v>1</v>
      </c>
      <c r="G419" s="2" t="str">
        <f>IFERROR(__xludf.DUMMYFUNCTION("""COMPUTED_VALUE"""),"PR007")</f>
        <v>PR007</v>
      </c>
      <c r="H419" s="2" t="str">
        <f>IFERROR(__xludf.DUMMYFUNCTION("""COMPUTED_VALUE"""),"VD020")</f>
        <v>VD020</v>
      </c>
      <c r="I419" s="2">
        <f>IFERROR(__xludf.DUMMYFUNCTION("""COMPUTED_VALUE"""),9.0)</f>
        <v>9</v>
      </c>
      <c r="J419" s="2">
        <f>IFERROR(__xludf.DUMMYFUNCTION("""COMPUTED_VALUE"""),850.41)</f>
        <v>850.41</v>
      </c>
      <c r="K419" s="2">
        <f>IFERROR(__xludf.DUMMYFUNCTION("""COMPUTED_VALUE"""),850.41)</f>
        <v>850.41</v>
      </c>
    </row>
    <row r="420">
      <c r="A420" s="2">
        <f>IFERROR(__xludf.DUMMYFUNCTION("""COMPUTED_VALUE"""),1000.0)</f>
        <v>1000</v>
      </c>
      <c r="B420" s="2">
        <f>IFERROR(__xludf.DUMMYFUNCTION("""COMPUTED_VALUE"""),183761.0)</f>
        <v>183761</v>
      </c>
      <c r="C420" s="2">
        <f>IFERROR(__xludf.DUMMYFUNCTION("""COMPUTED_VALUE"""),2026.0)</f>
        <v>2026</v>
      </c>
      <c r="D420" s="2">
        <f>IFERROR(__xludf.DUMMYFUNCTION("""COMPUTED_VALUE"""),46304.0)</f>
        <v>46304</v>
      </c>
      <c r="E420" s="2" t="str">
        <f>IFERROR(__xludf.DUMMYFUNCTION("""COMPUTED_VALUE"""),"VF")</f>
        <v>VF</v>
      </c>
      <c r="F420" s="2">
        <f>IFERROR(__xludf.DUMMYFUNCTION("""COMPUTED_VALUE"""),1.0)</f>
        <v>1</v>
      </c>
      <c r="G420" s="2" t="str">
        <f>IFERROR(__xludf.DUMMYFUNCTION("""COMPUTED_VALUE"""),"PR046")</f>
        <v>PR046</v>
      </c>
      <c r="H420" s="2" t="str">
        <f>IFERROR(__xludf.DUMMYFUNCTION("""COMPUTED_VALUE"""),"VD015")</f>
        <v>VD015</v>
      </c>
      <c r="I420" s="2">
        <f>IFERROR(__xludf.DUMMYFUNCTION("""COMPUTED_VALUE"""),9.0)</f>
        <v>9</v>
      </c>
      <c r="J420" s="2">
        <f>IFERROR(__xludf.DUMMYFUNCTION("""COMPUTED_VALUE"""),2713.46)</f>
        <v>2713.46</v>
      </c>
      <c r="K420" s="2">
        <f>IFERROR(__xludf.DUMMYFUNCTION("""COMPUTED_VALUE"""),2713.46)</f>
        <v>2713.46</v>
      </c>
    </row>
    <row r="421">
      <c r="A421" s="2">
        <f>IFERROR(__xludf.DUMMYFUNCTION("""COMPUTED_VALUE"""),1000.0)</f>
        <v>1000</v>
      </c>
      <c r="B421" s="2">
        <f>IFERROR(__xludf.DUMMYFUNCTION("""COMPUTED_VALUE"""),183762.0)</f>
        <v>183762</v>
      </c>
      <c r="C421" s="2">
        <f>IFERROR(__xludf.DUMMYFUNCTION("""COMPUTED_VALUE"""),2026.0)</f>
        <v>2026</v>
      </c>
      <c r="D421" s="2">
        <f>IFERROR(__xludf.DUMMYFUNCTION("""COMPUTED_VALUE"""),46304.0)</f>
        <v>46304</v>
      </c>
      <c r="E421" s="2" t="str">
        <f>IFERROR(__xludf.DUMMYFUNCTION("""COMPUTED_VALUE"""),"VF")</f>
        <v>VF</v>
      </c>
      <c r="F421" s="2">
        <f>IFERROR(__xludf.DUMMYFUNCTION("""COMPUTED_VALUE"""),1.0)</f>
        <v>1</v>
      </c>
      <c r="G421" s="2" t="str">
        <f>IFERROR(__xludf.DUMMYFUNCTION("""COMPUTED_VALUE"""),"PR024")</f>
        <v>PR024</v>
      </c>
      <c r="H421" s="2" t="str">
        <f>IFERROR(__xludf.DUMMYFUNCTION("""COMPUTED_VALUE"""),"VD011")</f>
        <v>VD011</v>
      </c>
      <c r="I421" s="2">
        <f>IFERROR(__xludf.DUMMYFUNCTION("""COMPUTED_VALUE"""),3.0)</f>
        <v>3</v>
      </c>
      <c r="J421" s="2">
        <f>IFERROR(__xludf.DUMMYFUNCTION("""COMPUTED_VALUE"""),834.28)</f>
        <v>834.28</v>
      </c>
      <c r="K421" s="2">
        <f>IFERROR(__xludf.DUMMYFUNCTION("""COMPUTED_VALUE"""),834.28)</f>
        <v>834.28</v>
      </c>
    </row>
    <row r="422">
      <c r="A422" s="2">
        <f>IFERROR(__xludf.DUMMYFUNCTION("""COMPUTED_VALUE"""),2000.0)</f>
        <v>2000</v>
      </c>
      <c r="B422" s="2">
        <f>IFERROR(__xludf.DUMMYFUNCTION("""COMPUTED_VALUE"""),183763.0)</f>
        <v>183763</v>
      </c>
      <c r="C422" s="2">
        <f>IFERROR(__xludf.DUMMYFUNCTION("""COMPUTED_VALUE"""),2026.0)</f>
        <v>2026</v>
      </c>
      <c r="D422" s="2">
        <f>IFERROR(__xludf.DUMMYFUNCTION("""COMPUTED_VALUE"""),46304.0)</f>
        <v>46304</v>
      </c>
      <c r="E422" s="2" t="str">
        <f>IFERROR(__xludf.DUMMYFUNCTION("""COMPUTED_VALUE"""),"VF")</f>
        <v>VF</v>
      </c>
      <c r="F422" s="2">
        <f>IFERROR(__xludf.DUMMYFUNCTION("""COMPUTED_VALUE"""),1.0)</f>
        <v>1</v>
      </c>
      <c r="G422" s="2" t="str">
        <f>IFERROR(__xludf.DUMMYFUNCTION("""COMPUTED_VALUE"""),"PR047")</f>
        <v>PR047</v>
      </c>
      <c r="H422" s="2" t="str">
        <f>IFERROR(__xludf.DUMMYFUNCTION("""COMPUTED_VALUE"""),"VD033")</f>
        <v>VD033</v>
      </c>
      <c r="I422" s="2">
        <f>IFERROR(__xludf.DUMMYFUNCTION("""COMPUTED_VALUE"""),1.0)</f>
        <v>1</v>
      </c>
      <c r="J422" s="2">
        <f>IFERROR(__xludf.DUMMYFUNCTION("""COMPUTED_VALUE"""),307.29)</f>
        <v>307.29</v>
      </c>
      <c r="K422" s="2">
        <f>IFERROR(__xludf.DUMMYFUNCTION("""COMPUTED_VALUE"""),307.29)</f>
        <v>307.29</v>
      </c>
    </row>
    <row r="423">
      <c r="A423" s="2">
        <f>IFERROR(__xludf.DUMMYFUNCTION("""COMPUTED_VALUE"""),1000.0)</f>
        <v>1000</v>
      </c>
      <c r="B423" s="2">
        <f>IFERROR(__xludf.DUMMYFUNCTION("""COMPUTED_VALUE"""),183764.0)</f>
        <v>183764</v>
      </c>
      <c r="C423" s="2">
        <f>IFERROR(__xludf.DUMMYFUNCTION("""COMPUTED_VALUE"""),2026.0)</f>
        <v>2026</v>
      </c>
      <c r="D423" s="2">
        <f>IFERROR(__xludf.DUMMYFUNCTION("""COMPUTED_VALUE"""),46304.0)</f>
        <v>46304</v>
      </c>
      <c r="E423" s="2" t="str">
        <f>IFERROR(__xludf.DUMMYFUNCTION("""COMPUTED_VALUE"""),"VF")</f>
        <v>VF</v>
      </c>
      <c r="F423" s="2">
        <f>IFERROR(__xludf.DUMMYFUNCTION("""COMPUTED_VALUE"""),1.0)</f>
        <v>1</v>
      </c>
      <c r="G423" s="2" t="str">
        <f>IFERROR(__xludf.DUMMYFUNCTION("""COMPUTED_VALUE"""),"PR032")</f>
        <v>PR032</v>
      </c>
      <c r="H423" s="2" t="str">
        <f>IFERROR(__xludf.DUMMYFUNCTION("""COMPUTED_VALUE"""),"VD025")</f>
        <v>VD025</v>
      </c>
      <c r="I423" s="2">
        <f>IFERROR(__xludf.DUMMYFUNCTION("""COMPUTED_VALUE"""),16.0)</f>
        <v>16</v>
      </c>
      <c r="J423" s="2">
        <f>IFERROR(__xludf.DUMMYFUNCTION("""COMPUTED_VALUE"""),4080.0)</f>
        <v>4080</v>
      </c>
      <c r="K423" s="2">
        <f>IFERROR(__xludf.DUMMYFUNCTION("""COMPUTED_VALUE"""),4080.0)</f>
        <v>4080</v>
      </c>
    </row>
    <row r="424">
      <c r="A424" s="2">
        <f>IFERROR(__xludf.DUMMYFUNCTION("""COMPUTED_VALUE"""),1000.0)</f>
        <v>1000</v>
      </c>
      <c r="B424" s="2">
        <f>IFERROR(__xludf.DUMMYFUNCTION("""COMPUTED_VALUE"""),183765.0)</f>
        <v>183765</v>
      </c>
      <c r="C424" s="2">
        <f>IFERROR(__xludf.DUMMYFUNCTION("""COMPUTED_VALUE"""),2026.0)</f>
        <v>2026</v>
      </c>
      <c r="D424" s="2">
        <f>IFERROR(__xludf.DUMMYFUNCTION("""COMPUTED_VALUE"""),46304.0)</f>
        <v>46304</v>
      </c>
      <c r="E424" s="2" t="str">
        <f>IFERROR(__xludf.DUMMYFUNCTION("""COMPUTED_VALUE"""),"VF")</f>
        <v>VF</v>
      </c>
      <c r="F424" s="2">
        <f>IFERROR(__xludf.DUMMYFUNCTION("""COMPUTED_VALUE"""),1.0)</f>
        <v>1</v>
      </c>
      <c r="G424" s="2" t="str">
        <f>IFERROR(__xludf.DUMMYFUNCTION("""COMPUTED_VALUE"""),"PR020")</f>
        <v>PR020</v>
      </c>
      <c r="H424" s="2" t="str">
        <f>IFERROR(__xludf.DUMMYFUNCTION("""COMPUTED_VALUE"""),"VD015")</f>
        <v>VD015</v>
      </c>
      <c r="I424" s="2">
        <f>IFERROR(__xludf.DUMMYFUNCTION("""COMPUTED_VALUE"""),10.0)</f>
        <v>10</v>
      </c>
      <c r="J424" s="2">
        <f>IFERROR(__xludf.DUMMYFUNCTION("""COMPUTED_VALUE"""),3088.97)</f>
        <v>3088.97</v>
      </c>
      <c r="K424" s="2">
        <f>IFERROR(__xludf.DUMMYFUNCTION("""COMPUTED_VALUE"""),3088.97)</f>
        <v>3088.97</v>
      </c>
    </row>
    <row r="425">
      <c r="A425" s="2">
        <f>IFERROR(__xludf.DUMMYFUNCTION("""COMPUTED_VALUE"""),1000.0)</f>
        <v>1000</v>
      </c>
      <c r="B425" s="2">
        <f>IFERROR(__xludf.DUMMYFUNCTION("""COMPUTED_VALUE"""),183766.0)</f>
        <v>183766</v>
      </c>
      <c r="C425" s="2">
        <f>IFERROR(__xludf.DUMMYFUNCTION("""COMPUTED_VALUE"""),2026.0)</f>
        <v>2026</v>
      </c>
      <c r="D425" s="2">
        <f>IFERROR(__xludf.DUMMYFUNCTION("""COMPUTED_VALUE"""),46304.0)</f>
        <v>46304</v>
      </c>
      <c r="E425" s="2" t="str">
        <f>IFERROR(__xludf.DUMMYFUNCTION("""COMPUTED_VALUE"""),"VF")</f>
        <v>VF</v>
      </c>
      <c r="F425" s="2">
        <f>IFERROR(__xludf.DUMMYFUNCTION("""COMPUTED_VALUE"""),1.0)</f>
        <v>1</v>
      </c>
      <c r="G425" s="2" t="str">
        <f>IFERROR(__xludf.DUMMYFUNCTION("""COMPUTED_VALUE"""),"PR006")</f>
        <v>PR006</v>
      </c>
      <c r="H425" s="2" t="str">
        <f>IFERROR(__xludf.DUMMYFUNCTION("""COMPUTED_VALUE"""),"VD012")</f>
        <v>VD012</v>
      </c>
      <c r="I425" s="2">
        <f>IFERROR(__xludf.DUMMYFUNCTION("""COMPUTED_VALUE"""),15.0)</f>
        <v>15</v>
      </c>
      <c r="J425" s="2">
        <f>IFERROR(__xludf.DUMMYFUNCTION("""COMPUTED_VALUE"""),634.41)</f>
        <v>634.41</v>
      </c>
      <c r="K425" s="2">
        <f>IFERROR(__xludf.DUMMYFUNCTION("""COMPUTED_VALUE"""),634.41)</f>
        <v>634.41</v>
      </c>
    </row>
    <row r="426">
      <c r="A426" s="2">
        <f>IFERROR(__xludf.DUMMYFUNCTION("""COMPUTED_VALUE"""),1000.0)</f>
        <v>1000</v>
      </c>
      <c r="B426" s="2">
        <f>IFERROR(__xludf.DUMMYFUNCTION("""COMPUTED_VALUE"""),183767.0)</f>
        <v>183767</v>
      </c>
      <c r="C426" s="2">
        <f>IFERROR(__xludf.DUMMYFUNCTION("""COMPUTED_VALUE"""),2026.0)</f>
        <v>2026</v>
      </c>
      <c r="D426" s="2">
        <f>IFERROR(__xludf.DUMMYFUNCTION("""COMPUTED_VALUE"""),46304.0)</f>
        <v>46304</v>
      </c>
      <c r="E426" s="2" t="str">
        <f>IFERROR(__xludf.DUMMYFUNCTION("""COMPUTED_VALUE"""),"VF")</f>
        <v>VF</v>
      </c>
      <c r="F426" s="2">
        <f>IFERROR(__xludf.DUMMYFUNCTION("""COMPUTED_VALUE"""),1.0)</f>
        <v>1</v>
      </c>
      <c r="G426" s="2" t="str">
        <f>IFERROR(__xludf.DUMMYFUNCTION("""COMPUTED_VALUE"""),"PR031")</f>
        <v>PR031</v>
      </c>
      <c r="H426" s="2" t="str">
        <f>IFERROR(__xludf.DUMMYFUNCTION("""COMPUTED_VALUE"""),"VD034")</f>
        <v>VD034</v>
      </c>
      <c r="I426" s="2">
        <f>IFERROR(__xludf.DUMMYFUNCTION("""COMPUTED_VALUE"""),9.0)</f>
        <v>9</v>
      </c>
      <c r="J426" s="2">
        <f>IFERROR(__xludf.DUMMYFUNCTION("""COMPUTED_VALUE"""),2227.05)</f>
        <v>2227.05</v>
      </c>
      <c r="K426" s="2">
        <f>IFERROR(__xludf.DUMMYFUNCTION("""COMPUTED_VALUE"""),2227.05)</f>
        <v>2227.05</v>
      </c>
    </row>
    <row r="427">
      <c r="A427" s="2">
        <f>IFERROR(__xludf.DUMMYFUNCTION("""COMPUTED_VALUE"""),1000.0)</f>
        <v>1000</v>
      </c>
      <c r="B427" s="2">
        <f>IFERROR(__xludf.DUMMYFUNCTION("""COMPUTED_VALUE"""),183767.0)</f>
        <v>183767</v>
      </c>
      <c r="C427" s="2">
        <f>IFERROR(__xludf.DUMMYFUNCTION("""COMPUTED_VALUE"""),2026.0)</f>
        <v>2026</v>
      </c>
      <c r="D427" s="2">
        <f>IFERROR(__xludf.DUMMYFUNCTION("""COMPUTED_VALUE"""),46303.0)</f>
        <v>46303</v>
      </c>
      <c r="E427" s="2" t="str">
        <f>IFERROR(__xludf.DUMMYFUNCTION("""COMPUTED_VALUE"""),"VF")</f>
        <v>VF</v>
      </c>
      <c r="F427" s="2">
        <f>IFERROR(__xludf.DUMMYFUNCTION("""COMPUTED_VALUE"""),2.0)</f>
        <v>2</v>
      </c>
      <c r="G427" s="2" t="str">
        <f>IFERROR(__xludf.DUMMYFUNCTION("""COMPUTED_VALUE"""),"PR052")</f>
        <v>PR052</v>
      </c>
      <c r="H427" s="2" t="str">
        <f>IFERROR(__xludf.DUMMYFUNCTION("""COMPUTED_VALUE"""),"VD044")</f>
        <v>VD044</v>
      </c>
      <c r="I427" s="2">
        <f>IFERROR(__xludf.DUMMYFUNCTION("""COMPUTED_VALUE"""),12.0)</f>
        <v>12</v>
      </c>
      <c r="J427" s="2">
        <f>IFERROR(__xludf.DUMMYFUNCTION("""COMPUTED_VALUE"""),658.68)</f>
        <v>658.68</v>
      </c>
      <c r="K427" s="2">
        <f>IFERROR(__xludf.DUMMYFUNCTION("""COMPUTED_VALUE"""),658.68)</f>
        <v>658.68</v>
      </c>
    </row>
    <row r="428">
      <c r="A428" s="2">
        <f>IFERROR(__xludf.DUMMYFUNCTION("""COMPUTED_VALUE"""),1000.0)</f>
        <v>1000</v>
      </c>
      <c r="B428" s="2">
        <f>IFERROR(__xludf.DUMMYFUNCTION("""COMPUTED_VALUE"""),183767.0)</f>
        <v>183767</v>
      </c>
      <c r="C428" s="2">
        <f>IFERROR(__xludf.DUMMYFUNCTION("""COMPUTED_VALUE"""),2026.0)</f>
        <v>2026</v>
      </c>
      <c r="D428" s="2">
        <f>IFERROR(__xludf.DUMMYFUNCTION("""COMPUTED_VALUE"""),46303.0)</f>
        <v>46303</v>
      </c>
      <c r="E428" s="2" t="str">
        <f>IFERROR(__xludf.DUMMYFUNCTION("""COMPUTED_VALUE"""),"VF")</f>
        <v>VF</v>
      </c>
      <c r="F428" s="2">
        <f>IFERROR(__xludf.DUMMYFUNCTION("""COMPUTED_VALUE"""),3.0)</f>
        <v>3</v>
      </c>
      <c r="G428" s="2" t="str">
        <f>IFERROR(__xludf.DUMMYFUNCTION("""COMPUTED_VALUE"""),"PR050")</f>
        <v>PR050</v>
      </c>
      <c r="H428" s="2" t="str">
        <f>IFERROR(__xludf.DUMMYFUNCTION("""COMPUTED_VALUE"""),"VD018")</f>
        <v>VD018</v>
      </c>
      <c r="I428" s="2">
        <f>IFERROR(__xludf.DUMMYFUNCTION("""COMPUTED_VALUE"""),14.0)</f>
        <v>14</v>
      </c>
      <c r="J428" s="2">
        <f>IFERROR(__xludf.DUMMYFUNCTION("""COMPUTED_VALUE"""),502.05)</f>
        <v>502.05</v>
      </c>
      <c r="K428" s="2">
        <f>IFERROR(__xludf.DUMMYFUNCTION("""COMPUTED_VALUE"""),502.05)</f>
        <v>502.05</v>
      </c>
    </row>
    <row r="429">
      <c r="A429" s="2">
        <f>IFERROR(__xludf.DUMMYFUNCTION("""COMPUTED_VALUE"""),1000.0)</f>
        <v>1000</v>
      </c>
      <c r="B429" s="2">
        <f>IFERROR(__xludf.DUMMYFUNCTION("""COMPUTED_VALUE"""),183768.0)</f>
        <v>183768</v>
      </c>
      <c r="C429" s="2">
        <f>IFERROR(__xludf.DUMMYFUNCTION("""COMPUTED_VALUE"""),2026.0)</f>
        <v>2026</v>
      </c>
      <c r="D429" s="2">
        <f>IFERROR(__xludf.DUMMYFUNCTION("""COMPUTED_VALUE"""),46303.0)</f>
        <v>46303</v>
      </c>
      <c r="E429" s="2" t="str">
        <f>IFERROR(__xludf.DUMMYFUNCTION("""COMPUTED_VALUE"""),"VF")</f>
        <v>VF</v>
      </c>
      <c r="F429" s="2">
        <f>IFERROR(__xludf.DUMMYFUNCTION("""COMPUTED_VALUE"""),1.0)</f>
        <v>1</v>
      </c>
      <c r="G429" s="2" t="str">
        <f>IFERROR(__xludf.DUMMYFUNCTION("""COMPUTED_VALUE"""),"PR042")</f>
        <v>PR042</v>
      </c>
      <c r="H429" s="2" t="str">
        <f>IFERROR(__xludf.DUMMYFUNCTION("""COMPUTED_VALUE"""),"VD018")</f>
        <v>VD018</v>
      </c>
      <c r="I429" s="2">
        <f>IFERROR(__xludf.DUMMYFUNCTION("""COMPUTED_VALUE"""),4.0)</f>
        <v>4</v>
      </c>
      <c r="J429" s="2">
        <f>IFERROR(__xludf.DUMMYFUNCTION("""COMPUTED_VALUE"""),228.38)</f>
        <v>228.38</v>
      </c>
      <c r="K429" s="2">
        <f>IFERROR(__xludf.DUMMYFUNCTION("""COMPUTED_VALUE"""),228.38)</f>
        <v>228.38</v>
      </c>
    </row>
    <row r="430">
      <c r="A430" s="2">
        <f>IFERROR(__xludf.DUMMYFUNCTION("""COMPUTED_VALUE"""),2000.0)</f>
        <v>2000</v>
      </c>
      <c r="B430" s="2">
        <f>IFERROR(__xludf.DUMMYFUNCTION("""COMPUTED_VALUE"""),183769.0)</f>
        <v>183769</v>
      </c>
      <c r="C430" s="2">
        <f>IFERROR(__xludf.DUMMYFUNCTION("""COMPUTED_VALUE"""),2026.0)</f>
        <v>2026</v>
      </c>
      <c r="D430" s="2">
        <f>IFERROR(__xludf.DUMMYFUNCTION("""COMPUTED_VALUE"""),46303.0)</f>
        <v>46303</v>
      </c>
      <c r="E430" s="2" t="str">
        <f>IFERROR(__xludf.DUMMYFUNCTION("""COMPUTED_VALUE"""),"VF")</f>
        <v>VF</v>
      </c>
      <c r="F430" s="2">
        <f>IFERROR(__xludf.DUMMYFUNCTION("""COMPUTED_VALUE"""),1.0)</f>
        <v>1</v>
      </c>
      <c r="G430" s="2" t="str">
        <f>IFERROR(__xludf.DUMMYFUNCTION("""COMPUTED_VALUE"""),"PR006")</f>
        <v>PR006</v>
      </c>
      <c r="H430" s="2" t="str">
        <f>IFERROR(__xludf.DUMMYFUNCTION("""COMPUTED_VALUE"""),"VD021")</f>
        <v>VD021</v>
      </c>
      <c r="I430" s="2">
        <f>IFERROR(__xludf.DUMMYFUNCTION("""COMPUTED_VALUE"""),8.0)</f>
        <v>8</v>
      </c>
      <c r="J430" s="2">
        <f>IFERROR(__xludf.DUMMYFUNCTION("""COMPUTED_VALUE"""),347.93)</f>
        <v>347.93</v>
      </c>
      <c r="K430" s="2">
        <f>IFERROR(__xludf.DUMMYFUNCTION("""COMPUTED_VALUE"""),347.93)</f>
        <v>347.93</v>
      </c>
    </row>
    <row r="431">
      <c r="A431" s="2">
        <f>IFERROR(__xludf.DUMMYFUNCTION("""COMPUTED_VALUE"""),1000.0)</f>
        <v>1000</v>
      </c>
      <c r="B431" s="2">
        <f>IFERROR(__xludf.DUMMYFUNCTION("""COMPUTED_VALUE"""),183770.0)</f>
        <v>183770</v>
      </c>
      <c r="C431" s="2">
        <f>IFERROR(__xludf.DUMMYFUNCTION("""COMPUTED_VALUE"""),2026.0)</f>
        <v>2026</v>
      </c>
      <c r="D431" s="2">
        <f>IFERROR(__xludf.DUMMYFUNCTION("""COMPUTED_VALUE"""),46303.0)</f>
        <v>46303</v>
      </c>
      <c r="E431" s="2" t="str">
        <f>IFERROR(__xludf.DUMMYFUNCTION("""COMPUTED_VALUE"""),"VF")</f>
        <v>VF</v>
      </c>
      <c r="F431" s="2">
        <f>IFERROR(__xludf.DUMMYFUNCTION("""COMPUTED_VALUE"""),1.0)</f>
        <v>1</v>
      </c>
      <c r="G431" s="2" t="str">
        <f>IFERROR(__xludf.DUMMYFUNCTION("""COMPUTED_VALUE"""),"PR016")</f>
        <v>PR016</v>
      </c>
      <c r="H431" s="2" t="str">
        <f>IFERROR(__xludf.DUMMYFUNCTION("""COMPUTED_VALUE"""),"VD017")</f>
        <v>VD017</v>
      </c>
      <c r="I431" s="2">
        <f>IFERROR(__xludf.DUMMYFUNCTION("""COMPUTED_VALUE"""),12.0)</f>
        <v>12</v>
      </c>
      <c r="J431" s="2">
        <f>IFERROR(__xludf.DUMMYFUNCTION("""COMPUTED_VALUE"""),341.88)</f>
        <v>341.88</v>
      </c>
      <c r="K431" s="2">
        <f>IFERROR(__xludf.DUMMYFUNCTION("""COMPUTED_VALUE"""),341.88)</f>
        <v>341.88</v>
      </c>
    </row>
    <row r="432">
      <c r="A432" s="2">
        <f>IFERROR(__xludf.DUMMYFUNCTION("""COMPUTED_VALUE"""),1000.0)</f>
        <v>1000</v>
      </c>
      <c r="B432" s="2">
        <f>IFERROR(__xludf.DUMMYFUNCTION("""COMPUTED_VALUE"""),183771.0)</f>
        <v>183771</v>
      </c>
      <c r="C432" s="2">
        <f>IFERROR(__xludf.DUMMYFUNCTION("""COMPUTED_VALUE"""),2026.0)</f>
        <v>2026</v>
      </c>
      <c r="D432" s="2">
        <f>IFERROR(__xludf.DUMMYFUNCTION("""COMPUTED_VALUE"""),46303.0)</f>
        <v>46303</v>
      </c>
      <c r="E432" s="2" t="str">
        <f>IFERROR(__xludf.DUMMYFUNCTION("""COMPUTED_VALUE"""),"VF")</f>
        <v>VF</v>
      </c>
      <c r="F432" s="2">
        <f>IFERROR(__xludf.DUMMYFUNCTION("""COMPUTED_VALUE"""),1.0)</f>
        <v>1</v>
      </c>
      <c r="G432" s="2" t="str">
        <f>IFERROR(__xludf.DUMMYFUNCTION("""COMPUTED_VALUE"""),"PR015")</f>
        <v>PR015</v>
      </c>
      <c r="H432" s="2" t="str">
        <f>IFERROR(__xludf.DUMMYFUNCTION("""COMPUTED_VALUE"""),"VD034")</f>
        <v>VD034</v>
      </c>
      <c r="I432" s="2">
        <f>IFERROR(__xludf.DUMMYFUNCTION("""COMPUTED_VALUE"""),5.0)</f>
        <v>5</v>
      </c>
      <c r="J432" s="2">
        <f>IFERROR(__xludf.DUMMYFUNCTION("""COMPUTED_VALUE"""),233.75)</f>
        <v>233.75</v>
      </c>
      <c r="K432" s="2">
        <f>IFERROR(__xludf.DUMMYFUNCTION("""COMPUTED_VALUE"""),233.75)</f>
        <v>233.75</v>
      </c>
    </row>
    <row r="433">
      <c r="A433" s="2">
        <f>IFERROR(__xludf.DUMMYFUNCTION("""COMPUTED_VALUE"""),1000.0)</f>
        <v>1000</v>
      </c>
      <c r="B433" s="2">
        <f>IFERROR(__xludf.DUMMYFUNCTION("""COMPUTED_VALUE"""),183772.0)</f>
        <v>183772</v>
      </c>
      <c r="C433" s="2">
        <f>IFERROR(__xludf.DUMMYFUNCTION("""COMPUTED_VALUE"""),2026.0)</f>
        <v>2026</v>
      </c>
      <c r="D433" s="2">
        <f>IFERROR(__xludf.DUMMYFUNCTION("""COMPUTED_VALUE"""),46303.0)</f>
        <v>46303</v>
      </c>
      <c r="E433" s="2" t="str">
        <f>IFERROR(__xludf.DUMMYFUNCTION("""COMPUTED_VALUE"""),"VF")</f>
        <v>VF</v>
      </c>
      <c r="F433" s="2">
        <f>IFERROR(__xludf.DUMMYFUNCTION("""COMPUTED_VALUE"""),1.0)</f>
        <v>1</v>
      </c>
      <c r="G433" s="2" t="str">
        <f>IFERROR(__xludf.DUMMYFUNCTION("""COMPUTED_VALUE"""),"PR003")</f>
        <v>PR003</v>
      </c>
      <c r="H433" s="2" t="str">
        <f>IFERROR(__xludf.DUMMYFUNCTION("""COMPUTED_VALUE"""),"VD041")</f>
        <v>VD041</v>
      </c>
      <c r="I433" s="2">
        <f>IFERROR(__xludf.DUMMYFUNCTION("""COMPUTED_VALUE"""),5.0)</f>
        <v>5</v>
      </c>
      <c r="J433" s="2">
        <f>IFERROR(__xludf.DUMMYFUNCTION("""COMPUTED_VALUE"""),361.59)</f>
        <v>361.59</v>
      </c>
      <c r="K433" s="2">
        <f>IFERROR(__xludf.DUMMYFUNCTION("""COMPUTED_VALUE"""),361.59)</f>
        <v>361.59</v>
      </c>
    </row>
    <row r="434">
      <c r="A434" s="2">
        <f>IFERROR(__xludf.DUMMYFUNCTION("""COMPUTED_VALUE"""),1000.0)</f>
        <v>1000</v>
      </c>
      <c r="B434" s="2">
        <f>IFERROR(__xludf.DUMMYFUNCTION("""COMPUTED_VALUE"""),183773.0)</f>
        <v>183773</v>
      </c>
      <c r="C434" s="2">
        <f>IFERROR(__xludf.DUMMYFUNCTION("""COMPUTED_VALUE"""),2026.0)</f>
        <v>2026</v>
      </c>
      <c r="D434" s="2">
        <f>IFERROR(__xludf.DUMMYFUNCTION("""COMPUTED_VALUE"""),46303.0)</f>
        <v>46303</v>
      </c>
      <c r="E434" s="2" t="str">
        <f>IFERROR(__xludf.DUMMYFUNCTION("""COMPUTED_VALUE"""),"VF")</f>
        <v>VF</v>
      </c>
      <c r="F434" s="2">
        <f>IFERROR(__xludf.DUMMYFUNCTION("""COMPUTED_VALUE"""),1.0)</f>
        <v>1</v>
      </c>
      <c r="G434" s="2" t="str">
        <f>IFERROR(__xludf.DUMMYFUNCTION("""COMPUTED_VALUE"""),"PR007")</f>
        <v>PR007</v>
      </c>
      <c r="H434" s="2" t="str">
        <f>IFERROR(__xludf.DUMMYFUNCTION("""COMPUTED_VALUE"""),"VD025")</f>
        <v>VD025</v>
      </c>
      <c r="I434" s="2">
        <f>IFERROR(__xludf.DUMMYFUNCTION("""COMPUTED_VALUE"""),1.0)</f>
        <v>1</v>
      </c>
      <c r="J434" s="2">
        <f>IFERROR(__xludf.DUMMYFUNCTION("""COMPUTED_VALUE"""),88.48)</f>
        <v>88.48</v>
      </c>
      <c r="K434" s="2">
        <f>IFERROR(__xludf.DUMMYFUNCTION("""COMPUTED_VALUE"""),88.48)</f>
        <v>88.48</v>
      </c>
    </row>
    <row r="435">
      <c r="A435" s="2">
        <f>IFERROR(__xludf.DUMMYFUNCTION("""COMPUTED_VALUE"""),2000.0)</f>
        <v>2000</v>
      </c>
      <c r="B435" s="2">
        <f>IFERROR(__xludf.DUMMYFUNCTION("""COMPUTED_VALUE"""),183773.0)</f>
        <v>183773</v>
      </c>
      <c r="C435" s="2">
        <f>IFERROR(__xludf.DUMMYFUNCTION("""COMPUTED_VALUE"""),2026.0)</f>
        <v>2026</v>
      </c>
      <c r="D435" s="2">
        <f>IFERROR(__xludf.DUMMYFUNCTION("""COMPUTED_VALUE"""),46303.0)</f>
        <v>46303</v>
      </c>
      <c r="E435" s="2" t="str">
        <f>IFERROR(__xludf.DUMMYFUNCTION("""COMPUTED_VALUE"""),"VF")</f>
        <v>VF</v>
      </c>
      <c r="F435" s="2">
        <f>IFERROR(__xludf.DUMMYFUNCTION("""COMPUTED_VALUE"""),2.0)</f>
        <v>2</v>
      </c>
      <c r="G435" s="2" t="str">
        <f>IFERROR(__xludf.DUMMYFUNCTION("""COMPUTED_VALUE"""),"PR031")</f>
        <v>PR031</v>
      </c>
      <c r="H435" s="2" t="str">
        <f>IFERROR(__xludf.DUMMYFUNCTION("""COMPUTED_VALUE"""),"VD046")</f>
        <v>VD046</v>
      </c>
      <c r="I435" s="2">
        <f>IFERROR(__xludf.DUMMYFUNCTION("""COMPUTED_VALUE"""),4.0)</f>
        <v>4</v>
      </c>
      <c r="J435" s="2">
        <f>IFERROR(__xludf.DUMMYFUNCTION("""COMPUTED_VALUE"""),1078.0)</f>
        <v>1078</v>
      </c>
      <c r="K435" s="2">
        <f>IFERROR(__xludf.DUMMYFUNCTION("""COMPUTED_VALUE"""),1078.0)</f>
        <v>1078</v>
      </c>
    </row>
    <row r="436">
      <c r="A436" s="2">
        <f>IFERROR(__xludf.DUMMYFUNCTION("""COMPUTED_VALUE"""),1000.0)</f>
        <v>1000</v>
      </c>
      <c r="B436" s="2">
        <f>IFERROR(__xludf.DUMMYFUNCTION("""COMPUTED_VALUE"""),183774.0)</f>
        <v>183774</v>
      </c>
      <c r="C436" s="2">
        <f>IFERROR(__xludf.DUMMYFUNCTION("""COMPUTED_VALUE"""),2026.0)</f>
        <v>2026</v>
      </c>
      <c r="D436" s="2">
        <f>IFERROR(__xludf.DUMMYFUNCTION("""COMPUTED_VALUE"""),46303.0)</f>
        <v>46303</v>
      </c>
      <c r="E436" s="2" t="str">
        <f>IFERROR(__xludf.DUMMYFUNCTION("""COMPUTED_VALUE"""),"VF")</f>
        <v>VF</v>
      </c>
      <c r="F436" s="2">
        <f>IFERROR(__xludf.DUMMYFUNCTION("""COMPUTED_VALUE"""),1.0)</f>
        <v>1</v>
      </c>
      <c r="G436" s="2" t="str">
        <f>IFERROR(__xludf.DUMMYFUNCTION("""COMPUTED_VALUE"""),"PR037")</f>
        <v>PR037</v>
      </c>
      <c r="H436" s="2" t="str">
        <f>IFERROR(__xludf.DUMMYFUNCTION("""COMPUTED_VALUE"""),"VD021")</f>
        <v>VD021</v>
      </c>
      <c r="I436" s="2">
        <f>IFERROR(__xludf.DUMMYFUNCTION("""COMPUTED_VALUE"""),4.0)</f>
        <v>4</v>
      </c>
      <c r="J436" s="2">
        <f>IFERROR(__xludf.DUMMYFUNCTION("""COMPUTED_VALUE"""),604.8)</f>
        <v>604.8</v>
      </c>
      <c r="K436" s="2">
        <f>IFERROR(__xludf.DUMMYFUNCTION("""COMPUTED_VALUE"""),604.8)</f>
        <v>604.8</v>
      </c>
    </row>
    <row r="437">
      <c r="A437" s="2">
        <f>IFERROR(__xludf.DUMMYFUNCTION("""COMPUTED_VALUE"""),1000.0)</f>
        <v>1000</v>
      </c>
      <c r="B437" s="2">
        <f>IFERROR(__xludf.DUMMYFUNCTION("""COMPUTED_VALUE"""),183775.0)</f>
        <v>183775</v>
      </c>
      <c r="C437" s="2">
        <f>IFERROR(__xludf.DUMMYFUNCTION("""COMPUTED_VALUE"""),2026.0)</f>
        <v>2026</v>
      </c>
      <c r="D437" s="2">
        <f>IFERROR(__xludf.DUMMYFUNCTION("""COMPUTED_VALUE"""),46303.0)</f>
        <v>46303</v>
      </c>
      <c r="E437" s="2" t="str">
        <f>IFERROR(__xludf.DUMMYFUNCTION("""COMPUTED_VALUE"""),"VF")</f>
        <v>VF</v>
      </c>
      <c r="F437" s="2">
        <f>IFERROR(__xludf.DUMMYFUNCTION("""COMPUTED_VALUE"""),1.0)</f>
        <v>1</v>
      </c>
      <c r="G437" s="2" t="str">
        <f>IFERROR(__xludf.DUMMYFUNCTION("""COMPUTED_VALUE"""),"PR043")</f>
        <v>PR043</v>
      </c>
      <c r="H437" s="2" t="str">
        <f>IFERROR(__xludf.DUMMYFUNCTION("""COMPUTED_VALUE"""),"VD036")</f>
        <v>VD036</v>
      </c>
      <c r="I437" s="2">
        <f>IFERROR(__xludf.DUMMYFUNCTION("""COMPUTED_VALUE"""),27.0)</f>
        <v>27</v>
      </c>
      <c r="J437" s="2">
        <f>IFERROR(__xludf.DUMMYFUNCTION("""COMPUTED_VALUE"""),2074.95)</f>
        <v>2074.95</v>
      </c>
      <c r="K437" s="2">
        <f>IFERROR(__xludf.DUMMYFUNCTION("""COMPUTED_VALUE"""),2074.95)</f>
        <v>2074.95</v>
      </c>
    </row>
    <row r="438">
      <c r="A438" s="2">
        <f>IFERROR(__xludf.DUMMYFUNCTION("""COMPUTED_VALUE"""),2000.0)</f>
        <v>2000</v>
      </c>
      <c r="B438" s="2">
        <f>IFERROR(__xludf.DUMMYFUNCTION("""COMPUTED_VALUE"""),183776.0)</f>
        <v>183776</v>
      </c>
      <c r="C438" s="2">
        <f>IFERROR(__xludf.DUMMYFUNCTION("""COMPUTED_VALUE"""),2026.0)</f>
        <v>2026</v>
      </c>
      <c r="D438" s="2">
        <f>IFERROR(__xludf.DUMMYFUNCTION("""COMPUTED_VALUE"""),46303.0)</f>
        <v>46303</v>
      </c>
      <c r="E438" s="2" t="str">
        <f>IFERROR(__xludf.DUMMYFUNCTION("""COMPUTED_VALUE"""),"VF")</f>
        <v>VF</v>
      </c>
      <c r="F438" s="2">
        <f>IFERROR(__xludf.DUMMYFUNCTION("""COMPUTED_VALUE"""),1.0)</f>
        <v>1</v>
      </c>
      <c r="G438" s="2" t="str">
        <f>IFERROR(__xludf.DUMMYFUNCTION("""COMPUTED_VALUE"""),"PR038")</f>
        <v>PR038</v>
      </c>
      <c r="H438" s="2" t="str">
        <f>IFERROR(__xludf.DUMMYFUNCTION("""COMPUTED_VALUE"""),"VD036")</f>
        <v>VD036</v>
      </c>
      <c r="I438" s="2">
        <f>IFERROR(__xludf.DUMMYFUNCTION("""COMPUTED_VALUE"""),12.0)</f>
        <v>12</v>
      </c>
      <c r="J438" s="2">
        <f>IFERROR(__xludf.DUMMYFUNCTION("""COMPUTED_VALUE"""),1817.69)</f>
        <v>1817.69</v>
      </c>
      <c r="K438" s="2">
        <f>IFERROR(__xludf.DUMMYFUNCTION("""COMPUTED_VALUE"""),1817.69)</f>
        <v>1817.69</v>
      </c>
    </row>
    <row r="439">
      <c r="A439" s="2">
        <f>IFERROR(__xludf.DUMMYFUNCTION("""COMPUTED_VALUE"""),1000.0)</f>
        <v>1000</v>
      </c>
      <c r="B439" s="2">
        <f>IFERROR(__xludf.DUMMYFUNCTION("""COMPUTED_VALUE"""),183777.0)</f>
        <v>183777</v>
      </c>
      <c r="C439" s="2">
        <f>IFERROR(__xludf.DUMMYFUNCTION("""COMPUTED_VALUE"""),2026.0)</f>
        <v>2026</v>
      </c>
      <c r="D439" s="2">
        <f>IFERROR(__xludf.DUMMYFUNCTION("""COMPUTED_VALUE"""),46303.0)</f>
        <v>46303</v>
      </c>
      <c r="E439" s="2" t="str">
        <f>IFERROR(__xludf.DUMMYFUNCTION("""COMPUTED_VALUE"""),"VF")</f>
        <v>VF</v>
      </c>
      <c r="F439" s="2">
        <f>IFERROR(__xludf.DUMMYFUNCTION("""COMPUTED_VALUE"""),1.0)</f>
        <v>1</v>
      </c>
      <c r="G439" s="2" t="str">
        <f>IFERROR(__xludf.DUMMYFUNCTION("""COMPUTED_VALUE"""),"PR048")</f>
        <v>PR048</v>
      </c>
      <c r="H439" s="2" t="str">
        <f>IFERROR(__xludf.DUMMYFUNCTION("""COMPUTED_VALUE"""),"VD032")</f>
        <v>VD032</v>
      </c>
      <c r="I439" s="2">
        <f>IFERROR(__xludf.DUMMYFUNCTION("""COMPUTED_VALUE"""),9.0)</f>
        <v>9</v>
      </c>
      <c r="J439" s="2">
        <f>IFERROR(__xludf.DUMMYFUNCTION("""COMPUTED_VALUE"""),2817.83)</f>
        <v>2817.83</v>
      </c>
      <c r="K439" s="2">
        <f>IFERROR(__xludf.DUMMYFUNCTION("""COMPUTED_VALUE"""),2817.83)</f>
        <v>2817.83</v>
      </c>
    </row>
    <row r="440">
      <c r="A440" s="2">
        <f>IFERROR(__xludf.DUMMYFUNCTION("""COMPUTED_VALUE"""),1000.0)</f>
        <v>1000</v>
      </c>
      <c r="B440" s="2">
        <f>IFERROR(__xludf.DUMMYFUNCTION("""COMPUTED_VALUE"""),183778.0)</f>
        <v>183778</v>
      </c>
      <c r="C440" s="2">
        <f>IFERROR(__xludf.DUMMYFUNCTION("""COMPUTED_VALUE"""),2026.0)</f>
        <v>2026</v>
      </c>
      <c r="D440" s="2">
        <f>IFERROR(__xludf.DUMMYFUNCTION("""COMPUTED_VALUE"""),46303.0)</f>
        <v>46303</v>
      </c>
      <c r="E440" s="2" t="str">
        <f>IFERROR(__xludf.DUMMYFUNCTION("""COMPUTED_VALUE"""),"VF")</f>
        <v>VF</v>
      </c>
      <c r="F440" s="2">
        <f>IFERROR(__xludf.DUMMYFUNCTION("""COMPUTED_VALUE"""),1.0)</f>
        <v>1</v>
      </c>
      <c r="G440" s="2" t="str">
        <f>IFERROR(__xludf.DUMMYFUNCTION("""COMPUTED_VALUE"""),"PR051")</f>
        <v>PR051</v>
      </c>
      <c r="H440" s="2" t="str">
        <f>IFERROR(__xludf.DUMMYFUNCTION("""COMPUTED_VALUE"""),"VD039")</f>
        <v>VD039</v>
      </c>
      <c r="I440" s="2">
        <f>IFERROR(__xludf.DUMMYFUNCTION("""COMPUTED_VALUE"""),15.0)</f>
        <v>15</v>
      </c>
      <c r="J440" s="2">
        <f>IFERROR(__xludf.DUMMYFUNCTION("""COMPUTED_VALUE"""),537.92)</f>
        <v>537.92</v>
      </c>
      <c r="K440" s="2">
        <f>IFERROR(__xludf.DUMMYFUNCTION("""COMPUTED_VALUE"""),537.92)</f>
        <v>537.92</v>
      </c>
    </row>
    <row r="441">
      <c r="A441" s="2">
        <f>IFERROR(__xludf.DUMMYFUNCTION("""COMPUTED_VALUE"""),2000.0)</f>
        <v>2000</v>
      </c>
      <c r="B441" s="2">
        <f>IFERROR(__xludf.DUMMYFUNCTION("""COMPUTED_VALUE"""),183779.0)</f>
        <v>183779</v>
      </c>
      <c r="C441" s="2">
        <f>IFERROR(__xludf.DUMMYFUNCTION("""COMPUTED_VALUE"""),2026.0)</f>
        <v>2026</v>
      </c>
      <c r="D441" s="2">
        <f>IFERROR(__xludf.DUMMYFUNCTION("""COMPUTED_VALUE"""),46303.0)</f>
        <v>46303</v>
      </c>
      <c r="E441" s="2" t="str">
        <f>IFERROR(__xludf.DUMMYFUNCTION("""COMPUTED_VALUE"""),"VF")</f>
        <v>VF</v>
      </c>
      <c r="F441" s="2">
        <f>IFERROR(__xludf.DUMMYFUNCTION("""COMPUTED_VALUE"""),1.0)</f>
        <v>1</v>
      </c>
      <c r="G441" s="2" t="str">
        <f>IFERROR(__xludf.DUMMYFUNCTION("""COMPUTED_VALUE"""),"PR047")</f>
        <v>PR047</v>
      </c>
      <c r="H441" s="2" t="str">
        <f>IFERROR(__xludf.DUMMYFUNCTION("""COMPUTED_VALUE"""),"VD039")</f>
        <v>VD039</v>
      </c>
      <c r="I441" s="2">
        <f>IFERROR(__xludf.DUMMYFUNCTION("""COMPUTED_VALUE"""),8.0)</f>
        <v>8</v>
      </c>
      <c r="J441" s="2">
        <f>IFERROR(__xludf.DUMMYFUNCTION("""COMPUTED_VALUE"""),2504.74)</f>
        <v>2504.74</v>
      </c>
      <c r="K441" s="2">
        <f>IFERROR(__xludf.DUMMYFUNCTION("""COMPUTED_VALUE"""),2504.74)</f>
        <v>2504.74</v>
      </c>
    </row>
    <row r="442">
      <c r="A442" s="2">
        <f>IFERROR(__xludf.DUMMYFUNCTION("""COMPUTED_VALUE"""),1000.0)</f>
        <v>1000</v>
      </c>
      <c r="B442" s="2">
        <f>IFERROR(__xludf.DUMMYFUNCTION("""COMPUTED_VALUE"""),183780.0)</f>
        <v>183780</v>
      </c>
      <c r="C442" s="2">
        <f>IFERROR(__xludf.DUMMYFUNCTION("""COMPUTED_VALUE"""),2026.0)</f>
        <v>2026</v>
      </c>
      <c r="D442" s="2">
        <f>IFERROR(__xludf.DUMMYFUNCTION("""COMPUTED_VALUE"""),46302.0)</f>
        <v>46302</v>
      </c>
      <c r="E442" s="2" t="str">
        <f>IFERROR(__xludf.DUMMYFUNCTION("""COMPUTED_VALUE"""),"VF")</f>
        <v>VF</v>
      </c>
      <c r="F442" s="2">
        <f>IFERROR(__xludf.DUMMYFUNCTION("""COMPUTED_VALUE"""),1.0)</f>
        <v>1</v>
      </c>
      <c r="G442" s="2" t="str">
        <f>IFERROR(__xludf.DUMMYFUNCTION("""COMPUTED_VALUE"""),"PR014")</f>
        <v>PR014</v>
      </c>
      <c r="H442" s="2" t="str">
        <f>IFERROR(__xludf.DUMMYFUNCTION("""COMPUTED_VALUE"""),"VD017")</f>
        <v>VD017</v>
      </c>
      <c r="I442" s="2">
        <f>IFERROR(__xludf.DUMMYFUNCTION("""COMPUTED_VALUE"""),5.0)</f>
        <v>5</v>
      </c>
      <c r="J442" s="2">
        <f>IFERROR(__xludf.DUMMYFUNCTION("""COMPUTED_VALUE"""),217.46)</f>
        <v>217.46</v>
      </c>
      <c r="K442" s="2">
        <f>IFERROR(__xludf.DUMMYFUNCTION("""COMPUTED_VALUE"""),217.46)</f>
        <v>217.46</v>
      </c>
    </row>
    <row r="443">
      <c r="A443" s="2">
        <f>IFERROR(__xludf.DUMMYFUNCTION("""COMPUTED_VALUE"""),1000.0)</f>
        <v>1000</v>
      </c>
      <c r="B443" s="2">
        <f>IFERROR(__xludf.DUMMYFUNCTION("""COMPUTED_VALUE"""),183781.0)</f>
        <v>183781</v>
      </c>
      <c r="C443" s="2">
        <f>IFERROR(__xludf.DUMMYFUNCTION("""COMPUTED_VALUE"""),2026.0)</f>
        <v>2026</v>
      </c>
      <c r="D443" s="2">
        <f>IFERROR(__xludf.DUMMYFUNCTION("""COMPUTED_VALUE"""),46302.0)</f>
        <v>46302</v>
      </c>
      <c r="E443" s="2" t="str">
        <f>IFERROR(__xludf.DUMMYFUNCTION("""COMPUTED_VALUE"""),"VF")</f>
        <v>VF</v>
      </c>
      <c r="F443" s="2">
        <f>IFERROR(__xludf.DUMMYFUNCTION("""COMPUTED_VALUE"""),1.0)</f>
        <v>1</v>
      </c>
      <c r="G443" s="2" t="str">
        <f>IFERROR(__xludf.DUMMYFUNCTION("""COMPUTED_VALUE"""),"PR009")</f>
        <v>PR009</v>
      </c>
      <c r="H443" s="2" t="str">
        <f>IFERROR(__xludf.DUMMYFUNCTION("""COMPUTED_VALUE"""),"VD010")</f>
        <v>VD010</v>
      </c>
      <c r="I443" s="2">
        <f>IFERROR(__xludf.DUMMYFUNCTION("""COMPUTED_VALUE"""),5.0)</f>
        <v>5</v>
      </c>
      <c r="J443" s="2">
        <f>IFERROR(__xludf.DUMMYFUNCTION("""COMPUTED_VALUE"""),478.44)</f>
        <v>478.44</v>
      </c>
      <c r="K443" s="2">
        <f>IFERROR(__xludf.DUMMYFUNCTION("""COMPUTED_VALUE"""),478.44)</f>
        <v>478.44</v>
      </c>
    </row>
    <row r="444">
      <c r="A444" s="2">
        <f>IFERROR(__xludf.DUMMYFUNCTION("""COMPUTED_VALUE"""),1000.0)</f>
        <v>1000</v>
      </c>
      <c r="B444" s="2">
        <f>IFERROR(__xludf.DUMMYFUNCTION("""COMPUTED_VALUE"""),183782.0)</f>
        <v>183782</v>
      </c>
      <c r="C444" s="2">
        <f>IFERROR(__xludf.DUMMYFUNCTION("""COMPUTED_VALUE"""),2026.0)</f>
        <v>2026</v>
      </c>
      <c r="D444" s="2">
        <f>IFERROR(__xludf.DUMMYFUNCTION("""COMPUTED_VALUE"""),46302.0)</f>
        <v>46302</v>
      </c>
      <c r="E444" s="2" t="str">
        <f>IFERROR(__xludf.DUMMYFUNCTION("""COMPUTED_VALUE"""),"VF")</f>
        <v>VF</v>
      </c>
      <c r="F444" s="2">
        <f>IFERROR(__xludf.DUMMYFUNCTION("""COMPUTED_VALUE"""),1.0)</f>
        <v>1</v>
      </c>
      <c r="G444" s="2" t="str">
        <f>IFERROR(__xludf.DUMMYFUNCTION("""COMPUTED_VALUE"""),"PR029")</f>
        <v>PR029</v>
      </c>
      <c r="H444" s="2" t="str">
        <f>IFERROR(__xludf.DUMMYFUNCTION("""COMPUTED_VALUE"""),"VD014")</f>
        <v>VD014</v>
      </c>
      <c r="I444" s="2">
        <f>IFERROR(__xludf.DUMMYFUNCTION("""COMPUTED_VALUE"""),6.0)</f>
        <v>6</v>
      </c>
      <c r="J444" s="2">
        <f>IFERROR(__xludf.DUMMYFUNCTION("""COMPUTED_VALUE"""),1575.9)</f>
        <v>1575.9</v>
      </c>
      <c r="K444" s="2">
        <f>IFERROR(__xludf.DUMMYFUNCTION("""COMPUTED_VALUE"""),1575.9)</f>
        <v>1575.9</v>
      </c>
    </row>
    <row r="445">
      <c r="A445" s="2">
        <f>IFERROR(__xludf.DUMMYFUNCTION("""COMPUTED_VALUE"""),1000.0)</f>
        <v>1000</v>
      </c>
      <c r="B445" s="2">
        <f>IFERROR(__xludf.DUMMYFUNCTION("""COMPUTED_VALUE"""),183782.0)</f>
        <v>183782</v>
      </c>
      <c r="C445" s="2">
        <f>IFERROR(__xludf.DUMMYFUNCTION("""COMPUTED_VALUE"""),2026.0)</f>
        <v>2026</v>
      </c>
      <c r="D445" s="2">
        <f>IFERROR(__xludf.DUMMYFUNCTION("""COMPUTED_VALUE"""),46302.0)</f>
        <v>46302</v>
      </c>
      <c r="E445" s="2" t="str">
        <f>IFERROR(__xludf.DUMMYFUNCTION("""COMPUTED_VALUE"""),"VF")</f>
        <v>VF</v>
      </c>
      <c r="F445" s="2">
        <f>IFERROR(__xludf.DUMMYFUNCTION("""COMPUTED_VALUE"""),2.0)</f>
        <v>2</v>
      </c>
      <c r="G445" s="2" t="str">
        <f>IFERROR(__xludf.DUMMYFUNCTION("""COMPUTED_VALUE"""),"PR019")</f>
        <v>PR019</v>
      </c>
      <c r="H445" s="2" t="str">
        <f>IFERROR(__xludf.DUMMYFUNCTION("""COMPUTED_VALUE"""),"VD020")</f>
        <v>VD020</v>
      </c>
      <c r="I445" s="2">
        <f>IFERROR(__xludf.DUMMYFUNCTION("""COMPUTED_VALUE"""),6.0)</f>
        <v>6</v>
      </c>
      <c r="J445" s="2">
        <f>IFERROR(__xludf.DUMMYFUNCTION("""COMPUTED_VALUE"""),317.36)</f>
        <v>317.36</v>
      </c>
      <c r="K445" s="2">
        <f>IFERROR(__xludf.DUMMYFUNCTION("""COMPUTED_VALUE"""),317.36)</f>
        <v>317.36</v>
      </c>
    </row>
    <row r="446">
      <c r="A446" s="2">
        <f>IFERROR(__xludf.DUMMYFUNCTION("""COMPUTED_VALUE"""),1000.0)</f>
        <v>1000</v>
      </c>
      <c r="B446" s="2">
        <f>IFERROR(__xludf.DUMMYFUNCTION("""COMPUTED_VALUE"""),183783.0)</f>
        <v>183783</v>
      </c>
      <c r="C446" s="2">
        <f>IFERROR(__xludf.DUMMYFUNCTION("""COMPUTED_VALUE"""),2026.0)</f>
        <v>2026</v>
      </c>
      <c r="D446" s="2">
        <f>IFERROR(__xludf.DUMMYFUNCTION("""COMPUTED_VALUE"""),46301.0)</f>
        <v>46301</v>
      </c>
      <c r="E446" s="2" t="str">
        <f>IFERROR(__xludf.DUMMYFUNCTION("""COMPUTED_VALUE"""),"VF")</f>
        <v>VF</v>
      </c>
      <c r="F446" s="2">
        <f>IFERROR(__xludf.DUMMYFUNCTION("""COMPUTED_VALUE"""),1.0)</f>
        <v>1</v>
      </c>
      <c r="G446" s="2" t="str">
        <f>IFERROR(__xludf.DUMMYFUNCTION("""COMPUTED_VALUE"""),"PR007")</f>
        <v>PR007</v>
      </c>
      <c r="H446" s="2" t="str">
        <f>IFERROR(__xludf.DUMMYFUNCTION("""COMPUTED_VALUE"""),"VD028")</f>
        <v>VD028</v>
      </c>
      <c r="I446" s="2">
        <f>IFERROR(__xludf.DUMMYFUNCTION("""COMPUTED_VALUE"""),14.0)</f>
        <v>14</v>
      </c>
      <c r="J446" s="2">
        <f>IFERROR(__xludf.DUMMYFUNCTION("""COMPUTED_VALUE"""),1226.65)</f>
        <v>1226.65</v>
      </c>
      <c r="K446" s="2">
        <f>IFERROR(__xludf.DUMMYFUNCTION("""COMPUTED_VALUE"""),1226.65)</f>
        <v>1226.65</v>
      </c>
    </row>
    <row r="447">
      <c r="A447" s="2">
        <f>IFERROR(__xludf.DUMMYFUNCTION("""COMPUTED_VALUE"""),1000.0)</f>
        <v>1000</v>
      </c>
      <c r="B447" s="2">
        <f>IFERROR(__xludf.DUMMYFUNCTION("""COMPUTED_VALUE"""),183784.0)</f>
        <v>183784</v>
      </c>
      <c r="C447" s="2">
        <f>IFERROR(__xludf.DUMMYFUNCTION("""COMPUTED_VALUE"""),2026.0)</f>
        <v>2026</v>
      </c>
      <c r="D447" s="2">
        <f>IFERROR(__xludf.DUMMYFUNCTION("""COMPUTED_VALUE"""),46301.0)</f>
        <v>46301</v>
      </c>
      <c r="E447" s="2" t="str">
        <f>IFERROR(__xludf.DUMMYFUNCTION("""COMPUTED_VALUE"""),"VF")</f>
        <v>VF</v>
      </c>
      <c r="F447" s="2">
        <f>IFERROR(__xludf.DUMMYFUNCTION("""COMPUTED_VALUE"""),1.0)</f>
        <v>1</v>
      </c>
      <c r="G447" s="2" t="str">
        <f>IFERROR(__xludf.DUMMYFUNCTION("""COMPUTED_VALUE"""),"PR032")</f>
        <v>PR032</v>
      </c>
      <c r="H447" s="2" t="str">
        <f>IFERROR(__xludf.DUMMYFUNCTION("""COMPUTED_VALUE"""),"VD033")</f>
        <v>VD033</v>
      </c>
      <c r="I447" s="2">
        <f>IFERROR(__xludf.DUMMYFUNCTION("""COMPUTED_VALUE"""),30.0)</f>
        <v>30</v>
      </c>
      <c r="J447" s="2">
        <f>IFERROR(__xludf.DUMMYFUNCTION("""COMPUTED_VALUE"""),7950.0)</f>
        <v>7950</v>
      </c>
      <c r="K447" s="2">
        <f>IFERROR(__xludf.DUMMYFUNCTION("""COMPUTED_VALUE"""),7950.0)</f>
        <v>7950</v>
      </c>
    </row>
    <row r="448">
      <c r="A448" s="2">
        <f>IFERROR(__xludf.DUMMYFUNCTION("""COMPUTED_VALUE"""),2000.0)</f>
        <v>2000</v>
      </c>
      <c r="B448" s="2">
        <f>IFERROR(__xludf.DUMMYFUNCTION("""COMPUTED_VALUE"""),183785.0)</f>
        <v>183785</v>
      </c>
      <c r="C448" s="2">
        <f>IFERROR(__xludf.DUMMYFUNCTION("""COMPUTED_VALUE"""),2026.0)</f>
        <v>2026</v>
      </c>
      <c r="D448" s="2">
        <f>IFERROR(__xludf.DUMMYFUNCTION("""COMPUTED_VALUE"""),46300.0)</f>
        <v>46300</v>
      </c>
      <c r="E448" s="2" t="str">
        <f>IFERROR(__xludf.DUMMYFUNCTION("""COMPUTED_VALUE"""),"VF")</f>
        <v>VF</v>
      </c>
      <c r="F448" s="2">
        <f>IFERROR(__xludf.DUMMYFUNCTION("""COMPUTED_VALUE"""),1.0)</f>
        <v>1</v>
      </c>
      <c r="G448" s="2" t="str">
        <f>IFERROR(__xludf.DUMMYFUNCTION("""COMPUTED_VALUE"""),"PR052")</f>
        <v>PR052</v>
      </c>
      <c r="H448" s="2" t="str">
        <f>IFERROR(__xludf.DUMMYFUNCTION("""COMPUTED_VALUE"""),"VD037")</f>
        <v>VD037</v>
      </c>
      <c r="I448" s="2">
        <f>IFERROR(__xludf.DUMMYFUNCTION("""COMPUTED_VALUE"""),16.0)</f>
        <v>16</v>
      </c>
      <c r="J448" s="2">
        <f>IFERROR(__xludf.DUMMYFUNCTION("""COMPUTED_VALUE"""),870.26)</f>
        <v>870.26</v>
      </c>
      <c r="K448" s="2">
        <f>IFERROR(__xludf.DUMMYFUNCTION("""COMPUTED_VALUE"""),870.26)</f>
        <v>870.26</v>
      </c>
    </row>
    <row r="449">
      <c r="A449" s="2">
        <f>IFERROR(__xludf.DUMMYFUNCTION("""COMPUTED_VALUE"""),2000.0)</f>
        <v>2000</v>
      </c>
      <c r="B449" s="2">
        <f>IFERROR(__xludf.DUMMYFUNCTION("""COMPUTED_VALUE"""),183786.0)</f>
        <v>183786</v>
      </c>
      <c r="C449" s="2">
        <f>IFERROR(__xludf.DUMMYFUNCTION("""COMPUTED_VALUE"""),2026.0)</f>
        <v>2026</v>
      </c>
      <c r="D449" s="2">
        <f>IFERROR(__xludf.DUMMYFUNCTION("""COMPUTED_VALUE"""),46300.0)</f>
        <v>46300</v>
      </c>
      <c r="E449" s="2" t="str">
        <f>IFERROR(__xludf.DUMMYFUNCTION("""COMPUTED_VALUE"""),"VF")</f>
        <v>VF</v>
      </c>
      <c r="F449" s="2">
        <f>IFERROR(__xludf.DUMMYFUNCTION("""COMPUTED_VALUE"""),1.0)</f>
        <v>1</v>
      </c>
      <c r="G449" s="2" t="str">
        <f>IFERROR(__xludf.DUMMYFUNCTION("""COMPUTED_VALUE"""),"PR055")</f>
        <v>PR055</v>
      </c>
      <c r="H449" s="2" t="str">
        <f>IFERROR(__xludf.DUMMYFUNCTION("""COMPUTED_VALUE"""),"VD036")</f>
        <v>VD036</v>
      </c>
      <c r="I449" s="2">
        <f>IFERROR(__xludf.DUMMYFUNCTION("""COMPUTED_VALUE"""),1.0)</f>
        <v>1</v>
      </c>
      <c r="J449" s="2">
        <f>IFERROR(__xludf.DUMMYFUNCTION("""COMPUTED_VALUE"""),89.9)</f>
        <v>89.9</v>
      </c>
      <c r="K449" s="2">
        <f>IFERROR(__xludf.DUMMYFUNCTION("""COMPUTED_VALUE"""),89.9)</f>
        <v>89.9</v>
      </c>
    </row>
    <row r="450">
      <c r="A450" s="2">
        <f>IFERROR(__xludf.DUMMYFUNCTION("""COMPUTED_VALUE"""),1000.0)</f>
        <v>1000</v>
      </c>
      <c r="B450" s="2">
        <f>IFERROR(__xludf.DUMMYFUNCTION("""COMPUTED_VALUE"""),183786.0)</f>
        <v>183786</v>
      </c>
      <c r="C450" s="2">
        <f>IFERROR(__xludf.DUMMYFUNCTION("""COMPUTED_VALUE"""),2026.0)</f>
        <v>2026</v>
      </c>
      <c r="D450" s="2">
        <f>IFERROR(__xludf.DUMMYFUNCTION("""COMPUTED_VALUE"""),46300.0)</f>
        <v>46300</v>
      </c>
      <c r="E450" s="2" t="str">
        <f>IFERROR(__xludf.DUMMYFUNCTION("""COMPUTED_VALUE"""),"VF")</f>
        <v>VF</v>
      </c>
      <c r="F450" s="2">
        <f>IFERROR(__xludf.DUMMYFUNCTION("""COMPUTED_VALUE"""),2.0)</f>
        <v>2</v>
      </c>
      <c r="G450" s="2" t="str">
        <f>IFERROR(__xludf.DUMMYFUNCTION("""COMPUTED_VALUE"""),"PR027")</f>
        <v>PR027</v>
      </c>
      <c r="H450" s="2" t="str">
        <f>IFERROR(__xludf.DUMMYFUNCTION("""COMPUTED_VALUE"""),"VD019")</f>
        <v>VD019</v>
      </c>
      <c r="I450" s="2">
        <f>IFERROR(__xludf.DUMMYFUNCTION("""COMPUTED_VALUE"""),8.0)</f>
        <v>8</v>
      </c>
      <c r="J450" s="2">
        <f>IFERROR(__xludf.DUMMYFUNCTION("""COMPUTED_VALUE"""),988.8)</f>
        <v>988.8</v>
      </c>
      <c r="K450" s="2">
        <f>IFERROR(__xludf.DUMMYFUNCTION("""COMPUTED_VALUE"""),988.8)</f>
        <v>988.8</v>
      </c>
    </row>
    <row r="451">
      <c r="A451" s="2">
        <f>IFERROR(__xludf.DUMMYFUNCTION("""COMPUTED_VALUE"""),1000.0)</f>
        <v>1000</v>
      </c>
      <c r="B451" s="2">
        <f>IFERROR(__xludf.DUMMYFUNCTION("""COMPUTED_VALUE"""),183787.0)</f>
        <v>183787</v>
      </c>
      <c r="C451" s="2">
        <f>IFERROR(__xludf.DUMMYFUNCTION("""COMPUTED_VALUE"""),2026.0)</f>
        <v>2026</v>
      </c>
      <c r="D451" s="2">
        <f>IFERROR(__xludf.DUMMYFUNCTION("""COMPUTED_VALUE"""),46300.0)</f>
        <v>46300</v>
      </c>
      <c r="E451" s="2" t="str">
        <f>IFERROR(__xludf.DUMMYFUNCTION("""COMPUTED_VALUE"""),"VF")</f>
        <v>VF</v>
      </c>
      <c r="F451" s="2">
        <f>IFERROR(__xludf.DUMMYFUNCTION("""COMPUTED_VALUE"""),1.0)</f>
        <v>1</v>
      </c>
      <c r="G451" s="2" t="str">
        <f>IFERROR(__xludf.DUMMYFUNCTION("""COMPUTED_VALUE"""),"PR034")</f>
        <v>PR034</v>
      </c>
      <c r="H451" s="2" t="str">
        <f>IFERROR(__xludf.DUMMYFUNCTION("""COMPUTED_VALUE"""),"VD048")</f>
        <v>VD048</v>
      </c>
      <c r="I451" s="2">
        <f>IFERROR(__xludf.DUMMYFUNCTION("""COMPUTED_VALUE"""),30.0)</f>
        <v>30</v>
      </c>
      <c r="J451" s="2">
        <f>IFERROR(__xludf.DUMMYFUNCTION("""COMPUTED_VALUE"""),2777.91)</f>
        <v>2777.91</v>
      </c>
      <c r="K451" s="2">
        <f>IFERROR(__xludf.DUMMYFUNCTION("""COMPUTED_VALUE"""),2777.91)</f>
        <v>2777.91</v>
      </c>
    </row>
    <row r="452">
      <c r="A452" s="2">
        <f>IFERROR(__xludf.DUMMYFUNCTION("""COMPUTED_VALUE"""),1000.0)</f>
        <v>1000</v>
      </c>
      <c r="B452" s="2">
        <f>IFERROR(__xludf.DUMMYFUNCTION("""COMPUTED_VALUE"""),183787.0)</f>
        <v>183787</v>
      </c>
      <c r="C452" s="2">
        <f>IFERROR(__xludf.DUMMYFUNCTION("""COMPUTED_VALUE"""),2026.0)</f>
        <v>2026</v>
      </c>
      <c r="D452" s="2">
        <f>IFERROR(__xludf.DUMMYFUNCTION("""COMPUTED_VALUE"""),46300.0)</f>
        <v>46300</v>
      </c>
      <c r="E452" s="2" t="str">
        <f>IFERROR(__xludf.DUMMYFUNCTION("""COMPUTED_VALUE"""),"VF")</f>
        <v>VF</v>
      </c>
      <c r="F452" s="2">
        <f>IFERROR(__xludf.DUMMYFUNCTION("""COMPUTED_VALUE"""),2.0)</f>
        <v>2</v>
      </c>
      <c r="G452" s="2" t="str">
        <f>IFERROR(__xludf.DUMMYFUNCTION("""COMPUTED_VALUE"""),"PR028")</f>
        <v>PR028</v>
      </c>
      <c r="H452" s="2" t="str">
        <f>IFERROR(__xludf.DUMMYFUNCTION("""COMPUTED_VALUE"""),"VD042")</f>
        <v>VD042</v>
      </c>
      <c r="I452" s="2">
        <f>IFERROR(__xludf.DUMMYFUNCTION("""COMPUTED_VALUE"""),3.0)</f>
        <v>3</v>
      </c>
      <c r="J452" s="2">
        <f>IFERROR(__xludf.DUMMYFUNCTION("""COMPUTED_VALUE"""),749.7)</f>
        <v>749.7</v>
      </c>
      <c r="K452" s="2">
        <f>IFERROR(__xludf.DUMMYFUNCTION("""COMPUTED_VALUE"""),749.7)</f>
        <v>749.7</v>
      </c>
    </row>
    <row r="453">
      <c r="A453" s="2">
        <f>IFERROR(__xludf.DUMMYFUNCTION("""COMPUTED_VALUE"""),1000.0)</f>
        <v>1000</v>
      </c>
      <c r="B453" s="2">
        <f>IFERROR(__xludf.DUMMYFUNCTION("""COMPUTED_VALUE"""),183788.0)</f>
        <v>183788</v>
      </c>
      <c r="C453" s="2">
        <f>IFERROR(__xludf.DUMMYFUNCTION("""COMPUTED_VALUE"""),2026.0)</f>
        <v>2026</v>
      </c>
      <c r="D453" s="2">
        <f>IFERROR(__xludf.DUMMYFUNCTION("""COMPUTED_VALUE"""),46300.0)</f>
        <v>46300</v>
      </c>
      <c r="E453" s="2" t="str">
        <f>IFERROR(__xludf.DUMMYFUNCTION("""COMPUTED_VALUE"""),"VF")</f>
        <v>VF</v>
      </c>
      <c r="F453" s="2">
        <f>IFERROR(__xludf.DUMMYFUNCTION("""COMPUTED_VALUE"""),1.0)</f>
        <v>1</v>
      </c>
      <c r="G453" s="2" t="str">
        <f>IFERROR(__xludf.DUMMYFUNCTION("""COMPUTED_VALUE"""),"PR039")</f>
        <v>PR039</v>
      </c>
      <c r="H453" s="2" t="str">
        <f>IFERROR(__xludf.DUMMYFUNCTION("""COMPUTED_VALUE"""),"VD023")</f>
        <v>VD023</v>
      </c>
      <c r="I453" s="2">
        <f>IFERROR(__xludf.DUMMYFUNCTION("""COMPUTED_VALUE"""),9.0)</f>
        <v>9</v>
      </c>
      <c r="J453" s="2">
        <f>IFERROR(__xludf.DUMMYFUNCTION("""COMPUTED_VALUE"""),1445.4)</f>
        <v>1445.4</v>
      </c>
      <c r="K453" s="2">
        <f>IFERROR(__xludf.DUMMYFUNCTION("""COMPUTED_VALUE"""),1445.4)</f>
        <v>1445.4</v>
      </c>
    </row>
    <row r="454">
      <c r="A454" s="2">
        <f>IFERROR(__xludf.DUMMYFUNCTION("""COMPUTED_VALUE"""),1000.0)</f>
        <v>1000</v>
      </c>
      <c r="B454" s="2">
        <f>IFERROR(__xludf.DUMMYFUNCTION("""COMPUTED_VALUE"""),183789.0)</f>
        <v>183789</v>
      </c>
      <c r="C454" s="2">
        <f>IFERROR(__xludf.DUMMYFUNCTION("""COMPUTED_VALUE"""),2026.0)</f>
        <v>2026</v>
      </c>
      <c r="D454" s="2">
        <f>IFERROR(__xludf.DUMMYFUNCTION("""COMPUTED_VALUE"""),46299.0)</f>
        <v>46299</v>
      </c>
      <c r="E454" s="2" t="str">
        <f>IFERROR(__xludf.DUMMYFUNCTION("""COMPUTED_VALUE"""),"VF")</f>
        <v>VF</v>
      </c>
      <c r="F454" s="2">
        <f>IFERROR(__xludf.DUMMYFUNCTION("""COMPUTED_VALUE"""),1.0)</f>
        <v>1</v>
      </c>
      <c r="G454" s="2" t="str">
        <f>IFERROR(__xludf.DUMMYFUNCTION("""COMPUTED_VALUE"""),"PR053")</f>
        <v>PR053</v>
      </c>
      <c r="H454" s="2" t="str">
        <f>IFERROR(__xludf.DUMMYFUNCTION("""COMPUTED_VALUE"""),"VD024")</f>
        <v>VD024</v>
      </c>
      <c r="I454" s="2">
        <f>IFERROR(__xludf.DUMMYFUNCTION("""COMPUTED_VALUE"""),6.0)</f>
        <v>6</v>
      </c>
      <c r="J454" s="2">
        <f>IFERROR(__xludf.DUMMYFUNCTION("""COMPUTED_VALUE"""),308.38)</f>
        <v>308.38</v>
      </c>
      <c r="K454" s="2">
        <f>IFERROR(__xludf.DUMMYFUNCTION("""COMPUTED_VALUE"""),308.38)</f>
        <v>308.38</v>
      </c>
    </row>
    <row r="455">
      <c r="A455" s="2">
        <f>IFERROR(__xludf.DUMMYFUNCTION("""COMPUTED_VALUE"""),1000.0)</f>
        <v>1000</v>
      </c>
      <c r="B455" s="2">
        <f>IFERROR(__xludf.DUMMYFUNCTION("""COMPUTED_VALUE"""),183789.0)</f>
        <v>183789</v>
      </c>
      <c r="C455" s="2">
        <f>IFERROR(__xludf.DUMMYFUNCTION("""COMPUTED_VALUE"""),2026.0)</f>
        <v>2026</v>
      </c>
      <c r="D455" s="2">
        <f>IFERROR(__xludf.DUMMYFUNCTION("""COMPUTED_VALUE"""),46299.0)</f>
        <v>46299</v>
      </c>
      <c r="E455" s="2" t="str">
        <f>IFERROR(__xludf.DUMMYFUNCTION("""COMPUTED_VALUE"""),"VF")</f>
        <v>VF</v>
      </c>
      <c r="F455" s="2">
        <f>IFERROR(__xludf.DUMMYFUNCTION("""COMPUTED_VALUE"""),2.0)</f>
        <v>2</v>
      </c>
      <c r="G455" s="2" t="str">
        <f>IFERROR(__xludf.DUMMYFUNCTION("""COMPUTED_VALUE"""),"PR032")</f>
        <v>PR032</v>
      </c>
      <c r="H455" s="2" t="str">
        <f>IFERROR(__xludf.DUMMYFUNCTION("""COMPUTED_VALUE"""),"VD011")</f>
        <v>VD011</v>
      </c>
      <c r="I455" s="2">
        <f>IFERROR(__xludf.DUMMYFUNCTION("""COMPUTED_VALUE"""),27.0)</f>
        <v>27</v>
      </c>
      <c r="J455" s="2">
        <f>IFERROR(__xludf.DUMMYFUNCTION("""COMPUTED_VALUE"""),7020.0)</f>
        <v>7020</v>
      </c>
      <c r="K455" s="2">
        <f>IFERROR(__xludf.DUMMYFUNCTION("""COMPUTED_VALUE"""),7020.0)</f>
        <v>7020</v>
      </c>
    </row>
    <row r="456">
      <c r="A456" s="2">
        <f>IFERROR(__xludf.DUMMYFUNCTION("""COMPUTED_VALUE"""),2000.0)</f>
        <v>2000</v>
      </c>
      <c r="B456" s="2">
        <f>IFERROR(__xludf.DUMMYFUNCTION("""COMPUTED_VALUE"""),183790.0)</f>
        <v>183790</v>
      </c>
      <c r="C456" s="2">
        <f>IFERROR(__xludf.DUMMYFUNCTION("""COMPUTED_VALUE"""),2026.0)</f>
        <v>2026</v>
      </c>
      <c r="D456" s="2">
        <f>IFERROR(__xludf.DUMMYFUNCTION("""COMPUTED_VALUE"""),46299.0)</f>
        <v>46299</v>
      </c>
      <c r="E456" s="2" t="str">
        <f>IFERROR(__xludf.DUMMYFUNCTION("""COMPUTED_VALUE"""),"VF")</f>
        <v>VF</v>
      </c>
      <c r="F456" s="2">
        <f>IFERROR(__xludf.DUMMYFUNCTION("""COMPUTED_VALUE"""),1.0)</f>
        <v>1</v>
      </c>
      <c r="G456" s="2" t="str">
        <f>IFERROR(__xludf.DUMMYFUNCTION("""COMPUTED_VALUE"""),"PR027")</f>
        <v>PR027</v>
      </c>
      <c r="H456" s="2" t="str">
        <f>IFERROR(__xludf.DUMMYFUNCTION("""COMPUTED_VALUE"""),"VD030")</f>
        <v>VD030</v>
      </c>
      <c r="I456" s="2">
        <f>IFERROR(__xludf.DUMMYFUNCTION("""COMPUTED_VALUE"""),3.0)</f>
        <v>3</v>
      </c>
      <c r="J456" s="2">
        <f>IFERROR(__xludf.DUMMYFUNCTION("""COMPUTED_VALUE"""),381.6)</f>
        <v>381.6</v>
      </c>
      <c r="K456" s="2">
        <f>IFERROR(__xludf.DUMMYFUNCTION("""COMPUTED_VALUE"""),381.6)</f>
        <v>381.6</v>
      </c>
    </row>
    <row r="457">
      <c r="A457" s="2">
        <f>IFERROR(__xludf.DUMMYFUNCTION("""COMPUTED_VALUE"""),1000.0)</f>
        <v>1000</v>
      </c>
      <c r="B457" s="2">
        <f>IFERROR(__xludf.DUMMYFUNCTION("""COMPUTED_VALUE"""),183791.0)</f>
        <v>183791</v>
      </c>
      <c r="C457" s="2">
        <f>IFERROR(__xludf.DUMMYFUNCTION("""COMPUTED_VALUE"""),2026.0)</f>
        <v>2026</v>
      </c>
      <c r="D457" s="2">
        <f>IFERROR(__xludf.DUMMYFUNCTION("""COMPUTED_VALUE"""),46299.0)</f>
        <v>46299</v>
      </c>
      <c r="E457" s="2" t="str">
        <f>IFERROR(__xludf.DUMMYFUNCTION("""COMPUTED_VALUE"""),"VF")</f>
        <v>VF</v>
      </c>
      <c r="F457" s="2">
        <f>IFERROR(__xludf.DUMMYFUNCTION("""COMPUTED_VALUE"""),1.0)</f>
        <v>1</v>
      </c>
      <c r="G457" s="2" t="str">
        <f>IFERROR(__xludf.DUMMYFUNCTION("""COMPUTED_VALUE"""),"PR049")</f>
        <v>PR049</v>
      </c>
      <c r="H457" s="2" t="str">
        <f>IFERROR(__xludf.DUMMYFUNCTION("""COMPUTED_VALUE"""),"VD017")</f>
        <v>VD017</v>
      </c>
      <c r="I457" s="2">
        <f>IFERROR(__xludf.DUMMYFUNCTION("""COMPUTED_VALUE"""),24.0)</f>
        <v>24</v>
      </c>
      <c r="J457" s="2">
        <f>IFERROR(__xludf.DUMMYFUNCTION("""COMPUTED_VALUE"""),868.56)</f>
        <v>868.56</v>
      </c>
      <c r="K457" s="2">
        <f>IFERROR(__xludf.DUMMYFUNCTION("""COMPUTED_VALUE"""),868.56)</f>
        <v>868.56</v>
      </c>
    </row>
    <row r="458">
      <c r="A458" s="2">
        <f>IFERROR(__xludf.DUMMYFUNCTION("""COMPUTED_VALUE"""),1000.0)</f>
        <v>1000</v>
      </c>
      <c r="B458" s="2">
        <f>IFERROR(__xludf.DUMMYFUNCTION("""COMPUTED_VALUE"""),183792.0)</f>
        <v>183792</v>
      </c>
      <c r="C458" s="2">
        <f>IFERROR(__xludf.DUMMYFUNCTION("""COMPUTED_VALUE"""),2026.0)</f>
        <v>2026</v>
      </c>
      <c r="D458" s="2">
        <f>IFERROR(__xludf.DUMMYFUNCTION("""COMPUTED_VALUE"""),46298.0)</f>
        <v>46298</v>
      </c>
      <c r="E458" s="2" t="str">
        <f>IFERROR(__xludf.DUMMYFUNCTION("""COMPUTED_VALUE"""),"VF")</f>
        <v>VF</v>
      </c>
      <c r="F458" s="2">
        <f>IFERROR(__xludf.DUMMYFUNCTION("""COMPUTED_VALUE"""),1.0)</f>
        <v>1</v>
      </c>
      <c r="G458" s="2" t="str">
        <f>IFERROR(__xludf.DUMMYFUNCTION("""COMPUTED_VALUE"""),"PR050")</f>
        <v>PR050</v>
      </c>
      <c r="H458" s="2" t="str">
        <f>IFERROR(__xludf.DUMMYFUNCTION("""COMPUTED_VALUE"""),"VD018")</f>
        <v>VD018</v>
      </c>
      <c r="I458" s="2">
        <f>IFERROR(__xludf.DUMMYFUNCTION("""COMPUTED_VALUE"""),30.0)</f>
        <v>30</v>
      </c>
      <c r="J458" s="2">
        <f>IFERROR(__xludf.DUMMYFUNCTION("""COMPUTED_VALUE"""),987.0)</f>
        <v>987</v>
      </c>
      <c r="K458" s="2">
        <f>IFERROR(__xludf.DUMMYFUNCTION("""COMPUTED_VALUE"""),987.0)</f>
        <v>987</v>
      </c>
    </row>
    <row r="459">
      <c r="A459" s="2">
        <f>IFERROR(__xludf.DUMMYFUNCTION("""COMPUTED_VALUE"""),2000.0)</f>
        <v>2000</v>
      </c>
      <c r="B459" s="2">
        <f>IFERROR(__xludf.DUMMYFUNCTION("""COMPUTED_VALUE"""),183793.0)</f>
        <v>183793</v>
      </c>
      <c r="C459" s="2">
        <f>IFERROR(__xludf.DUMMYFUNCTION("""COMPUTED_VALUE"""),2026.0)</f>
        <v>2026</v>
      </c>
      <c r="D459" s="2">
        <f>IFERROR(__xludf.DUMMYFUNCTION("""COMPUTED_VALUE"""),46298.0)</f>
        <v>46298</v>
      </c>
      <c r="E459" s="2" t="str">
        <f>IFERROR(__xludf.DUMMYFUNCTION("""COMPUTED_VALUE"""),"VF")</f>
        <v>VF</v>
      </c>
      <c r="F459" s="2">
        <f>IFERROR(__xludf.DUMMYFUNCTION("""COMPUTED_VALUE"""),1.0)</f>
        <v>1</v>
      </c>
      <c r="G459" s="2" t="str">
        <f>IFERROR(__xludf.DUMMYFUNCTION("""COMPUTED_VALUE"""),"PR051")</f>
        <v>PR051</v>
      </c>
      <c r="H459" s="2" t="str">
        <f>IFERROR(__xludf.DUMMYFUNCTION("""COMPUTED_VALUE"""),"VD021")</f>
        <v>VD021</v>
      </c>
      <c r="I459" s="2">
        <f>IFERROR(__xludf.DUMMYFUNCTION("""COMPUTED_VALUE"""),9.0)</f>
        <v>9</v>
      </c>
      <c r="J459" s="2">
        <f>IFERROR(__xludf.DUMMYFUNCTION("""COMPUTED_VALUE"""),302.02)</f>
        <v>302.02</v>
      </c>
      <c r="K459" s="2">
        <f>IFERROR(__xludf.DUMMYFUNCTION("""COMPUTED_VALUE"""),302.02)</f>
        <v>302.02</v>
      </c>
    </row>
    <row r="460">
      <c r="A460" s="2">
        <f>IFERROR(__xludf.DUMMYFUNCTION("""COMPUTED_VALUE"""),1000.0)</f>
        <v>1000</v>
      </c>
      <c r="B460" s="2">
        <f>IFERROR(__xludf.DUMMYFUNCTION("""COMPUTED_VALUE"""),183794.0)</f>
        <v>183794</v>
      </c>
      <c r="C460" s="2">
        <f>IFERROR(__xludf.DUMMYFUNCTION("""COMPUTED_VALUE"""),2026.0)</f>
        <v>2026</v>
      </c>
      <c r="D460" s="2">
        <f>IFERROR(__xludf.DUMMYFUNCTION("""COMPUTED_VALUE"""),46298.0)</f>
        <v>46298</v>
      </c>
      <c r="E460" s="2" t="str">
        <f>IFERROR(__xludf.DUMMYFUNCTION("""COMPUTED_VALUE"""),"VF")</f>
        <v>VF</v>
      </c>
      <c r="F460" s="2">
        <f>IFERROR(__xludf.DUMMYFUNCTION("""COMPUTED_VALUE"""),1.0)</f>
        <v>1</v>
      </c>
      <c r="G460" s="2" t="str">
        <f>IFERROR(__xludf.DUMMYFUNCTION("""COMPUTED_VALUE"""),"PR031")</f>
        <v>PR031</v>
      </c>
      <c r="H460" s="2" t="str">
        <f>IFERROR(__xludf.DUMMYFUNCTION("""COMPUTED_VALUE"""),"VD018")</f>
        <v>VD018</v>
      </c>
      <c r="I460" s="2">
        <f>IFERROR(__xludf.DUMMYFUNCTION("""COMPUTED_VALUE"""),12.0)</f>
        <v>12</v>
      </c>
      <c r="J460" s="2">
        <f>IFERROR(__xludf.DUMMYFUNCTION("""COMPUTED_VALUE"""),3175.2)</f>
        <v>3175.2</v>
      </c>
      <c r="K460" s="2">
        <f>IFERROR(__xludf.DUMMYFUNCTION("""COMPUTED_VALUE"""),3175.2)</f>
        <v>3175.2</v>
      </c>
    </row>
    <row r="461">
      <c r="A461" s="2">
        <f>IFERROR(__xludf.DUMMYFUNCTION("""COMPUTED_VALUE"""),2000.0)</f>
        <v>2000</v>
      </c>
      <c r="B461" s="2">
        <f>IFERROR(__xludf.DUMMYFUNCTION("""COMPUTED_VALUE"""),183795.0)</f>
        <v>183795</v>
      </c>
      <c r="C461" s="2">
        <f>IFERROR(__xludf.DUMMYFUNCTION("""COMPUTED_VALUE"""),2026.0)</f>
        <v>2026</v>
      </c>
      <c r="D461" s="2">
        <f>IFERROR(__xludf.DUMMYFUNCTION("""COMPUTED_VALUE"""),46298.0)</f>
        <v>46298</v>
      </c>
      <c r="E461" s="2" t="str">
        <f>IFERROR(__xludf.DUMMYFUNCTION("""COMPUTED_VALUE"""),"VF")</f>
        <v>VF</v>
      </c>
      <c r="F461" s="2">
        <f>IFERROR(__xludf.DUMMYFUNCTION("""COMPUTED_VALUE"""),1.0)</f>
        <v>1</v>
      </c>
      <c r="G461" s="2" t="str">
        <f>IFERROR(__xludf.DUMMYFUNCTION("""COMPUTED_VALUE"""),"PR017")</f>
        <v>PR017</v>
      </c>
      <c r="H461" s="2" t="str">
        <f>IFERROR(__xludf.DUMMYFUNCTION("""COMPUTED_VALUE"""),"VD014")</f>
        <v>VD014</v>
      </c>
      <c r="I461" s="2">
        <f>IFERROR(__xludf.DUMMYFUNCTION("""COMPUTED_VALUE"""),6.0)</f>
        <v>6</v>
      </c>
      <c r="J461" s="2">
        <f>IFERROR(__xludf.DUMMYFUNCTION("""COMPUTED_VALUE"""),197.34)</f>
        <v>197.34</v>
      </c>
      <c r="K461" s="2">
        <f>IFERROR(__xludf.DUMMYFUNCTION("""COMPUTED_VALUE"""),197.34)</f>
        <v>197.34</v>
      </c>
    </row>
    <row r="462">
      <c r="A462" s="2">
        <f>IFERROR(__xludf.DUMMYFUNCTION("""COMPUTED_VALUE"""),1000.0)</f>
        <v>1000</v>
      </c>
      <c r="B462" s="2">
        <f>IFERROR(__xludf.DUMMYFUNCTION("""COMPUTED_VALUE"""),183796.0)</f>
        <v>183796</v>
      </c>
      <c r="C462" s="2">
        <f>IFERROR(__xludf.DUMMYFUNCTION("""COMPUTED_VALUE"""),2026.0)</f>
        <v>2026</v>
      </c>
      <c r="D462" s="2">
        <f>IFERROR(__xludf.DUMMYFUNCTION("""COMPUTED_VALUE"""),46298.0)</f>
        <v>46298</v>
      </c>
      <c r="E462" s="2" t="str">
        <f>IFERROR(__xludf.DUMMYFUNCTION("""COMPUTED_VALUE"""),"VF")</f>
        <v>VF</v>
      </c>
      <c r="F462" s="2">
        <f>IFERROR(__xludf.DUMMYFUNCTION("""COMPUTED_VALUE"""),1.0)</f>
        <v>1</v>
      </c>
      <c r="G462" s="2" t="str">
        <f>IFERROR(__xludf.DUMMYFUNCTION("""COMPUTED_VALUE"""),"PR044")</f>
        <v>PR044</v>
      </c>
      <c r="H462" s="2" t="str">
        <f>IFERROR(__xludf.DUMMYFUNCTION("""COMPUTED_VALUE"""),"VD025")</f>
        <v>VD025</v>
      </c>
      <c r="I462" s="2">
        <f>IFERROR(__xludf.DUMMYFUNCTION("""COMPUTED_VALUE"""),1.0)</f>
        <v>1</v>
      </c>
      <c r="J462" s="2">
        <f>IFERROR(__xludf.DUMMYFUNCTION("""COMPUTED_VALUE"""),76.13)</f>
        <v>76.13</v>
      </c>
      <c r="K462" s="2">
        <f>IFERROR(__xludf.DUMMYFUNCTION("""COMPUTED_VALUE"""),76.13)</f>
        <v>76.13</v>
      </c>
    </row>
    <row r="463">
      <c r="A463" s="2">
        <f>IFERROR(__xludf.DUMMYFUNCTION("""COMPUTED_VALUE"""),1000.0)</f>
        <v>1000</v>
      </c>
      <c r="B463" s="2">
        <f>IFERROR(__xludf.DUMMYFUNCTION("""COMPUTED_VALUE"""),183797.0)</f>
        <v>183797</v>
      </c>
      <c r="C463" s="2">
        <f>IFERROR(__xludf.DUMMYFUNCTION("""COMPUTED_VALUE"""),2026.0)</f>
        <v>2026</v>
      </c>
      <c r="D463" s="2">
        <f>IFERROR(__xludf.DUMMYFUNCTION("""COMPUTED_VALUE"""),46297.0)</f>
        <v>46297</v>
      </c>
      <c r="E463" s="2" t="str">
        <f>IFERROR(__xludf.DUMMYFUNCTION("""COMPUTED_VALUE"""),"VF")</f>
        <v>VF</v>
      </c>
      <c r="F463" s="2">
        <f>IFERROR(__xludf.DUMMYFUNCTION("""COMPUTED_VALUE"""),1.0)</f>
        <v>1</v>
      </c>
      <c r="G463" s="2" t="str">
        <f>IFERROR(__xludf.DUMMYFUNCTION("""COMPUTED_VALUE"""),"PR018")</f>
        <v>PR018</v>
      </c>
      <c r="H463" s="2" t="str">
        <f>IFERROR(__xludf.DUMMYFUNCTION("""COMPUTED_VALUE"""),"VD019")</f>
        <v>VD019</v>
      </c>
      <c r="I463" s="2">
        <f>IFERROR(__xludf.DUMMYFUNCTION("""COMPUTED_VALUE"""),3.0)</f>
        <v>3</v>
      </c>
      <c r="J463" s="2">
        <f>IFERROR(__xludf.DUMMYFUNCTION("""COMPUTED_VALUE"""),98.7)</f>
        <v>98.7</v>
      </c>
      <c r="K463" s="2">
        <f>IFERROR(__xludf.DUMMYFUNCTION("""COMPUTED_VALUE"""),98.7)</f>
        <v>98.7</v>
      </c>
    </row>
    <row r="464">
      <c r="A464" s="2">
        <f>IFERROR(__xludf.DUMMYFUNCTION("""COMPUTED_VALUE"""),1000.0)</f>
        <v>1000</v>
      </c>
      <c r="B464" s="2">
        <f>IFERROR(__xludf.DUMMYFUNCTION("""COMPUTED_VALUE"""),183798.0)</f>
        <v>183798</v>
      </c>
      <c r="C464" s="2">
        <f>IFERROR(__xludf.DUMMYFUNCTION("""COMPUTED_VALUE"""),2026.0)</f>
        <v>2026</v>
      </c>
      <c r="D464" s="2">
        <f>IFERROR(__xludf.DUMMYFUNCTION("""COMPUTED_VALUE"""),46297.0)</f>
        <v>46297</v>
      </c>
      <c r="E464" s="2" t="str">
        <f>IFERROR(__xludf.DUMMYFUNCTION("""COMPUTED_VALUE"""),"VF")</f>
        <v>VF</v>
      </c>
      <c r="F464" s="2">
        <f>IFERROR(__xludf.DUMMYFUNCTION("""COMPUTED_VALUE"""),1.0)</f>
        <v>1</v>
      </c>
      <c r="G464" s="2" t="str">
        <f>IFERROR(__xludf.DUMMYFUNCTION("""COMPUTED_VALUE"""),"PR010")</f>
        <v>PR010</v>
      </c>
      <c r="H464" s="2" t="str">
        <f>IFERROR(__xludf.DUMMYFUNCTION("""COMPUTED_VALUE"""),"VD042")</f>
        <v>VD042</v>
      </c>
      <c r="I464" s="2">
        <f>IFERROR(__xludf.DUMMYFUNCTION("""COMPUTED_VALUE"""),10.0)</f>
        <v>10</v>
      </c>
      <c r="J464" s="2">
        <f>IFERROR(__xludf.DUMMYFUNCTION("""COMPUTED_VALUE"""),489.41)</f>
        <v>489.41</v>
      </c>
      <c r="K464" s="2">
        <f>IFERROR(__xludf.DUMMYFUNCTION("""COMPUTED_VALUE"""),489.41)</f>
        <v>489.41</v>
      </c>
    </row>
    <row r="465">
      <c r="A465" s="2">
        <f>IFERROR(__xludf.DUMMYFUNCTION("""COMPUTED_VALUE"""),1000.0)</f>
        <v>1000</v>
      </c>
      <c r="B465" s="2">
        <f>IFERROR(__xludf.DUMMYFUNCTION("""COMPUTED_VALUE"""),183799.0)</f>
        <v>183799</v>
      </c>
      <c r="C465" s="2">
        <f>IFERROR(__xludf.DUMMYFUNCTION("""COMPUTED_VALUE"""),2026.0)</f>
        <v>2026</v>
      </c>
      <c r="D465" s="2">
        <f>IFERROR(__xludf.DUMMYFUNCTION("""COMPUTED_VALUE"""),46296.0)</f>
        <v>46296</v>
      </c>
      <c r="E465" s="2" t="str">
        <f>IFERROR(__xludf.DUMMYFUNCTION("""COMPUTED_VALUE"""),"VF")</f>
        <v>VF</v>
      </c>
      <c r="F465" s="2">
        <f>IFERROR(__xludf.DUMMYFUNCTION("""COMPUTED_VALUE"""),1.0)</f>
        <v>1</v>
      </c>
      <c r="G465" s="2" t="str">
        <f>IFERROR(__xludf.DUMMYFUNCTION("""COMPUTED_VALUE"""),"PR041")</f>
        <v>PR041</v>
      </c>
      <c r="H465" s="2" t="str">
        <f>IFERROR(__xludf.DUMMYFUNCTION("""COMPUTED_VALUE"""),"VD032")</f>
        <v>VD032</v>
      </c>
      <c r="I465" s="2">
        <f>IFERROR(__xludf.DUMMYFUNCTION("""COMPUTED_VALUE"""),10.0)</f>
        <v>10</v>
      </c>
      <c r="J465" s="2">
        <f>IFERROR(__xludf.DUMMYFUNCTION("""COMPUTED_VALUE"""),554.49)</f>
        <v>554.49</v>
      </c>
      <c r="K465" s="2">
        <f>IFERROR(__xludf.DUMMYFUNCTION("""COMPUTED_VALUE"""),554.49)</f>
        <v>554.49</v>
      </c>
    </row>
    <row r="466">
      <c r="A466" s="2">
        <f>IFERROR(__xludf.DUMMYFUNCTION("""COMPUTED_VALUE"""),1000.0)</f>
        <v>1000</v>
      </c>
      <c r="B466" s="2">
        <f>IFERROR(__xludf.DUMMYFUNCTION("""COMPUTED_VALUE"""),183799.0)</f>
        <v>183799</v>
      </c>
      <c r="C466" s="2">
        <f>IFERROR(__xludf.DUMMYFUNCTION("""COMPUTED_VALUE"""),2026.0)</f>
        <v>2026</v>
      </c>
      <c r="D466" s="2">
        <f>IFERROR(__xludf.DUMMYFUNCTION("""COMPUTED_VALUE"""),46296.0)</f>
        <v>46296</v>
      </c>
      <c r="E466" s="2" t="str">
        <f>IFERROR(__xludf.DUMMYFUNCTION("""COMPUTED_VALUE"""),"VF")</f>
        <v>VF</v>
      </c>
      <c r="F466" s="2">
        <f>IFERROR(__xludf.DUMMYFUNCTION("""COMPUTED_VALUE"""),2.0)</f>
        <v>2</v>
      </c>
      <c r="G466" s="2" t="str">
        <f>IFERROR(__xludf.DUMMYFUNCTION("""COMPUTED_VALUE"""),"PR050")</f>
        <v>PR050</v>
      </c>
      <c r="H466" s="2" t="str">
        <f>IFERROR(__xludf.DUMMYFUNCTION("""COMPUTED_VALUE"""),"VD042")</f>
        <v>VD042</v>
      </c>
      <c r="I466" s="2">
        <f>IFERROR(__xludf.DUMMYFUNCTION("""COMPUTED_VALUE"""),2.0)</f>
        <v>2</v>
      </c>
      <c r="J466" s="2">
        <f>IFERROR(__xludf.DUMMYFUNCTION("""COMPUTED_VALUE"""),68.43)</f>
        <v>68.43</v>
      </c>
      <c r="K466" s="2">
        <f>IFERROR(__xludf.DUMMYFUNCTION("""COMPUTED_VALUE"""),68.43)</f>
        <v>68.43</v>
      </c>
    </row>
    <row r="467">
      <c r="A467" s="2">
        <f>IFERROR(__xludf.DUMMYFUNCTION("""COMPUTED_VALUE"""),2000.0)</f>
        <v>2000</v>
      </c>
      <c r="B467" s="2">
        <f>IFERROR(__xludf.DUMMYFUNCTION("""COMPUTED_VALUE"""),183800.0)</f>
        <v>183800</v>
      </c>
      <c r="C467" s="2">
        <f>IFERROR(__xludf.DUMMYFUNCTION("""COMPUTED_VALUE"""),2026.0)</f>
        <v>2026</v>
      </c>
      <c r="D467" s="2">
        <f>IFERROR(__xludf.DUMMYFUNCTION("""COMPUTED_VALUE"""),46296.0)</f>
        <v>46296</v>
      </c>
      <c r="E467" s="2" t="str">
        <f>IFERROR(__xludf.DUMMYFUNCTION("""COMPUTED_VALUE"""),"VF")</f>
        <v>VF</v>
      </c>
      <c r="F467" s="2">
        <f>IFERROR(__xludf.DUMMYFUNCTION("""COMPUTED_VALUE"""),1.0)</f>
        <v>1</v>
      </c>
      <c r="G467" s="2" t="str">
        <f>IFERROR(__xludf.DUMMYFUNCTION("""COMPUTED_VALUE"""),"PR022")</f>
        <v>PR022</v>
      </c>
      <c r="H467" s="2" t="str">
        <f>IFERROR(__xludf.DUMMYFUNCTION("""COMPUTED_VALUE"""),"VD031")</f>
        <v>VD031</v>
      </c>
      <c r="I467" s="2">
        <f>IFERROR(__xludf.DUMMYFUNCTION("""COMPUTED_VALUE"""),10.0)</f>
        <v>10</v>
      </c>
      <c r="J467" s="2">
        <f>IFERROR(__xludf.DUMMYFUNCTION("""COMPUTED_VALUE"""),3270.0)</f>
        <v>3270</v>
      </c>
      <c r="K467" s="2">
        <f>IFERROR(__xludf.DUMMYFUNCTION("""COMPUTED_VALUE"""),3270.0)</f>
        <v>3270</v>
      </c>
    </row>
    <row r="468">
      <c r="A468" s="2">
        <f>IFERROR(__xludf.DUMMYFUNCTION("""COMPUTED_VALUE"""),1000.0)</f>
        <v>1000</v>
      </c>
      <c r="B468" s="2">
        <f>IFERROR(__xludf.DUMMYFUNCTION("""COMPUTED_VALUE"""),183800.0)</f>
        <v>183800</v>
      </c>
      <c r="C468" s="2">
        <f>IFERROR(__xludf.DUMMYFUNCTION("""COMPUTED_VALUE"""),2026.0)</f>
        <v>2026</v>
      </c>
      <c r="D468" s="2">
        <f>IFERROR(__xludf.DUMMYFUNCTION("""COMPUTED_VALUE"""),46296.0)</f>
        <v>46296</v>
      </c>
      <c r="E468" s="2" t="str">
        <f>IFERROR(__xludf.DUMMYFUNCTION("""COMPUTED_VALUE"""),"VF")</f>
        <v>VF</v>
      </c>
      <c r="F468" s="2">
        <f>IFERROR(__xludf.DUMMYFUNCTION("""COMPUTED_VALUE"""),2.0)</f>
        <v>2</v>
      </c>
      <c r="G468" s="2" t="str">
        <f>IFERROR(__xludf.DUMMYFUNCTION("""COMPUTED_VALUE"""),"PR048")</f>
        <v>PR048</v>
      </c>
      <c r="H468" s="2" t="str">
        <f>IFERROR(__xludf.DUMMYFUNCTION("""COMPUTED_VALUE"""),"VD016")</f>
        <v>VD016</v>
      </c>
      <c r="I468" s="2">
        <f>IFERROR(__xludf.DUMMYFUNCTION("""COMPUTED_VALUE"""),16.0)</f>
        <v>16</v>
      </c>
      <c r="J468" s="2">
        <f>IFERROR(__xludf.DUMMYFUNCTION("""COMPUTED_VALUE"""),5009.47)</f>
        <v>5009.47</v>
      </c>
      <c r="K468" s="2">
        <f>IFERROR(__xludf.DUMMYFUNCTION("""COMPUTED_VALUE"""),5009.47)</f>
        <v>5009.47</v>
      </c>
    </row>
    <row r="469">
      <c r="A469" s="2">
        <f>IFERROR(__xludf.DUMMYFUNCTION("""COMPUTED_VALUE"""),1000.0)</f>
        <v>1000</v>
      </c>
      <c r="B469" s="2">
        <f>IFERROR(__xludf.DUMMYFUNCTION("""COMPUTED_VALUE"""),183800.0)</f>
        <v>183800</v>
      </c>
      <c r="C469" s="2">
        <f>IFERROR(__xludf.DUMMYFUNCTION("""COMPUTED_VALUE"""),2026.0)</f>
        <v>2026</v>
      </c>
      <c r="D469" s="2">
        <f>IFERROR(__xludf.DUMMYFUNCTION("""COMPUTED_VALUE"""),46296.0)</f>
        <v>46296</v>
      </c>
      <c r="E469" s="2" t="str">
        <f>IFERROR(__xludf.DUMMYFUNCTION("""COMPUTED_VALUE"""),"VF")</f>
        <v>VF</v>
      </c>
      <c r="F469" s="2">
        <f>IFERROR(__xludf.DUMMYFUNCTION("""COMPUTED_VALUE"""),3.0)</f>
        <v>3</v>
      </c>
      <c r="G469" s="2" t="str">
        <f>IFERROR(__xludf.DUMMYFUNCTION("""COMPUTED_VALUE"""),"PR028")</f>
        <v>PR028</v>
      </c>
      <c r="H469" s="2" t="str">
        <f>IFERROR(__xludf.DUMMYFUNCTION("""COMPUTED_VALUE"""),"VD041")</f>
        <v>VD041</v>
      </c>
      <c r="I469" s="2">
        <f>IFERROR(__xludf.DUMMYFUNCTION("""COMPUTED_VALUE"""),16.0)</f>
        <v>16</v>
      </c>
      <c r="J469" s="2">
        <f>IFERROR(__xludf.DUMMYFUNCTION("""COMPUTED_VALUE"""),4038.38)</f>
        <v>4038.38</v>
      </c>
      <c r="K469" s="2">
        <f>IFERROR(__xludf.DUMMYFUNCTION("""COMPUTED_VALUE"""),4038.38)</f>
        <v>4038.38</v>
      </c>
    </row>
    <row r="470">
      <c r="A470" s="2">
        <f>IFERROR(__xludf.DUMMYFUNCTION("""COMPUTED_VALUE"""),1000.0)</f>
        <v>1000</v>
      </c>
      <c r="B470" s="2">
        <f>IFERROR(__xludf.DUMMYFUNCTION("""COMPUTED_VALUE"""),183801.0)</f>
        <v>183801</v>
      </c>
      <c r="C470" s="2">
        <f>IFERROR(__xludf.DUMMYFUNCTION("""COMPUTED_VALUE"""),2026.0)</f>
        <v>2026</v>
      </c>
      <c r="D470" s="2">
        <f>IFERROR(__xludf.DUMMYFUNCTION("""COMPUTED_VALUE"""),46296.0)</f>
        <v>46296</v>
      </c>
      <c r="E470" s="2" t="str">
        <f>IFERROR(__xludf.DUMMYFUNCTION("""COMPUTED_VALUE"""),"VF")</f>
        <v>VF</v>
      </c>
      <c r="F470" s="2">
        <f>IFERROR(__xludf.DUMMYFUNCTION("""COMPUTED_VALUE"""),1.0)</f>
        <v>1</v>
      </c>
      <c r="G470" s="2" t="str">
        <f>IFERROR(__xludf.DUMMYFUNCTION("""COMPUTED_VALUE"""),"PR002")</f>
        <v>PR002</v>
      </c>
      <c r="H470" s="2" t="str">
        <f>IFERROR(__xludf.DUMMYFUNCTION("""COMPUTED_VALUE"""),"VD027")</f>
        <v>VD027</v>
      </c>
      <c r="I470" s="2">
        <f>IFERROR(__xludf.DUMMYFUNCTION("""COMPUTED_VALUE"""),2.0)</f>
        <v>2</v>
      </c>
      <c r="J470" s="2">
        <f>IFERROR(__xludf.DUMMYFUNCTION("""COMPUTED_VALUE"""),153.78)</f>
        <v>153.78</v>
      </c>
      <c r="K470" s="2">
        <f>IFERROR(__xludf.DUMMYFUNCTION("""COMPUTED_VALUE"""),153.78)</f>
        <v>153.78</v>
      </c>
    </row>
    <row r="471">
      <c r="A471" s="2">
        <f>IFERROR(__xludf.DUMMYFUNCTION("""COMPUTED_VALUE"""),1000.0)</f>
        <v>1000</v>
      </c>
      <c r="B471" s="2">
        <f>IFERROR(__xludf.DUMMYFUNCTION("""COMPUTED_VALUE"""),183802.0)</f>
        <v>183802</v>
      </c>
      <c r="C471" s="2">
        <f>IFERROR(__xludf.DUMMYFUNCTION("""COMPUTED_VALUE"""),2026.0)</f>
        <v>2026</v>
      </c>
      <c r="D471" s="2">
        <f>IFERROR(__xludf.DUMMYFUNCTION("""COMPUTED_VALUE"""),46296.0)</f>
        <v>46296</v>
      </c>
      <c r="E471" s="2" t="str">
        <f>IFERROR(__xludf.DUMMYFUNCTION("""COMPUTED_VALUE"""),"VF")</f>
        <v>VF</v>
      </c>
      <c r="F471" s="2">
        <f>IFERROR(__xludf.DUMMYFUNCTION("""COMPUTED_VALUE"""),1.0)</f>
        <v>1</v>
      </c>
      <c r="G471" s="2" t="str">
        <f>IFERROR(__xludf.DUMMYFUNCTION("""COMPUTED_VALUE"""),"PR043")</f>
        <v>PR043</v>
      </c>
      <c r="H471" s="2" t="str">
        <f>IFERROR(__xludf.DUMMYFUNCTION("""COMPUTED_VALUE"""),"VD046")</f>
        <v>VD046</v>
      </c>
      <c r="I471" s="2">
        <f>IFERROR(__xludf.DUMMYFUNCTION("""COMPUTED_VALUE"""),2.0)</f>
        <v>2</v>
      </c>
      <c r="J471" s="2">
        <f>IFERROR(__xludf.DUMMYFUNCTION("""COMPUTED_VALUE"""),146.45)</f>
        <v>146.45</v>
      </c>
      <c r="K471" s="2">
        <f>IFERROR(__xludf.DUMMYFUNCTION("""COMPUTED_VALUE"""),146.45)</f>
        <v>146.45</v>
      </c>
    </row>
    <row r="472">
      <c r="A472" s="2">
        <f>IFERROR(__xludf.DUMMYFUNCTION("""COMPUTED_VALUE"""),1000.0)</f>
        <v>1000</v>
      </c>
      <c r="B472" s="2">
        <f>IFERROR(__xludf.DUMMYFUNCTION("""COMPUTED_VALUE"""),183802.0)</f>
        <v>183802</v>
      </c>
      <c r="C472" s="2">
        <f>IFERROR(__xludf.DUMMYFUNCTION("""COMPUTED_VALUE"""),2026.0)</f>
        <v>2026</v>
      </c>
      <c r="D472" s="2">
        <f>IFERROR(__xludf.DUMMYFUNCTION("""COMPUTED_VALUE"""),46296.0)</f>
        <v>46296</v>
      </c>
      <c r="E472" s="2" t="str">
        <f>IFERROR(__xludf.DUMMYFUNCTION("""COMPUTED_VALUE"""),"VF")</f>
        <v>VF</v>
      </c>
      <c r="F472" s="2">
        <f>IFERROR(__xludf.DUMMYFUNCTION("""COMPUTED_VALUE"""),2.0)</f>
        <v>2</v>
      </c>
      <c r="G472" s="2" t="str">
        <f>IFERROR(__xludf.DUMMYFUNCTION("""COMPUTED_VALUE"""),"PR033")</f>
        <v>PR033</v>
      </c>
      <c r="H472" s="2" t="str">
        <f>IFERROR(__xludf.DUMMYFUNCTION("""COMPUTED_VALUE"""),"VD042")</f>
        <v>VD042</v>
      </c>
      <c r="I472" s="2">
        <f>IFERROR(__xludf.DUMMYFUNCTION("""COMPUTED_VALUE"""),10.0)</f>
        <v>10</v>
      </c>
      <c r="J472" s="2">
        <f>IFERROR(__xludf.DUMMYFUNCTION("""COMPUTED_VALUE"""),2832.91)</f>
        <v>2832.91</v>
      </c>
      <c r="K472" s="2">
        <f>IFERROR(__xludf.DUMMYFUNCTION("""COMPUTED_VALUE"""),2832.91)</f>
        <v>2832.91</v>
      </c>
    </row>
    <row r="473">
      <c r="A473" s="2">
        <f>IFERROR(__xludf.DUMMYFUNCTION("""COMPUTED_VALUE"""),1000.0)</f>
        <v>1000</v>
      </c>
      <c r="B473" s="2">
        <f>IFERROR(__xludf.DUMMYFUNCTION("""COMPUTED_VALUE"""),183803.0)</f>
        <v>183803</v>
      </c>
      <c r="C473" s="2">
        <f>IFERROR(__xludf.DUMMYFUNCTION("""COMPUTED_VALUE"""),2026.0)</f>
        <v>2026</v>
      </c>
      <c r="D473" s="2">
        <f>IFERROR(__xludf.DUMMYFUNCTION("""COMPUTED_VALUE"""),46296.0)</f>
        <v>46296</v>
      </c>
      <c r="E473" s="2" t="str">
        <f>IFERROR(__xludf.DUMMYFUNCTION("""COMPUTED_VALUE"""),"VF")</f>
        <v>VF</v>
      </c>
      <c r="F473" s="2">
        <f>IFERROR(__xludf.DUMMYFUNCTION("""COMPUTED_VALUE"""),1.0)</f>
        <v>1</v>
      </c>
      <c r="G473" s="2" t="str">
        <f>IFERROR(__xludf.DUMMYFUNCTION("""COMPUTED_VALUE"""),"PR041")</f>
        <v>PR041</v>
      </c>
      <c r="H473" s="2" t="str">
        <f>IFERROR(__xludf.DUMMYFUNCTION("""COMPUTED_VALUE"""),"VD020")</f>
        <v>VD020</v>
      </c>
      <c r="I473" s="2">
        <f>IFERROR(__xludf.DUMMYFUNCTION("""COMPUTED_VALUE"""),7.0)</f>
        <v>7</v>
      </c>
      <c r="J473" s="2">
        <f>IFERROR(__xludf.DUMMYFUNCTION("""COMPUTED_VALUE"""),388.14)</f>
        <v>388.14</v>
      </c>
      <c r="K473" s="2">
        <f>IFERROR(__xludf.DUMMYFUNCTION("""COMPUTED_VALUE"""),388.14)</f>
        <v>388.14</v>
      </c>
    </row>
    <row r="474">
      <c r="A474" s="2">
        <f>IFERROR(__xludf.DUMMYFUNCTION("""COMPUTED_VALUE"""),1000.0)</f>
        <v>1000</v>
      </c>
      <c r="B474" s="2">
        <f>IFERROR(__xludf.DUMMYFUNCTION("""COMPUTED_VALUE"""),183804.0)</f>
        <v>183804</v>
      </c>
      <c r="C474" s="2">
        <f>IFERROR(__xludf.DUMMYFUNCTION("""COMPUTED_VALUE"""),2026.0)</f>
        <v>2026</v>
      </c>
      <c r="D474" s="2">
        <f>IFERROR(__xludf.DUMMYFUNCTION("""COMPUTED_VALUE"""),46296.0)</f>
        <v>46296</v>
      </c>
      <c r="E474" s="2" t="str">
        <f>IFERROR(__xludf.DUMMYFUNCTION("""COMPUTED_VALUE"""),"VF")</f>
        <v>VF</v>
      </c>
      <c r="F474" s="2">
        <f>IFERROR(__xludf.DUMMYFUNCTION("""COMPUTED_VALUE"""),1.0)</f>
        <v>1</v>
      </c>
      <c r="G474" s="2" t="str">
        <f>IFERROR(__xludf.DUMMYFUNCTION("""COMPUTED_VALUE"""),"PR030")</f>
        <v>PR030</v>
      </c>
      <c r="H474" s="2" t="str">
        <f>IFERROR(__xludf.DUMMYFUNCTION("""COMPUTED_VALUE"""),"VD045")</f>
        <v>VD045</v>
      </c>
      <c r="I474" s="2">
        <f>IFERROR(__xludf.DUMMYFUNCTION("""COMPUTED_VALUE"""),5.0)</f>
        <v>5</v>
      </c>
      <c r="J474" s="2">
        <f>IFERROR(__xludf.DUMMYFUNCTION("""COMPUTED_VALUE"""),1312.5)</f>
        <v>1312.5</v>
      </c>
      <c r="K474" s="2">
        <f>IFERROR(__xludf.DUMMYFUNCTION("""COMPUTED_VALUE"""),1312.5)</f>
        <v>1312.5</v>
      </c>
    </row>
    <row r="475">
      <c r="A475" s="2">
        <f>IFERROR(__xludf.DUMMYFUNCTION("""COMPUTED_VALUE"""),2000.0)</f>
        <v>2000</v>
      </c>
      <c r="B475" s="2">
        <f>IFERROR(__xludf.DUMMYFUNCTION("""COMPUTED_VALUE"""),183804.0)</f>
        <v>183804</v>
      </c>
      <c r="C475" s="2">
        <f>IFERROR(__xludf.DUMMYFUNCTION("""COMPUTED_VALUE"""),2026.0)</f>
        <v>2026</v>
      </c>
      <c r="D475" s="2">
        <f>IFERROR(__xludf.DUMMYFUNCTION("""COMPUTED_VALUE"""),46296.0)</f>
        <v>46296</v>
      </c>
      <c r="E475" s="2" t="str">
        <f>IFERROR(__xludf.DUMMYFUNCTION("""COMPUTED_VALUE"""),"VF")</f>
        <v>VF</v>
      </c>
      <c r="F475" s="2">
        <f>IFERROR(__xludf.DUMMYFUNCTION("""COMPUTED_VALUE"""),2.0)</f>
        <v>2</v>
      </c>
      <c r="G475" s="2" t="str">
        <f>IFERROR(__xludf.DUMMYFUNCTION("""COMPUTED_VALUE"""),"PR060")</f>
        <v>PR060</v>
      </c>
      <c r="H475" s="2" t="str">
        <f>IFERROR(__xludf.DUMMYFUNCTION("""COMPUTED_VALUE"""),"VD032")</f>
        <v>VD032</v>
      </c>
      <c r="I475" s="2">
        <f>IFERROR(__xludf.DUMMYFUNCTION("""COMPUTED_VALUE"""),6.0)</f>
        <v>6</v>
      </c>
      <c r="J475" s="2">
        <f>IFERROR(__xludf.DUMMYFUNCTION("""COMPUTED_VALUE"""),1090.8)</f>
        <v>1090.8</v>
      </c>
      <c r="K475" s="2">
        <f>IFERROR(__xludf.DUMMYFUNCTION("""COMPUTED_VALUE"""),1090.8)</f>
        <v>1090.8</v>
      </c>
    </row>
    <row r="476">
      <c r="A476" s="2">
        <f>IFERROR(__xludf.DUMMYFUNCTION("""COMPUTED_VALUE"""),1000.0)</f>
        <v>1000</v>
      </c>
      <c r="B476" s="2">
        <f>IFERROR(__xludf.DUMMYFUNCTION("""COMPUTED_VALUE"""),183804.0)</f>
        <v>183804</v>
      </c>
      <c r="C476" s="2">
        <f>IFERROR(__xludf.DUMMYFUNCTION("""COMPUTED_VALUE"""),2026.0)</f>
        <v>2026</v>
      </c>
      <c r="D476" s="2">
        <f>IFERROR(__xludf.DUMMYFUNCTION("""COMPUTED_VALUE"""),46296.0)</f>
        <v>46296</v>
      </c>
      <c r="E476" s="2" t="str">
        <f>IFERROR(__xludf.DUMMYFUNCTION("""COMPUTED_VALUE"""),"VF")</f>
        <v>VF</v>
      </c>
      <c r="F476" s="2">
        <f>IFERROR(__xludf.DUMMYFUNCTION("""COMPUTED_VALUE"""),3.0)</f>
        <v>3</v>
      </c>
      <c r="G476" s="2" t="str">
        <f>IFERROR(__xludf.DUMMYFUNCTION("""COMPUTED_VALUE"""),"PR051")</f>
        <v>PR051</v>
      </c>
      <c r="H476" s="2" t="str">
        <f>IFERROR(__xludf.DUMMYFUNCTION("""COMPUTED_VALUE"""),"VD034")</f>
        <v>VD034</v>
      </c>
      <c r="I476" s="2">
        <f>IFERROR(__xludf.DUMMYFUNCTION("""COMPUTED_VALUE"""),20.0)</f>
        <v>20</v>
      </c>
      <c r="J476" s="2">
        <f>IFERROR(__xludf.DUMMYFUNCTION("""COMPUTED_VALUE"""),658.0)</f>
        <v>658</v>
      </c>
      <c r="K476" s="2">
        <f>IFERROR(__xludf.DUMMYFUNCTION("""COMPUTED_VALUE"""),658.0)</f>
        <v>658</v>
      </c>
    </row>
    <row r="477">
      <c r="A477" s="2">
        <f>IFERROR(__xludf.DUMMYFUNCTION("""COMPUTED_VALUE"""),1000.0)</f>
        <v>1000</v>
      </c>
      <c r="B477" s="2">
        <f>IFERROR(__xludf.DUMMYFUNCTION("""COMPUTED_VALUE"""),183805.0)</f>
        <v>183805</v>
      </c>
      <c r="C477" s="2">
        <f>IFERROR(__xludf.DUMMYFUNCTION("""COMPUTED_VALUE"""),2026.0)</f>
        <v>2026</v>
      </c>
      <c r="D477" s="2">
        <f>IFERROR(__xludf.DUMMYFUNCTION("""COMPUTED_VALUE"""),46296.0)</f>
        <v>46296</v>
      </c>
      <c r="E477" s="2" t="str">
        <f>IFERROR(__xludf.DUMMYFUNCTION("""COMPUTED_VALUE"""),"VF")</f>
        <v>VF</v>
      </c>
      <c r="F477" s="2">
        <f>IFERROR(__xludf.DUMMYFUNCTION("""COMPUTED_VALUE"""),1.0)</f>
        <v>1</v>
      </c>
      <c r="G477" s="2" t="str">
        <f>IFERROR(__xludf.DUMMYFUNCTION("""COMPUTED_VALUE"""),"PR005")</f>
        <v>PR005</v>
      </c>
      <c r="H477" s="2" t="str">
        <f>IFERROR(__xludf.DUMMYFUNCTION("""COMPUTED_VALUE"""),"VD011")</f>
        <v>VD011</v>
      </c>
      <c r="I477" s="2">
        <f>IFERROR(__xludf.DUMMYFUNCTION("""COMPUTED_VALUE"""),10.0)</f>
        <v>10</v>
      </c>
      <c r="J477" s="2">
        <f>IFERROR(__xludf.DUMMYFUNCTION("""COMPUTED_VALUE"""),2676.97)</f>
        <v>2676.97</v>
      </c>
      <c r="K477" s="2">
        <f>IFERROR(__xludf.DUMMYFUNCTION("""COMPUTED_VALUE"""),2676.97)</f>
        <v>2676.97</v>
      </c>
    </row>
    <row r="478">
      <c r="A478" s="2">
        <f>IFERROR(__xludf.DUMMYFUNCTION("""COMPUTED_VALUE"""),1000.0)</f>
        <v>1000</v>
      </c>
      <c r="B478" s="2">
        <f>IFERROR(__xludf.DUMMYFUNCTION("""COMPUTED_VALUE"""),183806.0)</f>
        <v>183806</v>
      </c>
      <c r="C478" s="2">
        <f>IFERROR(__xludf.DUMMYFUNCTION("""COMPUTED_VALUE"""),2026.0)</f>
        <v>2026</v>
      </c>
      <c r="D478" s="2">
        <f>IFERROR(__xludf.DUMMYFUNCTION("""COMPUTED_VALUE"""),46296.0)</f>
        <v>46296</v>
      </c>
      <c r="E478" s="2" t="str">
        <f>IFERROR(__xludf.DUMMYFUNCTION("""COMPUTED_VALUE"""),"VF")</f>
        <v>VF</v>
      </c>
      <c r="F478" s="2">
        <f>IFERROR(__xludf.DUMMYFUNCTION("""COMPUTED_VALUE"""),1.0)</f>
        <v>1</v>
      </c>
      <c r="G478" s="2" t="str">
        <f>IFERROR(__xludf.DUMMYFUNCTION("""COMPUTED_VALUE"""),"PR013")</f>
        <v>PR013</v>
      </c>
      <c r="H478" s="2" t="str">
        <f>IFERROR(__xludf.DUMMYFUNCTION("""COMPUTED_VALUE"""),"VD012")</f>
        <v>VD012</v>
      </c>
      <c r="I478" s="2">
        <f>IFERROR(__xludf.DUMMYFUNCTION("""COMPUTED_VALUE"""),20.0)</f>
        <v>20</v>
      </c>
      <c r="J478" s="2">
        <f>IFERROR(__xludf.DUMMYFUNCTION("""COMPUTED_VALUE"""),845.88)</f>
        <v>845.88</v>
      </c>
      <c r="K478" s="2">
        <f>IFERROR(__xludf.DUMMYFUNCTION("""COMPUTED_VALUE"""),845.88)</f>
        <v>845.88</v>
      </c>
    </row>
    <row r="479">
      <c r="A479" s="2">
        <f>IFERROR(__xludf.DUMMYFUNCTION("""COMPUTED_VALUE"""),2000.0)</f>
        <v>2000</v>
      </c>
      <c r="B479" s="2">
        <f>IFERROR(__xludf.DUMMYFUNCTION("""COMPUTED_VALUE"""),183806.0)</f>
        <v>183806</v>
      </c>
      <c r="C479" s="2">
        <f>IFERROR(__xludf.DUMMYFUNCTION("""COMPUTED_VALUE"""),2026.0)</f>
        <v>2026</v>
      </c>
      <c r="D479" s="2">
        <f>IFERROR(__xludf.DUMMYFUNCTION("""COMPUTED_VALUE"""),46295.0)</f>
        <v>46295</v>
      </c>
      <c r="E479" s="2" t="str">
        <f>IFERROR(__xludf.DUMMYFUNCTION("""COMPUTED_VALUE"""),"VF")</f>
        <v>VF</v>
      </c>
      <c r="F479" s="2">
        <f>IFERROR(__xludf.DUMMYFUNCTION("""COMPUTED_VALUE"""),2.0)</f>
        <v>2</v>
      </c>
      <c r="G479" s="2" t="str">
        <f>IFERROR(__xludf.DUMMYFUNCTION("""COMPUTED_VALUE"""),"PR037")</f>
        <v>PR037</v>
      </c>
      <c r="H479" s="2" t="str">
        <f>IFERROR(__xludf.DUMMYFUNCTION("""COMPUTED_VALUE"""),"VD039")</f>
        <v>VD039</v>
      </c>
      <c r="I479" s="2">
        <f>IFERROR(__xludf.DUMMYFUNCTION("""COMPUTED_VALUE"""),14.0)</f>
        <v>14</v>
      </c>
      <c r="J479" s="2">
        <f>IFERROR(__xludf.DUMMYFUNCTION("""COMPUTED_VALUE"""),1979.6)</f>
        <v>1979.6</v>
      </c>
      <c r="K479" s="2">
        <f>IFERROR(__xludf.DUMMYFUNCTION("""COMPUTED_VALUE"""),1979.6)</f>
        <v>1979.6</v>
      </c>
    </row>
    <row r="480">
      <c r="A480" s="2">
        <f>IFERROR(__xludf.DUMMYFUNCTION("""COMPUTED_VALUE"""),1000.0)</f>
        <v>1000</v>
      </c>
      <c r="B480" s="2">
        <f>IFERROR(__xludf.DUMMYFUNCTION("""COMPUTED_VALUE"""),183806.0)</f>
        <v>183806</v>
      </c>
      <c r="C480" s="2">
        <f>IFERROR(__xludf.DUMMYFUNCTION("""COMPUTED_VALUE"""),2026.0)</f>
        <v>2026</v>
      </c>
      <c r="D480" s="2">
        <f>IFERROR(__xludf.DUMMYFUNCTION("""COMPUTED_VALUE"""),46295.0)</f>
        <v>46295</v>
      </c>
      <c r="E480" s="2" t="str">
        <f>IFERROR(__xludf.DUMMYFUNCTION("""COMPUTED_VALUE"""),"VF")</f>
        <v>VF</v>
      </c>
      <c r="F480" s="2">
        <f>IFERROR(__xludf.DUMMYFUNCTION("""COMPUTED_VALUE"""),3.0)</f>
        <v>3</v>
      </c>
      <c r="G480" s="2" t="str">
        <f>IFERROR(__xludf.DUMMYFUNCTION("""COMPUTED_VALUE"""),"PR032")</f>
        <v>PR032</v>
      </c>
      <c r="H480" s="2" t="str">
        <f>IFERROR(__xludf.DUMMYFUNCTION("""COMPUTED_VALUE"""),"VD022")</f>
        <v>VD022</v>
      </c>
      <c r="I480" s="2">
        <f>IFERROR(__xludf.DUMMYFUNCTION("""COMPUTED_VALUE"""),16.0)</f>
        <v>16</v>
      </c>
      <c r="J480" s="2">
        <f>IFERROR(__xludf.DUMMYFUNCTION("""COMPUTED_VALUE"""),4160.0)</f>
        <v>4160</v>
      </c>
      <c r="K480" s="2">
        <f>IFERROR(__xludf.DUMMYFUNCTION("""COMPUTED_VALUE"""),4160.0)</f>
        <v>4160</v>
      </c>
    </row>
    <row r="481">
      <c r="A481" s="2">
        <f>IFERROR(__xludf.DUMMYFUNCTION("""COMPUTED_VALUE"""),1000.0)</f>
        <v>1000</v>
      </c>
      <c r="B481" s="2">
        <f>IFERROR(__xludf.DUMMYFUNCTION("""COMPUTED_VALUE"""),183807.0)</f>
        <v>183807</v>
      </c>
      <c r="C481" s="2">
        <f>IFERROR(__xludf.DUMMYFUNCTION("""COMPUTED_VALUE"""),2026.0)</f>
        <v>2026</v>
      </c>
      <c r="D481" s="2">
        <f>IFERROR(__xludf.DUMMYFUNCTION("""COMPUTED_VALUE"""),46294.0)</f>
        <v>46294</v>
      </c>
      <c r="E481" s="2" t="str">
        <f>IFERROR(__xludf.DUMMYFUNCTION("""COMPUTED_VALUE"""),"VF")</f>
        <v>VF</v>
      </c>
      <c r="F481" s="2">
        <f>IFERROR(__xludf.DUMMYFUNCTION("""COMPUTED_VALUE"""),1.0)</f>
        <v>1</v>
      </c>
      <c r="G481" s="2" t="str">
        <f>IFERROR(__xludf.DUMMYFUNCTION("""COMPUTED_VALUE"""),"PR052")</f>
        <v>PR052</v>
      </c>
      <c r="H481" s="2" t="str">
        <f>IFERROR(__xludf.DUMMYFUNCTION("""COMPUTED_VALUE"""),"VD045")</f>
        <v>VD045</v>
      </c>
      <c r="I481" s="2">
        <f>IFERROR(__xludf.DUMMYFUNCTION("""COMPUTED_VALUE"""),5.0)</f>
        <v>5</v>
      </c>
      <c r="J481" s="2">
        <f>IFERROR(__xludf.DUMMYFUNCTION("""COMPUTED_VALUE"""),269.46)</f>
        <v>269.46</v>
      </c>
      <c r="K481" s="2">
        <f>IFERROR(__xludf.DUMMYFUNCTION("""COMPUTED_VALUE"""),269.46)</f>
        <v>269.46</v>
      </c>
    </row>
    <row r="482">
      <c r="A482" s="2">
        <f>IFERROR(__xludf.DUMMYFUNCTION("""COMPUTED_VALUE"""),1000.0)</f>
        <v>1000</v>
      </c>
      <c r="B482" s="2">
        <f>IFERROR(__xludf.DUMMYFUNCTION("""COMPUTED_VALUE"""),183808.0)</f>
        <v>183808</v>
      </c>
      <c r="C482" s="2">
        <f>IFERROR(__xludf.DUMMYFUNCTION("""COMPUTED_VALUE"""),2026.0)</f>
        <v>2026</v>
      </c>
      <c r="D482" s="2">
        <f>IFERROR(__xludf.DUMMYFUNCTION("""COMPUTED_VALUE"""),46294.0)</f>
        <v>46294</v>
      </c>
      <c r="E482" s="2" t="str">
        <f>IFERROR(__xludf.DUMMYFUNCTION("""COMPUTED_VALUE"""),"VF")</f>
        <v>VF</v>
      </c>
      <c r="F482" s="2">
        <f>IFERROR(__xludf.DUMMYFUNCTION("""COMPUTED_VALUE"""),1.0)</f>
        <v>1</v>
      </c>
      <c r="G482" s="2" t="str">
        <f>IFERROR(__xludf.DUMMYFUNCTION("""COMPUTED_VALUE"""),"PR038")</f>
        <v>PR038</v>
      </c>
      <c r="H482" s="2" t="str">
        <f>IFERROR(__xludf.DUMMYFUNCTION("""COMPUTED_VALUE"""),"VD020")</f>
        <v>VD020</v>
      </c>
      <c r="I482" s="2">
        <f>IFERROR(__xludf.DUMMYFUNCTION("""COMPUTED_VALUE"""),2.0)</f>
        <v>2</v>
      </c>
      <c r="J482" s="2">
        <f>IFERROR(__xludf.DUMMYFUNCTION("""COMPUTED_VALUE"""),305.81)</f>
        <v>305.81</v>
      </c>
      <c r="K482" s="2">
        <f>IFERROR(__xludf.DUMMYFUNCTION("""COMPUTED_VALUE"""),305.81)</f>
        <v>305.81</v>
      </c>
    </row>
    <row r="483">
      <c r="A483" s="2">
        <f>IFERROR(__xludf.DUMMYFUNCTION("""COMPUTED_VALUE"""),1000.0)</f>
        <v>1000</v>
      </c>
      <c r="B483" s="2">
        <f>IFERROR(__xludf.DUMMYFUNCTION("""COMPUTED_VALUE"""),183809.0)</f>
        <v>183809</v>
      </c>
      <c r="C483" s="2">
        <f>IFERROR(__xludf.DUMMYFUNCTION("""COMPUTED_VALUE"""),2026.0)</f>
        <v>2026</v>
      </c>
      <c r="D483" s="2">
        <f>IFERROR(__xludf.DUMMYFUNCTION("""COMPUTED_VALUE"""),46294.0)</f>
        <v>46294</v>
      </c>
      <c r="E483" s="2" t="str">
        <f>IFERROR(__xludf.DUMMYFUNCTION("""COMPUTED_VALUE"""),"VF")</f>
        <v>VF</v>
      </c>
      <c r="F483" s="2">
        <f>IFERROR(__xludf.DUMMYFUNCTION("""COMPUTED_VALUE"""),1.0)</f>
        <v>1</v>
      </c>
      <c r="G483" s="2" t="str">
        <f>IFERROR(__xludf.DUMMYFUNCTION("""COMPUTED_VALUE"""),"PR049")</f>
        <v>PR049</v>
      </c>
      <c r="H483" s="2" t="str">
        <f>IFERROR(__xludf.DUMMYFUNCTION("""COMPUTED_VALUE"""),"VD029")</f>
        <v>VD029</v>
      </c>
      <c r="I483" s="2">
        <f>IFERROR(__xludf.DUMMYFUNCTION("""COMPUTED_VALUE"""),9.0)</f>
        <v>9</v>
      </c>
      <c r="J483" s="2">
        <f>IFERROR(__xludf.DUMMYFUNCTION("""COMPUTED_VALUE"""),310.91)</f>
        <v>310.91</v>
      </c>
      <c r="K483" s="2">
        <f>IFERROR(__xludf.DUMMYFUNCTION("""COMPUTED_VALUE"""),310.91)</f>
        <v>310.91</v>
      </c>
    </row>
    <row r="484">
      <c r="A484" s="2">
        <f>IFERROR(__xludf.DUMMYFUNCTION("""COMPUTED_VALUE"""),1000.0)</f>
        <v>1000</v>
      </c>
      <c r="B484" s="2">
        <f>IFERROR(__xludf.DUMMYFUNCTION("""COMPUTED_VALUE"""),183809.0)</f>
        <v>183809</v>
      </c>
      <c r="C484" s="2">
        <f>IFERROR(__xludf.DUMMYFUNCTION("""COMPUTED_VALUE"""),2026.0)</f>
        <v>2026</v>
      </c>
      <c r="D484" s="2">
        <f>IFERROR(__xludf.DUMMYFUNCTION("""COMPUTED_VALUE"""),46294.0)</f>
        <v>46294</v>
      </c>
      <c r="E484" s="2" t="str">
        <f>IFERROR(__xludf.DUMMYFUNCTION("""COMPUTED_VALUE"""),"VF")</f>
        <v>VF</v>
      </c>
      <c r="F484" s="2">
        <f>IFERROR(__xludf.DUMMYFUNCTION("""COMPUTED_VALUE"""),2.0)</f>
        <v>2</v>
      </c>
      <c r="G484" s="2" t="str">
        <f>IFERROR(__xludf.DUMMYFUNCTION("""COMPUTED_VALUE"""),"PR022")</f>
        <v>PR022</v>
      </c>
      <c r="H484" s="2" t="str">
        <f>IFERROR(__xludf.DUMMYFUNCTION("""COMPUTED_VALUE"""),"VD015")</f>
        <v>VD015</v>
      </c>
      <c r="I484" s="2">
        <f>IFERROR(__xludf.DUMMYFUNCTION("""COMPUTED_VALUE"""),12.0)</f>
        <v>12</v>
      </c>
      <c r="J484" s="2">
        <f>IFERROR(__xludf.DUMMYFUNCTION("""COMPUTED_VALUE"""),3672.0)</f>
        <v>3672</v>
      </c>
      <c r="K484" s="2">
        <f>IFERROR(__xludf.DUMMYFUNCTION("""COMPUTED_VALUE"""),3672.0)</f>
        <v>3672</v>
      </c>
    </row>
    <row r="485">
      <c r="A485" s="2">
        <f>IFERROR(__xludf.DUMMYFUNCTION("""COMPUTED_VALUE"""),1000.0)</f>
        <v>1000</v>
      </c>
      <c r="B485" s="2">
        <f>IFERROR(__xludf.DUMMYFUNCTION("""COMPUTED_VALUE"""),183810.0)</f>
        <v>183810</v>
      </c>
      <c r="C485" s="2">
        <f>IFERROR(__xludf.DUMMYFUNCTION("""COMPUTED_VALUE"""),2026.0)</f>
        <v>2026</v>
      </c>
      <c r="D485" s="2">
        <f>IFERROR(__xludf.DUMMYFUNCTION("""COMPUTED_VALUE"""),46294.0)</f>
        <v>46294</v>
      </c>
      <c r="E485" s="2" t="str">
        <f>IFERROR(__xludf.DUMMYFUNCTION("""COMPUTED_VALUE"""),"VF")</f>
        <v>VF</v>
      </c>
      <c r="F485" s="2">
        <f>IFERROR(__xludf.DUMMYFUNCTION("""COMPUTED_VALUE"""),1.0)</f>
        <v>1</v>
      </c>
      <c r="G485" s="2" t="str">
        <f>IFERROR(__xludf.DUMMYFUNCTION("""COMPUTED_VALUE"""),"PR015")</f>
        <v>PR015</v>
      </c>
      <c r="H485" s="2" t="str">
        <f>IFERROR(__xludf.DUMMYFUNCTION("""COMPUTED_VALUE"""),"VD020")</f>
        <v>VD020</v>
      </c>
      <c r="I485" s="2">
        <f>IFERROR(__xludf.DUMMYFUNCTION("""COMPUTED_VALUE"""),10.0)</f>
        <v>10</v>
      </c>
      <c r="J485" s="2">
        <f>IFERROR(__xludf.DUMMYFUNCTION("""COMPUTED_VALUE"""),442.0)</f>
        <v>442</v>
      </c>
      <c r="K485" s="2">
        <f>IFERROR(__xludf.DUMMYFUNCTION("""COMPUTED_VALUE"""),442.0)</f>
        <v>442</v>
      </c>
    </row>
    <row r="486">
      <c r="A486" s="2">
        <f>IFERROR(__xludf.DUMMYFUNCTION("""COMPUTED_VALUE"""),1000.0)</f>
        <v>1000</v>
      </c>
      <c r="B486" s="2">
        <f>IFERROR(__xludf.DUMMYFUNCTION("""COMPUTED_VALUE"""),183811.0)</f>
        <v>183811</v>
      </c>
      <c r="C486" s="2">
        <f>IFERROR(__xludf.DUMMYFUNCTION("""COMPUTED_VALUE"""),2026.0)</f>
        <v>2026</v>
      </c>
      <c r="D486" s="2">
        <f>IFERROR(__xludf.DUMMYFUNCTION("""COMPUTED_VALUE"""),46294.0)</f>
        <v>46294</v>
      </c>
      <c r="E486" s="2" t="str">
        <f>IFERROR(__xludf.DUMMYFUNCTION("""COMPUTED_VALUE"""),"VF")</f>
        <v>VF</v>
      </c>
      <c r="F486" s="2">
        <f>IFERROR(__xludf.DUMMYFUNCTION("""COMPUTED_VALUE"""),1.0)</f>
        <v>1</v>
      </c>
      <c r="G486" s="2" t="str">
        <f>IFERROR(__xludf.DUMMYFUNCTION("""COMPUTED_VALUE"""),"PR039")</f>
        <v>PR039</v>
      </c>
      <c r="H486" s="2" t="str">
        <f>IFERROR(__xludf.DUMMYFUNCTION("""COMPUTED_VALUE"""),"VD020")</f>
        <v>VD020</v>
      </c>
      <c r="I486" s="2">
        <f>IFERROR(__xludf.DUMMYFUNCTION("""COMPUTED_VALUE"""),9.0)</f>
        <v>9</v>
      </c>
      <c r="J486" s="2">
        <f>IFERROR(__xludf.DUMMYFUNCTION("""COMPUTED_VALUE"""),1445.4)</f>
        <v>1445.4</v>
      </c>
      <c r="K486" s="2">
        <f>IFERROR(__xludf.DUMMYFUNCTION("""COMPUTED_VALUE"""),1445.4)</f>
        <v>1445.4</v>
      </c>
    </row>
    <row r="487">
      <c r="A487" s="2">
        <f>IFERROR(__xludf.DUMMYFUNCTION("""COMPUTED_VALUE"""),1000.0)</f>
        <v>1000</v>
      </c>
      <c r="B487" s="2">
        <f>IFERROR(__xludf.DUMMYFUNCTION("""COMPUTED_VALUE"""),183811.0)</f>
        <v>183811</v>
      </c>
      <c r="C487" s="2">
        <f>IFERROR(__xludf.DUMMYFUNCTION("""COMPUTED_VALUE"""),2026.0)</f>
        <v>2026</v>
      </c>
      <c r="D487" s="2">
        <f>IFERROR(__xludf.DUMMYFUNCTION("""COMPUTED_VALUE"""),46293.0)</f>
        <v>46293</v>
      </c>
      <c r="E487" s="2" t="str">
        <f>IFERROR(__xludf.DUMMYFUNCTION("""COMPUTED_VALUE"""),"VF")</f>
        <v>VF</v>
      </c>
      <c r="F487" s="2">
        <f>IFERROR(__xludf.DUMMYFUNCTION("""COMPUTED_VALUE"""),2.0)</f>
        <v>2</v>
      </c>
      <c r="G487" s="2" t="str">
        <f>IFERROR(__xludf.DUMMYFUNCTION("""COMPUTED_VALUE"""),"PR035")</f>
        <v>PR035</v>
      </c>
      <c r="H487" s="2" t="str">
        <f>IFERROR(__xludf.DUMMYFUNCTION("""COMPUTED_VALUE"""),"VD017")</f>
        <v>VD017</v>
      </c>
      <c r="I487" s="2">
        <f>IFERROR(__xludf.DUMMYFUNCTION("""COMPUTED_VALUE"""),14.0)</f>
        <v>14</v>
      </c>
      <c r="J487" s="2">
        <f>IFERROR(__xludf.DUMMYFUNCTION("""COMPUTED_VALUE"""),1343.58)</f>
        <v>1343.58</v>
      </c>
      <c r="K487" s="2">
        <f>IFERROR(__xludf.DUMMYFUNCTION("""COMPUTED_VALUE"""),1343.58)</f>
        <v>1343.58</v>
      </c>
    </row>
    <row r="488">
      <c r="A488" s="2">
        <f>IFERROR(__xludf.DUMMYFUNCTION("""COMPUTED_VALUE"""),1000.0)</f>
        <v>1000</v>
      </c>
      <c r="B488" s="2">
        <f>IFERROR(__xludf.DUMMYFUNCTION("""COMPUTED_VALUE"""),183812.0)</f>
        <v>183812</v>
      </c>
      <c r="C488" s="2">
        <f>IFERROR(__xludf.DUMMYFUNCTION("""COMPUTED_VALUE"""),2026.0)</f>
        <v>2026</v>
      </c>
      <c r="D488" s="2">
        <f>IFERROR(__xludf.DUMMYFUNCTION("""COMPUTED_VALUE"""),46293.0)</f>
        <v>46293</v>
      </c>
      <c r="E488" s="2" t="str">
        <f>IFERROR(__xludf.DUMMYFUNCTION("""COMPUTED_VALUE"""),"VF")</f>
        <v>VF</v>
      </c>
      <c r="F488" s="2">
        <f>IFERROR(__xludf.DUMMYFUNCTION("""COMPUTED_VALUE"""),1.0)</f>
        <v>1</v>
      </c>
      <c r="G488" s="2" t="str">
        <f>IFERROR(__xludf.DUMMYFUNCTION("""COMPUTED_VALUE"""),"PR025")</f>
        <v>PR025</v>
      </c>
      <c r="H488" s="2" t="str">
        <f>IFERROR(__xludf.DUMMYFUNCTION("""COMPUTED_VALUE"""),"VD012")</f>
        <v>VD012</v>
      </c>
      <c r="I488" s="2">
        <f>IFERROR(__xludf.DUMMYFUNCTION("""COMPUTED_VALUE"""),3.0)</f>
        <v>3</v>
      </c>
      <c r="J488" s="2">
        <f>IFERROR(__xludf.DUMMYFUNCTION("""COMPUTED_VALUE"""),962.68)</f>
        <v>962.68</v>
      </c>
      <c r="K488" s="2">
        <f>IFERROR(__xludf.DUMMYFUNCTION("""COMPUTED_VALUE"""),962.68)</f>
        <v>962.68</v>
      </c>
    </row>
    <row r="489">
      <c r="A489" s="2">
        <f>IFERROR(__xludf.DUMMYFUNCTION("""COMPUTED_VALUE"""),2000.0)</f>
        <v>2000</v>
      </c>
      <c r="B489" s="2">
        <f>IFERROR(__xludf.DUMMYFUNCTION("""COMPUTED_VALUE"""),183813.0)</f>
        <v>183813</v>
      </c>
      <c r="C489" s="2">
        <f>IFERROR(__xludf.DUMMYFUNCTION("""COMPUTED_VALUE"""),2026.0)</f>
        <v>2026</v>
      </c>
      <c r="D489" s="2">
        <f>IFERROR(__xludf.DUMMYFUNCTION("""COMPUTED_VALUE"""),46293.0)</f>
        <v>46293</v>
      </c>
      <c r="E489" s="2" t="str">
        <f>IFERROR(__xludf.DUMMYFUNCTION("""COMPUTED_VALUE"""),"VF")</f>
        <v>VF</v>
      </c>
      <c r="F489" s="2">
        <f>IFERROR(__xludf.DUMMYFUNCTION("""COMPUTED_VALUE"""),1.0)</f>
        <v>1</v>
      </c>
      <c r="G489" s="2" t="str">
        <f>IFERROR(__xludf.DUMMYFUNCTION("""COMPUTED_VALUE"""),"PR027")</f>
        <v>PR027</v>
      </c>
      <c r="H489" s="2" t="str">
        <f>IFERROR(__xludf.DUMMYFUNCTION("""COMPUTED_VALUE"""),"VD031")</f>
        <v>VD031</v>
      </c>
      <c r="I489" s="2">
        <f>IFERROR(__xludf.DUMMYFUNCTION("""COMPUTED_VALUE"""),8.0)</f>
        <v>8</v>
      </c>
      <c r="J489" s="2">
        <f>IFERROR(__xludf.DUMMYFUNCTION("""COMPUTED_VALUE"""),969.6)</f>
        <v>969.6</v>
      </c>
      <c r="K489" s="2">
        <f>IFERROR(__xludf.DUMMYFUNCTION("""COMPUTED_VALUE"""),969.6)</f>
        <v>969.6</v>
      </c>
    </row>
    <row r="490">
      <c r="A490" s="2">
        <f>IFERROR(__xludf.DUMMYFUNCTION("""COMPUTED_VALUE"""),2000.0)</f>
        <v>2000</v>
      </c>
      <c r="B490" s="2">
        <f>IFERROR(__xludf.DUMMYFUNCTION("""COMPUTED_VALUE"""),183814.0)</f>
        <v>183814</v>
      </c>
      <c r="C490" s="2">
        <f>IFERROR(__xludf.DUMMYFUNCTION("""COMPUTED_VALUE"""),2026.0)</f>
        <v>2026</v>
      </c>
      <c r="D490" s="2">
        <f>IFERROR(__xludf.DUMMYFUNCTION("""COMPUTED_VALUE"""),46292.0)</f>
        <v>46292</v>
      </c>
      <c r="E490" s="2" t="str">
        <f>IFERROR(__xludf.DUMMYFUNCTION("""COMPUTED_VALUE"""),"VF")</f>
        <v>VF</v>
      </c>
      <c r="F490" s="2">
        <f>IFERROR(__xludf.DUMMYFUNCTION("""COMPUTED_VALUE"""),1.0)</f>
        <v>1</v>
      </c>
      <c r="G490" s="2" t="str">
        <f>IFERROR(__xludf.DUMMYFUNCTION("""COMPUTED_VALUE"""),"PR020")</f>
        <v>PR020</v>
      </c>
      <c r="H490" s="2" t="str">
        <f>IFERROR(__xludf.DUMMYFUNCTION("""COMPUTED_VALUE"""),"VD022")</f>
        <v>VD022</v>
      </c>
      <c r="I490" s="2">
        <f>IFERROR(__xludf.DUMMYFUNCTION("""COMPUTED_VALUE"""),6.0)</f>
        <v>6</v>
      </c>
      <c r="J490" s="2">
        <f>IFERROR(__xludf.DUMMYFUNCTION("""COMPUTED_VALUE"""),1853.38)</f>
        <v>1853.38</v>
      </c>
      <c r="K490" s="2">
        <f>IFERROR(__xludf.DUMMYFUNCTION("""COMPUTED_VALUE"""),1853.38)</f>
        <v>1853.38</v>
      </c>
    </row>
    <row r="491">
      <c r="A491" s="2">
        <f>IFERROR(__xludf.DUMMYFUNCTION("""COMPUTED_VALUE"""),1000.0)</f>
        <v>1000</v>
      </c>
      <c r="B491" s="2">
        <f>IFERROR(__xludf.DUMMYFUNCTION("""COMPUTED_VALUE"""),183815.0)</f>
        <v>183815</v>
      </c>
      <c r="C491" s="2">
        <f>IFERROR(__xludf.DUMMYFUNCTION("""COMPUTED_VALUE"""),2026.0)</f>
        <v>2026</v>
      </c>
      <c r="D491" s="2">
        <f>IFERROR(__xludf.DUMMYFUNCTION("""COMPUTED_VALUE"""),46292.0)</f>
        <v>46292</v>
      </c>
      <c r="E491" s="2" t="str">
        <f>IFERROR(__xludf.DUMMYFUNCTION("""COMPUTED_VALUE"""),"VF")</f>
        <v>VF</v>
      </c>
      <c r="F491" s="2">
        <f>IFERROR(__xludf.DUMMYFUNCTION("""COMPUTED_VALUE"""),1.0)</f>
        <v>1</v>
      </c>
      <c r="G491" s="2" t="str">
        <f>IFERROR(__xludf.DUMMYFUNCTION("""COMPUTED_VALUE"""),"PR050")</f>
        <v>PR050</v>
      </c>
      <c r="H491" s="2" t="str">
        <f>IFERROR(__xludf.DUMMYFUNCTION("""COMPUTED_VALUE"""),"VD047")</f>
        <v>VD047</v>
      </c>
      <c r="I491" s="2">
        <f>IFERROR(__xludf.DUMMYFUNCTION("""COMPUTED_VALUE"""),8.0)</f>
        <v>8</v>
      </c>
      <c r="J491" s="2">
        <f>IFERROR(__xludf.DUMMYFUNCTION("""COMPUTED_VALUE"""),289.52)</f>
        <v>289.52</v>
      </c>
      <c r="K491" s="2">
        <f>IFERROR(__xludf.DUMMYFUNCTION("""COMPUTED_VALUE"""),289.52)</f>
        <v>289.52</v>
      </c>
    </row>
    <row r="492">
      <c r="A492" s="2">
        <f>IFERROR(__xludf.DUMMYFUNCTION("""COMPUTED_VALUE"""),1000.0)</f>
        <v>1000</v>
      </c>
      <c r="B492" s="2">
        <f>IFERROR(__xludf.DUMMYFUNCTION("""COMPUTED_VALUE"""),183815.0)</f>
        <v>183815</v>
      </c>
      <c r="C492" s="2">
        <f>IFERROR(__xludf.DUMMYFUNCTION("""COMPUTED_VALUE"""),2026.0)</f>
        <v>2026</v>
      </c>
      <c r="D492" s="2">
        <f>IFERROR(__xludf.DUMMYFUNCTION("""COMPUTED_VALUE"""),46291.0)</f>
        <v>46291</v>
      </c>
      <c r="E492" s="2" t="str">
        <f>IFERROR(__xludf.DUMMYFUNCTION("""COMPUTED_VALUE"""),"VF")</f>
        <v>VF</v>
      </c>
      <c r="F492" s="2">
        <f>IFERROR(__xludf.DUMMYFUNCTION("""COMPUTED_VALUE"""),2.0)</f>
        <v>2</v>
      </c>
      <c r="G492" s="2" t="str">
        <f>IFERROR(__xludf.DUMMYFUNCTION("""COMPUTED_VALUE"""),"PR053")</f>
        <v>PR053</v>
      </c>
      <c r="H492" s="2" t="str">
        <f>IFERROR(__xludf.DUMMYFUNCTION("""COMPUTED_VALUE"""),"VD041")</f>
        <v>VD041</v>
      </c>
      <c r="I492" s="2">
        <f>IFERROR(__xludf.DUMMYFUNCTION("""COMPUTED_VALUE"""),5.0)</f>
        <v>5</v>
      </c>
      <c r="J492" s="2">
        <f>IFERROR(__xludf.DUMMYFUNCTION("""COMPUTED_VALUE"""),274.45)</f>
        <v>274.45</v>
      </c>
      <c r="K492" s="2">
        <f>IFERROR(__xludf.DUMMYFUNCTION("""COMPUTED_VALUE"""),274.45)</f>
        <v>274.45</v>
      </c>
    </row>
    <row r="493">
      <c r="A493" s="2">
        <f>IFERROR(__xludf.DUMMYFUNCTION("""COMPUTED_VALUE"""),1000.0)</f>
        <v>1000</v>
      </c>
      <c r="B493" s="2">
        <f>IFERROR(__xludf.DUMMYFUNCTION("""COMPUTED_VALUE"""),183816.0)</f>
        <v>183816</v>
      </c>
      <c r="C493" s="2">
        <f>IFERROR(__xludf.DUMMYFUNCTION("""COMPUTED_VALUE"""),2026.0)</f>
        <v>2026</v>
      </c>
      <c r="D493" s="2">
        <f>IFERROR(__xludf.DUMMYFUNCTION("""COMPUTED_VALUE"""),46291.0)</f>
        <v>46291</v>
      </c>
      <c r="E493" s="2" t="str">
        <f>IFERROR(__xludf.DUMMYFUNCTION("""COMPUTED_VALUE"""),"VF")</f>
        <v>VF</v>
      </c>
      <c r="F493" s="2">
        <f>IFERROR(__xludf.DUMMYFUNCTION("""COMPUTED_VALUE"""),1.0)</f>
        <v>1</v>
      </c>
      <c r="G493" s="2" t="str">
        <f>IFERROR(__xludf.DUMMYFUNCTION("""COMPUTED_VALUE"""),"PR042")</f>
        <v>PR042</v>
      </c>
      <c r="H493" s="2" t="str">
        <f>IFERROR(__xludf.DUMMYFUNCTION("""COMPUTED_VALUE"""),"VD018")</f>
        <v>VD018</v>
      </c>
      <c r="I493" s="2">
        <f>IFERROR(__xludf.DUMMYFUNCTION("""COMPUTED_VALUE"""),14.0)</f>
        <v>14</v>
      </c>
      <c r="J493" s="2">
        <f>IFERROR(__xludf.DUMMYFUNCTION("""COMPUTED_VALUE"""),822.4)</f>
        <v>822.4</v>
      </c>
      <c r="K493" s="2">
        <f>IFERROR(__xludf.DUMMYFUNCTION("""COMPUTED_VALUE"""),822.4)</f>
        <v>822.4</v>
      </c>
    </row>
    <row r="494">
      <c r="A494" s="2">
        <f>IFERROR(__xludf.DUMMYFUNCTION("""COMPUTED_VALUE"""),2000.0)</f>
        <v>2000</v>
      </c>
      <c r="B494" s="2">
        <f>IFERROR(__xludf.DUMMYFUNCTION("""COMPUTED_VALUE"""),183816.0)</f>
        <v>183816</v>
      </c>
      <c r="C494" s="2">
        <f>IFERROR(__xludf.DUMMYFUNCTION("""COMPUTED_VALUE"""),2026.0)</f>
        <v>2026</v>
      </c>
      <c r="D494" s="2">
        <f>IFERROR(__xludf.DUMMYFUNCTION("""COMPUTED_VALUE"""),46290.0)</f>
        <v>46290</v>
      </c>
      <c r="E494" s="2" t="str">
        <f>IFERROR(__xludf.DUMMYFUNCTION("""COMPUTED_VALUE"""),"VF")</f>
        <v>VF</v>
      </c>
      <c r="F494" s="2">
        <f>IFERROR(__xludf.DUMMYFUNCTION("""COMPUTED_VALUE"""),2.0)</f>
        <v>2</v>
      </c>
      <c r="G494" s="2" t="str">
        <f>IFERROR(__xludf.DUMMYFUNCTION("""COMPUTED_VALUE"""),"PR041")</f>
        <v>PR041</v>
      </c>
      <c r="H494" s="2" t="str">
        <f>IFERROR(__xludf.DUMMYFUNCTION("""COMPUTED_VALUE"""),"VD049")</f>
        <v>VD049</v>
      </c>
      <c r="I494" s="2">
        <f>IFERROR(__xludf.DUMMYFUNCTION("""COMPUTED_VALUE"""),6.0)</f>
        <v>6</v>
      </c>
      <c r="J494" s="2">
        <f>IFERROR(__xludf.DUMMYFUNCTION("""COMPUTED_VALUE"""),352.46)</f>
        <v>352.46</v>
      </c>
      <c r="K494" s="2">
        <f>IFERROR(__xludf.DUMMYFUNCTION("""COMPUTED_VALUE"""),352.46)</f>
        <v>352.46</v>
      </c>
    </row>
    <row r="495">
      <c r="A495" s="2">
        <f>IFERROR(__xludf.DUMMYFUNCTION("""COMPUTED_VALUE"""),1000.0)</f>
        <v>1000</v>
      </c>
      <c r="B495" s="2">
        <f>IFERROR(__xludf.DUMMYFUNCTION("""COMPUTED_VALUE"""),183816.0)</f>
        <v>183816</v>
      </c>
      <c r="C495" s="2">
        <f>IFERROR(__xludf.DUMMYFUNCTION("""COMPUTED_VALUE"""),2026.0)</f>
        <v>2026</v>
      </c>
      <c r="D495" s="2">
        <f>IFERROR(__xludf.DUMMYFUNCTION("""COMPUTED_VALUE"""),46290.0)</f>
        <v>46290</v>
      </c>
      <c r="E495" s="2" t="str">
        <f>IFERROR(__xludf.DUMMYFUNCTION("""COMPUTED_VALUE"""),"VF")</f>
        <v>VF</v>
      </c>
      <c r="F495" s="2">
        <f>IFERROR(__xludf.DUMMYFUNCTION("""COMPUTED_VALUE"""),3.0)</f>
        <v>3</v>
      </c>
      <c r="G495" s="2" t="str">
        <f>IFERROR(__xludf.DUMMYFUNCTION("""COMPUTED_VALUE"""),"PR043")</f>
        <v>PR043</v>
      </c>
      <c r="H495" s="2" t="str">
        <f>IFERROR(__xludf.DUMMYFUNCTION("""COMPUTED_VALUE"""),"VD032")</f>
        <v>VD032</v>
      </c>
      <c r="I495" s="2">
        <f>IFERROR(__xludf.DUMMYFUNCTION("""COMPUTED_VALUE"""),2.0)</f>
        <v>2</v>
      </c>
      <c r="J495" s="2">
        <f>IFERROR(__xludf.DUMMYFUNCTION("""COMPUTED_VALUE"""),155.15)</f>
        <v>155.15</v>
      </c>
      <c r="K495" s="2">
        <f>IFERROR(__xludf.DUMMYFUNCTION("""COMPUTED_VALUE"""),155.15)</f>
        <v>155.15</v>
      </c>
    </row>
    <row r="496">
      <c r="A496" s="2">
        <f>IFERROR(__xludf.DUMMYFUNCTION("""COMPUTED_VALUE"""),1000.0)</f>
        <v>1000</v>
      </c>
      <c r="B496" s="2">
        <f>IFERROR(__xludf.DUMMYFUNCTION("""COMPUTED_VALUE"""),183817.0)</f>
        <v>183817</v>
      </c>
      <c r="C496" s="2">
        <f>IFERROR(__xludf.DUMMYFUNCTION("""COMPUTED_VALUE"""),2026.0)</f>
        <v>2026</v>
      </c>
      <c r="D496" s="2">
        <f>IFERROR(__xludf.DUMMYFUNCTION("""COMPUTED_VALUE"""),46290.0)</f>
        <v>46290</v>
      </c>
      <c r="E496" s="2" t="str">
        <f>IFERROR(__xludf.DUMMYFUNCTION("""COMPUTED_VALUE"""),"VF")</f>
        <v>VF</v>
      </c>
      <c r="F496" s="2">
        <f>IFERROR(__xludf.DUMMYFUNCTION("""COMPUTED_VALUE"""),1.0)</f>
        <v>1</v>
      </c>
      <c r="G496" s="2" t="str">
        <f>IFERROR(__xludf.DUMMYFUNCTION("""COMPUTED_VALUE"""),"PR006")</f>
        <v>PR006</v>
      </c>
      <c r="H496" s="2" t="str">
        <f>IFERROR(__xludf.DUMMYFUNCTION("""COMPUTED_VALUE"""),"VD044")</f>
        <v>VD044</v>
      </c>
      <c r="I496" s="2">
        <f>IFERROR(__xludf.DUMMYFUNCTION("""COMPUTED_VALUE"""),8.0)</f>
        <v>8</v>
      </c>
      <c r="J496" s="2">
        <f>IFERROR(__xludf.DUMMYFUNCTION("""COMPUTED_VALUE"""),341.54)</f>
        <v>341.54</v>
      </c>
      <c r="K496" s="2">
        <f>IFERROR(__xludf.DUMMYFUNCTION("""COMPUTED_VALUE"""),341.54)</f>
        <v>341.54</v>
      </c>
    </row>
    <row r="497">
      <c r="A497" s="2">
        <f>IFERROR(__xludf.DUMMYFUNCTION("""COMPUTED_VALUE"""),1000.0)</f>
        <v>1000</v>
      </c>
      <c r="B497" s="2">
        <f>IFERROR(__xludf.DUMMYFUNCTION("""COMPUTED_VALUE"""),183817.0)</f>
        <v>183817</v>
      </c>
      <c r="C497" s="2">
        <f>IFERROR(__xludf.DUMMYFUNCTION("""COMPUTED_VALUE"""),2026.0)</f>
        <v>2026</v>
      </c>
      <c r="D497" s="2">
        <f>IFERROR(__xludf.DUMMYFUNCTION("""COMPUTED_VALUE"""),46290.0)</f>
        <v>46290</v>
      </c>
      <c r="E497" s="2" t="str">
        <f>IFERROR(__xludf.DUMMYFUNCTION("""COMPUTED_VALUE"""),"VF")</f>
        <v>VF</v>
      </c>
      <c r="F497" s="2">
        <f>IFERROR(__xludf.DUMMYFUNCTION("""COMPUTED_VALUE"""),2.0)</f>
        <v>2</v>
      </c>
      <c r="G497" s="2" t="str">
        <f>IFERROR(__xludf.DUMMYFUNCTION("""COMPUTED_VALUE"""),"PR058")</f>
        <v>PR058</v>
      </c>
      <c r="H497" s="2" t="str">
        <f>IFERROR(__xludf.DUMMYFUNCTION("""COMPUTED_VALUE"""),"VD018")</f>
        <v>VD018</v>
      </c>
      <c r="I497" s="2">
        <f>IFERROR(__xludf.DUMMYFUNCTION("""COMPUTED_VALUE"""),4.0)</f>
        <v>4</v>
      </c>
      <c r="J497" s="2">
        <f>IFERROR(__xludf.DUMMYFUNCTION("""COMPUTED_VALUE"""),792.0)</f>
        <v>792</v>
      </c>
      <c r="K497" s="2">
        <f>IFERROR(__xludf.DUMMYFUNCTION("""COMPUTED_VALUE"""),792.0)</f>
        <v>792</v>
      </c>
    </row>
    <row r="498">
      <c r="A498" s="2">
        <f>IFERROR(__xludf.DUMMYFUNCTION("""COMPUTED_VALUE"""),1000.0)</f>
        <v>1000</v>
      </c>
      <c r="B498" s="2">
        <f>IFERROR(__xludf.DUMMYFUNCTION("""COMPUTED_VALUE"""),183817.0)</f>
        <v>183817</v>
      </c>
      <c r="C498" s="2">
        <f>IFERROR(__xludf.DUMMYFUNCTION("""COMPUTED_VALUE"""),2026.0)</f>
        <v>2026</v>
      </c>
      <c r="D498" s="2">
        <f>IFERROR(__xludf.DUMMYFUNCTION("""COMPUTED_VALUE"""),46290.0)</f>
        <v>46290</v>
      </c>
      <c r="E498" s="2" t="str">
        <f>IFERROR(__xludf.DUMMYFUNCTION("""COMPUTED_VALUE"""),"VF")</f>
        <v>VF</v>
      </c>
      <c r="F498" s="2">
        <f>IFERROR(__xludf.DUMMYFUNCTION("""COMPUTED_VALUE"""),3.0)</f>
        <v>3</v>
      </c>
      <c r="G498" s="2" t="str">
        <f>IFERROR(__xludf.DUMMYFUNCTION("""COMPUTED_VALUE"""),"PR038")</f>
        <v>PR038</v>
      </c>
      <c r="H498" s="2" t="str">
        <f>IFERROR(__xludf.DUMMYFUNCTION("""COMPUTED_VALUE"""),"VD032")</f>
        <v>VD032</v>
      </c>
      <c r="I498" s="2">
        <f>IFERROR(__xludf.DUMMYFUNCTION("""COMPUTED_VALUE"""),4.0)</f>
        <v>4</v>
      </c>
      <c r="J498" s="2">
        <f>IFERROR(__xludf.DUMMYFUNCTION("""COMPUTED_VALUE"""),600.18)</f>
        <v>600.18</v>
      </c>
      <c r="K498" s="2">
        <f>IFERROR(__xludf.DUMMYFUNCTION("""COMPUTED_VALUE"""),600.18)</f>
        <v>600.18</v>
      </c>
    </row>
    <row r="499">
      <c r="A499" s="2">
        <f>IFERROR(__xludf.DUMMYFUNCTION("""COMPUTED_VALUE"""),1000.0)</f>
        <v>1000</v>
      </c>
      <c r="B499" s="2">
        <f>IFERROR(__xludf.DUMMYFUNCTION("""COMPUTED_VALUE"""),183818.0)</f>
        <v>183818</v>
      </c>
      <c r="C499" s="2">
        <f>IFERROR(__xludf.DUMMYFUNCTION("""COMPUTED_VALUE"""),2026.0)</f>
        <v>2026</v>
      </c>
      <c r="D499" s="2">
        <f>IFERROR(__xludf.DUMMYFUNCTION("""COMPUTED_VALUE"""),46290.0)</f>
        <v>46290</v>
      </c>
      <c r="E499" s="2" t="str">
        <f>IFERROR(__xludf.DUMMYFUNCTION("""COMPUTED_VALUE"""),"VF")</f>
        <v>VF</v>
      </c>
      <c r="F499" s="2">
        <f>IFERROR(__xludf.DUMMYFUNCTION("""COMPUTED_VALUE"""),1.0)</f>
        <v>1</v>
      </c>
      <c r="G499" s="2" t="str">
        <f>IFERROR(__xludf.DUMMYFUNCTION("""COMPUTED_VALUE"""),"PR022")</f>
        <v>PR022</v>
      </c>
      <c r="H499" s="2" t="str">
        <f>IFERROR(__xludf.DUMMYFUNCTION("""COMPUTED_VALUE"""),"VD026")</f>
        <v>VD026</v>
      </c>
      <c r="I499" s="2">
        <f>IFERROR(__xludf.DUMMYFUNCTION("""COMPUTED_VALUE"""),9.0)</f>
        <v>9</v>
      </c>
      <c r="J499" s="2">
        <f>IFERROR(__xludf.DUMMYFUNCTION("""COMPUTED_VALUE"""),2916.0)</f>
        <v>2916</v>
      </c>
      <c r="K499" s="2">
        <f>IFERROR(__xludf.DUMMYFUNCTION("""COMPUTED_VALUE"""),2916.0)</f>
        <v>2916</v>
      </c>
    </row>
    <row r="500">
      <c r="A500" s="2">
        <f>IFERROR(__xludf.DUMMYFUNCTION("""COMPUTED_VALUE"""),1000.0)</f>
        <v>1000</v>
      </c>
      <c r="B500" s="2">
        <f>IFERROR(__xludf.DUMMYFUNCTION("""COMPUTED_VALUE"""),183819.0)</f>
        <v>183819</v>
      </c>
      <c r="C500" s="2">
        <f>IFERROR(__xludf.DUMMYFUNCTION("""COMPUTED_VALUE"""),2026.0)</f>
        <v>2026</v>
      </c>
      <c r="D500" s="2">
        <f>IFERROR(__xludf.DUMMYFUNCTION("""COMPUTED_VALUE"""),46290.0)</f>
        <v>46290</v>
      </c>
      <c r="E500" s="2" t="str">
        <f>IFERROR(__xludf.DUMMYFUNCTION("""COMPUTED_VALUE"""),"VF")</f>
        <v>VF</v>
      </c>
      <c r="F500" s="2">
        <f>IFERROR(__xludf.DUMMYFUNCTION("""COMPUTED_VALUE"""),1.0)</f>
        <v>1</v>
      </c>
      <c r="G500" s="2" t="str">
        <f>IFERROR(__xludf.DUMMYFUNCTION("""COMPUTED_VALUE"""),"PR035")</f>
        <v>PR035</v>
      </c>
      <c r="H500" s="2" t="str">
        <f>IFERROR(__xludf.DUMMYFUNCTION("""COMPUTED_VALUE"""),"VD046")</f>
        <v>VD046</v>
      </c>
      <c r="I500" s="2">
        <f>IFERROR(__xludf.DUMMYFUNCTION("""COMPUTED_VALUE"""),5.0)</f>
        <v>5</v>
      </c>
      <c r="J500" s="2">
        <f>IFERROR(__xludf.DUMMYFUNCTION("""COMPUTED_VALUE"""),479.85)</f>
        <v>479.85</v>
      </c>
      <c r="K500" s="2">
        <f>IFERROR(__xludf.DUMMYFUNCTION("""COMPUTED_VALUE"""),479.85)</f>
        <v>479.85</v>
      </c>
    </row>
    <row r="501">
      <c r="A501" s="2">
        <f>IFERROR(__xludf.DUMMYFUNCTION("""COMPUTED_VALUE"""),1000.0)</f>
        <v>1000</v>
      </c>
      <c r="B501" s="2">
        <f>IFERROR(__xludf.DUMMYFUNCTION("""COMPUTED_VALUE"""),183819.0)</f>
        <v>183819</v>
      </c>
      <c r="C501" s="2">
        <f>IFERROR(__xludf.DUMMYFUNCTION("""COMPUTED_VALUE"""),2026.0)</f>
        <v>2026</v>
      </c>
      <c r="D501" s="2">
        <f>IFERROR(__xludf.DUMMYFUNCTION("""COMPUTED_VALUE"""),46290.0)</f>
        <v>46290</v>
      </c>
      <c r="E501" s="2" t="str">
        <f>IFERROR(__xludf.DUMMYFUNCTION("""COMPUTED_VALUE"""),"VF")</f>
        <v>VF</v>
      </c>
      <c r="F501" s="2">
        <f>IFERROR(__xludf.DUMMYFUNCTION("""COMPUTED_VALUE"""),2.0)</f>
        <v>2</v>
      </c>
      <c r="G501" s="2" t="str">
        <f>IFERROR(__xludf.DUMMYFUNCTION("""COMPUTED_VALUE"""),"PR015")</f>
        <v>PR015</v>
      </c>
      <c r="H501" s="2" t="str">
        <f>IFERROR(__xludf.DUMMYFUNCTION("""COMPUTED_VALUE"""),"VD032")</f>
        <v>VD032</v>
      </c>
      <c r="I501" s="2">
        <f>IFERROR(__xludf.DUMMYFUNCTION("""COMPUTED_VALUE"""),5.0)</f>
        <v>5</v>
      </c>
      <c r="J501" s="2">
        <f>IFERROR(__xludf.DUMMYFUNCTION("""COMPUTED_VALUE"""),223.13)</f>
        <v>223.13</v>
      </c>
      <c r="K501" s="2">
        <f>IFERROR(__xludf.DUMMYFUNCTION("""COMPUTED_VALUE"""),223.13)</f>
        <v>223.13</v>
      </c>
    </row>
    <row r="502">
      <c r="A502" s="2">
        <f>IFERROR(__xludf.DUMMYFUNCTION("""COMPUTED_VALUE"""),2000.0)</f>
        <v>2000</v>
      </c>
      <c r="B502" s="2">
        <f>IFERROR(__xludf.DUMMYFUNCTION("""COMPUTED_VALUE"""),183820.0)</f>
        <v>183820</v>
      </c>
      <c r="C502" s="2">
        <f>IFERROR(__xludf.DUMMYFUNCTION("""COMPUTED_VALUE"""),2026.0)</f>
        <v>2026</v>
      </c>
      <c r="D502" s="2">
        <f>IFERROR(__xludf.DUMMYFUNCTION("""COMPUTED_VALUE"""),46290.0)</f>
        <v>46290</v>
      </c>
      <c r="E502" s="2" t="str">
        <f>IFERROR(__xludf.DUMMYFUNCTION("""COMPUTED_VALUE"""),"VF")</f>
        <v>VF</v>
      </c>
      <c r="F502" s="2">
        <f>IFERROR(__xludf.DUMMYFUNCTION("""COMPUTED_VALUE"""),1.0)</f>
        <v>1</v>
      </c>
      <c r="G502" s="2" t="str">
        <f>IFERROR(__xludf.DUMMYFUNCTION("""COMPUTED_VALUE"""),"PR020")</f>
        <v>PR020</v>
      </c>
      <c r="H502" s="2" t="str">
        <f>IFERROR(__xludf.DUMMYFUNCTION("""COMPUTED_VALUE"""),"VD021")</f>
        <v>VD021</v>
      </c>
      <c r="I502" s="2">
        <f>IFERROR(__xludf.DUMMYFUNCTION("""COMPUTED_VALUE"""),9.0)</f>
        <v>9</v>
      </c>
      <c r="J502" s="2">
        <f>IFERROR(__xludf.DUMMYFUNCTION("""COMPUTED_VALUE"""),2753.08)</f>
        <v>2753.08</v>
      </c>
      <c r="K502" s="2">
        <f>IFERROR(__xludf.DUMMYFUNCTION("""COMPUTED_VALUE"""),2753.08)</f>
        <v>2753.08</v>
      </c>
    </row>
    <row r="503">
      <c r="A503" s="2">
        <f>IFERROR(__xludf.DUMMYFUNCTION("""COMPUTED_VALUE"""),2000.0)</f>
        <v>2000</v>
      </c>
      <c r="B503" s="2">
        <f>IFERROR(__xludf.DUMMYFUNCTION("""COMPUTED_VALUE"""),183820.0)</f>
        <v>183820</v>
      </c>
      <c r="C503" s="2">
        <f>IFERROR(__xludf.DUMMYFUNCTION("""COMPUTED_VALUE"""),2026.0)</f>
        <v>2026</v>
      </c>
      <c r="D503" s="2">
        <f>IFERROR(__xludf.DUMMYFUNCTION("""COMPUTED_VALUE"""),46290.0)</f>
        <v>46290</v>
      </c>
      <c r="E503" s="2" t="str">
        <f>IFERROR(__xludf.DUMMYFUNCTION("""COMPUTED_VALUE"""),"VF")</f>
        <v>VF</v>
      </c>
      <c r="F503" s="2">
        <f>IFERROR(__xludf.DUMMYFUNCTION("""COMPUTED_VALUE"""),2.0)</f>
        <v>2</v>
      </c>
      <c r="G503" s="2" t="str">
        <f>IFERROR(__xludf.DUMMYFUNCTION("""COMPUTED_VALUE"""),"PR011")</f>
        <v>PR011</v>
      </c>
      <c r="H503" s="2" t="str">
        <f>IFERROR(__xludf.DUMMYFUNCTION("""COMPUTED_VALUE"""),"VD014")</f>
        <v>VD014</v>
      </c>
      <c r="I503" s="2">
        <f>IFERROR(__xludf.DUMMYFUNCTION("""COMPUTED_VALUE"""),9.0)</f>
        <v>9</v>
      </c>
      <c r="J503" s="2">
        <f>IFERROR(__xludf.DUMMYFUNCTION("""COMPUTED_VALUE"""),455.87)</f>
        <v>455.87</v>
      </c>
      <c r="K503" s="2">
        <f>IFERROR(__xludf.DUMMYFUNCTION("""COMPUTED_VALUE"""),455.87)</f>
        <v>455.87</v>
      </c>
    </row>
    <row r="504">
      <c r="A504" s="2">
        <f>IFERROR(__xludf.DUMMYFUNCTION("""COMPUTED_VALUE"""),1000.0)</f>
        <v>1000</v>
      </c>
      <c r="B504" s="2">
        <f>IFERROR(__xludf.DUMMYFUNCTION("""COMPUTED_VALUE"""),183821.0)</f>
        <v>183821</v>
      </c>
      <c r="C504" s="2">
        <f>IFERROR(__xludf.DUMMYFUNCTION("""COMPUTED_VALUE"""),2026.0)</f>
        <v>2026</v>
      </c>
      <c r="D504" s="2">
        <f>IFERROR(__xludf.DUMMYFUNCTION("""COMPUTED_VALUE"""),46289.0)</f>
        <v>46289</v>
      </c>
      <c r="E504" s="2" t="str">
        <f>IFERROR(__xludf.DUMMYFUNCTION("""COMPUTED_VALUE"""),"VF")</f>
        <v>VF</v>
      </c>
      <c r="F504" s="2">
        <f>IFERROR(__xludf.DUMMYFUNCTION("""COMPUTED_VALUE"""),1.0)</f>
        <v>1</v>
      </c>
      <c r="G504" s="2" t="str">
        <f>IFERROR(__xludf.DUMMYFUNCTION("""COMPUTED_VALUE"""),"PR050")</f>
        <v>PR050</v>
      </c>
      <c r="H504" s="2" t="str">
        <f>IFERROR(__xludf.DUMMYFUNCTION("""COMPUTED_VALUE"""),"VD040")</f>
        <v>VD040</v>
      </c>
      <c r="I504" s="2">
        <f>IFERROR(__xludf.DUMMYFUNCTION("""COMPUTED_VALUE"""),1.0)</f>
        <v>1</v>
      </c>
      <c r="J504" s="2">
        <f>IFERROR(__xludf.DUMMYFUNCTION("""COMPUTED_VALUE"""),33.56)</f>
        <v>33.56</v>
      </c>
      <c r="K504" s="2">
        <f>IFERROR(__xludf.DUMMYFUNCTION("""COMPUTED_VALUE"""),33.56)</f>
        <v>33.56</v>
      </c>
    </row>
    <row r="505">
      <c r="A505" s="2">
        <f>IFERROR(__xludf.DUMMYFUNCTION("""COMPUTED_VALUE"""),1000.0)</f>
        <v>1000</v>
      </c>
      <c r="B505" s="2">
        <f>IFERROR(__xludf.DUMMYFUNCTION("""COMPUTED_VALUE"""),183821.0)</f>
        <v>183821</v>
      </c>
      <c r="C505" s="2">
        <f>IFERROR(__xludf.DUMMYFUNCTION("""COMPUTED_VALUE"""),2026.0)</f>
        <v>2026</v>
      </c>
      <c r="D505" s="2">
        <f>IFERROR(__xludf.DUMMYFUNCTION("""COMPUTED_VALUE"""),46289.0)</f>
        <v>46289</v>
      </c>
      <c r="E505" s="2" t="str">
        <f>IFERROR(__xludf.DUMMYFUNCTION("""COMPUTED_VALUE"""),"VF")</f>
        <v>VF</v>
      </c>
      <c r="F505" s="2">
        <f>IFERROR(__xludf.DUMMYFUNCTION("""COMPUTED_VALUE"""),2.0)</f>
        <v>2</v>
      </c>
      <c r="G505" s="2" t="str">
        <f>IFERROR(__xludf.DUMMYFUNCTION("""COMPUTED_VALUE"""),"PR046")</f>
        <v>PR046</v>
      </c>
      <c r="H505" s="2" t="str">
        <f>IFERROR(__xludf.DUMMYFUNCTION("""COMPUTED_VALUE"""),"VD019")</f>
        <v>VD019</v>
      </c>
      <c r="I505" s="2">
        <f>IFERROR(__xludf.DUMMYFUNCTION("""COMPUTED_VALUE"""),4.0)</f>
        <v>4</v>
      </c>
      <c r="J505" s="2">
        <f>IFERROR(__xludf.DUMMYFUNCTION("""COMPUTED_VALUE"""),1263.96)</f>
        <v>1263.96</v>
      </c>
      <c r="K505" s="2">
        <f>IFERROR(__xludf.DUMMYFUNCTION("""COMPUTED_VALUE"""),1263.96)</f>
        <v>1263.96</v>
      </c>
    </row>
    <row r="506">
      <c r="A506" s="2">
        <f>IFERROR(__xludf.DUMMYFUNCTION("""COMPUTED_VALUE"""),1000.0)</f>
        <v>1000</v>
      </c>
      <c r="B506" s="2">
        <f>IFERROR(__xludf.DUMMYFUNCTION("""COMPUTED_VALUE"""),183822.0)</f>
        <v>183822</v>
      </c>
      <c r="C506" s="2">
        <f>IFERROR(__xludf.DUMMYFUNCTION("""COMPUTED_VALUE"""),2026.0)</f>
        <v>2026</v>
      </c>
      <c r="D506" s="2">
        <f>IFERROR(__xludf.DUMMYFUNCTION("""COMPUTED_VALUE"""),46289.0)</f>
        <v>46289</v>
      </c>
      <c r="E506" s="2" t="str">
        <f>IFERROR(__xludf.DUMMYFUNCTION("""COMPUTED_VALUE"""),"VF")</f>
        <v>VF</v>
      </c>
      <c r="F506" s="2">
        <f>IFERROR(__xludf.DUMMYFUNCTION("""COMPUTED_VALUE"""),1.0)</f>
        <v>1</v>
      </c>
      <c r="G506" s="2" t="str">
        <f>IFERROR(__xludf.DUMMYFUNCTION("""COMPUTED_VALUE"""),"PR016")</f>
        <v>PR016</v>
      </c>
      <c r="H506" s="2" t="str">
        <f>IFERROR(__xludf.DUMMYFUNCTION("""COMPUTED_VALUE"""),"VD012")</f>
        <v>VD012</v>
      </c>
      <c r="I506" s="2">
        <f>IFERROR(__xludf.DUMMYFUNCTION("""COMPUTED_VALUE"""),2.0)</f>
        <v>2</v>
      </c>
      <c r="J506" s="2">
        <f>IFERROR(__xludf.DUMMYFUNCTION("""COMPUTED_VALUE"""),53.35)</f>
        <v>53.35</v>
      </c>
      <c r="K506" s="2">
        <f>IFERROR(__xludf.DUMMYFUNCTION("""COMPUTED_VALUE"""),53.35)</f>
        <v>53.35</v>
      </c>
    </row>
    <row r="507">
      <c r="A507" s="2">
        <f>IFERROR(__xludf.DUMMYFUNCTION("""COMPUTED_VALUE"""),1000.0)</f>
        <v>1000</v>
      </c>
      <c r="B507" s="2">
        <f>IFERROR(__xludf.DUMMYFUNCTION("""COMPUTED_VALUE"""),183822.0)</f>
        <v>183822</v>
      </c>
      <c r="C507" s="2">
        <f>IFERROR(__xludf.DUMMYFUNCTION("""COMPUTED_VALUE"""),2026.0)</f>
        <v>2026</v>
      </c>
      <c r="D507" s="2">
        <f>IFERROR(__xludf.DUMMYFUNCTION("""COMPUTED_VALUE"""),46289.0)</f>
        <v>46289</v>
      </c>
      <c r="E507" s="2" t="str">
        <f>IFERROR(__xludf.DUMMYFUNCTION("""COMPUTED_VALUE"""),"VF")</f>
        <v>VF</v>
      </c>
      <c r="F507" s="2">
        <f>IFERROR(__xludf.DUMMYFUNCTION("""COMPUTED_VALUE"""),2.0)</f>
        <v>2</v>
      </c>
      <c r="G507" s="2" t="str">
        <f>IFERROR(__xludf.DUMMYFUNCTION("""COMPUTED_VALUE"""),"PR041")</f>
        <v>PR041</v>
      </c>
      <c r="H507" s="2" t="str">
        <f>IFERROR(__xludf.DUMMYFUNCTION("""COMPUTED_VALUE"""),"VD049")</f>
        <v>VD049</v>
      </c>
      <c r="I507" s="2">
        <f>IFERROR(__xludf.DUMMYFUNCTION("""COMPUTED_VALUE"""),1.0)</f>
        <v>1</v>
      </c>
      <c r="J507" s="2">
        <f>IFERROR(__xludf.DUMMYFUNCTION("""COMPUTED_VALUE"""),59.84)</f>
        <v>59.84</v>
      </c>
      <c r="K507" s="2">
        <f>IFERROR(__xludf.DUMMYFUNCTION("""COMPUTED_VALUE"""),59.84)</f>
        <v>59.84</v>
      </c>
    </row>
    <row r="508">
      <c r="A508" s="2">
        <f>IFERROR(__xludf.DUMMYFUNCTION("""COMPUTED_VALUE"""),1000.0)</f>
        <v>1000</v>
      </c>
      <c r="B508" s="2">
        <f>IFERROR(__xludf.DUMMYFUNCTION("""COMPUTED_VALUE"""),183822.0)</f>
        <v>183822</v>
      </c>
      <c r="C508" s="2">
        <f>IFERROR(__xludf.DUMMYFUNCTION("""COMPUTED_VALUE"""),2026.0)</f>
        <v>2026</v>
      </c>
      <c r="D508" s="2">
        <f>IFERROR(__xludf.DUMMYFUNCTION("""COMPUTED_VALUE"""),46289.0)</f>
        <v>46289</v>
      </c>
      <c r="E508" s="2" t="str">
        <f>IFERROR(__xludf.DUMMYFUNCTION("""COMPUTED_VALUE"""),"VF")</f>
        <v>VF</v>
      </c>
      <c r="F508" s="2">
        <f>IFERROR(__xludf.DUMMYFUNCTION("""COMPUTED_VALUE"""),3.0)</f>
        <v>3</v>
      </c>
      <c r="G508" s="2" t="str">
        <f>IFERROR(__xludf.DUMMYFUNCTION("""COMPUTED_VALUE"""),"PR037")</f>
        <v>PR037</v>
      </c>
      <c r="H508" s="2" t="str">
        <f>IFERROR(__xludf.DUMMYFUNCTION("""COMPUTED_VALUE"""),"VD038")</f>
        <v>VD038</v>
      </c>
      <c r="I508" s="2">
        <f>IFERROR(__xludf.DUMMYFUNCTION("""COMPUTED_VALUE"""),14.0)</f>
        <v>14</v>
      </c>
      <c r="J508" s="2">
        <f>IFERROR(__xludf.DUMMYFUNCTION("""COMPUTED_VALUE"""),1960.0)</f>
        <v>1960</v>
      </c>
      <c r="K508" s="2">
        <f>IFERROR(__xludf.DUMMYFUNCTION("""COMPUTED_VALUE"""),1960.0)</f>
        <v>1960</v>
      </c>
    </row>
    <row r="509">
      <c r="A509" s="2">
        <f>IFERROR(__xludf.DUMMYFUNCTION("""COMPUTED_VALUE"""),1000.0)</f>
        <v>1000</v>
      </c>
      <c r="B509" s="2">
        <f>IFERROR(__xludf.DUMMYFUNCTION("""COMPUTED_VALUE"""),183823.0)</f>
        <v>183823</v>
      </c>
      <c r="C509" s="2">
        <f>IFERROR(__xludf.DUMMYFUNCTION("""COMPUTED_VALUE"""),2026.0)</f>
        <v>2026</v>
      </c>
      <c r="D509" s="2">
        <f>IFERROR(__xludf.DUMMYFUNCTION("""COMPUTED_VALUE"""),46289.0)</f>
        <v>46289</v>
      </c>
      <c r="E509" s="2" t="str">
        <f>IFERROR(__xludf.DUMMYFUNCTION("""COMPUTED_VALUE"""),"VF")</f>
        <v>VF</v>
      </c>
      <c r="F509" s="2">
        <f>IFERROR(__xludf.DUMMYFUNCTION("""COMPUTED_VALUE"""),1.0)</f>
        <v>1</v>
      </c>
      <c r="G509" s="2" t="str">
        <f>IFERROR(__xludf.DUMMYFUNCTION("""COMPUTED_VALUE"""),"PR019")</f>
        <v>PR019</v>
      </c>
      <c r="H509" s="2" t="str">
        <f>IFERROR(__xludf.DUMMYFUNCTION("""COMPUTED_VALUE"""),"VD018")</f>
        <v>VD018</v>
      </c>
      <c r="I509" s="2">
        <f>IFERROR(__xludf.DUMMYFUNCTION("""COMPUTED_VALUE"""),4.0)</f>
        <v>4</v>
      </c>
      <c r="J509" s="2">
        <f>IFERROR(__xludf.DUMMYFUNCTION("""COMPUTED_VALUE"""),213.57)</f>
        <v>213.57</v>
      </c>
      <c r="K509" s="2">
        <f>IFERROR(__xludf.DUMMYFUNCTION("""COMPUTED_VALUE"""),213.57)</f>
        <v>213.57</v>
      </c>
    </row>
    <row r="510">
      <c r="A510" s="2">
        <f>IFERROR(__xludf.DUMMYFUNCTION("""COMPUTED_VALUE"""),1000.0)</f>
        <v>1000</v>
      </c>
      <c r="B510" s="2">
        <f>IFERROR(__xludf.DUMMYFUNCTION("""COMPUTED_VALUE"""),183824.0)</f>
        <v>183824</v>
      </c>
      <c r="C510" s="2">
        <f>IFERROR(__xludf.DUMMYFUNCTION("""COMPUTED_VALUE"""),2026.0)</f>
        <v>2026</v>
      </c>
      <c r="D510" s="2">
        <f>IFERROR(__xludf.DUMMYFUNCTION("""COMPUTED_VALUE"""),46289.0)</f>
        <v>46289</v>
      </c>
      <c r="E510" s="2" t="str">
        <f>IFERROR(__xludf.DUMMYFUNCTION("""COMPUTED_VALUE"""),"VF")</f>
        <v>VF</v>
      </c>
      <c r="F510" s="2">
        <f>IFERROR(__xludf.DUMMYFUNCTION("""COMPUTED_VALUE"""),1.0)</f>
        <v>1</v>
      </c>
      <c r="G510" s="2" t="str">
        <f>IFERROR(__xludf.DUMMYFUNCTION("""COMPUTED_VALUE"""),"PR052")</f>
        <v>PR052</v>
      </c>
      <c r="H510" s="2" t="str">
        <f>IFERROR(__xludf.DUMMYFUNCTION("""COMPUTED_VALUE"""),"VD043")</f>
        <v>VD043</v>
      </c>
      <c r="I510" s="2">
        <f>IFERROR(__xludf.DUMMYFUNCTION("""COMPUTED_VALUE"""),7.0)</f>
        <v>7</v>
      </c>
      <c r="J510" s="2">
        <f>IFERROR(__xludf.DUMMYFUNCTION("""COMPUTED_VALUE"""),356.29)</f>
        <v>356.29</v>
      </c>
      <c r="K510" s="2">
        <f>IFERROR(__xludf.DUMMYFUNCTION("""COMPUTED_VALUE"""),356.29)</f>
        <v>356.29</v>
      </c>
    </row>
    <row r="511">
      <c r="A511" s="2">
        <f>IFERROR(__xludf.DUMMYFUNCTION("""COMPUTED_VALUE"""),1000.0)</f>
        <v>1000</v>
      </c>
      <c r="B511" s="2">
        <f>IFERROR(__xludf.DUMMYFUNCTION("""COMPUTED_VALUE"""),183825.0)</f>
        <v>183825</v>
      </c>
      <c r="C511" s="2">
        <f>IFERROR(__xludf.DUMMYFUNCTION("""COMPUTED_VALUE"""),2026.0)</f>
        <v>2026</v>
      </c>
      <c r="D511" s="2">
        <f>IFERROR(__xludf.DUMMYFUNCTION("""COMPUTED_VALUE"""),46289.0)</f>
        <v>46289</v>
      </c>
      <c r="E511" s="2" t="str">
        <f>IFERROR(__xludf.DUMMYFUNCTION("""COMPUTED_VALUE"""),"VF")</f>
        <v>VF</v>
      </c>
      <c r="F511" s="2">
        <f>IFERROR(__xludf.DUMMYFUNCTION("""COMPUTED_VALUE"""),1.0)</f>
        <v>1</v>
      </c>
      <c r="G511" s="2" t="str">
        <f>IFERROR(__xludf.DUMMYFUNCTION("""COMPUTED_VALUE"""),"PR011")</f>
        <v>PR011</v>
      </c>
      <c r="H511" s="2" t="str">
        <f>IFERROR(__xludf.DUMMYFUNCTION("""COMPUTED_VALUE"""),"VD042")</f>
        <v>VD042</v>
      </c>
      <c r="I511" s="2">
        <f>IFERROR(__xludf.DUMMYFUNCTION("""COMPUTED_VALUE"""),1.0)</f>
        <v>1</v>
      </c>
      <c r="J511" s="2">
        <f>IFERROR(__xludf.DUMMYFUNCTION("""COMPUTED_VALUE"""),50.65)</f>
        <v>50.65</v>
      </c>
      <c r="K511" s="2">
        <f>IFERROR(__xludf.DUMMYFUNCTION("""COMPUTED_VALUE"""),50.65)</f>
        <v>50.65</v>
      </c>
    </row>
    <row r="512">
      <c r="A512" s="2">
        <f>IFERROR(__xludf.DUMMYFUNCTION("""COMPUTED_VALUE"""),1000.0)</f>
        <v>1000</v>
      </c>
      <c r="B512" s="2">
        <f>IFERROR(__xludf.DUMMYFUNCTION("""COMPUTED_VALUE"""),183826.0)</f>
        <v>183826</v>
      </c>
      <c r="C512" s="2">
        <f>IFERROR(__xludf.DUMMYFUNCTION("""COMPUTED_VALUE"""),2026.0)</f>
        <v>2026</v>
      </c>
      <c r="D512" s="2">
        <f>IFERROR(__xludf.DUMMYFUNCTION("""COMPUTED_VALUE"""),46289.0)</f>
        <v>46289</v>
      </c>
      <c r="E512" s="2" t="str">
        <f>IFERROR(__xludf.DUMMYFUNCTION("""COMPUTED_VALUE"""),"VF")</f>
        <v>VF</v>
      </c>
      <c r="F512" s="2">
        <f>IFERROR(__xludf.DUMMYFUNCTION("""COMPUTED_VALUE"""),1.0)</f>
        <v>1</v>
      </c>
      <c r="G512" s="2" t="str">
        <f>IFERROR(__xludf.DUMMYFUNCTION("""COMPUTED_VALUE"""),"PR058")</f>
        <v>PR058</v>
      </c>
      <c r="H512" s="2" t="str">
        <f>IFERROR(__xludf.DUMMYFUNCTION("""COMPUTED_VALUE"""),"VD048")</f>
        <v>VD048</v>
      </c>
      <c r="I512" s="2">
        <f>IFERROR(__xludf.DUMMYFUNCTION("""COMPUTED_VALUE"""),8.0)</f>
        <v>8</v>
      </c>
      <c r="J512" s="2">
        <f>IFERROR(__xludf.DUMMYFUNCTION("""COMPUTED_VALUE"""),1526.4)</f>
        <v>1526.4</v>
      </c>
      <c r="K512" s="2">
        <f>IFERROR(__xludf.DUMMYFUNCTION("""COMPUTED_VALUE"""),1526.4)</f>
        <v>1526.4</v>
      </c>
    </row>
    <row r="513">
      <c r="A513" s="2">
        <f>IFERROR(__xludf.DUMMYFUNCTION("""COMPUTED_VALUE"""),1000.0)</f>
        <v>1000</v>
      </c>
      <c r="B513" s="2">
        <f>IFERROR(__xludf.DUMMYFUNCTION("""COMPUTED_VALUE"""),183827.0)</f>
        <v>183827</v>
      </c>
      <c r="C513" s="2">
        <f>IFERROR(__xludf.DUMMYFUNCTION("""COMPUTED_VALUE"""),2026.0)</f>
        <v>2026</v>
      </c>
      <c r="D513" s="2">
        <f>IFERROR(__xludf.DUMMYFUNCTION("""COMPUTED_VALUE"""),46288.0)</f>
        <v>46288</v>
      </c>
      <c r="E513" s="2" t="str">
        <f>IFERROR(__xludf.DUMMYFUNCTION("""COMPUTED_VALUE"""),"VF")</f>
        <v>VF</v>
      </c>
      <c r="F513" s="2">
        <f>IFERROR(__xludf.DUMMYFUNCTION("""COMPUTED_VALUE"""),1.0)</f>
        <v>1</v>
      </c>
      <c r="G513" s="2" t="str">
        <f>IFERROR(__xludf.DUMMYFUNCTION("""COMPUTED_VALUE"""),"PR042")</f>
        <v>PR042</v>
      </c>
      <c r="H513" s="2" t="str">
        <f>IFERROR(__xludf.DUMMYFUNCTION("""COMPUTED_VALUE"""),"VD024")</f>
        <v>VD024</v>
      </c>
      <c r="I513" s="2">
        <f>IFERROR(__xludf.DUMMYFUNCTION("""COMPUTED_VALUE"""),3.0)</f>
        <v>3</v>
      </c>
      <c r="J513" s="2">
        <f>IFERROR(__xludf.DUMMYFUNCTION("""COMPUTED_VALUE"""),169.64)</f>
        <v>169.64</v>
      </c>
      <c r="K513" s="2">
        <f>IFERROR(__xludf.DUMMYFUNCTION("""COMPUTED_VALUE"""),169.64)</f>
        <v>169.64</v>
      </c>
    </row>
    <row r="514">
      <c r="A514" s="2">
        <f>IFERROR(__xludf.DUMMYFUNCTION("""COMPUTED_VALUE"""),1000.0)</f>
        <v>1000</v>
      </c>
      <c r="B514" s="2">
        <f>IFERROR(__xludf.DUMMYFUNCTION("""COMPUTED_VALUE"""),183827.0)</f>
        <v>183827</v>
      </c>
      <c r="C514" s="2">
        <f>IFERROR(__xludf.DUMMYFUNCTION("""COMPUTED_VALUE"""),2026.0)</f>
        <v>2026</v>
      </c>
      <c r="D514" s="2">
        <f>IFERROR(__xludf.DUMMYFUNCTION("""COMPUTED_VALUE"""),46288.0)</f>
        <v>46288</v>
      </c>
      <c r="E514" s="2" t="str">
        <f>IFERROR(__xludf.DUMMYFUNCTION("""COMPUTED_VALUE"""),"VF")</f>
        <v>VF</v>
      </c>
      <c r="F514" s="2">
        <f>IFERROR(__xludf.DUMMYFUNCTION("""COMPUTED_VALUE"""),2.0)</f>
        <v>2</v>
      </c>
      <c r="G514" s="2" t="str">
        <f>IFERROR(__xludf.DUMMYFUNCTION("""COMPUTED_VALUE"""),"PR009")</f>
        <v>PR009</v>
      </c>
      <c r="H514" s="2" t="str">
        <f>IFERROR(__xludf.DUMMYFUNCTION("""COMPUTED_VALUE"""),"VD037")</f>
        <v>VD037</v>
      </c>
      <c r="I514" s="2">
        <f>IFERROR(__xludf.DUMMYFUNCTION("""COMPUTED_VALUE"""),6.0)</f>
        <v>6</v>
      </c>
      <c r="J514" s="2">
        <f>IFERROR(__xludf.DUMMYFUNCTION("""COMPUTED_VALUE"""),568.55)</f>
        <v>568.55</v>
      </c>
      <c r="K514" s="2">
        <f>IFERROR(__xludf.DUMMYFUNCTION("""COMPUTED_VALUE"""),568.55)</f>
        <v>568.55</v>
      </c>
    </row>
    <row r="515">
      <c r="A515" s="2">
        <f>IFERROR(__xludf.DUMMYFUNCTION("""COMPUTED_VALUE"""),1000.0)</f>
        <v>1000</v>
      </c>
      <c r="B515" s="2">
        <f>IFERROR(__xludf.DUMMYFUNCTION("""COMPUTED_VALUE"""),183828.0)</f>
        <v>183828</v>
      </c>
      <c r="C515" s="2">
        <f>IFERROR(__xludf.DUMMYFUNCTION("""COMPUTED_VALUE"""),2026.0)</f>
        <v>2026</v>
      </c>
      <c r="D515" s="2">
        <f>IFERROR(__xludf.DUMMYFUNCTION("""COMPUTED_VALUE"""),46288.0)</f>
        <v>46288</v>
      </c>
      <c r="E515" s="2" t="str">
        <f>IFERROR(__xludf.DUMMYFUNCTION("""COMPUTED_VALUE"""),"VF")</f>
        <v>VF</v>
      </c>
      <c r="F515" s="2">
        <f>IFERROR(__xludf.DUMMYFUNCTION("""COMPUTED_VALUE"""),1.0)</f>
        <v>1</v>
      </c>
      <c r="G515" s="2" t="str">
        <f>IFERROR(__xludf.DUMMYFUNCTION("""COMPUTED_VALUE"""),"PR017")</f>
        <v>PR017</v>
      </c>
      <c r="H515" s="2" t="str">
        <f>IFERROR(__xludf.DUMMYFUNCTION("""COMPUTED_VALUE"""),"VD043")</f>
        <v>VD043</v>
      </c>
      <c r="I515" s="2">
        <f>IFERROR(__xludf.DUMMYFUNCTION("""COMPUTED_VALUE"""),2.0)</f>
        <v>2</v>
      </c>
      <c r="J515" s="2">
        <f>IFERROR(__xludf.DUMMYFUNCTION("""COMPUTED_VALUE"""),65.18)</f>
        <v>65.18</v>
      </c>
      <c r="K515" s="2">
        <f>IFERROR(__xludf.DUMMYFUNCTION("""COMPUTED_VALUE"""),65.18)</f>
        <v>65.18</v>
      </c>
    </row>
    <row r="516">
      <c r="A516" s="2">
        <f>IFERROR(__xludf.DUMMYFUNCTION("""COMPUTED_VALUE"""),1000.0)</f>
        <v>1000</v>
      </c>
      <c r="B516" s="2">
        <f>IFERROR(__xludf.DUMMYFUNCTION("""COMPUTED_VALUE"""),183829.0)</f>
        <v>183829</v>
      </c>
      <c r="C516" s="2">
        <f>IFERROR(__xludf.DUMMYFUNCTION("""COMPUTED_VALUE"""),2026.0)</f>
        <v>2026</v>
      </c>
      <c r="D516" s="2">
        <f>IFERROR(__xludf.DUMMYFUNCTION("""COMPUTED_VALUE"""),46287.0)</f>
        <v>46287</v>
      </c>
      <c r="E516" s="2" t="str">
        <f>IFERROR(__xludf.DUMMYFUNCTION("""COMPUTED_VALUE"""),"VF")</f>
        <v>VF</v>
      </c>
      <c r="F516" s="2">
        <f>IFERROR(__xludf.DUMMYFUNCTION("""COMPUTED_VALUE"""),1.0)</f>
        <v>1</v>
      </c>
      <c r="G516" s="2" t="str">
        <f>IFERROR(__xludf.DUMMYFUNCTION("""COMPUTED_VALUE"""),"PR009")</f>
        <v>PR009</v>
      </c>
      <c r="H516" s="2" t="str">
        <f>IFERROR(__xludf.DUMMYFUNCTION("""COMPUTED_VALUE"""),"VD025")</f>
        <v>VD025</v>
      </c>
      <c r="I516" s="2">
        <f>IFERROR(__xludf.DUMMYFUNCTION("""COMPUTED_VALUE"""),5.0)</f>
        <v>5</v>
      </c>
      <c r="J516" s="2">
        <f>IFERROR(__xludf.DUMMYFUNCTION("""COMPUTED_VALUE"""),478.44)</f>
        <v>478.44</v>
      </c>
      <c r="K516" s="2">
        <f>IFERROR(__xludf.DUMMYFUNCTION("""COMPUTED_VALUE"""),478.44)</f>
        <v>478.44</v>
      </c>
    </row>
    <row r="517">
      <c r="A517" s="2">
        <f>IFERROR(__xludf.DUMMYFUNCTION("""COMPUTED_VALUE"""),2000.0)</f>
        <v>2000</v>
      </c>
      <c r="B517" s="2">
        <f>IFERROR(__xludf.DUMMYFUNCTION("""COMPUTED_VALUE"""),183829.0)</f>
        <v>183829</v>
      </c>
      <c r="C517" s="2">
        <f>IFERROR(__xludf.DUMMYFUNCTION("""COMPUTED_VALUE"""),2026.0)</f>
        <v>2026</v>
      </c>
      <c r="D517" s="2">
        <f>IFERROR(__xludf.DUMMYFUNCTION("""COMPUTED_VALUE"""),46287.0)</f>
        <v>46287</v>
      </c>
      <c r="E517" s="2" t="str">
        <f>IFERROR(__xludf.DUMMYFUNCTION("""COMPUTED_VALUE"""),"VF")</f>
        <v>VF</v>
      </c>
      <c r="F517" s="2">
        <f>IFERROR(__xludf.DUMMYFUNCTION("""COMPUTED_VALUE"""),2.0)</f>
        <v>2</v>
      </c>
      <c r="G517" s="2" t="str">
        <f>IFERROR(__xludf.DUMMYFUNCTION("""COMPUTED_VALUE"""),"PR026")</f>
        <v>PR026</v>
      </c>
      <c r="H517" s="2" t="str">
        <f>IFERROR(__xludf.DUMMYFUNCTION("""COMPUTED_VALUE"""),"VD033")</f>
        <v>VD033</v>
      </c>
      <c r="I517" s="2">
        <f>IFERROR(__xludf.DUMMYFUNCTION("""COMPUTED_VALUE"""),12.0)</f>
        <v>12</v>
      </c>
      <c r="J517" s="2">
        <f>IFERROR(__xludf.DUMMYFUNCTION("""COMPUTED_VALUE"""),4324.76)</f>
        <v>4324.76</v>
      </c>
      <c r="K517" s="2">
        <f>IFERROR(__xludf.DUMMYFUNCTION("""COMPUTED_VALUE"""),4324.76)</f>
        <v>4324.76</v>
      </c>
    </row>
    <row r="518">
      <c r="A518" s="2">
        <f>IFERROR(__xludf.DUMMYFUNCTION("""COMPUTED_VALUE"""),2000.0)</f>
        <v>2000</v>
      </c>
      <c r="B518" s="2">
        <f>IFERROR(__xludf.DUMMYFUNCTION("""COMPUTED_VALUE"""),183829.0)</f>
        <v>183829</v>
      </c>
      <c r="C518" s="2">
        <f>IFERROR(__xludf.DUMMYFUNCTION("""COMPUTED_VALUE"""),2026.0)</f>
        <v>2026</v>
      </c>
      <c r="D518" s="2">
        <f>IFERROR(__xludf.DUMMYFUNCTION("""COMPUTED_VALUE"""),46286.0)</f>
        <v>46286</v>
      </c>
      <c r="E518" s="2" t="str">
        <f>IFERROR(__xludf.DUMMYFUNCTION("""COMPUTED_VALUE"""),"VF")</f>
        <v>VF</v>
      </c>
      <c r="F518" s="2">
        <f>IFERROR(__xludf.DUMMYFUNCTION("""COMPUTED_VALUE"""),3.0)</f>
        <v>3</v>
      </c>
      <c r="G518" s="2" t="str">
        <f>IFERROR(__xludf.DUMMYFUNCTION("""COMPUTED_VALUE"""),"PR058")</f>
        <v>PR058</v>
      </c>
      <c r="H518" s="2" t="str">
        <f>IFERROR(__xludf.DUMMYFUNCTION("""COMPUTED_VALUE"""),"VD046")</f>
        <v>VD046</v>
      </c>
      <c r="I518" s="2">
        <f>IFERROR(__xludf.DUMMYFUNCTION("""COMPUTED_VALUE"""),3.0)</f>
        <v>3</v>
      </c>
      <c r="J518" s="2">
        <f>IFERROR(__xludf.DUMMYFUNCTION("""COMPUTED_VALUE"""),577.8)</f>
        <v>577.8</v>
      </c>
      <c r="K518" s="2">
        <f>IFERROR(__xludf.DUMMYFUNCTION("""COMPUTED_VALUE"""),577.8)</f>
        <v>577.8</v>
      </c>
    </row>
    <row r="519">
      <c r="A519" s="2">
        <f>IFERROR(__xludf.DUMMYFUNCTION("""COMPUTED_VALUE"""),1000.0)</f>
        <v>1000</v>
      </c>
      <c r="B519" s="2">
        <f>IFERROR(__xludf.DUMMYFUNCTION("""COMPUTED_VALUE"""),183829.0)</f>
        <v>183829</v>
      </c>
      <c r="C519" s="2">
        <f>IFERROR(__xludf.DUMMYFUNCTION("""COMPUTED_VALUE"""),2026.0)</f>
        <v>2026</v>
      </c>
      <c r="D519" s="2">
        <f>IFERROR(__xludf.DUMMYFUNCTION("""COMPUTED_VALUE"""),46286.0)</f>
        <v>46286</v>
      </c>
      <c r="E519" s="2" t="str">
        <f>IFERROR(__xludf.DUMMYFUNCTION("""COMPUTED_VALUE"""),"VF")</f>
        <v>VF</v>
      </c>
      <c r="F519" s="2">
        <f>IFERROR(__xludf.DUMMYFUNCTION("""COMPUTED_VALUE"""),4.0)</f>
        <v>4</v>
      </c>
      <c r="G519" s="2" t="str">
        <f>IFERROR(__xludf.DUMMYFUNCTION("""COMPUTED_VALUE"""),"PR011")</f>
        <v>PR011</v>
      </c>
      <c r="H519" s="2" t="str">
        <f>IFERROR(__xludf.DUMMYFUNCTION("""COMPUTED_VALUE"""),"VD039")</f>
        <v>VD039</v>
      </c>
      <c r="I519" s="2">
        <f>IFERROR(__xludf.DUMMYFUNCTION("""COMPUTED_VALUE"""),2.0)</f>
        <v>2</v>
      </c>
      <c r="J519" s="2">
        <f>IFERROR(__xludf.DUMMYFUNCTION("""COMPUTED_VALUE"""),99.43)</f>
        <v>99.43</v>
      </c>
      <c r="K519" s="2">
        <f>IFERROR(__xludf.DUMMYFUNCTION("""COMPUTED_VALUE"""),99.43)</f>
        <v>99.43</v>
      </c>
    </row>
    <row r="520">
      <c r="A520" s="2">
        <f>IFERROR(__xludf.DUMMYFUNCTION("""COMPUTED_VALUE"""),2000.0)</f>
        <v>2000</v>
      </c>
      <c r="B520" s="2">
        <f>IFERROR(__xludf.DUMMYFUNCTION("""COMPUTED_VALUE"""),183830.0)</f>
        <v>183830</v>
      </c>
      <c r="C520" s="2">
        <f>IFERROR(__xludf.DUMMYFUNCTION("""COMPUTED_VALUE"""),2026.0)</f>
        <v>2026</v>
      </c>
      <c r="D520" s="2">
        <f>IFERROR(__xludf.DUMMYFUNCTION("""COMPUTED_VALUE"""),46286.0)</f>
        <v>46286</v>
      </c>
      <c r="E520" s="2" t="str">
        <f>IFERROR(__xludf.DUMMYFUNCTION("""COMPUTED_VALUE"""),"VF")</f>
        <v>VF</v>
      </c>
      <c r="F520" s="2">
        <f>IFERROR(__xludf.DUMMYFUNCTION("""COMPUTED_VALUE"""),1.0)</f>
        <v>1</v>
      </c>
      <c r="G520" s="2" t="str">
        <f>IFERROR(__xludf.DUMMYFUNCTION("""COMPUTED_VALUE"""),"PR030")</f>
        <v>PR030</v>
      </c>
      <c r="H520" s="2" t="str">
        <f>IFERROR(__xludf.DUMMYFUNCTION("""COMPUTED_VALUE"""),"VD027")</f>
        <v>VD027</v>
      </c>
      <c r="I520" s="2">
        <f>IFERROR(__xludf.DUMMYFUNCTION("""COMPUTED_VALUE"""),8.0)</f>
        <v>8</v>
      </c>
      <c r="J520" s="2">
        <f>IFERROR(__xludf.DUMMYFUNCTION("""COMPUTED_VALUE"""),2079.2)</f>
        <v>2079.2</v>
      </c>
      <c r="K520" s="2">
        <f>IFERROR(__xludf.DUMMYFUNCTION("""COMPUTED_VALUE"""),2079.2)</f>
        <v>2079.2</v>
      </c>
    </row>
    <row r="521">
      <c r="A521" s="2">
        <f>IFERROR(__xludf.DUMMYFUNCTION("""COMPUTED_VALUE"""),1000.0)</f>
        <v>1000</v>
      </c>
      <c r="B521" s="2">
        <f>IFERROR(__xludf.DUMMYFUNCTION("""COMPUTED_VALUE"""),183831.0)</f>
        <v>183831</v>
      </c>
      <c r="C521" s="2">
        <f>IFERROR(__xludf.DUMMYFUNCTION("""COMPUTED_VALUE"""),2026.0)</f>
        <v>2026</v>
      </c>
      <c r="D521" s="2">
        <f>IFERROR(__xludf.DUMMYFUNCTION("""COMPUTED_VALUE"""),46286.0)</f>
        <v>46286</v>
      </c>
      <c r="E521" s="2" t="str">
        <f>IFERROR(__xludf.DUMMYFUNCTION("""COMPUTED_VALUE"""),"VF")</f>
        <v>VF</v>
      </c>
      <c r="F521" s="2">
        <f>IFERROR(__xludf.DUMMYFUNCTION("""COMPUTED_VALUE"""),1.0)</f>
        <v>1</v>
      </c>
      <c r="G521" s="2" t="str">
        <f>IFERROR(__xludf.DUMMYFUNCTION("""COMPUTED_VALUE"""),"PR032")</f>
        <v>PR032</v>
      </c>
      <c r="H521" s="2" t="str">
        <f>IFERROR(__xludf.DUMMYFUNCTION("""COMPUTED_VALUE"""),"VD031")</f>
        <v>VD031</v>
      </c>
      <c r="I521" s="2">
        <f>IFERROR(__xludf.DUMMYFUNCTION("""COMPUTED_VALUE"""),20.0)</f>
        <v>20</v>
      </c>
      <c r="J521" s="2">
        <f>IFERROR(__xludf.DUMMYFUNCTION("""COMPUTED_VALUE"""),5300.0)</f>
        <v>5300</v>
      </c>
      <c r="K521" s="2">
        <f>IFERROR(__xludf.DUMMYFUNCTION("""COMPUTED_VALUE"""),5300.0)</f>
        <v>5300</v>
      </c>
    </row>
    <row r="522">
      <c r="A522" s="2">
        <f>IFERROR(__xludf.DUMMYFUNCTION("""COMPUTED_VALUE"""),2000.0)</f>
        <v>2000</v>
      </c>
      <c r="B522" s="2">
        <f>IFERROR(__xludf.DUMMYFUNCTION("""COMPUTED_VALUE"""),183832.0)</f>
        <v>183832</v>
      </c>
      <c r="C522" s="2">
        <f>IFERROR(__xludf.DUMMYFUNCTION("""COMPUTED_VALUE"""),2026.0)</f>
        <v>2026</v>
      </c>
      <c r="D522" s="2">
        <f>IFERROR(__xludf.DUMMYFUNCTION("""COMPUTED_VALUE"""),46286.0)</f>
        <v>46286</v>
      </c>
      <c r="E522" s="2" t="str">
        <f>IFERROR(__xludf.DUMMYFUNCTION("""COMPUTED_VALUE"""),"VF")</f>
        <v>VF</v>
      </c>
      <c r="F522" s="2">
        <f>IFERROR(__xludf.DUMMYFUNCTION("""COMPUTED_VALUE"""),1.0)</f>
        <v>1</v>
      </c>
      <c r="G522" s="2" t="str">
        <f>IFERROR(__xludf.DUMMYFUNCTION("""COMPUTED_VALUE"""),"PR039")</f>
        <v>PR039</v>
      </c>
      <c r="H522" s="2" t="str">
        <f>IFERROR(__xludf.DUMMYFUNCTION("""COMPUTED_VALUE"""),"VD021")</f>
        <v>VD021</v>
      </c>
      <c r="I522" s="2">
        <f>IFERROR(__xludf.DUMMYFUNCTION("""COMPUTED_VALUE"""),2.0)</f>
        <v>2</v>
      </c>
      <c r="J522" s="2">
        <f>IFERROR(__xludf.DUMMYFUNCTION("""COMPUTED_VALUE"""),292.0)</f>
        <v>292</v>
      </c>
      <c r="K522" s="2">
        <f>IFERROR(__xludf.DUMMYFUNCTION("""COMPUTED_VALUE"""),292.0)</f>
        <v>292</v>
      </c>
    </row>
    <row r="523">
      <c r="A523" s="2">
        <f>IFERROR(__xludf.DUMMYFUNCTION("""COMPUTED_VALUE"""),1000.0)</f>
        <v>1000</v>
      </c>
      <c r="B523" s="2">
        <f>IFERROR(__xludf.DUMMYFUNCTION("""COMPUTED_VALUE"""),183832.0)</f>
        <v>183832</v>
      </c>
      <c r="C523" s="2">
        <f>IFERROR(__xludf.DUMMYFUNCTION("""COMPUTED_VALUE"""),2026.0)</f>
        <v>2026</v>
      </c>
      <c r="D523" s="2">
        <f>IFERROR(__xludf.DUMMYFUNCTION("""COMPUTED_VALUE"""),46286.0)</f>
        <v>46286</v>
      </c>
      <c r="E523" s="2" t="str">
        <f>IFERROR(__xludf.DUMMYFUNCTION("""COMPUTED_VALUE"""),"VF")</f>
        <v>VF</v>
      </c>
      <c r="F523" s="2">
        <f>IFERROR(__xludf.DUMMYFUNCTION("""COMPUTED_VALUE"""),2.0)</f>
        <v>2</v>
      </c>
      <c r="G523" s="2" t="str">
        <f>IFERROR(__xludf.DUMMYFUNCTION("""COMPUTED_VALUE"""),"PR045")</f>
        <v>PR045</v>
      </c>
      <c r="H523" s="2" t="str">
        <f>IFERROR(__xludf.DUMMYFUNCTION("""COMPUTED_VALUE"""),"VD017")</f>
        <v>VD017</v>
      </c>
      <c r="I523" s="2">
        <f>IFERROR(__xludf.DUMMYFUNCTION("""COMPUTED_VALUE"""),20.0)</f>
        <v>20</v>
      </c>
      <c r="J523" s="2">
        <f>IFERROR(__xludf.DUMMYFUNCTION("""COMPUTED_VALUE"""),1537.0)</f>
        <v>1537</v>
      </c>
      <c r="K523" s="2">
        <f>IFERROR(__xludf.DUMMYFUNCTION("""COMPUTED_VALUE"""),1537.0)</f>
        <v>1537</v>
      </c>
    </row>
    <row r="524">
      <c r="A524" s="2">
        <f>IFERROR(__xludf.DUMMYFUNCTION("""COMPUTED_VALUE"""),1000.0)</f>
        <v>1000</v>
      </c>
      <c r="B524" s="2">
        <f>IFERROR(__xludf.DUMMYFUNCTION("""COMPUTED_VALUE"""),183833.0)</f>
        <v>183833</v>
      </c>
      <c r="C524" s="2">
        <f>IFERROR(__xludf.DUMMYFUNCTION("""COMPUTED_VALUE"""),2026.0)</f>
        <v>2026</v>
      </c>
      <c r="D524" s="2">
        <f>IFERROR(__xludf.DUMMYFUNCTION("""COMPUTED_VALUE"""),46286.0)</f>
        <v>46286</v>
      </c>
      <c r="E524" s="2" t="str">
        <f>IFERROR(__xludf.DUMMYFUNCTION("""COMPUTED_VALUE"""),"VF")</f>
        <v>VF</v>
      </c>
      <c r="F524" s="2">
        <f>IFERROR(__xludf.DUMMYFUNCTION("""COMPUTED_VALUE"""),1.0)</f>
        <v>1</v>
      </c>
      <c r="G524" s="2" t="str">
        <f>IFERROR(__xludf.DUMMYFUNCTION("""COMPUTED_VALUE"""),"PR035")</f>
        <v>PR035</v>
      </c>
      <c r="H524" s="2" t="str">
        <f>IFERROR(__xludf.DUMMYFUNCTION("""COMPUTED_VALUE"""),"VD045")</f>
        <v>VD045</v>
      </c>
      <c r="I524" s="2">
        <f>IFERROR(__xludf.DUMMYFUNCTION("""COMPUTED_VALUE"""),6.0)</f>
        <v>6</v>
      </c>
      <c r="J524" s="2">
        <f>IFERROR(__xludf.DUMMYFUNCTION("""COMPUTED_VALUE"""),586.79)</f>
        <v>586.79</v>
      </c>
      <c r="K524" s="2">
        <f>IFERROR(__xludf.DUMMYFUNCTION("""COMPUTED_VALUE"""),586.79)</f>
        <v>586.79</v>
      </c>
    </row>
    <row r="525">
      <c r="A525" s="2">
        <f>IFERROR(__xludf.DUMMYFUNCTION("""COMPUTED_VALUE"""),1000.0)</f>
        <v>1000</v>
      </c>
      <c r="B525" s="2">
        <f>IFERROR(__xludf.DUMMYFUNCTION("""COMPUTED_VALUE"""),183834.0)</f>
        <v>183834</v>
      </c>
      <c r="C525" s="2">
        <f>IFERROR(__xludf.DUMMYFUNCTION("""COMPUTED_VALUE"""),2026.0)</f>
        <v>2026</v>
      </c>
      <c r="D525" s="2">
        <f>IFERROR(__xludf.DUMMYFUNCTION("""COMPUTED_VALUE"""),46285.0)</f>
        <v>46285</v>
      </c>
      <c r="E525" s="2" t="str">
        <f>IFERROR(__xludf.DUMMYFUNCTION("""COMPUTED_VALUE"""),"VF")</f>
        <v>VF</v>
      </c>
      <c r="F525" s="2">
        <f>IFERROR(__xludf.DUMMYFUNCTION("""COMPUTED_VALUE"""),1.0)</f>
        <v>1</v>
      </c>
      <c r="G525" s="2" t="str">
        <f>IFERROR(__xludf.DUMMYFUNCTION("""COMPUTED_VALUE"""),"PR008")</f>
        <v>PR008</v>
      </c>
      <c r="H525" s="2" t="str">
        <f>IFERROR(__xludf.DUMMYFUNCTION("""COMPUTED_VALUE"""),"VD015")</f>
        <v>VD015</v>
      </c>
      <c r="I525" s="2">
        <f>IFERROR(__xludf.DUMMYFUNCTION("""COMPUTED_VALUE"""),9.0)</f>
        <v>9</v>
      </c>
      <c r="J525" s="2">
        <f>IFERROR(__xludf.DUMMYFUNCTION("""COMPUTED_VALUE"""),809.1)</f>
        <v>809.1</v>
      </c>
      <c r="K525" s="2">
        <f>IFERROR(__xludf.DUMMYFUNCTION("""COMPUTED_VALUE"""),809.1)</f>
        <v>809.1</v>
      </c>
    </row>
    <row r="526">
      <c r="A526" s="2">
        <f>IFERROR(__xludf.DUMMYFUNCTION("""COMPUTED_VALUE"""),2000.0)</f>
        <v>2000</v>
      </c>
      <c r="B526" s="2">
        <f>IFERROR(__xludf.DUMMYFUNCTION("""COMPUTED_VALUE"""),183835.0)</f>
        <v>183835</v>
      </c>
      <c r="C526" s="2">
        <f>IFERROR(__xludf.DUMMYFUNCTION("""COMPUTED_VALUE"""),2026.0)</f>
        <v>2026</v>
      </c>
      <c r="D526" s="2">
        <f>IFERROR(__xludf.DUMMYFUNCTION("""COMPUTED_VALUE"""),46285.0)</f>
        <v>46285</v>
      </c>
      <c r="E526" s="2" t="str">
        <f>IFERROR(__xludf.DUMMYFUNCTION("""COMPUTED_VALUE"""),"VF")</f>
        <v>VF</v>
      </c>
      <c r="F526" s="2">
        <f>IFERROR(__xludf.DUMMYFUNCTION("""COMPUTED_VALUE"""),1.0)</f>
        <v>1</v>
      </c>
      <c r="G526" s="2" t="str">
        <f>IFERROR(__xludf.DUMMYFUNCTION("""COMPUTED_VALUE"""),"PR037")</f>
        <v>PR037</v>
      </c>
      <c r="H526" s="2" t="str">
        <f>IFERROR(__xludf.DUMMYFUNCTION("""COMPUTED_VALUE"""),"VD045")</f>
        <v>VD045</v>
      </c>
      <c r="I526" s="2">
        <f>IFERROR(__xludf.DUMMYFUNCTION("""COMPUTED_VALUE"""),4.0)</f>
        <v>4</v>
      </c>
      <c r="J526" s="2">
        <f>IFERROR(__xludf.DUMMYFUNCTION("""COMPUTED_VALUE"""),571.2)</f>
        <v>571.2</v>
      </c>
      <c r="K526" s="2">
        <f>IFERROR(__xludf.DUMMYFUNCTION("""COMPUTED_VALUE"""),571.2)</f>
        <v>571.2</v>
      </c>
    </row>
    <row r="527">
      <c r="A527" s="2">
        <f>IFERROR(__xludf.DUMMYFUNCTION("""COMPUTED_VALUE"""),1000.0)</f>
        <v>1000</v>
      </c>
      <c r="B527" s="2">
        <f>IFERROR(__xludf.DUMMYFUNCTION("""COMPUTED_VALUE"""),183836.0)</f>
        <v>183836</v>
      </c>
      <c r="C527" s="2">
        <f>IFERROR(__xludf.DUMMYFUNCTION("""COMPUTED_VALUE"""),2026.0)</f>
        <v>2026</v>
      </c>
      <c r="D527" s="2">
        <f>IFERROR(__xludf.DUMMYFUNCTION("""COMPUTED_VALUE"""),46285.0)</f>
        <v>46285</v>
      </c>
      <c r="E527" s="2" t="str">
        <f>IFERROR(__xludf.DUMMYFUNCTION("""COMPUTED_VALUE"""),"VF")</f>
        <v>VF</v>
      </c>
      <c r="F527" s="2">
        <f>IFERROR(__xludf.DUMMYFUNCTION("""COMPUTED_VALUE"""),1.0)</f>
        <v>1</v>
      </c>
      <c r="G527" s="2" t="str">
        <f>IFERROR(__xludf.DUMMYFUNCTION("""COMPUTED_VALUE"""),"PR055")</f>
        <v>PR055</v>
      </c>
      <c r="H527" s="2" t="str">
        <f>IFERROR(__xludf.DUMMYFUNCTION("""COMPUTED_VALUE"""),"VD047")</f>
        <v>VD047</v>
      </c>
      <c r="I527" s="2">
        <f>IFERROR(__xludf.DUMMYFUNCTION("""COMPUTED_VALUE"""),9.0)</f>
        <v>9</v>
      </c>
      <c r="J527" s="2">
        <f>IFERROR(__xludf.DUMMYFUNCTION("""COMPUTED_VALUE"""),841.46)</f>
        <v>841.46</v>
      </c>
      <c r="K527" s="2">
        <f>IFERROR(__xludf.DUMMYFUNCTION("""COMPUTED_VALUE"""),841.46)</f>
        <v>841.46</v>
      </c>
    </row>
    <row r="528">
      <c r="A528" s="2">
        <f>IFERROR(__xludf.DUMMYFUNCTION("""COMPUTED_VALUE"""),1000.0)</f>
        <v>1000</v>
      </c>
      <c r="B528" s="2">
        <f>IFERROR(__xludf.DUMMYFUNCTION("""COMPUTED_VALUE"""),183837.0)</f>
        <v>183837</v>
      </c>
      <c r="C528" s="2">
        <f>IFERROR(__xludf.DUMMYFUNCTION("""COMPUTED_VALUE"""),2026.0)</f>
        <v>2026</v>
      </c>
      <c r="D528" s="2">
        <f>IFERROR(__xludf.DUMMYFUNCTION("""COMPUTED_VALUE"""),46284.0)</f>
        <v>46284</v>
      </c>
      <c r="E528" s="2" t="str">
        <f>IFERROR(__xludf.DUMMYFUNCTION("""COMPUTED_VALUE"""),"VF")</f>
        <v>VF</v>
      </c>
      <c r="F528" s="2">
        <f>IFERROR(__xludf.DUMMYFUNCTION("""COMPUTED_VALUE"""),1.0)</f>
        <v>1</v>
      </c>
      <c r="G528" s="2" t="str">
        <f>IFERROR(__xludf.DUMMYFUNCTION("""COMPUTED_VALUE"""),"PR022")</f>
        <v>PR022</v>
      </c>
      <c r="H528" s="2" t="str">
        <f>IFERROR(__xludf.DUMMYFUNCTION("""COMPUTED_VALUE"""),"VD034")</f>
        <v>VD034</v>
      </c>
      <c r="I528" s="2">
        <f>IFERROR(__xludf.DUMMYFUNCTION("""COMPUTED_VALUE"""),10.0)</f>
        <v>10</v>
      </c>
      <c r="J528" s="2">
        <f>IFERROR(__xludf.DUMMYFUNCTION("""COMPUTED_VALUE"""),3120.0)</f>
        <v>3120</v>
      </c>
      <c r="K528" s="2">
        <f>IFERROR(__xludf.DUMMYFUNCTION("""COMPUTED_VALUE"""),3120.0)</f>
        <v>3120</v>
      </c>
    </row>
    <row r="529">
      <c r="A529" s="2">
        <f>IFERROR(__xludf.DUMMYFUNCTION("""COMPUTED_VALUE"""),1000.0)</f>
        <v>1000</v>
      </c>
      <c r="B529" s="2">
        <f>IFERROR(__xludf.DUMMYFUNCTION("""COMPUTED_VALUE"""),183838.0)</f>
        <v>183838</v>
      </c>
      <c r="C529" s="2">
        <f>IFERROR(__xludf.DUMMYFUNCTION("""COMPUTED_VALUE"""),2026.0)</f>
        <v>2026</v>
      </c>
      <c r="D529" s="2">
        <f>IFERROR(__xludf.DUMMYFUNCTION("""COMPUTED_VALUE"""),46284.0)</f>
        <v>46284</v>
      </c>
      <c r="E529" s="2" t="str">
        <f>IFERROR(__xludf.DUMMYFUNCTION("""COMPUTED_VALUE"""),"VF")</f>
        <v>VF</v>
      </c>
      <c r="F529" s="2">
        <f>IFERROR(__xludf.DUMMYFUNCTION("""COMPUTED_VALUE"""),1.0)</f>
        <v>1</v>
      </c>
      <c r="G529" s="2" t="str">
        <f>IFERROR(__xludf.DUMMYFUNCTION("""COMPUTED_VALUE"""),"PR029")</f>
        <v>PR029</v>
      </c>
      <c r="H529" s="2" t="str">
        <f>IFERROR(__xludf.DUMMYFUNCTION("""COMPUTED_VALUE"""),"VD047")</f>
        <v>VD047</v>
      </c>
      <c r="I529" s="2">
        <f>IFERROR(__xludf.DUMMYFUNCTION("""COMPUTED_VALUE"""),4.0)</f>
        <v>4</v>
      </c>
      <c r="J529" s="2">
        <f>IFERROR(__xludf.DUMMYFUNCTION("""COMPUTED_VALUE"""),1030.2)</f>
        <v>1030.2</v>
      </c>
      <c r="K529" s="2">
        <f>IFERROR(__xludf.DUMMYFUNCTION("""COMPUTED_VALUE"""),1030.2)</f>
        <v>1030.2</v>
      </c>
    </row>
    <row r="530">
      <c r="A530" s="2">
        <f>IFERROR(__xludf.DUMMYFUNCTION("""COMPUTED_VALUE"""),1000.0)</f>
        <v>1000</v>
      </c>
      <c r="B530" s="2">
        <f>IFERROR(__xludf.DUMMYFUNCTION("""COMPUTED_VALUE"""),183839.0)</f>
        <v>183839</v>
      </c>
      <c r="C530" s="2">
        <f>IFERROR(__xludf.DUMMYFUNCTION("""COMPUTED_VALUE"""),2026.0)</f>
        <v>2026</v>
      </c>
      <c r="D530" s="2">
        <f>IFERROR(__xludf.DUMMYFUNCTION("""COMPUTED_VALUE"""),46284.0)</f>
        <v>46284</v>
      </c>
      <c r="E530" s="2" t="str">
        <f>IFERROR(__xludf.DUMMYFUNCTION("""COMPUTED_VALUE"""),"VF")</f>
        <v>VF</v>
      </c>
      <c r="F530" s="2">
        <f>IFERROR(__xludf.DUMMYFUNCTION("""COMPUTED_VALUE"""),1.0)</f>
        <v>1</v>
      </c>
      <c r="G530" s="2" t="str">
        <f>IFERROR(__xludf.DUMMYFUNCTION("""COMPUTED_VALUE"""),"PR006")</f>
        <v>PR006</v>
      </c>
      <c r="H530" s="2" t="str">
        <f>IFERROR(__xludf.DUMMYFUNCTION("""COMPUTED_VALUE"""),"VD010")</f>
        <v>VD010</v>
      </c>
      <c r="I530" s="2">
        <f>IFERROR(__xludf.DUMMYFUNCTION("""COMPUTED_VALUE"""),10.0)</f>
        <v>10</v>
      </c>
      <c r="J530" s="2">
        <f>IFERROR(__xludf.DUMMYFUNCTION("""COMPUTED_VALUE"""),430.92)</f>
        <v>430.92</v>
      </c>
      <c r="K530" s="2">
        <f>IFERROR(__xludf.DUMMYFUNCTION("""COMPUTED_VALUE"""),430.92)</f>
        <v>430.92</v>
      </c>
    </row>
    <row r="531">
      <c r="A531" s="2">
        <f>IFERROR(__xludf.DUMMYFUNCTION("""COMPUTED_VALUE"""),1000.0)</f>
        <v>1000</v>
      </c>
      <c r="B531" s="2">
        <f>IFERROR(__xludf.DUMMYFUNCTION("""COMPUTED_VALUE"""),183839.0)</f>
        <v>183839</v>
      </c>
      <c r="C531" s="2">
        <f>IFERROR(__xludf.DUMMYFUNCTION("""COMPUTED_VALUE"""),2026.0)</f>
        <v>2026</v>
      </c>
      <c r="D531" s="2">
        <f>IFERROR(__xludf.DUMMYFUNCTION("""COMPUTED_VALUE"""),46284.0)</f>
        <v>46284</v>
      </c>
      <c r="E531" s="2" t="str">
        <f>IFERROR(__xludf.DUMMYFUNCTION("""COMPUTED_VALUE"""),"VF")</f>
        <v>VF</v>
      </c>
      <c r="F531" s="2">
        <f>IFERROR(__xludf.DUMMYFUNCTION("""COMPUTED_VALUE"""),2.0)</f>
        <v>2</v>
      </c>
      <c r="G531" s="2" t="str">
        <f>IFERROR(__xludf.DUMMYFUNCTION("""COMPUTED_VALUE"""),"PR003")</f>
        <v>PR003</v>
      </c>
      <c r="H531" s="2" t="str">
        <f>IFERROR(__xludf.DUMMYFUNCTION("""COMPUTED_VALUE"""),"VD017")</f>
        <v>VD017</v>
      </c>
      <c r="I531" s="2">
        <f>IFERROR(__xludf.DUMMYFUNCTION("""COMPUTED_VALUE"""),12.0)</f>
        <v>12</v>
      </c>
      <c r="J531" s="2">
        <f>IFERROR(__xludf.DUMMYFUNCTION("""COMPUTED_VALUE"""),935.88)</f>
        <v>935.88</v>
      </c>
      <c r="K531" s="2">
        <f>IFERROR(__xludf.DUMMYFUNCTION("""COMPUTED_VALUE"""),935.88)</f>
        <v>935.88</v>
      </c>
    </row>
    <row r="532">
      <c r="A532" s="2">
        <f>IFERROR(__xludf.DUMMYFUNCTION("""COMPUTED_VALUE"""),1000.0)</f>
        <v>1000</v>
      </c>
      <c r="B532" s="2">
        <f>IFERROR(__xludf.DUMMYFUNCTION("""COMPUTED_VALUE"""),183840.0)</f>
        <v>183840</v>
      </c>
      <c r="C532" s="2">
        <f>IFERROR(__xludf.DUMMYFUNCTION("""COMPUTED_VALUE"""),2026.0)</f>
        <v>2026</v>
      </c>
      <c r="D532" s="2">
        <f>IFERROR(__xludf.DUMMYFUNCTION("""COMPUTED_VALUE"""),46284.0)</f>
        <v>46284</v>
      </c>
      <c r="E532" s="2" t="str">
        <f>IFERROR(__xludf.DUMMYFUNCTION("""COMPUTED_VALUE"""),"VF")</f>
        <v>VF</v>
      </c>
      <c r="F532" s="2">
        <f>IFERROR(__xludf.DUMMYFUNCTION("""COMPUTED_VALUE"""),1.0)</f>
        <v>1</v>
      </c>
      <c r="G532" s="2" t="str">
        <f>IFERROR(__xludf.DUMMYFUNCTION("""COMPUTED_VALUE"""),"PR017")</f>
        <v>PR017</v>
      </c>
      <c r="H532" s="2" t="str">
        <f>IFERROR(__xludf.DUMMYFUNCTION("""COMPUTED_VALUE"""),"VD025")</f>
        <v>VD025</v>
      </c>
      <c r="I532" s="2">
        <f>IFERROR(__xludf.DUMMYFUNCTION("""COMPUTED_VALUE"""),1.0)</f>
        <v>1</v>
      </c>
      <c r="J532" s="2">
        <f>IFERROR(__xludf.DUMMYFUNCTION("""COMPUTED_VALUE"""),29.9)</f>
        <v>29.9</v>
      </c>
      <c r="K532" s="2">
        <f>IFERROR(__xludf.DUMMYFUNCTION("""COMPUTED_VALUE"""),29.9)</f>
        <v>29.9</v>
      </c>
    </row>
    <row r="533">
      <c r="A533" s="2">
        <f>IFERROR(__xludf.DUMMYFUNCTION("""COMPUTED_VALUE"""),1000.0)</f>
        <v>1000</v>
      </c>
      <c r="B533" s="2">
        <f>IFERROR(__xludf.DUMMYFUNCTION("""COMPUTED_VALUE"""),183841.0)</f>
        <v>183841</v>
      </c>
      <c r="C533" s="2">
        <f>IFERROR(__xludf.DUMMYFUNCTION("""COMPUTED_VALUE"""),2026.0)</f>
        <v>2026</v>
      </c>
      <c r="D533" s="2">
        <f>IFERROR(__xludf.DUMMYFUNCTION("""COMPUTED_VALUE"""),46284.0)</f>
        <v>46284</v>
      </c>
      <c r="E533" s="2" t="str">
        <f>IFERROR(__xludf.DUMMYFUNCTION("""COMPUTED_VALUE"""),"VF")</f>
        <v>VF</v>
      </c>
      <c r="F533" s="2">
        <f>IFERROR(__xludf.DUMMYFUNCTION("""COMPUTED_VALUE"""),1.0)</f>
        <v>1</v>
      </c>
      <c r="G533" s="2" t="str">
        <f>IFERROR(__xludf.DUMMYFUNCTION("""COMPUTED_VALUE"""),"PR037")</f>
        <v>PR037</v>
      </c>
      <c r="H533" s="2" t="str">
        <f>IFERROR(__xludf.DUMMYFUNCTION("""COMPUTED_VALUE"""),"VD027")</f>
        <v>VD027</v>
      </c>
      <c r="I533" s="2">
        <f>IFERROR(__xludf.DUMMYFUNCTION("""COMPUTED_VALUE"""),20.0)</f>
        <v>20</v>
      </c>
      <c r="J533" s="2">
        <f>IFERROR(__xludf.DUMMYFUNCTION("""COMPUTED_VALUE"""),2912.0)</f>
        <v>2912</v>
      </c>
      <c r="K533" s="2">
        <f>IFERROR(__xludf.DUMMYFUNCTION("""COMPUTED_VALUE"""),2912.0)</f>
        <v>2912</v>
      </c>
    </row>
    <row r="534">
      <c r="A534" s="2">
        <f>IFERROR(__xludf.DUMMYFUNCTION("""COMPUTED_VALUE"""),1000.0)</f>
        <v>1000</v>
      </c>
      <c r="B534" s="2">
        <f>IFERROR(__xludf.DUMMYFUNCTION("""COMPUTED_VALUE"""),183841.0)</f>
        <v>183841</v>
      </c>
      <c r="C534" s="2">
        <f>IFERROR(__xludf.DUMMYFUNCTION("""COMPUTED_VALUE"""),2026.0)</f>
        <v>2026</v>
      </c>
      <c r="D534" s="2">
        <f>IFERROR(__xludf.DUMMYFUNCTION("""COMPUTED_VALUE"""),46284.0)</f>
        <v>46284</v>
      </c>
      <c r="E534" s="2" t="str">
        <f>IFERROR(__xludf.DUMMYFUNCTION("""COMPUTED_VALUE"""),"VF")</f>
        <v>VF</v>
      </c>
      <c r="F534" s="2">
        <f>IFERROR(__xludf.DUMMYFUNCTION("""COMPUTED_VALUE"""),2.0)</f>
        <v>2</v>
      </c>
      <c r="G534" s="2" t="str">
        <f>IFERROR(__xludf.DUMMYFUNCTION("""COMPUTED_VALUE"""),"PR024")</f>
        <v>PR024</v>
      </c>
      <c r="H534" s="2" t="str">
        <f>IFERROR(__xludf.DUMMYFUNCTION("""COMPUTED_VALUE"""),"VD035")</f>
        <v>VD035</v>
      </c>
      <c r="I534" s="2">
        <f>IFERROR(__xludf.DUMMYFUNCTION("""COMPUTED_VALUE"""),8.0)</f>
        <v>8</v>
      </c>
      <c r="J534" s="2">
        <f>IFERROR(__xludf.DUMMYFUNCTION("""COMPUTED_VALUE"""),2183.16)</f>
        <v>2183.16</v>
      </c>
      <c r="K534" s="2">
        <f>IFERROR(__xludf.DUMMYFUNCTION("""COMPUTED_VALUE"""),2183.16)</f>
        <v>2183.16</v>
      </c>
    </row>
    <row r="535">
      <c r="A535" s="2">
        <f>IFERROR(__xludf.DUMMYFUNCTION("""COMPUTED_VALUE"""),2000.0)</f>
        <v>2000</v>
      </c>
      <c r="B535" s="2">
        <f>IFERROR(__xludf.DUMMYFUNCTION("""COMPUTED_VALUE"""),183841.0)</f>
        <v>183841</v>
      </c>
      <c r="C535" s="2">
        <f>IFERROR(__xludf.DUMMYFUNCTION("""COMPUTED_VALUE"""),2026.0)</f>
        <v>2026</v>
      </c>
      <c r="D535" s="2">
        <f>IFERROR(__xludf.DUMMYFUNCTION("""COMPUTED_VALUE"""),46283.0)</f>
        <v>46283</v>
      </c>
      <c r="E535" s="2" t="str">
        <f>IFERROR(__xludf.DUMMYFUNCTION("""COMPUTED_VALUE"""),"VF")</f>
        <v>VF</v>
      </c>
      <c r="F535" s="2">
        <f>IFERROR(__xludf.DUMMYFUNCTION("""COMPUTED_VALUE"""),3.0)</f>
        <v>3</v>
      </c>
      <c r="G535" s="2" t="str">
        <f>IFERROR(__xludf.DUMMYFUNCTION("""COMPUTED_VALUE"""),"PR006")</f>
        <v>PR006</v>
      </c>
      <c r="H535" s="2" t="str">
        <f>IFERROR(__xludf.DUMMYFUNCTION("""COMPUTED_VALUE"""),"VD022")</f>
        <v>VD022</v>
      </c>
      <c r="I535" s="2">
        <f>IFERROR(__xludf.DUMMYFUNCTION("""COMPUTED_VALUE"""),18.0)</f>
        <v>18</v>
      </c>
      <c r="J535" s="2">
        <f>IFERROR(__xludf.DUMMYFUNCTION("""COMPUTED_VALUE"""),725.38)</f>
        <v>725.38</v>
      </c>
      <c r="K535" s="2">
        <f>IFERROR(__xludf.DUMMYFUNCTION("""COMPUTED_VALUE"""),725.38)</f>
        <v>725.38</v>
      </c>
    </row>
    <row r="536">
      <c r="A536" s="2">
        <f>IFERROR(__xludf.DUMMYFUNCTION("""COMPUTED_VALUE"""),1000.0)</f>
        <v>1000</v>
      </c>
      <c r="B536" s="2">
        <f>IFERROR(__xludf.DUMMYFUNCTION("""COMPUTED_VALUE"""),183842.0)</f>
        <v>183842</v>
      </c>
      <c r="C536" s="2">
        <f>IFERROR(__xludf.DUMMYFUNCTION("""COMPUTED_VALUE"""),2026.0)</f>
        <v>2026</v>
      </c>
      <c r="D536" s="2">
        <f>IFERROR(__xludf.DUMMYFUNCTION("""COMPUTED_VALUE"""),46283.0)</f>
        <v>46283</v>
      </c>
      <c r="E536" s="2" t="str">
        <f>IFERROR(__xludf.DUMMYFUNCTION("""COMPUTED_VALUE"""),"VF")</f>
        <v>VF</v>
      </c>
      <c r="F536" s="2">
        <f>IFERROR(__xludf.DUMMYFUNCTION("""COMPUTED_VALUE"""),1.0)</f>
        <v>1</v>
      </c>
      <c r="G536" s="2" t="str">
        <f>IFERROR(__xludf.DUMMYFUNCTION("""COMPUTED_VALUE"""),"PR051")</f>
        <v>PR051</v>
      </c>
      <c r="H536" s="2" t="str">
        <f>IFERROR(__xludf.DUMMYFUNCTION("""COMPUTED_VALUE"""),"VD027")</f>
        <v>VD027</v>
      </c>
      <c r="I536" s="2">
        <f>IFERROR(__xludf.DUMMYFUNCTION("""COMPUTED_VALUE"""),18.0)</f>
        <v>18</v>
      </c>
      <c r="J536" s="2">
        <f>IFERROR(__xludf.DUMMYFUNCTION("""COMPUTED_VALUE"""),633.65)</f>
        <v>633.65</v>
      </c>
      <c r="K536" s="2">
        <f>IFERROR(__xludf.DUMMYFUNCTION("""COMPUTED_VALUE"""),633.65)</f>
        <v>633.65</v>
      </c>
    </row>
    <row r="537">
      <c r="A537" s="2">
        <f>IFERROR(__xludf.DUMMYFUNCTION("""COMPUTED_VALUE"""),2000.0)</f>
        <v>2000</v>
      </c>
      <c r="B537" s="2">
        <f>IFERROR(__xludf.DUMMYFUNCTION("""COMPUTED_VALUE"""),183843.0)</f>
        <v>183843</v>
      </c>
      <c r="C537" s="2">
        <f>IFERROR(__xludf.DUMMYFUNCTION("""COMPUTED_VALUE"""),2026.0)</f>
        <v>2026</v>
      </c>
      <c r="D537" s="2">
        <f>IFERROR(__xludf.DUMMYFUNCTION("""COMPUTED_VALUE"""),46282.0)</f>
        <v>46282</v>
      </c>
      <c r="E537" s="2" t="str">
        <f>IFERROR(__xludf.DUMMYFUNCTION("""COMPUTED_VALUE"""),"VF")</f>
        <v>VF</v>
      </c>
      <c r="F537" s="2">
        <f>IFERROR(__xludf.DUMMYFUNCTION("""COMPUTED_VALUE"""),1.0)</f>
        <v>1</v>
      </c>
      <c r="G537" s="2" t="str">
        <f>IFERROR(__xludf.DUMMYFUNCTION("""COMPUTED_VALUE"""),"PR057")</f>
        <v>PR057</v>
      </c>
      <c r="H537" s="2" t="str">
        <f>IFERROR(__xludf.DUMMYFUNCTION("""COMPUTED_VALUE"""),"VD019")</f>
        <v>VD019</v>
      </c>
      <c r="I537" s="2">
        <f>IFERROR(__xludf.DUMMYFUNCTION("""COMPUTED_VALUE"""),16.0)</f>
        <v>16</v>
      </c>
      <c r="J537" s="2">
        <f>IFERROR(__xludf.DUMMYFUNCTION("""COMPUTED_VALUE"""),1539.09)</f>
        <v>1539.09</v>
      </c>
      <c r="K537" s="2">
        <f>IFERROR(__xludf.DUMMYFUNCTION("""COMPUTED_VALUE"""),1539.09)</f>
        <v>1539.09</v>
      </c>
    </row>
    <row r="538">
      <c r="A538" s="2">
        <f>IFERROR(__xludf.DUMMYFUNCTION("""COMPUTED_VALUE"""),2000.0)</f>
        <v>2000</v>
      </c>
      <c r="B538" s="2">
        <f>IFERROR(__xludf.DUMMYFUNCTION("""COMPUTED_VALUE"""),183843.0)</f>
        <v>183843</v>
      </c>
      <c r="C538" s="2">
        <f>IFERROR(__xludf.DUMMYFUNCTION("""COMPUTED_VALUE"""),2026.0)</f>
        <v>2026</v>
      </c>
      <c r="D538" s="2">
        <f>IFERROR(__xludf.DUMMYFUNCTION("""COMPUTED_VALUE"""),46282.0)</f>
        <v>46282</v>
      </c>
      <c r="E538" s="2" t="str">
        <f>IFERROR(__xludf.DUMMYFUNCTION("""COMPUTED_VALUE"""),"VF")</f>
        <v>VF</v>
      </c>
      <c r="F538" s="2">
        <f>IFERROR(__xludf.DUMMYFUNCTION("""COMPUTED_VALUE"""),2.0)</f>
        <v>2</v>
      </c>
      <c r="G538" s="2" t="str">
        <f>IFERROR(__xludf.DUMMYFUNCTION("""COMPUTED_VALUE"""),"PR004")</f>
        <v>PR004</v>
      </c>
      <c r="H538" s="2" t="str">
        <f>IFERROR(__xludf.DUMMYFUNCTION("""COMPUTED_VALUE"""),"VD037")</f>
        <v>VD037</v>
      </c>
      <c r="I538" s="2">
        <f>IFERROR(__xludf.DUMMYFUNCTION("""COMPUTED_VALUE"""),16.0)</f>
        <v>16</v>
      </c>
      <c r="J538" s="2">
        <f>IFERROR(__xludf.DUMMYFUNCTION("""COMPUTED_VALUE"""),2343.2)</f>
        <v>2343.2</v>
      </c>
      <c r="K538" s="2">
        <f>IFERROR(__xludf.DUMMYFUNCTION("""COMPUTED_VALUE"""),2343.2)</f>
        <v>2343.2</v>
      </c>
    </row>
    <row r="539">
      <c r="A539" s="2">
        <f>IFERROR(__xludf.DUMMYFUNCTION("""COMPUTED_VALUE"""),1000.0)</f>
        <v>1000</v>
      </c>
      <c r="B539" s="2">
        <f>IFERROR(__xludf.DUMMYFUNCTION("""COMPUTED_VALUE"""),183844.0)</f>
        <v>183844</v>
      </c>
      <c r="C539" s="2">
        <f>IFERROR(__xludf.DUMMYFUNCTION("""COMPUTED_VALUE"""),2026.0)</f>
        <v>2026</v>
      </c>
      <c r="D539" s="2">
        <f>IFERROR(__xludf.DUMMYFUNCTION("""COMPUTED_VALUE"""),46282.0)</f>
        <v>46282</v>
      </c>
      <c r="E539" s="2" t="str">
        <f>IFERROR(__xludf.DUMMYFUNCTION("""COMPUTED_VALUE"""),"VF")</f>
        <v>VF</v>
      </c>
      <c r="F539" s="2">
        <f>IFERROR(__xludf.DUMMYFUNCTION("""COMPUTED_VALUE"""),1.0)</f>
        <v>1</v>
      </c>
      <c r="G539" s="2" t="str">
        <f>IFERROR(__xludf.DUMMYFUNCTION("""COMPUTED_VALUE"""),"PR046")</f>
        <v>PR046</v>
      </c>
      <c r="H539" s="2" t="str">
        <f>IFERROR(__xludf.DUMMYFUNCTION("""COMPUTED_VALUE"""),"VD041")</f>
        <v>VD041</v>
      </c>
      <c r="I539" s="2">
        <f>IFERROR(__xludf.DUMMYFUNCTION("""COMPUTED_VALUE"""),2.0)</f>
        <v>2</v>
      </c>
      <c r="J539" s="2">
        <f>IFERROR(__xludf.DUMMYFUNCTION("""COMPUTED_VALUE"""),614.59)</f>
        <v>614.59</v>
      </c>
      <c r="K539" s="2">
        <f>IFERROR(__xludf.DUMMYFUNCTION("""COMPUTED_VALUE"""),614.59)</f>
        <v>614.59</v>
      </c>
    </row>
    <row r="540">
      <c r="A540" s="2">
        <f>IFERROR(__xludf.DUMMYFUNCTION("""COMPUTED_VALUE"""),1000.0)</f>
        <v>1000</v>
      </c>
      <c r="B540" s="2">
        <f>IFERROR(__xludf.DUMMYFUNCTION("""COMPUTED_VALUE"""),183845.0)</f>
        <v>183845</v>
      </c>
      <c r="C540" s="2">
        <f>IFERROR(__xludf.DUMMYFUNCTION("""COMPUTED_VALUE"""),2026.0)</f>
        <v>2026</v>
      </c>
      <c r="D540" s="2">
        <f>IFERROR(__xludf.DUMMYFUNCTION("""COMPUTED_VALUE"""),46282.0)</f>
        <v>46282</v>
      </c>
      <c r="E540" s="2" t="str">
        <f>IFERROR(__xludf.DUMMYFUNCTION("""COMPUTED_VALUE"""),"VF")</f>
        <v>VF</v>
      </c>
      <c r="F540" s="2">
        <f>IFERROR(__xludf.DUMMYFUNCTION("""COMPUTED_VALUE"""),1.0)</f>
        <v>1</v>
      </c>
      <c r="G540" s="2" t="str">
        <f>IFERROR(__xludf.DUMMYFUNCTION("""COMPUTED_VALUE"""),"PR030")</f>
        <v>PR030</v>
      </c>
      <c r="H540" s="2" t="str">
        <f>IFERROR(__xludf.DUMMYFUNCTION("""COMPUTED_VALUE"""),"VD015")</f>
        <v>VD015</v>
      </c>
      <c r="I540" s="2">
        <f>IFERROR(__xludf.DUMMYFUNCTION("""COMPUTED_VALUE"""),1.0)</f>
        <v>1</v>
      </c>
      <c r="J540" s="2">
        <f>IFERROR(__xludf.DUMMYFUNCTION("""COMPUTED_VALUE"""),265.1)</f>
        <v>265.1</v>
      </c>
      <c r="K540" s="2">
        <f>IFERROR(__xludf.DUMMYFUNCTION("""COMPUTED_VALUE"""),265.1)</f>
        <v>265.1</v>
      </c>
    </row>
    <row r="541">
      <c r="A541" s="2">
        <f>IFERROR(__xludf.DUMMYFUNCTION("""COMPUTED_VALUE"""),1000.0)</f>
        <v>1000</v>
      </c>
      <c r="B541" s="2">
        <f>IFERROR(__xludf.DUMMYFUNCTION("""COMPUTED_VALUE"""),183846.0)</f>
        <v>183846</v>
      </c>
      <c r="C541" s="2">
        <f>IFERROR(__xludf.DUMMYFUNCTION("""COMPUTED_VALUE"""),2026.0)</f>
        <v>2026</v>
      </c>
      <c r="D541" s="2">
        <f>IFERROR(__xludf.DUMMYFUNCTION("""COMPUTED_VALUE"""),46282.0)</f>
        <v>46282</v>
      </c>
      <c r="E541" s="2" t="str">
        <f>IFERROR(__xludf.DUMMYFUNCTION("""COMPUTED_VALUE"""),"VF")</f>
        <v>VF</v>
      </c>
      <c r="F541" s="2">
        <f>IFERROR(__xludf.DUMMYFUNCTION("""COMPUTED_VALUE"""),1.0)</f>
        <v>1</v>
      </c>
      <c r="G541" s="2" t="str">
        <f>IFERROR(__xludf.DUMMYFUNCTION("""COMPUTED_VALUE"""),"PR010")</f>
        <v>PR010</v>
      </c>
      <c r="H541" s="2" t="str">
        <f>IFERROR(__xludf.DUMMYFUNCTION("""COMPUTED_VALUE"""),"VD029")</f>
        <v>VD029</v>
      </c>
      <c r="I541" s="2">
        <f>IFERROR(__xludf.DUMMYFUNCTION("""COMPUTED_VALUE"""),5.0)</f>
        <v>5</v>
      </c>
      <c r="J541" s="2">
        <f>IFERROR(__xludf.DUMMYFUNCTION("""COMPUTED_VALUE"""),240.22)</f>
        <v>240.22</v>
      </c>
      <c r="K541" s="2">
        <f>IFERROR(__xludf.DUMMYFUNCTION("""COMPUTED_VALUE"""),240.22)</f>
        <v>240.22</v>
      </c>
    </row>
    <row r="542">
      <c r="A542" s="2">
        <f>IFERROR(__xludf.DUMMYFUNCTION("""COMPUTED_VALUE"""),1000.0)</f>
        <v>1000</v>
      </c>
      <c r="B542" s="2">
        <f>IFERROR(__xludf.DUMMYFUNCTION("""COMPUTED_VALUE"""),183846.0)</f>
        <v>183846</v>
      </c>
      <c r="C542" s="2">
        <f>IFERROR(__xludf.DUMMYFUNCTION("""COMPUTED_VALUE"""),2026.0)</f>
        <v>2026</v>
      </c>
      <c r="D542" s="2">
        <f>IFERROR(__xludf.DUMMYFUNCTION("""COMPUTED_VALUE"""),46282.0)</f>
        <v>46282</v>
      </c>
      <c r="E542" s="2" t="str">
        <f>IFERROR(__xludf.DUMMYFUNCTION("""COMPUTED_VALUE"""),"VF")</f>
        <v>VF</v>
      </c>
      <c r="F542" s="2">
        <f>IFERROR(__xludf.DUMMYFUNCTION("""COMPUTED_VALUE"""),2.0)</f>
        <v>2</v>
      </c>
      <c r="G542" s="2" t="str">
        <f>IFERROR(__xludf.DUMMYFUNCTION("""COMPUTED_VALUE"""),"PR028")</f>
        <v>PR028</v>
      </c>
      <c r="H542" s="2" t="str">
        <f>IFERROR(__xludf.DUMMYFUNCTION("""COMPUTED_VALUE"""),"VD034")</f>
        <v>VD034</v>
      </c>
      <c r="I542" s="2">
        <f>IFERROR(__xludf.DUMMYFUNCTION("""COMPUTED_VALUE"""),8.0)</f>
        <v>8</v>
      </c>
      <c r="J542" s="2">
        <f>IFERROR(__xludf.DUMMYFUNCTION("""COMPUTED_VALUE"""),2179.13)</f>
        <v>2179.13</v>
      </c>
      <c r="K542" s="2">
        <f>IFERROR(__xludf.DUMMYFUNCTION("""COMPUTED_VALUE"""),2179.13)</f>
        <v>2179.13</v>
      </c>
    </row>
    <row r="543">
      <c r="A543" s="2">
        <f>IFERROR(__xludf.DUMMYFUNCTION("""COMPUTED_VALUE"""),1000.0)</f>
        <v>1000</v>
      </c>
      <c r="B543" s="2">
        <f>IFERROR(__xludf.DUMMYFUNCTION("""COMPUTED_VALUE"""),183846.0)</f>
        <v>183846</v>
      </c>
      <c r="C543" s="2">
        <f>IFERROR(__xludf.DUMMYFUNCTION("""COMPUTED_VALUE"""),2026.0)</f>
        <v>2026</v>
      </c>
      <c r="D543" s="2">
        <f>IFERROR(__xludf.DUMMYFUNCTION("""COMPUTED_VALUE"""),46282.0)</f>
        <v>46282</v>
      </c>
      <c r="E543" s="2" t="str">
        <f>IFERROR(__xludf.DUMMYFUNCTION("""COMPUTED_VALUE"""),"VF")</f>
        <v>VF</v>
      </c>
      <c r="F543" s="2">
        <f>IFERROR(__xludf.DUMMYFUNCTION("""COMPUTED_VALUE"""),3.0)</f>
        <v>3</v>
      </c>
      <c r="G543" s="2" t="str">
        <f>IFERROR(__xludf.DUMMYFUNCTION("""COMPUTED_VALUE"""),"PR059")</f>
        <v>PR059</v>
      </c>
      <c r="H543" s="2" t="str">
        <f>IFERROR(__xludf.DUMMYFUNCTION("""COMPUTED_VALUE"""),"VD042")</f>
        <v>VD042</v>
      </c>
      <c r="I543" s="2">
        <f>IFERROR(__xludf.DUMMYFUNCTION("""COMPUTED_VALUE"""),14.0)</f>
        <v>14</v>
      </c>
      <c r="J543" s="2">
        <f>IFERROR(__xludf.DUMMYFUNCTION("""COMPUTED_VALUE"""),2671.2)</f>
        <v>2671.2</v>
      </c>
      <c r="K543" s="2">
        <f>IFERROR(__xludf.DUMMYFUNCTION("""COMPUTED_VALUE"""),2671.2)</f>
        <v>2671.2</v>
      </c>
    </row>
    <row r="544">
      <c r="A544" s="2">
        <f>IFERROR(__xludf.DUMMYFUNCTION("""COMPUTED_VALUE"""),2000.0)</f>
        <v>2000</v>
      </c>
      <c r="B544" s="2">
        <f>IFERROR(__xludf.DUMMYFUNCTION("""COMPUTED_VALUE"""),183847.0)</f>
        <v>183847</v>
      </c>
      <c r="C544" s="2">
        <f>IFERROR(__xludf.DUMMYFUNCTION("""COMPUTED_VALUE"""),2026.0)</f>
        <v>2026</v>
      </c>
      <c r="D544" s="2">
        <f>IFERROR(__xludf.DUMMYFUNCTION("""COMPUTED_VALUE"""),46282.0)</f>
        <v>46282</v>
      </c>
      <c r="E544" s="2" t="str">
        <f>IFERROR(__xludf.DUMMYFUNCTION("""COMPUTED_VALUE"""),"VF")</f>
        <v>VF</v>
      </c>
      <c r="F544" s="2">
        <f>IFERROR(__xludf.DUMMYFUNCTION("""COMPUTED_VALUE"""),1.0)</f>
        <v>1</v>
      </c>
      <c r="G544" s="2" t="str">
        <f>IFERROR(__xludf.DUMMYFUNCTION("""COMPUTED_VALUE"""),"PR033")</f>
        <v>PR033</v>
      </c>
      <c r="H544" s="2" t="str">
        <f>IFERROR(__xludf.DUMMYFUNCTION("""COMPUTED_VALUE"""),"VD019")</f>
        <v>VD019</v>
      </c>
      <c r="I544" s="2">
        <f>IFERROR(__xludf.DUMMYFUNCTION("""COMPUTED_VALUE"""),8.0)</f>
        <v>8</v>
      </c>
      <c r="J544" s="2">
        <f>IFERROR(__xludf.DUMMYFUNCTION("""COMPUTED_VALUE"""),2224.74)</f>
        <v>2224.74</v>
      </c>
      <c r="K544" s="2">
        <f>IFERROR(__xludf.DUMMYFUNCTION("""COMPUTED_VALUE"""),2224.74)</f>
        <v>2224.74</v>
      </c>
    </row>
    <row r="545">
      <c r="A545" s="2">
        <f>IFERROR(__xludf.DUMMYFUNCTION("""COMPUTED_VALUE"""),1000.0)</f>
        <v>1000</v>
      </c>
      <c r="B545" s="2">
        <f>IFERROR(__xludf.DUMMYFUNCTION("""COMPUTED_VALUE"""),183847.0)</f>
        <v>183847</v>
      </c>
      <c r="C545" s="2">
        <f>IFERROR(__xludf.DUMMYFUNCTION("""COMPUTED_VALUE"""),2026.0)</f>
        <v>2026</v>
      </c>
      <c r="D545" s="2">
        <f>IFERROR(__xludf.DUMMYFUNCTION("""COMPUTED_VALUE"""),46281.0)</f>
        <v>46281</v>
      </c>
      <c r="E545" s="2" t="str">
        <f>IFERROR(__xludf.DUMMYFUNCTION("""COMPUTED_VALUE"""),"VF")</f>
        <v>VF</v>
      </c>
      <c r="F545" s="2">
        <f>IFERROR(__xludf.DUMMYFUNCTION("""COMPUTED_VALUE"""),2.0)</f>
        <v>2</v>
      </c>
      <c r="G545" s="2" t="str">
        <f>IFERROR(__xludf.DUMMYFUNCTION("""COMPUTED_VALUE"""),"PR054")</f>
        <v>PR054</v>
      </c>
      <c r="H545" s="2" t="str">
        <f>IFERROR(__xludf.DUMMYFUNCTION("""COMPUTED_VALUE"""),"VD018")</f>
        <v>VD018</v>
      </c>
      <c r="I545" s="2">
        <f>IFERROR(__xludf.DUMMYFUNCTION("""COMPUTED_VALUE"""),16.0)</f>
        <v>16</v>
      </c>
      <c r="J545" s="2">
        <f>IFERROR(__xludf.DUMMYFUNCTION("""COMPUTED_VALUE"""),870.26)</f>
        <v>870.26</v>
      </c>
      <c r="K545" s="2">
        <f>IFERROR(__xludf.DUMMYFUNCTION("""COMPUTED_VALUE"""),870.26)</f>
        <v>870.26</v>
      </c>
    </row>
    <row r="546">
      <c r="A546" s="2">
        <f>IFERROR(__xludf.DUMMYFUNCTION("""COMPUTED_VALUE"""),1000.0)</f>
        <v>1000</v>
      </c>
      <c r="B546" s="2">
        <f>IFERROR(__xludf.DUMMYFUNCTION("""COMPUTED_VALUE"""),183848.0)</f>
        <v>183848</v>
      </c>
      <c r="C546" s="2">
        <f>IFERROR(__xludf.DUMMYFUNCTION("""COMPUTED_VALUE"""),2026.0)</f>
        <v>2026</v>
      </c>
      <c r="D546" s="2">
        <f>IFERROR(__xludf.DUMMYFUNCTION("""COMPUTED_VALUE"""),46281.0)</f>
        <v>46281</v>
      </c>
      <c r="E546" s="2" t="str">
        <f>IFERROR(__xludf.DUMMYFUNCTION("""COMPUTED_VALUE"""),"VF")</f>
        <v>VF</v>
      </c>
      <c r="F546" s="2">
        <f>IFERROR(__xludf.DUMMYFUNCTION("""COMPUTED_VALUE"""),1.0)</f>
        <v>1</v>
      </c>
      <c r="G546" s="2" t="str">
        <f>IFERROR(__xludf.DUMMYFUNCTION("""COMPUTED_VALUE"""),"PR023")</f>
        <v>PR023</v>
      </c>
      <c r="H546" s="2" t="str">
        <f>IFERROR(__xludf.DUMMYFUNCTION("""COMPUTED_VALUE"""),"VD017")</f>
        <v>VD017</v>
      </c>
      <c r="I546" s="2">
        <f>IFERROR(__xludf.DUMMYFUNCTION("""COMPUTED_VALUE"""),4.0)</f>
        <v>4</v>
      </c>
      <c r="J546" s="2">
        <f>IFERROR(__xludf.DUMMYFUNCTION("""COMPUTED_VALUE"""),1089.56)</f>
        <v>1089.56</v>
      </c>
      <c r="K546" s="2">
        <f>IFERROR(__xludf.DUMMYFUNCTION("""COMPUTED_VALUE"""),1089.56)</f>
        <v>1089.56</v>
      </c>
    </row>
    <row r="547">
      <c r="A547" s="2">
        <f>IFERROR(__xludf.DUMMYFUNCTION("""COMPUTED_VALUE"""),1000.0)</f>
        <v>1000</v>
      </c>
      <c r="B547" s="2">
        <f>IFERROR(__xludf.DUMMYFUNCTION("""COMPUTED_VALUE"""),183849.0)</f>
        <v>183849</v>
      </c>
      <c r="C547" s="2">
        <f>IFERROR(__xludf.DUMMYFUNCTION("""COMPUTED_VALUE"""),2026.0)</f>
        <v>2026</v>
      </c>
      <c r="D547" s="2">
        <f>IFERROR(__xludf.DUMMYFUNCTION("""COMPUTED_VALUE"""),46281.0)</f>
        <v>46281</v>
      </c>
      <c r="E547" s="2" t="str">
        <f>IFERROR(__xludf.DUMMYFUNCTION("""COMPUTED_VALUE"""),"VF")</f>
        <v>VF</v>
      </c>
      <c r="F547" s="2">
        <f>IFERROR(__xludf.DUMMYFUNCTION("""COMPUTED_VALUE"""),1.0)</f>
        <v>1</v>
      </c>
      <c r="G547" s="2" t="str">
        <f>IFERROR(__xludf.DUMMYFUNCTION("""COMPUTED_VALUE"""),"PR031")</f>
        <v>PR031</v>
      </c>
      <c r="H547" s="2" t="str">
        <f>IFERROR(__xludf.DUMMYFUNCTION("""COMPUTED_VALUE"""),"VD040")</f>
        <v>VD040</v>
      </c>
      <c r="I547" s="2">
        <f>IFERROR(__xludf.DUMMYFUNCTION("""COMPUTED_VALUE"""),3.0)</f>
        <v>3</v>
      </c>
      <c r="J547" s="2">
        <f>IFERROR(__xludf.DUMMYFUNCTION("""COMPUTED_VALUE"""),757.05)</f>
        <v>757.05</v>
      </c>
      <c r="K547" s="2">
        <f>IFERROR(__xludf.DUMMYFUNCTION("""COMPUTED_VALUE"""),757.05)</f>
        <v>757.05</v>
      </c>
    </row>
    <row r="548">
      <c r="A548" s="2">
        <f>IFERROR(__xludf.DUMMYFUNCTION("""COMPUTED_VALUE"""),1000.0)</f>
        <v>1000</v>
      </c>
      <c r="B548" s="2">
        <f>IFERROR(__xludf.DUMMYFUNCTION("""COMPUTED_VALUE"""),183850.0)</f>
        <v>183850</v>
      </c>
      <c r="C548" s="2">
        <f>IFERROR(__xludf.DUMMYFUNCTION("""COMPUTED_VALUE"""),2026.0)</f>
        <v>2026</v>
      </c>
      <c r="D548" s="2">
        <f>IFERROR(__xludf.DUMMYFUNCTION("""COMPUTED_VALUE"""),46281.0)</f>
        <v>46281</v>
      </c>
      <c r="E548" s="2" t="str">
        <f>IFERROR(__xludf.DUMMYFUNCTION("""COMPUTED_VALUE"""),"VF")</f>
        <v>VF</v>
      </c>
      <c r="F548" s="2">
        <f>IFERROR(__xludf.DUMMYFUNCTION("""COMPUTED_VALUE"""),1.0)</f>
        <v>1</v>
      </c>
      <c r="G548" s="2" t="str">
        <f>IFERROR(__xludf.DUMMYFUNCTION("""COMPUTED_VALUE"""),"PR004")</f>
        <v>PR004</v>
      </c>
      <c r="H548" s="2" t="str">
        <f>IFERROR(__xludf.DUMMYFUNCTION("""COMPUTED_VALUE"""),"VD039")</f>
        <v>VD039</v>
      </c>
      <c r="I548" s="2">
        <f>IFERROR(__xludf.DUMMYFUNCTION("""COMPUTED_VALUE"""),16.0)</f>
        <v>16</v>
      </c>
      <c r="J548" s="2">
        <f>IFERROR(__xludf.DUMMYFUNCTION("""COMPUTED_VALUE"""),2528.8)</f>
        <v>2528.8</v>
      </c>
      <c r="K548" s="2">
        <f>IFERROR(__xludf.DUMMYFUNCTION("""COMPUTED_VALUE"""),2528.8)</f>
        <v>2528.8</v>
      </c>
    </row>
    <row r="549">
      <c r="A549" s="2">
        <f>IFERROR(__xludf.DUMMYFUNCTION("""COMPUTED_VALUE"""),1000.0)</f>
        <v>1000</v>
      </c>
      <c r="B549" s="2">
        <f>IFERROR(__xludf.DUMMYFUNCTION("""COMPUTED_VALUE"""),183850.0)</f>
        <v>183850</v>
      </c>
      <c r="C549" s="2">
        <f>IFERROR(__xludf.DUMMYFUNCTION("""COMPUTED_VALUE"""),2026.0)</f>
        <v>2026</v>
      </c>
      <c r="D549" s="2">
        <f>IFERROR(__xludf.DUMMYFUNCTION("""COMPUTED_VALUE"""),46280.0)</f>
        <v>46280</v>
      </c>
      <c r="E549" s="2" t="str">
        <f>IFERROR(__xludf.DUMMYFUNCTION("""COMPUTED_VALUE"""),"VF")</f>
        <v>VF</v>
      </c>
      <c r="F549" s="2">
        <f>IFERROR(__xludf.DUMMYFUNCTION("""COMPUTED_VALUE"""),2.0)</f>
        <v>2</v>
      </c>
      <c r="G549" s="2" t="str">
        <f>IFERROR(__xludf.DUMMYFUNCTION("""COMPUTED_VALUE"""),"PR029")</f>
        <v>PR029</v>
      </c>
      <c r="H549" s="2" t="str">
        <f>IFERROR(__xludf.DUMMYFUNCTION("""COMPUTED_VALUE"""),"VD048")</f>
        <v>VD048</v>
      </c>
      <c r="I549" s="2">
        <f>IFERROR(__xludf.DUMMYFUNCTION("""COMPUTED_VALUE"""),7.0)</f>
        <v>7</v>
      </c>
      <c r="J549" s="2">
        <f>IFERROR(__xludf.DUMMYFUNCTION("""COMPUTED_VALUE"""),1874.25)</f>
        <v>1874.25</v>
      </c>
      <c r="K549" s="2">
        <f>IFERROR(__xludf.DUMMYFUNCTION("""COMPUTED_VALUE"""),1874.25)</f>
        <v>1874.25</v>
      </c>
    </row>
    <row r="550">
      <c r="A550" s="2">
        <f>IFERROR(__xludf.DUMMYFUNCTION("""COMPUTED_VALUE"""),1000.0)</f>
        <v>1000</v>
      </c>
      <c r="B550" s="2">
        <f>IFERROR(__xludf.DUMMYFUNCTION("""COMPUTED_VALUE"""),183851.0)</f>
        <v>183851</v>
      </c>
      <c r="C550" s="2">
        <f>IFERROR(__xludf.DUMMYFUNCTION("""COMPUTED_VALUE"""),2026.0)</f>
        <v>2026</v>
      </c>
      <c r="D550" s="2">
        <f>IFERROR(__xludf.DUMMYFUNCTION("""COMPUTED_VALUE"""),46280.0)</f>
        <v>46280</v>
      </c>
      <c r="E550" s="2" t="str">
        <f>IFERROR(__xludf.DUMMYFUNCTION("""COMPUTED_VALUE"""),"VF")</f>
        <v>VF</v>
      </c>
      <c r="F550" s="2">
        <f>IFERROR(__xludf.DUMMYFUNCTION("""COMPUTED_VALUE"""),1.0)</f>
        <v>1</v>
      </c>
      <c r="G550" s="2" t="str">
        <f>IFERROR(__xludf.DUMMYFUNCTION("""COMPUTED_VALUE"""),"PR031")</f>
        <v>PR031</v>
      </c>
      <c r="H550" s="2" t="str">
        <f>IFERROR(__xludf.DUMMYFUNCTION("""COMPUTED_VALUE"""),"VD024")</f>
        <v>VD024</v>
      </c>
      <c r="I550" s="2">
        <f>IFERROR(__xludf.DUMMYFUNCTION("""COMPUTED_VALUE"""),5.0)</f>
        <v>5</v>
      </c>
      <c r="J550" s="2">
        <f>IFERROR(__xludf.DUMMYFUNCTION("""COMPUTED_VALUE"""),1286.25)</f>
        <v>1286.25</v>
      </c>
      <c r="K550" s="2">
        <f>IFERROR(__xludf.DUMMYFUNCTION("""COMPUTED_VALUE"""),1286.25)</f>
        <v>1286.25</v>
      </c>
    </row>
    <row r="551">
      <c r="A551" s="2">
        <f>IFERROR(__xludf.DUMMYFUNCTION("""COMPUTED_VALUE"""),1000.0)</f>
        <v>1000</v>
      </c>
      <c r="B551" s="2">
        <f>IFERROR(__xludf.DUMMYFUNCTION("""COMPUTED_VALUE"""),183852.0)</f>
        <v>183852</v>
      </c>
      <c r="C551" s="2">
        <f>IFERROR(__xludf.DUMMYFUNCTION("""COMPUTED_VALUE"""),2026.0)</f>
        <v>2026</v>
      </c>
      <c r="D551" s="2">
        <f>IFERROR(__xludf.DUMMYFUNCTION("""COMPUTED_VALUE"""),46280.0)</f>
        <v>46280</v>
      </c>
      <c r="E551" s="2" t="str">
        <f>IFERROR(__xludf.DUMMYFUNCTION("""COMPUTED_VALUE"""),"VF")</f>
        <v>VF</v>
      </c>
      <c r="F551" s="2">
        <f>IFERROR(__xludf.DUMMYFUNCTION("""COMPUTED_VALUE"""),1.0)</f>
        <v>1</v>
      </c>
      <c r="G551" s="2" t="str">
        <f>IFERROR(__xludf.DUMMYFUNCTION("""COMPUTED_VALUE"""),"PR020")</f>
        <v>PR020</v>
      </c>
      <c r="H551" s="2" t="str">
        <f>IFERROR(__xludf.DUMMYFUNCTION("""COMPUTED_VALUE"""),"VD014")</f>
        <v>VD014</v>
      </c>
      <c r="I551" s="2">
        <f>IFERROR(__xludf.DUMMYFUNCTION("""COMPUTED_VALUE"""),12.0)</f>
        <v>12</v>
      </c>
      <c r="J551" s="2">
        <f>IFERROR(__xludf.DUMMYFUNCTION("""COMPUTED_VALUE"""),3850.72)</f>
        <v>3850.72</v>
      </c>
      <c r="K551" s="2">
        <f>IFERROR(__xludf.DUMMYFUNCTION("""COMPUTED_VALUE"""),3850.72)</f>
        <v>3850.72</v>
      </c>
    </row>
    <row r="552">
      <c r="A552" s="2">
        <f>IFERROR(__xludf.DUMMYFUNCTION("""COMPUTED_VALUE"""),1000.0)</f>
        <v>1000</v>
      </c>
      <c r="B552" s="2">
        <f>IFERROR(__xludf.DUMMYFUNCTION("""COMPUTED_VALUE"""),183852.0)</f>
        <v>183852</v>
      </c>
      <c r="C552" s="2">
        <f>IFERROR(__xludf.DUMMYFUNCTION("""COMPUTED_VALUE"""),2026.0)</f>
        <v>2026</v>
      </c>
      <c r="D552" s="2">
        <f>IFERROR(__xludf.DUMMYFUNCTION("""COMPUTED_VALUE"""),46280.0)</f>
        <v>46280</v>
      </c>
      <c r="E552" s="2" t="str">
        <f>IFERROR(__xludf.DUMMYFUNCTION("""COMPUTED_VALUE"""),"VF")</f>
        <v>VF</v>
      </c>
      <c r="F552" s="2">
        <f>IFERROR(__xludf.DUMMYFUNCTION("""COMPUTED_VALUE"""),2.0)</f>
        <v>2</v>
      </c>
      <c r="G552" s="2" t="str">
        <f>IFERROR(__xludf.DUMMYFUNCTION("""COMPUTED_VALUE"""),"PR006")</f>
        <v>PR006</v>
      </c>
      <c r="H552" s="2" t="str">
        <f>IFERROR(__xludf.DUMMYFUNCTION("""COMPUTED_VALUE"""),"VD011")</f>
        <v>VD011</v>
      </c>
      <c r="I552" s="2">
        <f>IFERROR(__xludf.DUMMYFUNCTION("""COMPUTED_VALUE"""),7.0)</f>
        <v>7</v>
      </c>
      <c r="J552" s="2">
        <f>IFERROR(__xludf.DUMMYFUNCTION("""COMPUTED_VALUE"""),293.27)</f>
        <v>293.27</v>
      </c>
      <c r="K552" s="2">
        <f>IFERROR(__xludf.DUMMYFUNCTION("""COMPUTED_VALUE"""),293.27)</f>
        <v>293.27</v>
      </c>
    </row>
    <row r="553">
      <c r="A553" s="2">
        <f>IFERROR(__xludf.DUMMYFUNCTION("""COMPUTED_VALUE"""),1000.0)</f>
        <v>1000</v>
      </c>
      <c r="B553" s="2">
        <f>IFERROR(__xludf.DUMMYFUNCTION("""COMPUTED_VALUE"""),183852.0)</f>
        <v>183852</v>
      </c>
      <c r="C553" s="2">
        <f>IFERROR(__xludf.DUMMYFUNCTION("""COMPUTED_VALUE"""),2026.0)</f>
        <v>2026</v>
      </c>
      <c r="D553" s="2">
        <f>IFERROR(__xludf.DUMMYFUNCTION("""COMPUTED_VALUE"""),46280.0)</f>
        <v>46280</v>
      </c>
      <c r="E553" s="2" t="str">
        <f>IFERROR(__xludf.DUMMYFUNCTION("""COMPUTED_VALUE"""),"VF")</f>
        <v>VF</v>
      </c>
      <c r="F553" s="2">
        <f>IFERROR(__xludf.DUMMYFUNCTION("""COMPUTED_VALUE"""),3.0)</f>
        <v>3</v>
      </c>
      <c r="G553" s="2" t="str">
        <f>IFERROR(__xludf.DUMMYFUNCTION("""COMPUTED_VALUE"""),"PR060")</f>
        <v>PR060</v>
      </c>
      <c r="H553" s="2" t="str">
        <f>IFERROR(__xludf.DUMMYFUNCTION("""COMPUTED_VALUE"""),"VD021")</f>
        <v>VD021</v>
      </c>
      <c r="I553" s="2">
        <f>IFERROR(__xludf.DUMMYFUNCTION("""COMPUTED_VALUE"""),12.0)</f>
        <v>12</v>
      </c>
      <c r="J553" s="2">
        <f>IFERROR(__xludf.DUMMYFUNCTION("""COMPUTED_VALUE"""),2160.0)</f>
        <v>2160</v>
      </c>
      <c r="K553" s="2">
        <f>IFERROR(__xludf.DUMMYFUNCTION("""COMPUTED_VALUE"""),2160.0)</f>
        <v>2160</v>
      </c>
    </row>
    <row r="554">
      <c r="A554" s="2">
        <f>IFERROR(__xludf.DUMMYFUNCTION("""COMPUTED_VALUE"""),1000.0)</f>
        <v>1000</v>
      </c>
      <c r="B554" s="2">
        <f>IFERROR(__xludf.DUMMYFUNCTION("""COMPUTED_VALUE"""),183853.0)</f>
        <v>183853</v>
      </c>
      <c r="C554" s="2">
        <f>IFERROR(__xludf.DUMMYFUNCTION("""COMPUTED_VALUE"""),2026.0)</f>
        <v>2026</v>
      </c>
      <c r="D554" s="2">
        <f>IFERROR(__xludf.DUMMYFUNCTION("""COMPUTED_VALUE"""),46279.0)</f>
        <v>46279</v>
      </c>
      <c r="E554" s="2" t="str">
        <f>IFERROR(__xludf.DUMMYFUNCTION("""COMPUTED_VALUE"""),"VF")</f>
        <v>VF</v>
      </c>
      <c r="F554" s="2">
        <f>IFERROR(__xludf.DUMMYFUNCTION("""COMPUTED_VALUE"""),1.0)</f>
        <v>1</v>
      </c>
      <c r="G554" s="2" t="str">
        <f>IFERROR(__xludf.DUMMYFUNCTION("""COMPUTED_VALUE"""),"PR052")</f>
        <v>PR052</v>
      </c>
      <c r="H554" s="2" t="str">
        <f>IFERROR(__xludf.DUMMYFUNCTION("""COMPUTED_VALUE"""),"VD039")</f>
        <v>VD039</v>
      </c>
      <c r="I554" s="2">
        <f>IFERROR(__xludf.DUMMYFUNCTION("""COMPUTED_VALUE"""),6.0)</f>
        <v>6</v>
      </c>
      <c r="J554" s="2">
        <f>IFERROR(__xludf.DUMMYFUNCTION("""COMPUTED_VALUE"""),311.38)</f>
        <v>311.38</v>
      </c>
      <c r="K554" s="2">
        <f>IFERROR(__xludf.DUMMYFUNCTION("""COMPUTED_VALUE"""),311.38)</f>
        <v>311.38</v>
      </c>
    </row>
    <row r="555">
      <c r="A555" s="2">
        <f>IFERROR(__xludf.DUMMYFUNCTION("""COMPUTED_VALUE"""),1000.0)</f>
        <v>1000</v>
      </c>
      <c r="B555" s="2">
        <f>IFERROR(__xludf.DUMMYFUNCTION("""COMPUTED_VALUE"""),183853.0)</f>
        <v>183853</v>
      </c>
      <c r="C555" s="2">
        <f>IFERROR(__xludf.DUMMYFUNCTION("""COMPUTED_VALUE"""),2026.0)</f>
        <v>2026</v>
      </c>
      <c r="D555" s="2">
        <f>IFERROR(__xludf.DUMMYFUNCTION("""COMPUTED_VALUE"""),46279.0)</f>
        <v>46279</v>
      </c>
      <c r="E555" s="2" t="str">
        <f>IFERROR(__xludf.DUMMYFUNCTION("""COMPUTED_VALUE"""),"VF")</f>
        <v>VF</v>
      </c>
      <c r="F555" s="2">
        <f>IFERROR(__xludf.DUMMYFUNCTION("""COMPUTED_VALUE"""),2.0)</f>
        <v>2</v>
      </c>
      <c r="G555" s="2" t="str">
        <f>IFERROR(__xludf.DUMMYFUNCTION("""COMPUTED_VALUE"""),"PR008")</f>
        <v>PR008</v>
      </c>
      <c r="H555" s="2" t="str">
        <f>IFERROR(__xludf.DUMMYFUNCTION("""COMPUTED_VALUE"""),"VD027")</f>
        <v>VD027</v>
      </c>
      <c r="I555" s="2">
        <f>IFERROR(__xludf.DUMMYFUNCTION("""COMPUTED_VALUE"""),3.0)</f>
        <v>3</v>
      </c>
      <c r="J555" s="2">
        <f>IFERROR(__xludf.DUMMYFUNCTION("""COMPUTED_VALUE"""),277.79)</f>
        <v>277.79</v>
      </c>
      <c r="K555" s="2">
        <f>IFERROR(__xludf.DUMMYFUNCTION("""COMPUTED_VALUE"""),277.79)</f>
        <v>277.79</v>
      </c>
    </row>
    <row r="556">
      <c r="A556" s="2">
        <f>IFERROR(__xludf.DUMMYFUNCTION("""COMPUTED_VALUE"""),2000.0)</f>
        <v>2000</v>
      </c>
      <c r="B556" s="2">
        <f>IFERROR(__xludf.DUMMYFUNCTION("""COMPUTED_VALUE"""),183854.0)</f>
        <v>183854</v>
      </c>
      <c r="C556" s="2">
        <f>IFERROR(__xludf.DUMMYFUNCTION("""COMPUTED_VALUE"""),2026.0)</f>
        <v>2026</v>
      </c>
      <c r="D556" s="2">
        <f>IFERROR(__xludf.DUMMYFUNCTION("""COMPUTED_VALUE"""),46278.0)</f>
        <v>46278</v>
      </c>
      <c r="E556" s="2" t="str">
        <f>IFERROR(__xludf.DUMMYFUNCTION("""COMPUTED_VALUE"""),"VF")</f>
        <v>VF</v>
      </c>
      <c r="F556" s="2">
        <f>IFERROR(__xludf.DUMMYFUNCTION("""COMPUTED_VALUE"""),1.0)</f>
        <v>1</v>
      </c>
      <c r="G556" s="2" t="str">
        <f>IFERROR(__xludf.DUMMYFUNCTION("""COMPUTED_VALUE"""),"PR004")</f>
        <v>PR004</v>
      </c>
      <c r="H556" s="2" t="str">
        <f>IFERROR(__xludf.DUMMYFUNCTION("""COMPUTED_VALUE"""),"VD032")</f>
        <v>VD032</v>
      </c>
      <c r="I556" s="2">
        <f>IFERROR(__xludf.DUMMYFUNCTION("""COMPUTED_VALUE"""),1.0)</f>
        <v>1</v>
      </c>
      <c r="J556" s="2">
        <f>IFERROR(__xludf.DUMMYFUNCTION("""COMPUTED_VALUE"""),147.9)</f>
        <v>147.9</v>
      </c>
      <c r="K556" s="2">
        <f>IFERROR(__xludf.DUMMYFUNCTION("""COMPUTED_VALUE"""),147.9)</f>
        <v>147.9</v>
      </c>
    </row>
    <row r="557">
      <c r="A557" s="2">
        <f>IFERROR(__xludf.DUMMYFUNCTION("""COMPUTED_VALUE"""),1000.0)</f>
        <v>1000</v>
      </c>
      <c r="B557" s="2">
        <f>IFERROR(__xludf.DUMMYFUNCTION("""COMPUTED_VALUE"""),183855.0)</f>
        <v>183855</v>
      </c>
      <c r="C557" s="2">
        <f>IFERROR(__xludf.DUMMYFUNCTION("""COMPUTED_VALUE"""),2026.0)</f>
        <v>2026</v>
      </c>
      <c r="D557" s="2">
        <f>IFERROR(__xludf.DUMMYFUNCTION("""COMPUTED_VALUE"""),46278.0)</f>
        <v>46278</v>
      </c>
      <c r="E557" s="2" t="str">
        <f>IFERROR(__xludf.DUMMYFUNCTION("""COMPUTED_VALUE"""),"VF")</f>
        <v>VF</v>
      </c>
      <c r="F557" s="2">
        <f>IFERROR(__xludf.DUMMYFUNCTION("""COMPUTED_VALUE"""),1.0)</f>
        <v>1</v>
      </c>
      <c r="G557" s="2" t="str">
        <f>IFERROR(__xludf.DUMMYFUNCTION("""COMPUTED_VALUE"""),"PR057")</f>
        <v>PR057</v>
      </c>
      <c r="H557" s="2" t="str">
        <f>IFERROR(__xludf.DUMMYFUNCTION("""COMPUTED_VALUE"""),"VD049")</f>
        <v>VD049</v>
      </c>
      <c r="I557" s="2">
        <f>IFERROR(__xludf.DUMMYFUNCTION("""COMPUTED_VALUE"""),4.0)</f>
        <v>4</v>
      </c>
      <c r="J557" s="2">
        <f>IFERROR(__xludf.DUMMYFUNCTION("""COMPUTED_VALUE"""),370.39)</f>
        <v>370.39</v>
      </c>
      <c r="K557" s="2">
        <f>IFERROR(__xludf.DUMMYFUNCTION("""COMPUTED_VALUE"""),370.39)</f>
        <v>370.39</v>
      </c>
    </row>
    <row r="558">
      <c r="A558" s="2">
        <f>IFERROR(__xludf.DUMMYFUNCTION("""COMPUTED_VALUE"""),1000.0)</f>
        <v>1000</v>
      </c>
      <c r="B558" s="2">
        <f>IFERROR(__xludf.DUMMYFUNCTION("""COMPUTED_VALUE"""),183856.0)</f>
        <v>183856</v>
      </c>
      <c r="C558" s="2">
        <f>IFERROR(__xludf.DUMMYFUNCTION("""COMPUTED_VALUE"""),2026.0)</f>
        <v>2026</v>
      </c>
      <c r="D558" s="2">
        <f>IFERROR(__xludf.DUMMYFUNCTION("""COMPUTED_VALUE"""),46278.0)</f>
        <v>46278</v>
      </c>
      <c r="E558" s="2" t="str">
        <f>IFERROR(__xludf.DUMMYFUNCTION("""COMPUTED_VALUE"""),"VF")</f>
        <v>VF</v>
      </c>
      <c r="F558" s="2">
        <f>IFERROR(__xludf.DUMMYFUNCTION("""COMPUTED_VALUE"""),1.0)</f>
        <v>1</v>
      </c>
      <c r="G558" s="2" t="str">
        <f>IFERROR(__xludf.DUMMYFUNCTION("""COMPUTED_VALUE"""),"PR016")</f>
        <v>PR016</v>
      </c>
      <c r="H558" s="2" t="str">
        <f>IFERROR(__xludf.DUMMYFUNCTION("""COMPUTED_VALUE"""),"VD044")</f>
        <v>VD044</v>
      </c>
      <c r="I558" s="2">
        <f>IFERROR(__xludf.DUMMYFUNCTION("""COMPUTED_VALUE"""),4.0)</f>
        <v>4</v>
      </c>
      <c r="J558" s="2">
        <f>IFERROR(__xludf.DUMMYFUNCTION("""COMPUTED_VALUE"""),112.92)</f>
        <v>112.92</v>
      </c>
      <c r="K558" s="2">
        <f>IFERROR(__xludf.DUMMYFUNCTION("""COMPUTED_VALUE"""),112.92)</f>
        <v>112.92</v>
      </c>
    </row>
    <row r="559">
      <c r="A559" s="2">
        <f>IFERROR(__xludf.DUMMYFUNCTION("""COMPUTED_VALUE"""),1000.0)</f>
        <v>1000</v>
      </c>
      <c r="B559" s="2">
        <f>IFERROR(__xludf.DUMMYFUNCTION("""COMPUTED_VALUE"""),183857.0)</f>
        <v>183857</v>
      </c>
      <c r="C559" s="2">
        <f>IFERROR(__xludf.DUMMYFUNCTION("""COMPUTED_VALUE"""),2026.0)</f>
        <v>2026</v>
      </c>
      <c r="D559" s="2">
        <f>IFERROR(__xludf.DUMMYFUNCTION("""COMPUTED_VALUE"""),46278.0)</f>
        <v>46278</v>
      </c>
      <c r="E559" s="2" t="str">
        <f>IFERROR(__xludf.DUMMYFUNCTION("""COMPUTED_VALUE"""),"VF")</f>
        <v>VF</v>
      </c>
      <c r="F559" s="2">
        <f>IFERROR(__xludf.DUMMYFUNCTION("""COMPUTED_VALUE"""),1.0)</f>
        <v>1</v>
      </c>
      <c r="G559" s="2" t="str">
        <f>IFERROR(__xludf.DUMMYFUNCTION("""COMPUTED_VALUE"""),"PR025")</f>
        <v>PR025</v>
      </c>
      <c r="H559" s="2" t="str">
        <f>IFERROR(__xludf.DUMMYFUNCTION("""COMPUTED_VALUE"""),"VD012")</f>
        <v>VD012</v>
      </c>
      <c r="I559" s="2">
        <f>IFERROR(__xludf.DUMMYFUNCTION("""COMPUTED_VALUE"""),7.0)</f>
        <v>7</v>
      </c>
      <c r="J559" s="2">
        <f>IFERROR(__xludf.DUMMYFUNCTION("""COMPUTED_VALUE"""),2162.28)</f>
        <v>2162.28</v>
      </c>
      <c r="K559" s="2">
        <f>IFERROR(__xludf.DUMMYFUNCTION("""COMPUTED_VALUE"""),2162.28)</f>
        <v>2162.28</v>
      </c>
    </row>
    <row r="560">
      <c r="A560" s="2">
        <f>IFERROR(__xludf.DUMMYFUNCTION("""COMPUTED_VALUE"""),1000.0)</f>
        <v>1000</v>
      </c>
      <c r="B560" s="2">
        <f>IFERROR(__xludf.DUMMYFUNCTION("""COMPUTED_VALUE"""),183858.0)</f>
        <v>183858</v>
      </c>
      <c r="C560" s="2">
        <f>IFERROR(__xludf.DUMMYFUNCTION("""COMPUTED_VALUE"""),2026.0)</f>
        <v>2026</v>
      </c>
      <c r="D560" s="2">
        <f>IFERROR(__xludf.DUMMYFUNCTION("""COMPUTED_VALUE"""),46278.0)</f>
        <v>46278</v>
      </c>
      <c r="E560" s="2" t="str">
        <f>IFERROR(__xludf.DUMMYFUNCTION("""COMPUTED_VALUE"""),"VF")</f>
        <v>VF</v>
      </c>
      <c r="F560" s="2">
        <f>IFERROR(__xludf.DUMMYFUNCTION("""COMPUTED_VALUE"""),1.0)</f>
        <v>1</v>
      </c>
      <c r="G560" s="2" t="str">
        <f>IFERROR(__xludf.DUMMYFUNCTION("""COMPUTED_VALUE"""),"PR028")</f>
        <v>PR028</v>
      </c>
      <c r="H560" s="2" t="str">
        <f>IFERROR(__xludf.DUMMYFUNCTION("""COMPUTED_VALUE"""),"VD032")</f>
        <v>VD032</v>
      </c>
      <c r="I560" s="2">
        <f>IFERROR(__xludf.DUMMYFUNCTION("""COMPUTED_VALUE"""),18.0)</f>
        <v>18</v>
      </c>
      <c r="J560" s="2">
        <f>IFERROR(__xludf.DUMMYFUNCTION("""COMPUTED_VALUE"""),4813.07)</f>
        <v>4813.07</v>
      </c>
      <c r="K560" s="2">
        <f>IFERROR(__xludf.DUMMYFUNCTION("""COMPUTED_VALUE"""),4813.07)</f>
        <v>4813.07</v>
      </c>
    </row>
    <row r="561">
      <c r="A561" s="2">
        <f>IFERROR(__xludf.DUMMYFUNCTION("""COMPUTED_VALUE"""),2000.0)</f>
        <v>2000</v>
      </c>
      <c r="B561" s="2">
        <f>IFERROR(__xludf.DUMMYFUNCTION("""COMPUTED_VALUE"""),183859.0)</f>
        <v>183859</v>
      </c>
      <c r="C561" s="2">
        <f>IFERROR(__xludf.DUMMYFUNCTION("""COMPUTED_VALUE"""),2026.0)</f>
        <v>2026</v>
      </c>
      <c r="D561" s="2">
        <f>IFERROR(__xludf.DUMMYFUNCTION("""COMPUTED_VALUE"""),46278.0)</f>
        <v>46278</v>
      </c>
      <c r="E561" s="2" t="str">
        <f>IFERROR(__xludf.DUMMYFUNCTION("""COMPUTED_VALUE"""),"VF")</f>
        <v>VF</v>
      </c>
      <c r="F561" s="2">
        <f>IFERROR(__xludf.DUMMYFUNCTION("""COMPUTED_VALUE"""),1.0)</f>
        <v>1</v>
      </c>
      <c r="G561" s="2" t="str">
        <f>IFERROR(__xludf.DUMMYFUNCTION("""COMPUTED_VALUE"""),"PR014")</f>
        <v>PR014</v>
      </c>
      <c r="H561" s="2" t="str">
        <f>IFERROR(__xludf.DUMMYFUNCTION("""COMPUTED_VALUE"""),"VD020")</f>
        <v>VD020</v>
      </c>
      <c r="I561" s="2">
        <f>IFERROR(__xludf.DUMMYFUNCTION("""COMPUTED_VALUE"""),4.0)</f>
        <v>4</v>
      </c>
      <c r="J561" s="2">
        <f>IFERROR(__xludf.DUMMYFUNCTION("""COMPUTED_VALUE"""),164.39)</f>
        <v>164.39</v>
      </c>
      <c r="K561" s="2">
        <f>IFERROR(__xludf.DUMMYFUNCTION("""COMPUTED_VALUE"""),164.39)</f>
        <v>164.39</v>
      </c>
    </row>
    <row r="562">
      <c r="A562" s="2">
        <f>IFERROR(__xludf.DUMMYFUNCTION("""COMPUTED_VALUE"""),1000.0)</f>
        <v>1000</v>
      </c>
      <c r="B562" s="2">
        <f>IFERROR(__xludf.DUMMYFUNCTION("""COMPUTED_VALUE"""),183860.0)</f>
        <v>183860</v>
      </c>
      <c r="C562" s="2">
        <f>IFERROR(__xludf.DUMMYFUNCTION("""COMPUTED_VALUE"""),2026.0)</f>
        <v>2026</v>
      </c>
      <c r="D562" s="2">
        <f>IFERROR(__xludf.DUMMYFUNCTION("""COMPUTED_VALUE"""),46278.0)</f>
        <v>46278</v>
      </c>
      <c r="E562" s="2" t="str">
        <f>IFERROR(__xludf.DUMMYFUNCTION("""COMPUTED_VALUE"""),"VF")</f>
        <v>VF</v>
      </c>
      <c r="F562" s="2">
        <f>IFERROR(__xludf.DUMMYFUNCTION("""COMPUTED_VALUE"""),1.0)</f>
        <v>1</v>
      </c>
      <c r="G562" s="2" t="str">
        <f>IFERROR(__xludf.DUMMYFUNCTION("""COMPUTED_VALUE"""),"PR006")</f>
        <v>PR006</v>
      </c>
      <c r="H562" s="2" t="str">
        <f>IFERROR(__xludf.DUMMYFUNCTION("""COMPUTED_VALUE"""),"VD026")</f>
        <v>VD026</v>
      </c>
      <c r="I562" s="2">
        <f>IFERROR(__xludf.DUMMYFUNCTION("""COMPUTED_VALUE"""),5.0)</f>
        <v>5</v>
      </c>
      <c r="J562" s="2">
        <f>IFERROR(__xludf.DUMMYFUNCTION("""COMPUTED_VALUE"""),215.46)</f>
        <v>215.46</v>
      </c>
      <c r="K562" s="2">
        <f>IFERROR(__xludf.DUMMYFUNCTION("""COMPUTED_VALUE"""),215.46)</f>
        <v>215.46</v>
      </c>
    </row>
    <row r="563">
      <c r="A563" s="2">
        <f>IFERROR(__xludf.DUMMYFUNCTION("""COMPUTED_VALUE"""),1000.0)</f>
        <v>1000</v>
      </c>
      <c r="B563" s="2">
        <f>IFERROR(__xludf.DUMMYFUNCTION("""COMPUTED_VALUE"""),183861.0)</f>
        <v>183861</v>
      </c>
      <c r="C563" s="2">
        <f>IFERROR(__xludf.DUMMYFUNCTION("""COMPUTED_VALUE"""),2026.0)</f>
        <v>2026</v>
      </c>
      <c r="D563" s="2">
        <f>IFERROR(__xludf.DUMMYFUNCTION("""COMPUTED_VALUE"""),46277.0)</f>
        <v>46277</v>
      </c>
      <c r="E563" s="2" t="str">
        <f>IFERROR(__xludf.DUMMYFUNCTION("""COMPUTED_VALUE"""),"VF")</f>
        <v>VF</v>
      </c>
      <c r="F563" s="2">
        <f>IFERROR(__xludf.DUMMYFUNCTION("""COMPUTED_VALUE"""),1.0)</f>
        <v>1</v>
      </c>
      <c r="G563" s="2" t="str">
        <f>IFERROR(__xludf.DUMMYFUNCTION("""COMPUTED_VALUE"""),"PR004")</f>
        <v>PR004</v>
      </c>
      <c r="H563" s="2" t="str">
        <f>IFERROR(__xludf.DUMMYFUNCTION("""COMPUTED_VALUE"""),"VD015")</f>
        <v>VD015</v>
      </c>
      <c r="I563" s="2">
        <f>IFERROR(__xludf.DUMMYFUNCTION("""COMPUTED_VALUE"""),16.0)</f>
        <v>16</v>
      </c>
      <c r="J563" s="2">
        <f>IFERROR(__xludf.DUMMYFUNCTION("""COMPUTED_VALUE"""),2320.0)</f>
        <v>2320</v>
      </c>
      <c r="K563" s="2">
        <f>IFERROR(__xludf.DUMMYFUNCTION("""COMPUTED_VALUE"""),2320.0)</f>
        <v>2320</v>
      </c>
    </row>
    <row r="564">
      <c r="A564" s="2">
        <f>IFERROR(__xludf.DUMMYFUNCTION("""COMPUTED_VALUE"""),1000.0)</f>
        <v>1000</v>
      </c>
      <c r="B564" s="2">
        <f>IFERROR(__xludf.DUMMYFUNCTION("""COMPUTED_VALUE"""),183862.0)</f>
        <v>183862</v>
      </c>
      <c r="C564" s="2">
        <f>IFERROR(__xludf.DUMMYFUNCTION("""COMPUTED_VALUE"""),2026.0)</f>
        <v>2026</v>
      </c>
      <c r="D564" s="2">
        <f>IFERROR(__xludf.DUMMYFUNCTION("""COMPUTED_VALUE"""),46277.0)</f>
        <v>46277</v>
      </c>
      <c r="E564" s="2" t="str">
        <f>IFERROR(__xludf.DUMMYFUNCTION("""COMPUTED_VALUE"""),"VF")</f>
        <v>VF</v>
      </c>
      <c r="F564" s="2">
        <f>IFERROR(__xludf.DUMMYFUNCTION("""COMPUTED_VALUE"""),1.0)</f>
        <v>1</v>
      </c>
      <c r="G564" s="2" t="str">
        <f>IFERROR(__xludf.DUMMYFUNCTION("""COMPUTED_VALUE"""),"PR033")</f>
        <v>PR033</v>
      </c>
      <c r="H564" s="2" t="str">
        <f>IFERROR(__xludf.DUMMYFUNCTION("""COMPUTED_VALUE"""),"VD043")</f>
        <v>VD043</v>
      </c>
      <c r="I564" s="2">
        <f>IFERROR(__xludf.DUMMYFUNCTION("""COMPUTED_VALUE"""),5.0)</f>
        <v>5</v>
      </c>
      <c r="J564" s="2">
        <f>IFERROR(__xludf.DUMMYFUNCTION("""COMPUTED_VALUE"""),1338.49)</f>
        <v>1338.49</v>
      </c>
      <c r="K564" s="2">
        <f>IFERROR(__xludf.DUMMYFUNCTION("""COMPUTED_VALUE"""),1338.49)</f>
        <v>1338.49</v>
      </c>
    </row>
    <row r="565">
      <c r="A565" s="2">
        <f>IFERROR(__xludf.DUMMYFUNCTION("""COMPUTED_VALUE"""),1000.0)</f>
        <v>1000</v>
      </c>
      <c r="B565" s="2">
        <f>IFERROR(__xludf.DUMMYFUNCTION("""COMPUTED_VALUE"""),183862.0)</f>
        <v>183862</v>
      </c>
      <c r="C565" s="2">
        <f>IFERROR(__xludf.DUMMYFUNCTION("""COMPUTED_VALUE"""),2026.0)</f>
        <v>2026</v>
      </c>
      <c r="D565" s="2">
        <f>IFERROR(__xludf.DUMMYFUNCTION("""COMPUTED_VALUE"""),46277.0)</f>
        <v>46277</v>
      </c>
      <c r="E565" s="2" t="str">
        <f>IFERROR(__xludf.DUMMYFUNCTION("""COMPUTED_VALUE"""),"VF")</f>
        <v>VF</v>
      </c>
      <c r="F565" s="2">
        <f>IFERROR(__xludf.DUMMYFUNCTION("""COMPUTED_VALUE"""),2.0)</f>
        <v>2</v>
      </c>
      <c r="G565" s="2" t="str">
        <f>IFERROR(__xludf.DUMMYFUNCTION("""COMPUTED_VALUE"""),"PR027")</f>
        <v>PR027</v>
      </c>
      <c r="H565" s="2" t="str">
        <f>IFERROR(__xludf.DUMMYFUNCTION("""COMPUTED_VALUE"""),"VD037")</f>
        <v>VD037</v>
      </c>
      <c r="I565" s="2">
        <f>IFERROR(__xludf.DUMMYFUNCTION("""COMPUTED_VALUE"""),10.0)</f>
        <v>10</v>
      </c>
      <c r="J565" s="2">
        <f>IFERROR(__xludf.DUMMYFUNCTION("""COMPUTED_VALUE"""),1236.0)</f>
        <v>1236</v>
      </c>
      <c r="K565" s="2">
        <f>IFERROR(__xludf.DUMMYFUNCTION("""COMPUTED_VALUE"""),1236.0)</f>
        <v>1236</v>
      </c>
    </row>
    <row r="566">
      <c r="A566" s="2">
        <f>IFERROR(__xludf.DUMMYFUNCTION("""COMPUTED_VALUE"""),1000.0)</f>
        <v>1000</v>
      </c>
      <c r="B566" s="2">
        <f>IFERROR(__xludf.DUMMYFUNCTION("""COMPUTED_VALUE"""),183863.0)</f>
        <v>183863</v>
      </c>
      <c r="C566" s="2">
        <f>IFERROR(__xludf.DUMMYFUNCTION("""COMPUTED_VALUE"""),2026.0)</f>
        <v>2026</v>
      </c>
      <c r="D566" s="2">
        <f>IFERROR(__xludf.DUMMYFUNCTION("""COMPUTED_VALUE"""),46277.0)</f>
        <v>46277</v>
      </c>
      <c r="E566" s="2" t="str">
        <f>IFERROR(__xludf.DUMMYFUNCTION("""COMPUTED_VALUE"""),"VF")</f>
        <v>VF</v>
      </c>
      <c r="F566" s="2">
        <f>IFERROR(__xludf.DUMMYFUNCTION("""COMPUTED_VALUE"""),1.0)</f>
        <v>1</v>
      </c>
      <c r="G566" s="2" t="str">
        <f>IFERROR(__xludf.DUMMYFUNCTION("""COMPUTED_VALUE"""),"PR053")</f>
        <v>PR053</v>
      </c>
      <c r="H566" s="2" t="str">
        <f>IFERROR(__xludf.DUMMYFUNCTION("""COMPUTED_VALUE"""),"VD047")</f>
        <v>VD047</v>
      </c>
      <c r="I566" s="2">
        <f>IFERROR(__xludf.DUMMYFUNCTION("""COMPUTED_VALUE"""),6.0)</f>
        <v>6</v>
      </c>
      <c r="J566" s="2">
        <f>IFERROR(__xludf.DUMMYFUNCTION("""COMPUTED_VALUE"""),314.37)</f>
        <v>314.37</v>
      </c>
      <c r="K566" s="2">
        <f>IFERROR(__xludf.DUMMYFUNCTION("""COMPUTED_VALUE"""),314.37)</f>
        <v>314.37</v>
      </c>
    </row>
    <row r="567">
      <c r="A567" s="2">
        <f>IFERROR(__xludf.DUMMYFUNCTION("""COMPUTED_VALUE"""),2000.0)</f>
        <v>2000</v>
      </c>
      <c r="B567" s="2">
        <f>IFERROR(__xludf.DUMMYFUNCTION("""COMPUTED_VALUE"""),183863.0)</f>
        <v>183863</v>
      </c>
      <c r="C567" s="2">
        <f>IFERROR(__xludf.DUMMYFUNCTION("""COMPUTED_VALUE"""),2026.0)</f>
        <v>2026</v>
      </c>
      <c r="D567" s="2">
        <f>IFERROR(__xludf.DUMMYFUNCTION("""COMPUTED_VALUE"""),46277.0)</f>
        <v>46277</v>
      </c>
      <c r="E567" s="2" t="str">
        <f>IFERROR(__xludf.DUMMYFUNCTION("""COMPUTED_VALUE"""),"VF")</f>
        <v>VF</v>
      </c>
      <c r="F567" s="2">
        <f>IFERROR(__xludf.DUMMYFUNCTION("""COMPUTED_VALUE"""),2.0)</f>
        <v>2</v>
      </c>
      <c r="G567" s="2" t="str">
        <f>IFERROR(__xludf.DUMMYFUNCTION("""COMPUTED_VALUE"""),"PR025")</f>
        <v>PR025</v>
      </c>
      <c r="H567" s="2" t="str">
        <f>IFERROR(__xludf.DUMMYFUNCTION("""COMPUTED_VALUE"""),"VD037")</f>
        <v>VD037</v>
      </c>
      <c r="I567" s="2">
        <f>IFERROR(__xludf.DUMMYFUNCTION("""COMPUTED_VALUE"""),20.0)</f>
        <v>20</v>
      </c>
      <c r="J567" s="2">
        <f>IFERROR(__xludf.DUMMYFUNCTION("""COMPUTED_VALUE"""),6057.98)</f>
        <v>6057.98</v>
      </c>
      <c r="K567" s="2">
        <f>IFERROR(__xludf.DUMMYFUNCTION("""COMPUTED_VALUE"""),6057.98)</f>
        <v>6057.98</v>
      </c>
    </row>
    <row r="568">
      <c r="A568" s="2">
        <f>IFERROR(__xludf.DUMMYFUNCTION("""COMPUTED_VALUE"""),1000.0)</f>
        <v>1000</v>
      </c>
      <c r="B568" s="2">
        <f>IFERROR(__xludf.DUMMYFUNCTION("""COMPUTED_VALUE"""),183864.0)</f>
        <v>183864</v>
      </c>
      <c r="C568" s="2">
        <f>IFERROR(__xludf.DUMMYFUNCTION("""COMPUTED_VALUE"""),2026.0)</f>
        <v>2026</v>
      </c>
      <c r="D568" s="2">
        <f>IFERROR(__xludf.DUMMYFUNCTION("""COMPUTED_VALUE"""),46277.0)</f>
        <v>46277</v>
      </c>
      <c r="E568" s="2" t="str">
        <f>IFERROR(__xludf.DUMMYFUNCTION("""COMPUTED_VALUE"""),"VF")</f>
        <v>VF</v>
      </c>
      <c r="F568" s="2">
        <f>IFERROR(__xludf.DUMMYFUNCTION("""COMPUTED_VALUE"""),1.0)</f>
        <v>1</v>
      </c>
      <c r="G568" s="2" t="str">
        <f>IFERROR(__xludf.DUMMYFUNCTION("""COMPUTED_VALUE"""),"PR036")</f>
        <v>PR036</v>
      </c>
      <c r="H568" s="2" t="str">
        <f>IFERROR(__xludf.DUMMYFUNCTION("""COMPUTED_VALUE"""),"VD019")</f>
        <v>VD019</v>
      </c>
      <c r="I568" s="2">
        <f>IFERROR(__xludf.DUMMYFUNCTION("""COMPUTED_VALUE"""),2.0)</f>
        <v>2</v>
      </c>
      <c r="J568" s="2">
        <f>IFERROR(__xludf.DUMMYFUNCTION("""COMPUTED_VALUE"""),203.83)</f>
        <v>203.83</v>
      </c>
      <c r="K568" s="2">
        <f>IFERROR(__xludf.DUMMYFUNCTION("""COMPUTED_VALUE"""),203.83)</f>
        <v>203.83</v>
      </c>
    </row>
    <row r="569">
      <c r="A569" s="2">
        <f>IFERROR(__xludf.DUMMYFUNCTION("""COMPUTED_VALUE"""),2000.0)</f>
        <v>2000</v>
      </c>
      <c r="B569" s="2">
        <f>IFERROR(__xludf.DUMMYFUNCTION("""COMPUTED_VALUE"""),183865.0)</f>
        <v>183865</v>
      </c>
      <c r="C569" s="2">
        <f>IFERROR(__xludf.DUMMYFUNCTION("""COMPUTED_VALUE"""),2026.0)</f>
        <v>2026</v>
      </c>
      <c r="D569" s="2">
        <f>IFERROR(__xludf.DUMMYFUNCTION("""COMPUTED_VALUE"""),46277.0)</f>
        <v>46277</v>
      </c>
      <c r="E569" s="2" t="str">
        <f>IFERROR(__xludf.DUMMYFUNCTION("""COMPUTED_VALUE"""),"VF")</f>
        <v>VF</v>
      </c>
      <c r="F569" s="2">
        <f>IFERROR(__xludf.DUMMYFUNCTION("""COMPUTED_VALUE"""),1.0)</f>
        <v>1</v>
      </c>
      <c r="G569" s="2" t="str">
        <f>IFERROR(__xludf.DUMMYFUNCTION("""COMPUTED_VALUE"""),"PR054")</f>
        <v>PR054</v>
      </c>
      <c r="H569" s="2" t="str">
        <f>IFERROR(__xludf.DUMMYFUNCTION("""COMPUTED_VALUE"""),"VD049")</f>
        <v>VD049</v>
      </c>
      <c r="I569" s="2">
        <f>IFERROR(__xludf.DUMMYFUNCTION("""COMPUTED_VALUE"""),6.0)</f>
        <v>6</v>
      </c>
      <c r="J569" s="2">
        <f>IFERROR(__xludf.DUMMYFUNCTION("""COMPUTED_VALUE"""),320.36)</f>
        <v>320.36</v>
      </c>
      <c r="K569" s="2">
        <f>IFERROR(__xludf.DUMMYFUNCTION("""COMPUTED_VALUE"""),320.36)</f>
        <v>320.36</v>
      </c>
    </row>
    <row r="570">
      <c r="A570" s="2">
        <f>IFERROR(__xludf.DUMMYFUNCTION("""COMPUTED_VALUE"""),1000.0)</f>
        <v>1000</v>
      </c>
      <c r="B570" s="2">
        <f>IFERROR(__xludf.DUMMYFUNCTION("""COMPUTED_VALUE"""),183866.0)</f>
        <v>183866</v>
      </c>
      <c r="C570" s="2">
        <f>IFERROR(__xludf.DUMMYFUNCTION("""COMPUTED_VALUE"""),2026.0)</f>
        <v>2026</v>
      </c>
      <c r="D570" s="2">
        <f>IFERROR(__xludf.DUMMYFUNCTION("""COMPUTED_VALUE"""),46276.0)</f>
        <v>46276</v>
      </c>
      <c r="E570" s="2" t="str">
        <f>IFERROR(__xludf.DUMMYFUNCTION("""COMPUTED_VALUE"""),"VF")</f>
        <v>VF</v>
      </c>
      <c r="F570" s="2">
        <f>IFERROR(__xludf.DUMMYFUNCTION("""COMPUTED_VALUE"""),1.0)</f>
        <v>1</v>
      </c>
      <c r="G570" s="2" t="str">
        <f>IFERROR(__xludf.DUMMYFUNCTION("""COMPUTED_VALUE"""),"PR057")</f>
        <v>PR057</v>
      </c>
      <c r="H570" s="2" t="str">
        <f>IFERROR(__xludf.DUMMYFUNCTION("""COMPUTED_VALUE"""),"VD043")</f>
        <v>VD043</v>
      </c>
      <c r="I570" s="2">
        <f>IFERROR(__xludf.DUMMYFUNCTION("""COMPUTED_VALUE"""),6.0)</f>
        <v>6</v>
      </c>
      <c r="J570" s="2">
        <f>IFERROR(__xludf.DUMMYFUNCTION("""COMPUTED_VALUE"""),560.98)</f>
        <v>560.98</v>
      </c>
      <c r="K570" s="2">
        <f>IFERROR(__xludf.DUMMYFUNCTION("""COMPUTED_VALUE"""),560.98)</f>
        <v>560.98</v>
      </c>
    </row>
    <row r="571">
      <c r="A571" s="2">
        <f>IFERROR(__xludf.DUMMYFUNCTION("""COMPUTED_VALUE"""),1000.0)</f>
        <v>1000</v>
      </c>
      <c r="B571" s="2">
        <f>IFERROR(__xludf.DUMMYFUNCTION("""COMPUTED_VALUE"""),183867.0)</f>
        <v>183867</v>
      </c>
      <c r="C571" s="2">
        <f>IFERROR(__xludf.DUMMYFUNCTION("""COMPUTED_VALUE"""),2026.0)</f>
        <v>2026</v>
      </c>
      <c r="D571" s="2">
        <f>IFERROR(__xludf.DUMMYFUNCTION("""COMPUTED_VALUE"""),46276.0)</f>
        <v>46276</v>
      </c>
      <c r="E571" s="2" t="str">
        <f>IFERROR(__xludf.DUMMYFUNCTION("""COMPUTED_VALUE"""),"VF")</f>
        <v>VF</v>
      </c>
      <c r="F571" s="2">
        <f>IFERROR(__xludf.DUMMYFUNCTION("""COMPUTED_VALUE"""),1.0)</f>
        <v>1</v>
      </c>
      <c r="G571" s="2" t="str">
        <f>IFERROR(__xludf.DUMMYFUNCTION("""COMPUTED_VALUE"""),"PR026")</f>
        <v>PR026</v>
      </c>
      <c r="H571" s="2" t="str">
        <f>IFERROR(__xludf.DUMMYFUNCTION("""COMPUTED_VALUE"""),"VD046")</f>
        <v>VD046</v>
      </c>
      <c r="I571" s="2">
        <f>IFERROR(__xludf.DUMMYFUNCTION("""COMPUTED_VALUE"""),10.0)</f>
        <v>10</v>
      </c>
      <c r="J571" s="2">
        <f>IFERROR(__xludf.DUMMYFUNCTION("""COMPUTED_VALUE"""),3743.93)</f>
        <v>3743.93</v>
      </c>
      <c r="K571" s="2">
        <f>IFERROR(__xludf.DUMMYFUNCTION("""COMPUTED_VALUE"""),3743.93)</f>
        <v>3743.93</v>
      </c>
    </row>
    <row r="572">
      <c r="A572" s="2">
        <f>IFERROR(__xludf.DUMMYFUNCTION("""COMPUTED_VALUE"""),1000.0)</f>
        <v>1000</v>
      </c>
      <c r="B572" s="2">
        <f>IFERROR(__xludf.DUMMYFUNCTION("""COMPUTED_VALUE"""),183867.0)</f>
        <v>183867</v>
      </c>
      <c r="C572" s="2">
        <f>IFERROR(__xludf.DUMMYFUNCTION("""COMPUTED_VALUE"""),2026.0)</f>
        <v>2026</v>
      </c>
      <c r="D572" s="2">
        <f>IFERROR(__xludf.DUMMYFUNCTION("""COMPUTED_VALUE"""),46276.0)</f>
        <v>46276</v>
      </c>
      <c r="E572" s="2" t="str">
        <f>IFERROR(__xludf.DUMMYFUNCTION("""COMPUTED_VALUE"""),"VF")</f>
        <v>VF</v>
      </c>
      <c r="F572" s="2">
        <f>IFERROR(__xludf.DUMMYFUNCTION("""COMPUTED_VALUE"""),2.0)</f>
        <v>2</v>
      </c>
      <c r="G572" s="2" t="str">
        <f>IFERROR(__xludf.DUMMYFUNCTION("""COMPUTED_VALUE"""),"PR031")</f>
        <v>PR031</v>
      </c>
      <c r="H572" s="2" t="str">
        <f>IFERROR(__xludf.DUMMYFUNCTION("""COMPUTED_VALUE"""),"VD029")</f>
        <v>VD029</v>
      </c>
      <c r="I572" s="2">
        <f>IFERROR(__xludf.DUMMYFUNCTION("""COMPUTED_VALUE"""),6.0)</f>
        <v>6</v>
      </c>
      <c r="J572" s="2">
        <f>IFERROR(__xludf.DUMMYFUNCTION("""COMPUTED_VALUE"""),1587.6)</f>
        <v>1587.6</v>
      </c>
      <c r="K572" s="2">
        <f>IFERROR(__xludf.DUMMYFUNCTION("""COMPUTED_VALUE"""),1587.6)</f>
        <v>1587.6</v>
      </c>
    </row>
    <row r="573">
      <c r="A573" s="2">
        <f>IFERROR(__xludf.DUMMYFUNCTION("""COMPUTED_VALUE"""),2000.0)</f>
        <v>2000</v>
      </c>
      <c r="B573" s="2">
        <f>IFERROR(__xludf.DUMMYFUNCTION("""COMPUTED_VALUE"""),183868.0)</f>
        <v>183868</v>
      </c>
      <c r="C573" s="2">
        <f>IFERROR(__xludf.DUMMYFUNCTION("""COMPUTED_VALUE"""),2026.0)</f>
        <v>2026</v>
      </c>
      <c r="D573" s="2">
        <f>IFERROR(__xludf.DUMMYFUNCTION("""COMPUTED_VALUE"""),46276.0)</f>
        <v>46276</v>
      </c>
      <c r="E573" s="2" t="str">
        <f>IFERROR(__xludf.DUMMYFUNCTION("""COMPUTED_VALUE"""),"VF")</f>
        <v>VF</v>
      </c>
      <c r="F573" s="2">
        <f>IFERROR(__xludf.DUMMYFUNCTION("""COMPUTED_VALUE"""),1.0)</f>
        <v>1</v>
      </c>
      <c r="G573" s="2" t="str">
        <f>IFERROR(__xludf.DUMMYFUNCTION("""COMPUTED_VALUE"""),"PR028")</f>
        <v>PR028</v>
      </c>
      <c r="H573" s="2" t="str">
        <f>IFERROR(__xludf.DUMMYFUNCTION("""COMPUTED_VALUE"""),"VD029")</f>
        <v>VD029</v>
      </c>
      <c r="I573" s="2">
        <f>IFERROR(__xludf.DUMMYFUNCTION("""COMPUTED_VALUE"""),2.0)</f>
        <v>2</v>
      </c>
      <c r="J573" s="2">
        <f>IFERROR(__xludf.DUMMYFUNCTION("""COMPUTED_VALUE"""),539.78)</f>
        <v>539.78</v>
      </c>
      <c r="K573" s="2">
        <f>IFERROR(__xludf.DUMMYFUNCTION("""COMPUTED_VALUE"""),539.78)</f>
        <v>539.78</v>
      </c>
    </row>
    <row r="574">
      <c r="A574" s="2">
        <f>IFERROR(__xludf.DUMMYFUNCTION("""COMPUTED_VALUE"""),2000.0)</f>
        <v>2000</v>
      </c>
      <c r="B574" s="2">
        <f>IFERROR(__xludf.DUMMYFUNCTION("""COMPUTED_VALUE"""),183869.0)</f>
        <v>183869</v>
      </c>
      <c r="C574" s="2">
        <f>IFERROR(__xludf.DUMMYFUNCTION("""COMPUTED_VALUE"""),2026.0)</f>
        <v>2026</v>
      </c>
      <c r="D574" s="2">
        <f>IFERROR(__xludf.DUMMYFUNCTION("""COMPUTED_VALUE"""),46276.0)</f>
        <v>46276</v>
      </c>
      <c r="E574" s="2" t="str">
        <f>IFERROR(__xludf.DUMMYFUNCTION("""COMPUTED_VALUE"""),"VF")</f>
        <v>VF</v>
      </c>
      <c r="F574" s="2">
        <f>IFERROR(__xludf.DUMMYFUNCTION("""COMPUTED_VALUE"""),1.0)</f>
        <v>1</v>
      </c>
      <c r="G574" s="2" t="str">
        <f>IFERROR(__xludf.DUMMYFUNCTION("""COMPUTED_VALUE"""),"PR019")</f>
        <v>PR019</v>
      </c>
      <c r="H574" s="2" t="str">
        <f>IFERROR(__xludf.DUMMYFUNCTION("""COMPUTED_VALUE"""),"VD046")</f>
        <v>VD046</v>
      </c>
      <c r="I574" s="2">
        <f>IFERROR(__xludf.DUMMYFUNCTION("""COMPUTED_VALUE"""),2.0)</f>
        <v>2</v>
      </c>
      <c r="J574" s="2">
        <f>IFERROR(__xludf.DUMMYFUNCTION("""COMPUTED_VALUE"""),109.78)</f>
        <v>109.78</v>
      </c>
      <c r="K574" s="2">
        <f>IFERROR(__xludf.DUMMYFUNCTION("""COMPUTED_VALUE"""),109.78)</f>
        <v>109.78</v>
      </c>
    </row>
    <row r="575">
      <c r="A575" s="2">
        <f>IFERROR(__xludf.DUMMYFUNCTION("""COMPUTED_VALUE"""),1000.0)</f>
        <v>1000</v>
      </c>
      <c r="B575" s="2">
        <f>IFERROR(__xludf.DUMMYFUNCTION("""COMPUTED_VALUE"""),183869.0)</f>
        <v>183869</v>
      </c>
      <c r="C575" s="2">
        <f>IFERROR(__xludf.DUMMYFUNCTION("""COMPUTED_VALUE"""),2026.0)</f>
        <v>2026</v>
      </c>
      <c r="D575" s="2">
        <f>IFERROR(__xludf.DUMMYFUNCTION("""COMPUTED_VALUE"""),46276.0)</f>
        <v>46276</v>
      </c>
      <c r="E575" s="2" t="str">
        <f>IFERROR(__xludf.DUMMYFUNCTION("""COMPUTED_VALUE"""),"VF")</f>
        <v>VF</v>
      </c>
      <c r="F575" s="2">
        <f>IFERROR(__xludf.DUMMYFUNCTION("""COMPUTED_VALUE"""),2.0)</f>
        <v>2</v>
      </c>
      <c r="G575" s="2" t="str">
        <f>IFERROR(__xludf.DUMMYFUNCTION("""COMPUTED_VALUE"""),"PR056")</f>
        <v>PR056</v>
      </c>
      <c r="H575" s="2" t="str">
        <f>IFERROR(__xludf.DUMMYFUNCTION("""COMPUTED_VALUE"""),"VD028")</f>
        <v>VD028</v>
      </c>
      <c r="I575" s="2">
        <f>IFERROR(__xludf.DUMMYFUNCTION("""COMPUTED_VALUE"""),3.0)</f>
        <v>3</v>
      </c>
      <c r="J575" s="2">
        <f>IFERROR(__xludf.DUMMYFUNCTION("""COMPUTED_VALUE"""),275.09)</f>
        <v>275.09</v>
      </c>
      <c r="K575" s="2">
        <f>IFERROR(__xludf.DUMMYFUNCTION("""COMPUTED_VALUE"""),275.09)</f>
        <v>275.09</v>
      </c>
    </row>
    <row r="576">
      <c r="A576" s="2">
        <f>IFERROR(__xludf.DUMMYFUNCTION("""COMPUTED_VALUE"""),1000.0)</f>
        <v>1000</v>
      </c>
      <c r="B576" s="2">
        <f>IFERROR(__xludf.DUMMYFUNCTION("""COMPUTED_VALUE"""),183869.0)</f>
        <v>183869</v>
      </c>
      <c r="C576" s="2">
        <f>IFERROR(__xludf.DUMMYFUNCTION("""COMPUTED_VALUE"""),2026.0)</f>
        <v>2026</v>
      </c>
      <c r="D576" s="2">
        <f>IFERROR(__xludf.DUMMYFUNCTION("""COMPUTED_VALUE"""),46276.0)</f>
        <v>46276</v>
      </c>
      <c r="E576" s="2" t="str">
        <f>IFERROR(__xludf.DUMMYFUNCTION("""COMPUTED_VALUE"""),"VF")</f>
        <v>VF</v>
      </c>
      <c r="F576" s="2">
        <f>IFERROR(__xludf.DUMMYFUNCTION("""COMPUTED_VALUE"""),3.0)</f>
        <v>3</v>
      </c>
      <c r="G576" s="2" t="str">
        <f>IFERROR(__xludf.DUMMYFUNCTION("""COMPUTED_VALUE"""),"PR006")</f>
        <v>PR006</v>
      </c>
      <c r="H576" s="2" t="str">
        <f>IFERROR(__xludf.DUMMYFUNCTION("""COMPUTED_VALUE"""),"VD029")</f>
        <v>VD029</v>
      </c>
      <c r="I576" s="2">
        <f>IFERROR(__xludf.DUMMYFUNCTION("""COMPUTED_VALUE"""),8.0)</f>
        <v>8</v>
      </c>
      <c r="J576" s="2">
        <f>IFERROR(__xludf.DUMMYFUNCTION("""COMPUTED_VALUE"""),335.16)</f>
        <v>335.16</v>
      </c>
      <c r="K576" s="2">
        <f>IFERROR(__xludf.DUMMYFUNCTION("""COMPUTED_VALUE"""),335.16)</f>
        <v>335.16</v>
      </c>
    </row>
    <row r="577">
      <c r="A577" s="2">
        <f>IFERROR(__xludf.DUMMYFUNCTION("""COMPUTED_VALUE"""),1000.0)</f>
        <v>1000</v>
      </c>
      <c r="B577" s="2">
        <f>IFERROR(__xludf.DUMMYFUNCTION("""COMPUTED_VALUE"""),183869.0)</f>
        <v>183869</v>
      </c>
      <c r="C577" s="2">
        <f>IFERROR(__xludf.DUMMYFUNCTION("""COMPUTED_VALUE"""),2026.0)</f>
        <v>2026</v>
      </c>
      <c r="D577" s="2">
        <f>IFERROR(__xludf.DUMMYFUNCTION("""COMPUTED_VALUE"""),46276.0)</f>
        <v>46276</v>
      </c>
      <c r="E577" s="2" t="str">
        <f>IFERROR(__xludf.DUMMYFUNCTION("""COMPUTED_VALUE"""),"VF")</f>
        <v>VF</v>
      </c>
      <c r="F577" s="2">
        <f>IFERROR(__xludf.DUMMYFUNCTION("""COMPUTED_VALUE"""),4.0)</f>
        <v>4</v>
      </c>
      <c r="G577" s="2" t="str">
        <f>IFERROR(__xludf.DUMMYFUNCTION("""COMPUTED_VALUE"""),"PR010")</f>
        <v>PR010</v>
      </c>
      <c r="H577" s="2" t="str">
        <f>IFERROR(__xludf.DUMMYFUNCTION("""COMPUTED_VALUE"""),"VD028")</f>
        <v>VD028</v>
      </c>
      <c r="I577" s="2">
        <f>IFERROR(__xludf.DUMMYFUNCTION("""COMPUTED_VALUE"""),2.0)</f>
        <v>2</v>
      </c>
      <c r="J577" s="2">
        <f>IFERROR(__xludf.DUMMYFUNCTION("""COMPUTED_VALUE"""),96.98)</f>
        <v>96.98</v>
      </c>
      <c r="K577" s="2">
        <f>IFERROR(__xludf.DUMMYFUNCTION("""COMPUTED_VALUE"""),96.98)</f>
        <v>96.98</v>
      </c>
    </row>
    <row r="578">
      <c r="A578" s="2">
        <f>IFERROR(__xludf.DUMMYFUNCTION("""COMPUTED_VALUE"""),1000.0)</f>
        <v>1000</v>
      </c>
      <c r="B578" s="2">
        <f>IFERROR(__xludf.DUMMYFUNCTION("""COMPUTED_VALUE"""),183870.0)</f>
        <v>183870</v>
      </c>
      <c r="C578" s="2">
        <f>IFERROR(__xludf.DUMMYFUNCTION("""COMPUTED_VALUE"""),2026.0)</f>
        <v>2026</v>
      </c>
      <c r="D578" s="2">
        <f>IFERROR(__xludf.DUMMYFUNCTION("""COMPUTED_VALUE"""),46276.0)</f>
        <v>46276</v>
      </c>
      <c r="E578" s="2" t="str">
        <f>IFERROR(__xludf.DUMMYFUNCTION("""COMPUTED_VALUE"""),"VF")</f>
        <v>VF</v>
      </c>
      <c r="F578" s="2">
        <f>IFERROR(__xludf.DUMMYFUNCTION("""COMPUTED_VALUE"""),1.0)</f>
        <v>1</v>
      </c>
      <c r="G578" s="2" t="str">
        <f>IFERROR(__xludf.DUMMYFUNCTION("""COMPUTED_VALUE"""),"PR029")</f>
        <v>PR029</v>
      </c>
      <c r="H578" s="2" t="str">
        <f>IFERROR(__xludf.DUMMYFUNCTION("""COMPUTED_VALUE"""),"VD022")</f>
        <v>VD022</v>
      </c>
      <c r="I578" s="2">
        <f>IFERROR(__xludf.DUMMYFUNCTION("""COMPUTED_VALUE"""),18.0)</f>
        <v>18</v>
      </c>
      <c r="J578" s="2">
        <f>IFERROR(__xludf.DUMMYFUNCTION("""COMPUTED_VALUE"""),4773.6)</f>
        <v>4773.6</v>
      </c>
      <c r="K578" s="2">
        <f>IFERROR(__xludf.DUMMYFUNCTION("""COMPUTED_VALUE"""),4773.6)</f>
        <v>4773.6</v>
      </c>
    </row>
    <row r="579">
      <c r="A579" s="2">
        <f>IFERROR(__xludf.DUMMYFUNCTION("""COMPUTED_VALUE"""),1000.0)</f>
        <v>1000</v>
      </c>
      <c r="B579" s="2">
        <f>IFERROR(__xludf.DUMMYFUNCTION("""COMPUTED_VALUE"""),183871.0)</f>
        <v>183871</v>
      </c>
      <c r="C579" s="2">
        <f>IFERROR(__xludf.DUMMYFUNCTION("""COMPUTED_VALUE"""),2026.0)</f>
        <v>2026</v>
      </c>
      <c r="D579" s="2">
        <f>IFERROR(__xludf.DUMMYFUNCTION("""COMPUTED_VALUE"""),46276.0)</f>
        <v>46276</v>
      </c>
      <c r="E579" s="2" t="str">
        <f>IFERROR(__xludf.DUMMYFUNCTION("""COMPUTED_VALUE"""),"VF")</f>
        <v>VF</v>
      </c>
      <c r="F579" s="2">
        <f>IFERROR(__xludf.DUMMYFUNCTION("""COMPUTED_VALUE"""),1.0)</f>
        <v>1</v>
      </c>
      <c r="G579" s="2" t="str">
        <f>IFERROR(__xludf.DUMMYFUNCTION("""COMPUTED_VALUE"""),"PR026")</f>
        <v>PR026</v>
      </c>
      <c r="H579" s="2" t="str">
        <f>IFERROR(__xludf.DUMMYFUNCTION("""COMPUTED_VALUE"""),"VD014")</f>
        <v>VD014</v>
      </c>
      <c r="I579" s="2">
        <f>IFERROR(__xludf.DUMMYFUNCTION("""COMPUTED_VALUE"""),14.0)</f>
        <v>14</v>
      </c>
      <c r="J579" s="2">
        <f>IFERROR(__xludf.DUMMYFUNCTION("""COMPUTED_VALUE"""),5241.5)</f>
        <v>5241.5</v>
      </c>
      <c r="K579" s="2">
        <f>IFERROR(__xludf.DUMMYFUNCTION("""COMPUTED_VALUE"""),5241.5)</f>
        <v>5241.5</v>
      </c>
    </row>
    <row r="580">
      <c r="A580" s="2">
        <f>IFERROR(__xludf.DUMMYFUNCTION("""COMPUTED_VALUE"""),1000.0)</f>
        <v>1000</v>
      </c>
      <c r="B580" s="2">
        <f>IFERROR(__xludf.DUMMYFUNCTION("""COMPUTED_VALUE"""),183872.0)</f>
        <v>183872</v>
      </c>
      <c r="C580" s="2">
        <f>IFERROR(__xludf.DUMMYFUNCTION("""COMPUTED_VALUE"""),2026.0)</f>
        <v>2026</v>
      </c>
      <c r="D580" s="2">
        <f>IFERROR(__xludf.DUMMYFUNCTION("""COMPUTED_VALUE"""),46275.0)</f>
        <v>46275</v>
      </c>
      <c r="E580" s="2" t="str">
        <f>IFERROR(__xludf.DUMMYFUNCTION("""COMPUTED_VALUE"""),"VF")</f>
        <v>VF</v>
      </c>
      <c r="F580" s="2">
        <f>IFERROR(__xludf.DUMMYFUNCTION("""COMPUTED_VALUE"""),1.0)</f>
        <v>1</v>
      </c>
      <c r="G580" s="2" t="str">
        <f>IFERROR(__xludf.DUMMYFUNCTION("""COMPUTED_VALUE"""),"PR054")</f>
        <v>PR054</v>
      </c>
      <c r="H580" s="2" t="str">
        <f>IFERROR(__xludf.DUMMYFUNCTION("""COMPUTED_VALUE"""),"VD046")</f>
        <v>VD046</v>
      </c>
      <c r="I580" s="2">
        <f>IFERROR(__xludf.DUMMYFUNCTION("""COMPUTED_VALUE"""),10.0)</f>
        <v>10</v>
      </c>
      <c r="J580" s="2">
        <f>IFERROR(__xludf.DUMMYFUNCTION("""COMPUTED_VALUE"""),503.99)</f>
        <v>503.99</v>
      </c>
      <c r="K580" s="2">
        <f>IFERROR(__xludf.DUMMYFUNCTION("""COMPUTED_VALUE"""),503.99)</f>
        <v>503.99</v>
      </c>
    </row>
    <row r="581">
      <c r="A581" s="2">
        <f>IFERROR(__xludf.DUMMYFUNCTION("""COMPUTED_VALUE"""),2000.0)</f>
        <v>2000</v>
      </c>
      <c r="B581" s="2">
        <f>IFERROR(__xludf.DUMMYFUNCTION("""COMPUTED_VALUE"""),183873.0)</f>
        <v>183873</v>
      </c>
      <c r="C581" s="2">
        <f>IFERROR(__xludf.DUMMYFUNCTION("""COMPUTED_VALUE"""),2026.0)</f>
        <v>2026</v>
      </c>
      <c r="D581" s="2">
        <f>IFERROR(__xludf.DUMMYFUNCTION("""COMPUTED_VALUE"""),46275.0)</f>
        <v>46275</v>
      </c>
      <c r="E581" s="2" t="str">
        <f>IFERROR(__xludf.DUMMYFUNCTION("""COMPUTED_VALUE"""),"VF")</f>
        <v>VF</v>
      </c>
      <c r="F581" s="2">
        <f>IFERROR(__xludf.DUMMYFUNCTION("""COMPUTED_VALUE"""),1.0)</f>
        <v>1</v>
      </c>
      <c r="G581" s="2" t="str">
        <f>IFERROR(__xludf.DUMMYFUNCTION("""COMPUTED_VALUE"""),"PR055")</f>
        <v>PR055</v>
      </c>
      <c r="H581" s="2" t="str">
        <f>IFERROR(__xludf.DUMMYFUNCTION("""COMPUTED_VALUE"""),"VD014")</f>
        <v>VD014</v>
      </c>
      <c r="I581" s="2">
        <f>IFERROR(__xludf.DUMMYFUNCTION("""COMPUTED_VALUE"""),8.0)</f>
        <v>8</v>
      </c>
      <c r="J581" s="2">
        <f>IFERROR(__xludf.DUMMYFUNCTION("""COMPUTED_VALUE"""),747.97)</f>
        <v>747.97</v>
      </c>
      <c r="K581" s="2">
        <f>IFERROR(__xludf.DUMMYFUNCTION("""COMPUTED_VALUE"""),747.97)</f>
        <v>747.97</v>
      </c>
    </row>
    <row r="582">
      <c r="A582" s="2">
        <f>IFERROR(__xludf.DUMMYFUNCTION("""COMPUTED_VALUE"""),1000.0)</f>
        <v>1000</v>
      </c>
      <c r="B582" s="2">
        <f>IFERROR(__xludf.DUMMYFUNCTION("""COMPUTED_VALUE"""),183874.0)</f>
        <v>183874</v>
      </c>
      <c r="C582" s="2">
        <f>IFERROR(__xludf.DUMMYFUNCTION("""COMPUTED_VALUE"""),2026.0)</f>
        <v>2026</v>
      </c>
      <c r="D582" s="2">
        <f>IFERROR(__xludf.DUMMYFUNCTION("""COMPUTED_VALUE"""),46275.0)</f>
        <v>46275</v>
      </c>
      <c r="E582" s="2" t="str">
        <f>IFERROR(__xludf.DUMMYFUNCTION("""COMPUTED_VALUE"""),"VF")</f>
        <v>VF</v>
      </c>
      <c r="F582" s="2">
        <f>IFERROR(__xludf.DUMMYFUNCTION("""COMPUTED_VALUE"""),1.0)</f>
        <v>1</v>
      </c>
      <c r="G582" s="2" t="str">
        <f>IFERROR(__xludf.DUMMYFUNCTION("""COMPUTED_VALUE"""),"PR022")</f>
        <v>PR022</v>
      </c>
      <c r="H582" s="2" t="str">
        <f>IFERROR(__xludf.DUMMYFUNCTION("""COMPUTED_VALUE"""),"VD041")</f>
        <v>VD041</v>
      </c>
      <c r="I582" s="2">
        <f>IFERROR(__xludf.DUMMYFUNCTION("""COMPUTED_VALUE"""),2.0)</f>
        <v>2</v>
      </c>
      <c r="J582" s="2">
        <f>IFERROR(__xludf.DUMMYFUNCTION("""COMPUTED_VALUE"""),630.0)</f>
        <v>630</v>
      </c>
      <c r="K582" s="2">
        <f>IFERROR(__xludf.DUMMYFUNCTION("""COMPUTED_VALUE"""),630.0)</f>
        <v>630</v>
      </c>
    </row>
    <row r="583">
      <c r="A583" s="2">
        <f>IFERROR(__xludf.DUMMYFUNCTION("""COMPUTED_VALUE"""),2000.0)</f>
        <v>2000</v>
      </c>
      <c r="B583" s="2">
        <f>IFERROR(__xludf.DUMMYFUNCTION("""COMPUTED_VALUE"""),183874.0)</f>
        <v>183874</v>
      </c>
      <c r="C583" s="2">
        <f>IFERROR(__xludf.DUMMYFUNCTION("""COMPUTED_VALUE"""),2026.0)</f>
        <v>2026</v>
      </c>
      <c r="D583" s="2">
        <f>IFERROR(__xludf.DUMMYFUNCTION("""COMPUTED_VALUE"""),46275.0)</f>
        <v>46275</v>
      </c>
      <c r="E583" s="2" t="str">
        <f>IFERROR(__xludf.DUMMYFUNCTION("""COMPUTED_VALUE"""),"VF")</f>
        <v>VF</v>
      </c>
      <c r="F583" s="2">
        <f>IFERROR(__xludf.DUMMYFUNCTION("""COMPUTED_VALUE"""),2.0)</f>
        <v>2</v>
      </c>
      <c r="G583" s="2" t="str">
        <f>IFERROR(__xludf.DUMMYFUNCTION("""COMPUTED_VALUE"""),"PR038")</f>
        <v>PR038</v>
      </c>
      <c r="H583" s="2" t="str">
        <f>IFERROR(__xludf.DUMMYFUNCTION("""COMPUTED_VALUE"""),"VD038")</f>
        <v>VD038</v>
      </c>
      <c r="I583" s="2">
        <f>IFERROR(__xludf.DUMMYFUNCTION("""COMPUTED_VALUE"""),3.0)</f>
        <v>3</v>
      </c>
      <c r="J583" s="2">
        <f>IFERROR(__xludf.DUMMYFUNCTION("""COMPUTED_VALUE"""),467.28)</f>
        <v>467.28</v>
      </c>
      <c r="K583" s="2">
        <f>IFERROR(__xludf.DUMMYFUNCTION("""COMPUTED_VALUE"""),467.28)</f>
        <v>467.28</v>
      </c>
    </row>
    <row r="584">
      <c r="A584" s="2">
        <f>IFERROR(__xludf.DUMMYFUNCTION("""COMPUTED_VALUE"""),1000.0)</f>
        <v>1000</v>
      </c>
      <c r="B584" s="2">
        <f>IFERROR(__xludf.DUMMYFUNCTION("""COMPUTED_VALUE"""),183875.0)</f>
        <v>183875</v>
      </c>
      <c r="C584" s="2">
        <f>IFERROR(__xludf.DUMMYFUNCTION("""COMPUTED_VALUE"""),2026.0)</f>
        <v>2026</v>
      </c>
      <c r="D584" s="2">
        <f>IFERROR(__xludf.DUMMYFUNCTION("""COMPUTED_VALUE"""),46275.0)</f>
        <v>46275</v>
      </c>
      <c r="E584" s="2" t="str">
        <f>IFERROR(__xludf.DUMMYFUNCTION("""COMPUTED_VALUE"""),"VF")</f>
        <v>VF</v>
      </c>
      <c r="F584" s="2">
        <f>IFERROR(__xludf.DUMMYFUNCTION("""COMPUTED_VALUE"""),1.0)</f>
        <v>1</v>
      </c>
      <c r="G584" s="2" t="str">
        <f>IFERROR(__xludf.DUMMYFUNCTION("""COMPUTED_VALUE"""),"PR049")</f>
        <v>PR049</v>
      </c>
      <c r="H584" s="2" t="str">
        <f>IFERROR(__xludf.DUMMYFUNCTION("""COMPUTED_VALUE"""),"VD038")</f>
        <v>VD038</v>
      </c>
      <c r="I584" s="2">
        <f>IFERROR(__xludf.DUMMYFUNCTION("""COMPUTED_VALUE"""),4.0)</f>
        <v>4</v>
      </c>
      <c r="J584" s="2">
        <f>IFERROR(__xludf.DUMMYFUNCTION("""COMPUTED_VALUE"""),140.81)</f>
        <v>140.81</v>
      </c>
      <c r="K584" s="2">
        <f>IFERROR(__xludf.DUMMYFUNCTION("""COMPUTED_VALUE"""),140.81)</f>
        <v>140.81</v>
      </c>
    </row>
    <row r="585">
      <c r="A585" s="2">
        <f>IFERROR(__xludf.DUMMYFUNCTION("""COMPUTED_VALUE"""),2000.0)</f>
        <v>2000</v>
      </c>
      <c r="B585" s="2">
        <f>IFERROR(__xludf.DUMMYFUNCTION("""COMPUTED_VALUE"""),183876.0)</f>
        <v>183876</v>
      </c>
      <c r="C585" s="2">
        <f>IFERROR(__xludf.DUMMYFUNCTION("""COMPUTED_VALUE"""),2026.0)</f>
        <v>2026</v>
      </c>
      <c r="D585" s="2">
        <f>IFERROR(__xludf.DUMMYFUNCTION("""COMPUTED_VALUE"""),46275.0)</f>
        <v>46275</v>
      </c>
      <c r="E585" s="2" t="str">
        <f>IFERROR(__xludf.DUMMYFUNCTION("""COMPUTED_VALUE"""),"VF")</f>
        <v>VF</v>
      </c>
      <c r="F585" s="2">
        <f>IFERROR(__xludf.DUMMYFUNCTION("""COMPUTED_VALUE"""),1.0)</f>
        <v>1</v>
      </c>
      <c r="G585" s="2" t="str">
        <f>IFERROR(__xludf.DUMMYFUNCTION("""COMPUTED_VALUE"""),"PR033")</f>
        <v>PR033</v>
      </c>
      <c r="H585" s="2" t="str">
        <f>IFERROR(__xludf.DUMMYFUNCTION("""COMPUTED_VALUE"""),"VD048")</f>
        <v>VD048</v>
      </c>
      <c r="I585" s="2">
        <f>IFERROR(__xludf.DUMMYFUNCTION("""COMPUTED_VALUE"""),12.0)</f>
        <v>12</v>
      </c>
      <c r="J585" s="2">
        <f>IFERROR(__xludf.DUMMYFUNCTION("""COMPUTED_VALUE"""),3243.55)</f>
        <v>3243.55</v>
      </c>
      <c r="K585" s="2">
        <f>IFERROR(__xludf.DUMMYFUNCTION("""COMPUTED_VALUE"""),3243.55)</f>
        <v>3243.55</v>
      </c>
    </row>
    <row r="586">
      <c r="A586" s="2">
        <f>IFERROR(__xludf.DUMMYFUNCTION("""COMPUTED_VALUE"""),1000.0)</f>
        <v>1000</v>
      </c>
      <c r="B586" s="2">
        <f>IFERROR(__xludf.DUMMYFUNCTION("""COMPUTED_VALUE"""),183877.0)</f>
        <v>183877</v>
      </c>
      <c r="C586" s="2">
        <f>IFERROR(__xludf.DUMMYFUNCTION("""COMPUTED_VALUE"""),2026.0)</f>
        <v>2026</v>
      </c>
      <c r="D586" s="2">
        <f>IFERROR(__xludf.DUMMYFUNCTION("""COMPUTED_VALUE"""),46275.0)</f>
        <v>46275</v>
      </c>
      <c r="E586" s="2" t="str">
        <f>IFERROR(__xludf.DUMMYFUNCTION("""COMPUTED_VALUE"""),"VF")</f>
        <v>VF</v>
      </c>
      <c r="F586" s="2">
        <f>IFERROR(__xludf.DUMMYFUNCTION("""COMPUTED_VALUE"""),1.0)</f>
        <v>1</v>
      </c>
      <c r="G586" s="2" t="str">
        <f>IFERROR(__xludf.DUMMYFUNCTION("""COMPUTED_VALUE"""),"PR050")</f>
        <v>PR050</v>
      </c>
      <c r="H586" s="2" t="str">
        <f>IFERROR(__xludf.DUMMYFUNCTION("""COMPUTED_VALUE"""),"VD018")</f>
        <v>VD018</v>
      </c>
      <c r="I586" s="2">
        <f>IFERROR(__xludf.DUMMYFUNCTION("""COMPUTED_VALUE"""),2.0)</f>
        <v>2</v>
      </c>
      <c r="J586" s="2">
        <f>IFERROR(__xludf.DUMMYFUNCTION("""COMPUTED_VALUE"""),67.77)</f>
        <v>67.77</v>
      </c>
      <c r="K586" s="2">
        <f>IFERROR(__xludf.DUMMYFUNCTION("""COMPUTED_VALUE"""),67.77)</f>
        <v>67.77</v>
      </c>
    </row>
    <row r="587">
      <c r="A587" s="2">
        <f>IFERROR(__xludf.DUMMYFUNCTION("""COMPUTED_VALUE"""),1000.0)</f>
        <v>1000</v>
      </c>
      <c r="B587" s="2">
        <f>IFERROR(__xludf.DUMMYFUNCTION("""COMPUTED_VALUE"""),183878.0)</f>
        <v>183878</v>
      </c>
      <c r="C587" s="2">
        <f>IFERROR(__xludf.DUMMYFUNCTION("""COMPUTED_VALUE"""),2026.0)</f>
        <v>2026</v>
      </c>
      <c r="D587" s="2">
        <f>IFERROR(__xludf.DUMMYFUNCTION("""COMPUTED_VALUE"""),46275.0)</f>
        <v>46275</v>
      </c>
      <c r="E587" s="2" t="str">
        <f>IFERROR(__xludf.DUMMYFUNCTION("""COMPUTED_VALUE"""),"VF")</f>
        <v>VF</v>
      </c>
      <c r="F587" s="2">
        <f>IFERROR(__xludf.DUMMYFUNCTION("""COMPUTED_VALUE"""),1.0)</f>
        <v>1</v>
      </c>
      <c r="G587" s="2" t="str">
        <f>IFERROR(__xludf.DUMMYFUNCTION("""COMPUTED_VALUE"""),"PR037")</f>
        <v>PR037</v>
      </c>
      <c r="H587" s="2" t="str">
        <f>IFERROR(__xludf.DUMMYFUNCTION("""COMPUTED_VALUE"""),"VD014")</f>
        <v>VD014</v>
      </c>
      <c r="I587" s="2">
        <f>IFERROR(__xludf.DUMMYFUNCTION("""COMPUTED_VALUE"""),8.0)</f>
        <v>8</v>
      </c>
      <c r="J587" s="2">
        <f>IFERROR(__xludf.DUMMYFUNCTION("""COMPUTED_VALUE"""),1209.6)</f>
        <v>1209.6</v>
      </c>
      <c r="K587" s="2">
        <f>IFERROR(__xludf.DUMMYFUNCTION("""COMPUTED_VALUE"""),1209.6)</f>
        <v>1209.6</v>
      </c>
    </row>
    <row r="588">
      <c r="A588" s="2">
        <f>IFERROR(__xludf.DUMMYFUNCTION("""COMPUTED_VALUE"""),1000.0)</f>
        <v>1000</v>
      </c>
      <c r="B588" s="2">
        <f>IFERROR(__xludf.DUMMYFUNCTION("""COMPUTED_VALUE"""),183878.0)</f>
        <v>183878</v>
      </c>
      <c r="C588" s="2">
        <f>IFERROR(__xludf.DUMMYFUNCTION("""COMPUTED_VALUE"""),2026.0)</f>
        <v>2026</v>
      </c>
      <c r="D588" s="2">
        <f>IFERROR(__xludf.DUMMYFUNCTION("""COMPUTED_VALUE"""),46275.0)</f>
        <v>46275</v>
      </c>
      <c r="E588" s="2" t="str">
        <f>IFERROR(__xludf.DUMMYFUNCTION("""COMPUTED_VALUE"""),"VF")</f>
        <v>VF</v>
      </c>
      <c r="F588" s="2">
        <f>IFERROR(__xludf.DUMMYFUNCTION("""COMPUTED_VALUE"""),2.0)</f>
        <v>2</v>
      </c>
      <c r="G588" s="2" t="str">
        <f>IFERROR(__xludf.DUMMYFUNCTION("""COMPUTED_VALUE"""),"PR001")</f>
        <v>PR001</v>
      </c>
      <c r="H588" s="2" t="str">
        <f>IFERROR(__xludf.DUMMYFUNCTION("""COMPUTED_VALUE"""),"VD010")</f>
        <v>VD010</v>
      </c>
      <c r="I588" s="2">
        <f>IFERROR(__xludf.DUMMYFUNCTION("""COMPUTED_VALUE"""),8.0)</f>
        <v>8</v>
      </c>
      <c r="J588" s="2">
        <f>IFERROR(__xludf.DUMMYFUNCTION("""COMPUTED_VALUE"""),537.74)</f>
        <v>537.74</v>
      </c>
      <c r="K588" s="2">
        <f>IFERROR(__xludf.DUMMYFUNCTION("""COMPUTED_VALUE"""),537.74)</f>
        <v>537.74</v>
      </c>
    </row>
    <row r="589">
      <c r="A589" s="2">
        <f>IFERROR(__xludf.DUMMYFUNCTION("""COMPUTED_VALUE"""),1000.0)</f>
        <v>1000</v>
      </c>
      <c r="B589" s="2">
        <f>IFERROR(__xludf.DUMMYFUNCTION("""COMPUTED_VALUE"""),183879.0)</f>
        <v>183879</v>
      </c>
      <c r="C589" s="2">
        <f>IFERROR(__xludf.DUMMYFUNCTION("""COMPUTED_VALUE"""),2026.0)</f>
        <v>2026</v>
      </c>
      <c r="D589" s="2">
        <f>IFERROR(__xludf.DUMMYFUNCTION("""COMPUTED_VALUE"""),46274.0)</f>
        <v>46274</v>
      </c>
      <c r="E589" s="2" t="str">
        <f>IFERROR(__xludf.DUMMYFUNCTION("""COMPUTED_VALUE"""),"VF")</f>
        <v>VF</v>
      </c>
      <c r="F589" s="2">
        <f>IFERROR(__xludf.DUMMYFUNCTION("""COMPUTED_VALUE"""),1.0)</f>
        <v>1</v>
      </c>
      <c r="G589" s="2" t="str">
        <f>IFERROR(__xludf.DUMMYFUNCTION("""COMPUTED_VALUE"""),"PR049")</f>
        <v>PR049</v>
      </c>
      <c r="H589" s="2" t="str">
        <f>IFERROR(__xludf.DUMMYFUNCTION("""COMPUTED_VALUE"""),"VD015")</f>
        <v>VD015</v>
      </c>
      <c r="I589" s="2">
        <f>IFERROR(__xludf.DUMMYFUNCTION("""COMPUTED_VALUE"""),16.0)</f>
        <v>16</v>
      </c>
      <c r="J589" s="2">
        <f>IFERROR(__xludf.DUMMYFUNCTION("""COMPUTED_VALUE"""),573.78)</f>
        <v>573.78</v>
      </c>
      <c r="K589" s="2">
        <f>IFERROR(__xludf.DUMMYFUNCTION("""COMPUTED_VALUE"""),573.78)</f>
        <v>573.78</v>
      </c>
    </row>
    <row r="590">
      <c r="A590" s="2">
        <f>IFERROR(__xludf.DUMMYFUNCTION("""COMPUTED_VALUE"""),1000.0)</f>
        <v>1000</v>
      </c>
      <c r="B590" s="2">
        <f>IFERROR(__xludf.DUMMYFUNCTION("""COMPUTED_VALUE"""),183880.0)</f>
        <v>183880</v>
      </c>
      <c r="C590" s="2">
        <f>IFERROR(__xludf.DUMMYFUNCTION("""COMPUTED_VALUE"""),2026.0)</f>
        <v>2026</v>
      </c>
      <c r="D590" s="2">
        <f>IFERROR(__xludf.DUMMYFUNCTION("""COMPUTED_VALUE"""),46274.0)</f>
        <v>46274</v>
      </c>
      <c r="E590" s="2" t="str">
        <f>IFERROR(__xludf.DUMMYFUNCTION("""COMPUTED_VALUE"""),"VF")</f>
        <v>VF</v>
      </c>
      <c r="F590" s="2">
        <f>IFERROR(__xludf.DUMMYFUNCTION("""COMPUTED_VALUE"""),1.0)</f>
        <v>1</v>
      </c>
      <c r="G590" s="2" t="str">
        <f>IFERROR(__xludf.DUMMYFUNCTION("""COMPUTED_VALUE"""),"PR013")</f>
        <v>PR013</v>
      </c>
      <c r="H590" s="2" t="str">
        <f>IFERROR(__xludf.DUMMYFUNCTION("""COMPUTED_VALUE"""),"VD020")</f>
        <v>VD020</v>
      </c>
      <c r="I590" s="2">
        <f>IFERROR(__xludf.DUMMYFUNCTION("""COMPUTED_VALUE"""),6.0)</f>
        <v>6</v>
      </c>
      <c r="J590" s="2">
        <f>IFERROR(__xludf.DUMMYFUNCTION("""COMPUTED_VALUE"""),248.98)</f>
        <v>248.98</v>
      </c>
      <c r="K590" s="2">
        <f>IFERROR(__xludf.DUMMYFUNCTION("""COMPUTED_VALUE"""),248.98)</f>
        <v>248.98</v>
      </c>
    </row>
    <row r="591">
      <c r="A591" s="2">
        <f>IFERROR(__xludf.DUMMYFUNCTION("""COMPUTED_VALUE"""),1000.0)</f>
        <v>1000</v>
      </c>
      <c r="B591" s="2">
        <f>IFERROR(__xludf.DUMMYFUNCTION("""COMPUTED_VALUE"""),183881.0)</f>
        <v>183881</v>
      </c>
      <c r="C591" s="2">
        <f>IFERROR(__xludf.DUMMYFUNCTION("""COMPUTED_VALUE"""),2026.0)</f>
        <v>2026</v>
      </c>
      <c r="D591" s="2">
        <f>IFERROR(__xludf.DUMMYFUNCTION("""COMPUTED_VALUE"""),46274.0)</f>
        <v>46274</v>
      </c>
      <c r="E591" s="2" t="str">
        <f>IFERROR(__xludf.DUMMYFUNCTION("""COMPUTED_VALUE"""),"VF")</f>
        <v>VF</v>
      </c>
      <c r="F591" s="2">
        <f>IFERROR(__xludf.DUMMYFUNCTION("""COMPUTED_VALUE"""),1.0)</f>
        <v>1</v>
      </c>
      <c r="G591" s="2" t="str">
        <f>IFERROR(__xludf.DUMMYFUNCTION("""COMPUTED_VALUE"""),"PR003")</f>
        <v>PR003</v>
      </c>
      <c r="H591" s="2" t="str">
        <f>IFERROR(__xludf.DUMMYFUNCTION("""COMPUTED_VALUE"""),"VD031")</f>
        <v>VD031</v>
      </c>
      <c r="I591" s="2">
        <f>IFERROR(__xludf.DUMMYFUNCTION("""COMPUTED_VALUE"""),9.0)</f>
        <v>9</v>
      </c>
      <c r="J591" s="2">
        <f>IFERROR(__xludf.DUMMYFUNCTION("""COMPUTED_VALUE"""),657.24)</f>
        <v>657.24</v>
      </c>
      <c r="K591" s="2">
        <f>IFERROR(__xludf.DUMMYFUNCTION("""COMPUTED_VALUE"""),657.24)</f>
        <v>657.24</v>
      </c>
    </row>
    <row r="592">
      <c r="A592" s="2">
        <f>IFERROR(__xludf.DUMMYFUNCTION("""COMPUTED_VALUE"""),1000.0)</f>
        <v>1000</v>
      </c>
      <c r="B592" s="2">
        <f>IFERROR(__xludf.DUMMYFUNCTION("""COMPUTED_VALUE"""),183881.0)</f>
        <v>183881</v>
      </c>
      <c r="C592" s="2">
        <f>IFERROR(__xludf.DUMMYFUNCTION("""COMPUTED_VALUE"""),2026.0)</f>
        <v>2026</v>
      </c>
      <c r="D592" s="2">
        <f>IFERROR(__xludf.DUMMYFUNCTION("""COMPUTED_VALUE"""),46274.0)</f>
        <v>46274</v>
      </c>
      <c r="E592" s="2" t="str">
        <f>IFERROR(__xludf.DUMMYFUNCTION("""COMPUTED_VALUE"""),"VF")</f>
        <v>VF</v>
      </c>
      <c r="F592" s="2">
        <f>IFERROR(__xludf.DUMMYFUNCTION("""COMPUTED_VALUE"""),2.0)</f>
        <v>2</v>
      </c>
      <c r="G592" s="2" t="str">
        <f>IFERROR(__xludf.DUMMYFUNCTION("""COMPUTED_VALUE"""),"PR057")</f>
        <v>PR057</v>
      </c>
      <c r="H592" s="2" t="str">
        <f>IFERROR(__xludf.DUMMYFUNCTION("""COMPUTED_VALUE"""),"VD045")</f>
        <v>VD045</v>
      </c>
      <c r="I592" s="2">
        <f>IFERROR(__xludf.DUMMYFUNCTION("""COMPUTED_VALUE"""),7.0)</f>
        <v>7</v>
      </c>
      <c r="J592" s="2">
        <f>IFERROR(__xludf.DUMMYFUNCTION("""COMPUTED_VALUE"""),679.64)</f>
        <v>679.64</v>
      </c>
      <c r="K592" s="2">
        <f>IFERROR(__xludf.DUMMYFUNCTION("""COMPUTED_VALUE"""),679.64)</f>
        <v>679.64</v>
      </c>
    </row>
    <row r="593">
      <c r="A593" s="2">
        <f>IFERROR(__xludf.DUMMYFUNCTION("""COMPUTED_VALUE"""),1000.0)</f>
        <v>1000</v>
      </c>
      <c r="B593" s="2">
        <f>IFERROR(__xludf.DUMMYFUNCTION("""COMPUTED_VALUE"""),183881.0)</f>
        <v>183881</v>
      </c>
      <c r="C593" s="2">
        <f>IFERROR(__xludf.DUMMYFUNCTION("""COMPUTED_VALUE"""),2026.0)</f>
        <v>2026</v>
      </c>
      <c r="D593" s="2">
        <f>IFERROR(__xludf.DUMMYFUNCTION("""COMPUTED_VALUE"""),46274.0)</f>
        <v>46274</v>
      </c>
      <c r="E593" s="2" t="str">
        <f>IFERROR(__xludf.DUMMYFUNCTION("""COMPUTED_VALUE"""),"VF")</f>
        <v>VF</v>
      </c>
      <c r="F593" s="2">
        <f>IFERROR(__xludf.DUMMYFUNCTION("""COMPUTED_VALUE"""),3.0)</f>
        <v>3</v>
      </c>
      <c r="G593" s="2" t="str">
        <f>IFERROR(__xludf.DUMMYFUNCTION("""COMPUTED_VALUE"""),"PR025")</f>
        <v>PR025</v>
      </c>
      <c r="H593" s="2" t="str">
        <f>IFERROR(__xludf.DUMMYFUNCTION("""COMPUTED_VALUE"""),"VD035")</f>
        <v>VD035</v>
      </c>
      <c r="I593" s="2">
        <f>IFERROR(__xludf.DUMMYFUNCTION("""COMPUTED_VALUE"""),1.0)</f>
        <v>1</v>
      </c>
      <c r="J593" s="2">
        <f>IFERROR(__xludf.DUMMYFUNCTION("""COMPUTED_VALUE"""),305.9)</f>
        <v>305.9</v>
      </c>
      <c r="K593" s="2">
        <f>IFERROR(__xludf.DUMMYFUNCTION("""COMPUTED_VALUE"""),305.9)</f>
        <v>305.9</v>
      </c>
    </row>
    <row r="594">
      <c r="A594" s="2">
        <f>IFERROR(__xludf.DUMMYFUNCTION("""COMPUTED_VALUE"""),1000.0)</f>
        <v>1000</v>
      </c>
      <c r="B594" s="2">
        <f>IFERROR(__xludf.DUMMYFUNCTION("""COMPUTED_VALUE"""),183882.0)</f>
        <v>183882</v>
      </c>
      <c r="C594" s="2">
        <f>IFERROR(__xludf.DUMMYFUNCTION("""COMPUTED_VALUE"""),2026.0)</f>
        <v>2026</v>
      </c>
      <c r="D594" s="2">
        <f>IFERROR(__xludf.DUMMYFUNCTION("""COMPUTED_VALUE"""),46274.0)</f>
        <v>46274</v>
      </c>
      <c r="E594" s="2" t="str">
        <f>IFERROR(__xludf.DUMMYFUNCTION("""COMPUTED_VALUE"""),"VF")</f>
        <v>VF</v>
      </c>
      <c r="F594" s="2">
        <f>IFERROR(__xludf.DUMMYFUNCTION("""COMPUTED_VALUE"""),1.0)</f>
        <v>1</v>
      </c>
      <c r="G594" s="2" t="str">
        <f>IFERROR(__xludf.DUMMYFUNCTION("""COMPUTED_VALUE"""),"PR047")</f>
        <v>PR047</v>
      </c>
      <c r="H594" s="2" t="str">
        <f>IFERROR(__xludf.DUMMYFUNCTION("""COMPUTED_VALUE"""),"VD023")</f>
        <v>VD023</v>
      </c>
      <c r="I594" s="2">
        <f>IFERROR(__xludf.DUMMYFUNCTION("""COMPUTED_VALUE"""),20.0)</f>
        <v>20</v>
      </c>
      <c r="J594" s="2">
        <f>IFERROR(__xludf.DUMMYFUNCTION("""COMPUTED_VALUE"""),6029.92)</f>
        <v>6029.92</v>
      </c>
      <c r="K594" s="2">
        <f>IFERROR(__xludf.DUMMYFUNCTION("""COMPUTED_VALUE"""),6029.92)</f>
        <v>6029.92</v>
      </c>
    </row>
    <row r="595">
      <c r="A595" s="2">
        <f>IFERROR(__xludf.DUMMYFUNCTION("""COMPUTED_VALUE"""),1000.0)</f>
        <v>1000</v>
      </c>
      <c r="B595" s="2">
        <f>IFERROR(__xludf.DUMMYFUNCTION("""COMPUTED_VALUE"""),183883.0)</f>
        <v>183883</v>
      </c>
      <c r="C595" s="2">
        <f>IFERROR(__xludf.DUMMYFUNCTION("""COMPUTED_VALUE"""),2026.0)</f>
        <v>2026</v>
      </c>
      <c r="D595" s="2">
        <f>IFERROR(__xludf.DUMMYFUNCTION("""COMPUTED_VALUE"""),46273.0)</f>
        <v>46273</v>
      </c>
      <c r="E595" s="2" t="str">
        <f>IFERROR(__xludf.DUMMYFUNCTION("""COMPUTED_VALUE"""),"VF")</f>
        <v>VF</v>
      </c>
      <c r="F595" s="2">
        <f>IFERROR(__xludf.DUMMYFUNCTION("""COMPUTED_VALUE"""),1.0)</f>
        <v>1</v>
      </c>
      <c r="G595" s="2" t="str">
        <f>IFERROR(__xludf.DUMMYFUNCTION("""COMPUTED_VALUE"""),"PR060")</f>
        <v>PR060</v>
      </c>
      <c r="H595" s="2" t="str">
        <f>IFERROR(__xludf.DUMMYFUNCTION("""COMPUTED_VALUE"""),"VD030")</f>
        <v>VD030</v>
      </c>
      <c r="I595" s="2">
        <f>IFERROR(__xludf.DUMMYFUNCTION("""COMPUTED_VALUE"""),18.0)</f>
        <v>18</v>
      </c>
      <c r="J595" s="2">
        <f>IFERROR(__xludf.DUMMYFUNCTION("""COMPUTED_VALUE"""),3402.0)</f>
        <v>3402</v>
      </c>
      <c r="K595" s="2">
        <f>IFERROR(__xludf.DUMMYFUNCTION("""COMPUTED_VALUE"""),3402.0)</f>
        <v>3402</v>
      </c>
    </row>
    <row r="596">
      <c r="A596" s="2">
        <f>IFERROR(__xludf.DUMMYFUNCTION("""COMPUTED_VALUE"""),2000.0)</f>
        <v>2000</v>
      </c>
      <c r="B596" s="2">
        <f>IFERROR(__xludf.DUMMYFUNCTION("""COMPUTED_VALUE"""),183884.0)</f>
        <v>183884</v>
      </c>
      <c r="C596" s="2">
        <f>IFERROR(__xludf.DUMMYFUNCTION("""COMPUTED_VALUE"""),2026.0)</f>
        <v>2026</v>
      </c>
      <c r="D596" s="2">
        <f>IFERROR(__xludf.DUMMYFUNCTION("""COMPUTED_VALUE"""),46273.0)</f>
        <v>46273</v>
      </c>
      <c r="E596" s="2" t="str">
        <f>IFERROR(__xludf.DUMMYFUNCTION("""COMPUTED_VALUE"""),"VF")</f>
        <v>VF</v>
      </c>
      <c r="F596" s="2">
        <f>IFERROR(__xludf.DUMMYFUNCTION("""COMPUTED_VALUE"""),1.0)</f>
        <v>1</v>
      </c>
      <c r="G596" s="2" t="str">
        <f>IFERROR(__xludf.DUMMYFUNCTION("""COMPUTED_VALUE"""),"PR017")</f>
        <v>PR017</v>
      </c>
      <c r="H596" s="2" t="str">
        <f>IFERROR(__xludf.DUMMYFUNCTION("""COMPUTED_VALUE"""),"VD049")</f>
        <v>VD049</v>
      </c>
      <c r="I596" s="2">
        <f>IFERROR(__xludf.DUMMYFUNCTION("""COMPUTED_VALUE"""),18.0)</f>
        <v>18</v>
      </c>
      <c r="J596" s="2">
        <f>IFERROR(__xludf.DUMMYFUNCTION("""COMPUTED_VALUE"""),581.26)</f>
        <v>581.26</v>
      </c>
      <c r="K596" s="2">
        <f>IFERROR(__xludf.DUMMYFUNCTION("""COMPUTED_VALUE"""),581.26)</f>
        <v>581.26</v>
      </c>
    </row>
    <row r="597">
      <c r="A597" s="2">
        <f>IFERROR(__xludf.DUMMYFUNCTION("""COMPUTED_VALUE"""),1000.0)</f>
        <v>1000</v>
      </c>
      <c r="B597" s="2">
        <f>IFERROR(__xludf.DUMMYFUNCTION("""COMPUTED_VALUE"""),183885.0)</f>
        <v>183885</v>
      </c>
      <c r="C597" s="2">
        <f>IFERROR(__xludf.DUMMYFUNCTION("""COMPUTED_VALUE"""),2026.0)</f>
        <v>2026</v>
      </c>
      <c r="D597" s="2">
        <f>IFERROR(__xludf.DUMMYFUNCTION("""COMPUTED_VALUE"""),46273.0)</f>
        <v>46273</v>
      </c>
      <c r="E597" s="2" t="str">
        <f>IFERROR(__xludf.DUMMYFUNCTION("""COMPUTED_VALUE"""),"VF")</f>
        <v>VF</v>
      </c>
      <c r="F597" s="2">
        <f>IFERROR(__xludf.DUMMYFUNCTION("""COMPUTED_VALUE"""),1.0)</f>
        <v>1</v>
      </c>
      <c r="G597" s="2" t="str">
        <f>IFERROR(__xludf.DUMMYFUNCTION("""COMPUTED_VALUE"""),"PR024")</f>
        <v>PR024</v>
      </c>
      <c r="H597" s="2" t="str">
        <f>IFERROR(__xludf.DUMMYFUNCTION("""COMPUTED_VALUE"""),"VD026")</f>
        <v>VD026</v>
      </c>
      <c r="I597" s="2">
        <f>IFERROR(__xludf.DUMMYFUNCTION("""COMPUTED_VALUE"""),10.0)</f>
        <v>10</v>
      </c>
      <c r="J597" s="2">
        <f>IFERROR(__xludf.DUMMYFUNCTION("""COMPUTED_VALUE"""),2806.92)</f>
        <v>2806.92</v>
      </c>
      <c r="K597" s="2">
        <f>IFERROR(__xludf.DUMMYFUNCTION("""COMPUTED_VALUE"""),2806.92)</f>
        <v>2806.92</v>
      </c>
    </row>
    <row r="598">
      <c r="A598" s="2">
        <f>IFERROR(__xludf.DUMMYFUNCTION("""COMPUTED_VALUE"""),1000.0)</f>
        <v>1000</v>
      </c>
      <c r="B598" s="2">
        <f>IFERROR(__xludf.DUMMYFUNCTION("""COMPUTED_VALUE"""),183885.0)</f>
        <v>183885</v>
      </c>
      <c r="C598" s="2">
        <f>IFERROR(__xludf.DUMMYFUNCTION("""COMPUTED_VALUE"""),2026.0)</f>
        <v>2026</v>
      </c>
      <c r="D598" s="2">
        <f>IFERROR(__xludf.DUMMYFUNCTION("""COMPUTED_VALUE"""),46273.0)</f>
        <v>46273</v>
      </c>
      <c r="E598" s="2" t="str">
        <f>IFERROR(__xludf.DUMMYFUNCTION("""COMPUTED_VALUE"""),"VF")</f>
        <v>VF</v>
      </c>
      <c r="F598" s="2">
        <f>IFERROR(__xludf.DUMMYFUNCTION("""COMPUTED_VALUE"""),2.0)</f>
        <v>2</v>
      </c>
      <c r="G598" s="2" t="str">
        <f>IFERROR(__xludf.DUMMYFUNCTION("""COMPUTED_VALUE"""),"PR013")</f>
        <v>PR013</v>
      </c>
      <c r="H598" s="2" t="str">
        <f>IFERROR(__xludf.DUMMYFUNCTION("""COMPUTED_VALUE"""),"VD013")</f>
        <v>VD013</v>
      </c>
      <c r="I598" s="2">
        <f>IFERROR(__xludf.DUMMYFUNCTION("""COMPUTED_VALUE"""),16.0)</f>
        <v>16</v>
      </c>
      <c r="J598" s="2">
        <f>IFERROR(__xludf.DUMMYFUNCTION("""COMPUTED_VALUE"""),702.24)</f>
        <v>702.24</v>
      </c>
      <c r="K598" s="2">
        <f>IFERROR(__xludf.DUMMYFUNCTION("""COMPUTED_VALUE"""),702.24)</f>
        <v>702.24</v>
      </c>
    </row>
    <row r="599">
      <c r="A599" s="2">
        <f>IFERROR(__xludf.DUMMYFUNCTION("""COMPUTED_VALUE"""),1000.0)</f>
        <v>1000</v>
      </c>
      <c r="B599" s="2">
        <f>IFERROR(__xludf.DUMMYFUNCTION("""COMPUTED_VALUE"""),183885.0)</f>
        <v>183885</v>
      </c>
      <c r="C599" s="2">
        <f>IFERROR(__xludf.DUMMYFUNCTION("""COMPUTED_VALUE"""),2026.0)</f>
        <v>2026</v>
      </c>
      <c r="D599" s="2">
        <f>IFERROR(__xludf.DUMMYFUNCTION("""COMPUTED_VALUE"""),46273.0)</f>
        <v>46273</v>
      </c>
      <c r="E599" s="2" t="str">
        <f>IFERROR(__xludf.DUMMYFUNCTION("""COMPUTED_VALUE"""),"VF")</f>
        <v>VF</v>
      </c>
      <c r="F599" s="2">
        <f>IFERROR(__xludf.DUMMYFUNCTION("""COMPUTED_VALUE"""),3.0)</f>
        <v>3</v>
      </c>
      <c r="G599" s="2" t="str">
        <f>IFERROR(__xludf.DUMMYFUNCTION("""COMPUTED_VALUE"""),"PR057")</f>
        <v>PR057</v>
      </c>
      <c r="H599" s="2" t="str">
        <f>IFERROR(__xludf.DUMMYFUNCTION("""COMPUTED_VALUE"""),"VD027")</f>
        <v>VD027</v>
      </c>
      <c r="I599" s="2">
        <f>IFERROR(__xludf.DUMMYFUNCTION("""COMPUTED_VALUE"""),18.0)</f>
        <v>18</v>
      </c>
      <c r="J599" s="2">
        <f>IFERROR(__xludf.DUMMYFUNCTION("""COMPUTED_VALUE"""),1666.75)</f>
        <v>1666.75</v>
      </c>
      <c r="K599" s="2">
        <f>IFERROR(__xludf.DUMMYFUNCTION("""COMPUTED_VALUE"""),1666.75)</f>
        <v>1666.75</v>
      </c>
    </row>
    <row r="600">
      <c r="A600" s="2">
        <f>IFERROR(__xludf.DUMMYFUNCTION("""COMPUTED_VALUE"""),1000.0)</f>
        <v>1000</v>
      </c>
      <c r="B600" s="2">
        <f>IFERROR(__xludf.DUMMYFUNCTION("""COMPUTED_VALUE"""),183886.0)</f>
        <v>183886</v>
      </c>
      <c r="C600" s="2">
        <f>IFERROR(__xludf.DUMMYFUNCTION("""COMPUTED_VALUE"""),2026.0)</f>
        <v>2026</v>
      </c>
      <c r="D600" s="2">
        <f>IFERROR(__xludf.DUMMYFUNCTION("""COMPUTED_VALUE"""),46273.0)</f>
        <v>46273</v>
      </c>
      <c r="E600" s="2" t="str">
        <f>IFERROR(__xludf.DUMMYFUNCTION("""COMPUTED_VALUE"""),"VF")</f>
        <v>VF</v>
      </c>
      <c r="F600" s="2">
        <f>IFERROR(__xludf.DUMMYFUNCTION("""COMPUTED_VALUE"""),1.0)</f>
        <v>1</v>
      </c>
      <c r="G600" s="2" t="str">
        <f>IFERROR(__xludf.DUMMYFUNCTION("""COMPUTED_VALUE"""),"PR057")</f>
        <v>PR057</v>
      </c>
      <c r="H600" s="2" t="str">
        <f>IFERROR(__xludf.DUMMYFUNCTION("""COMPUTED_VALUE"""),"VD038")</f>
        <v>VD038</v>
      </c>
      <c r="I600" s="2">
        <f>IFERROR(__xludf.DUMMYFUNCTION("""COMPUTED_VALUE"""),8.0)</f>
        <v>8</v>
      </c>
      <c r="J600" s="2">
        <f>IFERROR(__xludf.DUMMYFUNCTION("""COMPUTED_VALUE"""),733.58)</f>
        <v>733.58</v>
      </c>
      <c r="K600" s="2">
        <f>IFERROR(__xludf.DUMMYFUNCTION("""COMPUTED_VALUE"""),733.58)</f>
        <v>733.58</v>
      </c>
    </row>
    <row r="601">
      <c r="A601" s="2">
        <f>IFERROR(__xludf.DUMMYFUNCTION("""COMPUTED_VALUE"""),2000.0)</f>
        <v>2000</v>
      </c>
      <c r="B601" s="2">
        <f>IFERROR(__xludf.DUMMYFUNCTION("""COMPUTED_VALUE"""),183886.0)</f>
        <v>183886</v>
      </c>
      <c r="C601" s="2">
        <f>IFERROR(__xludf.DUMMYFUNCTION("""COMPUTED_VALUE"""),2026.0)</f>
        <v>2026</v>
      </c>
      <c r="D601" s="2">
        <f>IFERROR(__xludf.DUMMYFUNCTION("""COMPUTED_VALUE"""),46273.0)</f>
        <v>46273</v>
      </c>
      <c r="E601" s="2" t="str">
        <f>IFERROR(__xludf.DUMMYFUNCTION("""COMPUTED_VALUE"""),"VF")</f>
        <v>VF</v>
      </c>
      <c r="F601" s="2">
        <f>IFERROR(__xludf.DUMMYFUNCTION("""COMPUTED_VALUE"""),2.0)</f>
        <v>2</v>
      </c>
      <c r="G601" s="2" t="str">
        <f>IFERROR(__xludf.DUMMYFUNCTION("""COMPUTED_VALUE"""),"PR020")</f>
        <v>PR020</v>
      </c>
      <c r="H601" s="2" t="str">
        <f>IFERROR(__xludf.DUMMYFUNCTION("""COMPUTED_VALUE"""),"VD021")</f>
        <v>VD021</v>
      </c>
      <c r="I601" s="2">
        <f>IFERROR(__xludf.DUMMYFUNCTION("""COMPUTED_VALUE"""),2.0)</f>
        <v>2</v>
      </c>
      <c r="J601" s="2">
        <f>IFERROR(__xludf.DUMMYFUNCTION("""COMPUTED_VALUE"""),617.79)</f>
        <v>617.79</v>
      </c>
      <c r="K601" s="2">
        <f>IFERROR(__xludf.DUMMYFUNCTION("""COMPUTED_VALUE"""),617.79)</f>
        <v>617.79</v>
      </c>
    </row>
    <row r="602">
      <c r="A602" s="2">
        <f>IFERROR(__xludf.DUMMYFUNCTION("""COMPUTED_VALUE"""),1000.0)</f>
        <v>1000</v>
      </c>
      <c r="B602" s="2">
        <f>IFERROR(__xludf.DUMMYFUNCTION("""COMPUTED_VALUE"""),183887.0)</f>
        <v>183887</v>
      </c>
      <c r="C602" s="2">
        <f>IFERROR(__xludf.DUMMYFUNCTION("""COMPUTED_VALUE"""),2026.0)</f>
        <v>2026</v>
      </c>
      <c r="D602" s="2">
        <f>IFERROR(__xludf.DUMMYFUNCTION("""COMPUTED_VALUE"""),46273.0)</f>
        <v>46273</v>
      </c>
      <c r="E602" s="2" t="str">
        <f>IFERROR(__xludf.DUMMYFUNCTION("""COMPUTED_VALUE"""),"VF")</f>
        <v>VF</v>
      </c>
      <c r="F602" s="2">
        <f>IFERROR(__xludf.DUMMYFUNCTION("""COMPUTED_VALUE"""),1.0)</f>
        <v>1</v>
      </c>
      <c r="G602" s="2" t="str">
        <f>IFERROR(__xludf.DUMMYFUNCTION("""COMPUTED_VALUE"""),"PR007")</f>
        <v>PR007</v>
      </c>
      <c r="H602" s="2" t="str">
        <f>IFERROR(__xludf.DUMMYFUNCTION("""COMPUTED_VALUE"""),"VD033")</f>
        <v>VD033</v>
      </c>
      <c r="I602" s="2">
        <f>IFERROR(__xludf.DUMMYFUNCTION("""COMPUTED_VALUE"""),8.0)</f>
        <v>8</v>
      </c>
      <c r="J602" s="2">
        <f>IFERROR(__xludf.DUMMYFUNCTION("""COMPUTED_VALUE"""),749.05)</f>
        <v>749.05</v>
      </c>
      <c r="K602" s="2">
        <f>IFERROR(__xludf.DUMMYFUNCTION("""COMPUTED_VALUE"""),749.05)</f>
        <v>749.05</v>
      </c>
    </row>
    <row r="603">
      <c r="A603" s="2">
        <f>IFERROR(__xludf.DUMMYFUNCTION("""COMPUTED_VALUE"""),2000.0)</f>
        <v>2000</v>
      </c>
      <c r="B603" s="2">
        <f>IFERROR(__xludf.DUMMYFUNCTION("""COMPUTED_VALUE"""),183888.0)</f>
        <v>183888</v>
      </c>
      <c r="C603" s="2">
        <f>IFERROR(__xludf.DUMMYFUNCTION("""COMPUTED_VALUE"""),2026.0)</f>
        <v>2026</v>
      </c>
      <c r="D603" s="2">
        <f>IFERROR(__xludf.DUMMYFUNCTION("""COMPUTED_VALUE"""),46273.0)</f>
        <v>46273</v>
      </c>
      <c r="E603" s="2" t="str">
        <f>IFERROR(__xludf.DUMMYFUNCTION("""COMPUTED_VALUE"""),"VF")</f>
        <v>VF</v>
      </c>
      <c r="F603" s="2">
        <f>IFERROR(__xludf.DUMMYFUNCTION("""COMPUTED_VALUE"""),1.0)</f>
        <v>1</v>
      </c>
      <c r="G603" s="2" t="str">
        <f>IFERROR(__xludf.DUMMYFUNCTION("""COMPUTED_VALUE"""),"PR040")</f>
        <v>PR040</v>
      </c>
      <c r="H603" s="2" t="str">
        <f>IFERROR(__xludf.DUMMYFUNCTION("""COMPUTED_VALUE"""),"VD023")</f>
        <v>VD023</v>
      </c>
      <c r="I603" s="2">
        <f>IFERROR(__xludf.DUMMYFUNCTION("""COMPUTED_VALUE"""),4.0)</f>
        <v>4</v>
      </c>
      <c r="J603" s="2">
        <f>IFERROR(__xludf.DUMMYFUNCTION("""COMPUTED_VALUE"""),308.0)</f>
        <v>308</v>
      </c>
      <c r="K603" s="2">
        <f>IFERROR(__xludf.DUMMYFUNCTION("""COMPUTED_VALUE"""),308.0)</f>
        <v>308</v>
      </c>
    </row>
    <row r="604">
      <c r="A604" s="2">
        <f>IFERROR(__xludf.DUMMYFUNCTION("""COMPUTED_VALUE"""),1000.0)</f>
        <v>1000</v>
      </c>
      <c r="B604" s="2">
        <f>IFERROR(__xludf.DUMMYFUNCTION("""COMPUTED_VALUE"""),183888.0)</f>
        <v>183888</v>
      </c>
      <c r="C604" s="2">
        <f>IFERROR(__xludf.DUMMYFUNCTION("""COMPUTED_VALUE"""),2026.0)</f>
        <v>2026</v>
      </c>
      <c r="D604" s="2">
        <f>IFERROR(__xludf.DUMMYFUNCTION("""COMPUTED_VALUE"""),46273.0)</f>
        <v>46273</v>
      </c>
      <c r="E604" s="2" t="str">
        <f>IFERROR(__xludf.DUMMYFUNCTION("""COMPUTED_VALUE"""),"VF")</f>
        <v>VF</v>
      </c>
      <c r="F604" s="2">
        <f>IFERROR(__xludf.DUMMYFUNCTION("""COMPUTED_VALUE"""),2.0)</f>
        <v>2</v>
      </c>
      <c r="G604" s="2" t="str">
        <f>IFERROR(__xludf.DUMMYFUNCTION("""COMPUTED_VALUE"""),"PR024")</f>
        <v>PR024</v>
      </c>
      <c r="H604" s="2" t="str">
        <f>IFERROR(__xludf.DUMMYFUNCTION("""COMPUTED_VALUE"""),"VD018")</f>
        <v>VD018</v>
      </c>
      <c r="I604" s="2">
        <f>IFERROR(__xludf.DUMMYFUNCTION("""COMPUTED_VALUE"""),2.0)</f>
        <v>2</v>
      </c>
      <c r="J604" s="2">
        <f>IFERROR(__xludf.DUMMYFUNCTION("""COMPUTED_VALUE"""),535.39)</f>
        <v>535.39</v>
      </c>
      <c r="K604" s="2">
        <f>IFERROR(__xludf.DUMMYFUNCTION("""COMPUTED_VALUE"""),535.39)</f>
        <v>535.39</v>
      </c>
    </row>
    <row r="605">
      <c r="A605" s="2">
        <f>IFERROR(__xludf.DUMMYFUNCTION("""COMPUTED_VALUE"""),1000.0)</f>
        <v>1000</v>
      </c>
      <c r="B605" s="2">
        <f>IFERROR(__xludf.DUMMYFUNCTION("""COMPUTED_VALUE"""),183888.0)</f>
        <v>183888</v>
      </c>
      <c r="C605" s="2">
        <f>IFERROR(__xludf.DUMMYFUNCTION("""COMPUTED_VALUE"""),2026.0)</f>
        <v>2026</v>
      </c>
      <c r="D605" s="2">
        <f>IFERROR(__xludf.DUMMYFUNCTION("""COMPUTED_VALUE"""),46273.0)</f>
        <v>46273</v>
      </c>
      <c r="E605" s="2" t="str">
        <f>IFERROR(__xludf.DUMMYFUNCTION("""COMPUTED_VALUE"""),"VF")</f>
        <v>VF</v>
      </c>
      <c r="F605" s="2">
        <f>IFERROR(__xludf.DUMMYFUNCTION("""COMPUTED_VALUE"""),3.0)</f>
        <v>3</v>
      </c>
      <c r="G605" s="2" t="str">
        <f>IFERROR(__xludf.DUMMYFUNCTION("""COMPUTED_VALUE"""),"PR004")</f>
        <v>PR004</v>
      </c>
      <c r="H605" s="2" t="str">
        <f>IFERROR(__xludf.DUMMYFUNCTION("""COMPUTED_VALUE"""),"VD031")</f>
        <v>VD031</v>
      </c>
      <c r="I605" s="2">
        <f>IFERROR(__xludf.DUMMYFUNCTION("""COMPUTED_VALUE"""),4.0)</f>
        <v>4</v>
      </c>
      <c r="J605" s="2">
        <f>IFERROR(__xludf.DUMMYFUNCTION("""COMPUTED_VALUE"""),603.2)</f>
        <v>603.2</v>
      </c>
      <c r="K605" s="2">
        <f>IFERROR(__xludf.DUMMYFUNCTION("""COMPUTED_VALUE"""),603.2)</f>
        <v>603.2</v>
      </c>
    </row>
    <row r="606">
      <c r="A606" s="2">
        <f>IFERROR(__xludf.DUMMYFUNCTION("""COMPUTED_VALUE"""),1000.0)</f>
        <v>1000</v>
      </c>
      <c r="B606" s="2">
        <f>IFERROR(__xludf.DUMMYFUNCTION("""COMPUTED_VALUE"""),183889.0)</f>
        <v>183889</v>
      </c>
      <c r="C606" s="2">
        <f>IFERROR(__xludf.DUMMYFUNCTION("""COMPUTED_VALUE"""),2026.0)</f>
        <v>2026</v>
      </c>
      <c r="D606" s="2">
        <f>IFERROR(__xludf.DUMMYFUNCTION("""COMPUTED_VALUE"""),46273.0)</f>
        <v>46273</v>
      </c>
      <c r="E606" s="2" t="str">
        <f>IFERROR(__xludf.DUMMYFUNCTION("""COMPUTED_VALUE"""),"VF")</f>
        <v>VF</v>
      </c>
      <c r="F606" s="2">
        <f>IFERROR(__xludf.DUMMYFUNCTION("""COMPUTED_VALUE"""),1.0)</f>
        <v>1</v>
      </c>
      <c r="G606" s="2" t="str">
        <f>IFERROR(__xludf.DUMMYFUNCTION("""COMPUTED_VALUE"""),"PR016")</f>
        <v>PR016</v>
      </c>
      <c r="H606" s="2" t="str">
        <f>IFERROR(__xludf.DUMMYFUNCTION("""COMPUTED_VALUE"""),"VD010")</f>
        <v>VD010</v>
      </c>
      <c r="I606" s="2">
        <f>IFERROR(__xludf.DUMMYFUNCTION("""COMPUTED_VALUE"""),8.0)</f>
        <v>8</v>
      </c>
      <c r="J606" s="2">
        <f>IFERROR(__xludf.DUMMYFUNCTION("""COMPUTED_VALUE"""),221.7)</f>
        <v>221.7</v>
      </c>
      <c r="K606" s="2">
        <f>IFERROR(__xludf.DUMMYFUNCTION("""COMPUTED_VALUE"""),221.7)</f>
        <v>221.7</v>
      </c>
    </row>
    <row r="607">
      <c r="A607" s="2">
        <f>IFERROR(__xludf.DUMMYFUNCTION("""COMPUTED_VALUE"""),1000.0)</f>
        <v>1000</v>
      </c>
      <c r="B607" s="2">
        <f>IFERROR(__xludf.DUMMYFUNCTION("""COMPUTED_VALUE"""),183890.0)</f>
        <v>183890</v>
      </c>
      <c r="C607" s="2">
        <f>IFERROR(__xludf.DUMMYFUNCTION("""COMPUTED_VALUE"""),2026.0)</f>
        <v>2026</v>
      </c>
      <c r="D607" s="2">
        <f>IFERROR(__xludf.DUMMYFUNCTION("""COMPUTED_VALUE"""),46272.0)</f>
        <v>46272</v>
      </c>
      <c r="E607" s="2" t="str">
        <f>IFERROR(__xludf.DUMMYFUNCTION("""COMPUTED_VALUE"""),"VF")</f>
        <v>VF</v>
      </c>
      <c r="F607" s="2">
        <f>IFERROR(__xludf.DUMMYFUNCTION("""COMPUTED_VALUE"""),1.0)</f>
        <v>1</v>
      </c>
      <c r="G607" s="2" t="str">
        <f>IFERROR(__xludf.DUMMYFUNCTION("""COMPUTED_VALUE"""),"PR029")</f>
        <v>PR029</v>
      </c>
      <c r="H607" s="2" t="str">
        <f>IFERROR(__xludf.DUMMYFUNCTION("""COMPUTED_VALUE"""),"VD030")</f>
        <v>VD030</v>
      </c>
      <c r="I607" s="2">
        <f>IFERROR(__xludf.DUMMYFUNCTION("""COMPUTED_VALUE"""),5.0)</f>
        <v>5</v>
      </c>
      <c r="J607" s="2">
        <f>IFERROR(__xludf.DUMMYFUNCTION("""COMPUTED_VALUE"""),1287.75)</f>
        <v>1287.75</v>
      </c>
      <c r="K607" s="2">
        <f>IFERROR(__xludf.DUMMYFUNCTION("""COMPUTED_VALUE"""),1287.75)</f>
        <v>1287.75</v>
      </c>
    </row>
    <row r="608">
      <c r="A608" s="2">
        <f>IFERROR(__xludf.DUMMYFUNCTION("""COMPUTED_VALUE"""),1000.0)</f>
        <v>1000</v>
      </c>
      <c r="B608" s="2">
        <f>IFERROR(__xludf.DUMMYFUNCTION("""COMPUTED_VALUE"""),183891.0)</f>
        <v>183891</v>
      </c>
      <c r="C608" s="2">
        <f>IFERROR(__xludf.DUMMYFUNCTION("""COMPUTED_VALUE"""),2026.0)</f>
        <v>2026</v>
      </c>
      <c r="D608" s="2">
        <f>IFERROR(__xludf.DUMMYFUNCTION("""COMPUTED_VALUE"""),46272.0)</f>
        <v>46272</v>
      </c>
      <c r="E608" s="2" t="str">
        <f>IFERROR(__xludf.DUMMYFUNCTION("""COMPUTED_VALUE"""),"VF")</f>
        <v>VF</v>
      </c>
      <c r="F608" s="2">
        <f>IFERROR(__xludf.DUMMYFUNCTION("""COMPUTED_VALUE"""),1.0)</f>
        <v>1</v>
      </c>
      <c r="G608" s="2" t="str">
        <f>IFERROR(__xludf.DUMMYFUNCTION("""COMPUTED_VALUE"""),"PR007")</f>
        <v>PR007</v>
      </c>
      <c r="H608" s="2" t="str">
        <f>IFERROR(__xludf.DUMMYFUNCTION("""COMPUTED_VALUE"""),"VD046")</f>
        <v>VD046</v>
      </c>
      <c r="I608" s="2">
        <f>IFERROR(__xludf.DUMMYFUNCTION("""COMPUTED_VALUE"""),9.0)</f>
        <v>9</v>
      </c>
      <c r="J608" s="2">
        <f>IFERROR(__xludf.DUMMYFUNCTION("""COMPUTED_VALUE"""),804.02)</f>
        <v>804.02</v>
      </c>
      <c r="K608" s="2">
        <f>IFERROR(__xludf.DUMMYFUNCTION("""COMPUTED_VALUE"""),804.02)</f>
        <v>804.02</v>
      </c>
    </row>
    <row r="609">
      <c r="A609" s="2">
        <f>IFERROR(__xludf.DUMMYFUNCTION("""COMPUTED_VALUE"""),1000.0)</f>
        <v>1000</v>
      </c>
      <c r="B609" s="2">
        <f>IFERROR(__xludf.DUMMYFUNCTION("""COMPUTED_VALUE"""),183892.0)</f>
        <v>183892</v>
      </c>
      <c r="C609" s="2">
        <f>IFERROR(__xludf.DUMMYFUNCTION("""COMPUTED_VALUE"""),2026.0)</f>
        <v>2026</v>
      </c>
      <c r="D609" s="2">
        <f>IFERROR(__xludf.DUMMYFUNCTION("""COMPUTED_VALUE"""),46271.0)</f>
        <v>46271</v>
      </c>
      <c r="E609" s="2" t="str">
        <f>IFERROR(__xludf.DUMMYFUNCTION("""COMPUTED_VALUE"""),"VF")</f>
        <v>VF</v>
      </c>
      <c r="F609" s="2">
        <f>IFERROR(__xludf.DUMMYFUNCTION("""COMPUTED_VALUE"""),1.0)</f>
        <v>1</v>
      </c>
      <c r="G609" s="2" t="str">
        <f>IFERROR(__xludf.DUMMYFUNCTION("""COMPUTED_VALUE"""),"PR049")</f>
        <v>PR049</v>
      </c>
      <c r="H609" s="2" t="str">
        <f>IFERROR(__xludf.DUMMYFUNCTION("""COMPUTED_VALUE"""),"VD032")</f>
        <v>VD032</v>
      </c>
      <c r="I609" s="2">
        <f>IFERROR(__xludf.DUMMYFUNCTION("""COMPUTED_VALUE"""),14.0)</f>
        <v>14</v>
      </c>
      <c r="J609" s="2">
        <f>IFERROR(__xludf.DUMMYFUNCTION("""COMPUTED_VALUE"""),492.84)</f>
        <v>492.84</v>
      </c>
      <c r="K609" s="2">
        <f>IFERROR(__xludf.DUMMYFUNCTION("""COMPUTED_VALUE"""),492.84)</f>
        <v>492.84</v>
      </c>
    </row>
    <row r="610">
      <c r="A610" s="2">
        <f>IFERROR(__xludf.DUMMYFUNCTION("""COMPUTED_VALUE"""),1000.0)</f>
        <v>1000</v>
      </c>
      <c r="B610" s="2">
        <f>IFERROR(__xludf.DUMMYFUNCTION("""COMPUTED_VALUE"""),183893.0)</f>
        <v>183893</v>
      </c>
      <c r="C610" s="2">
        <f>IFERROR(__xludf.DUMMYFUNCTION("""COMPUTED_VALUE"""),2026.0)</f>
        <v>2026</v>
      </c>
      <c r="D610" s="2">
        <f>IFERROR(__xludf.DUMMYFUNCTION("""COMPUTED_VALUE"""),46271.0)</f>
        <v>46271</v>
      </c>
      <c r="E610" s="2" t="str">
        <f>IFERROR(__xludf.DUMMYFUNCTION("""COMPUTED_VALUE"""),"VF")</f>
        <v>VF</v>
      </c>
      <c r="F610" s="2">
        <f>IFERROR(__xludf.DUMMYFUNCTION("""COMPUTED_VALUE"""),1.0)</f>
        <v>1</v>
      </c>
      <c r="G610" s="2" t="str">
        <f>IFERROR(__xludf.DUMMYFUNCTION("""COMPUTED_VALUE"""),"PR039")</f>
        <v>PR039</v>
      </c>
      <c r="H610" s="2" t="str">
        <f>IFERROR(__xludf.DUMMYFUNCTION("""COMPUTED_VALUE"""),"VD035")</f>
        <v>VD035</v>
      </c>
      <c r="I610" s="2">
        <f>IFERROR(__xludf.DUMMYFUNCTION("""COMPUTED_VALUE"""),16.0)</f>
        <v>16</v>
      </c>
      <c r="J610" s="2">
        <f>IFERROR(__xludf.DUMMYFUNCTION("""COMPUTED_VALUE"""),2452.8)</f>
        <v>2452.8</v>
      </c>
      <c r="K610" s="2">
        <f>IFERROR(__xludf.DUMMYFUNCTION("""COMPUTED_VALUE"""),2452.8)</f>
        <v>2452.8</v>
      </c>
    </row>
    <row r="611">
      <c r="A611" s="2">
        <f>IFERROR(__xludf.DUMMYFUNCTION("""COMPUTED_VALUE"""),1000.0)</f>
        <v>1000</v>
      </c>
      <c r="B611" s="2">
        <f>IFERROR(__xludf.DUMMYFUNCTION("""COMPUTED_VALUE"""),183893.0)</f>
        <v>183893</v>
      </c>
      <c r="C611" s="2">
        <f>IFERROR(__xludf.DUMMYFUNCTION("""COMPUTED_VALUE"""),2026.0)</f>
        <v>2026</v>
      </c>
      <c r="D611" s="2">
        <f>IFERROR(__xludf.DUMMYFUNCTION("""COMPUTED_VALUE"""),46271.0)</f>
        <v>46271</v>
      </c>
      <c r="E611" s="2" t="str">
        <f>IFERROR(__xludf.DUMMYFUNCTION("""COMPUTED_VALUE"""),"VF")</f>
        <v>VF</v>
      </c>
      <c r="F611" s="2">
        <f>IFERROR(__xludf.DUMMYFUNCTION("""COMPUTED_VALUE"""),2.0)</f>
        <v>2</v>
      </c>
      <c r="G611" s="2" t="str">
        <f>IFERROR(__xludf.DUMMYFUNCTION("""COMPUTED_VALUE"""),"PR022")</f>
        <v>PR022</v>
      </c>
      <c r="H611" s="2" t="str">
        <f>IFERROR(__xludf.DUMMYFUNCTION("""COMPUTED_VALUE"""),"VD022")</f>
        <v>VD022</v>
      </c>
      <c r="I611" s="2">
        <f>IFERROR(__xludf.DUMMYFUNCTION("""COMPUTED_VALUE"""),2.0)</f>
        <v>2</v>
      </c>
      <c r="J611" s="2">
        <f>IFERROR(__xludf.DUMMYFUNCTION("""COMPUTED_VALUE"""),606.0)</f>
        <v>606</v>
      </c>
      <c r="K611" s="2">
        <f>IFERROR(__xludf.DUMMYFUNCTION("""COMPUTED_VALUE"""),606.0)</f>
        <v>606</v>
      </c>
    </row>
    <row r="612">
      <c r="A612" s="2">
        <f>IFERROR(__xludf.DUMMYFUNCTION("""COMPUTED_VALUE"""),1000.0)</f>
        <v>1000</v>
      </c>
      <c r="B612" s="2">
        <f>IFERROR(__xludf.DUMMYFUNCTION("""COMPUTED_VALUE"""),183893.0)</f>
        <v>183893</v>
      </c>
      <c r="C612" s="2">
        <f>IFERROR(__xludf.DUMMYFUNCTION("""COMPUTED_VALUE"""),2026.0)</f>
        <v>2026</v>
      </c>
      <c r="D612" s="2">
        <f>IFERROR(__xludf.DUMMYFUNCTION("""COMPUTED_VALUE"""),46271.0)</f>
        <v>46271</v>
      </c>
      <c r="E612" s="2" t="str">
        <f>IFERROR(__xludf.DUMMYFUNCTION("""COMPUTED_VALUE"""),"VF")</f>
        <v>VF</v>
      </c>
      <c r="F612" s="2">
        <f>IFERROR(__xludf.DUMMYFUNCTION("""COMPUTED_VALUE"""),3.0)</f>
        <v>3</v>
      </c>
      <c r="G612" s="2" t="str">
        <f>IFERROR(__xludf.DUMMYFUNCTION("""COMPUTED_VALUE"""),"PR004")</f>
        <v>PR004</v>
      </c>
      <c r="H612" s="2" t="str">
        <f>IFERROR(__xludf.DUMMYFUNCTION("""COMPUTED_VALUE"""),"VD023")</f>
        <v>VD023</v>
      </c>
      <c r="I612" s="2">
        <f>IFERROR(__xludf.DUMMYFUNCTION("""COMPUTED_VALUE"""),2.0)</f>
        <v>2</v>
      </c>
      <c r="J612" s="2">
        <f>IFERROR(__xludf.DUMMYFUNCTION("""COMPUTED_VALUE"""),319.0)</f>
        <v>319</v>
      </c>
      <c r="K612" s="2">
        <f>IFERROR(__xludf.DUMMYFUNCTION("""COMPUTED_VALUE"""),319.0)</f>
        <v>319</v>
      </c>
    </row>
    <row r="613">
      <c r="A613" s="2">
        <f>IFERROR(__xludf.DUMMYFUNCTION("""COMPUTED_VALUE"""),2000.0)</f>
        <v>2000</v>
      </c>
      <c r="B613" s="2">
        <f>IFERROR(__xludf.DUMMYFUNCTION("""COMPUTED_VALUE"""),183894.0)</f>
        <v>183894</v>
      </c>
      <c r="C613" s="2">
        <f>IFERROR(__xludf.DUMMYFUNCTION("""COMPUTED_VALUE"""),2026.0)</f>
        <v>2026</v>
      </c>
      <c r="D613" s="2">
        <f>IFERROR(__xludf.DUMMYFUNCTION("""COMPUTED_VALUE"""),46271.0)</f>
        <v>46271</v>
      </c>
      <c r="E613" s="2" t="str">
        <f>IFERROR(__xludf.DUMMYFUNCTION("""COMPUTED_VALUE"""),"VF")</f>
        <v>VF</v>
      </c>
      <c r="F613" s="2">
        <f>IFERROR(__xludf.DUMMYFUNCTION("""COMPUTED_VALUE"""),1.0)</f>
        <v>1</v>
      </c>
      <c r="G613" s="2" t="str">
        <f>IFERROR(__xludf.DUMMYFUNCTION("""COMPUTED_VALUE"""),"PR011")</f>
        <v>PR011</v>
      </c>
      <c r="H613" s="2" t="str">
        <f>IFERROR(__xludf.DUMMYFUNCTION("""COMPUTED_VALUE"""),"VD049")</f>
        <v>VD049</v>
      </c>
      <c r="I613" s="2">
        <f>IFERROR(__xludf.DUMMYFUNCTION("""COMPUTED_VALUE"""),9.0)</f>
        <v>9</v>
      </c>
      <c r="J613" s="2">
        <f>IFERROR(__xludf.DUMMYFUNCTION("""COMPUTED_VALUE"""),460.09)</f>
        <v>460.09</v>
      </c>
      <c r="K613" s="2">
        <f>IFERROR(__xludf.DUMMYFUNCTION("""COMPUTED_VALUE"""),460.09)</f>
        <v>460.09</v>
      </c>
    </row>
    <row r="614">
      <c r="A614" s="2">
        <f>IFERROR(__xludf.DUMMYFUNCTION("""COMPUTED_VALUE"""),1000.0)</f>
        <v>1000</v>
      </c>
      <c r="B614" s="2">
        <f>IFERROR(__xludf.DUMMYFUNCTION("""COMPUTED_VALUE"""),183895.0)</f>
        <v>183895</v>
      </c>
      <c r="C614" s="2">
        <f>IFERROR(__xludf.DUMMYFUNCTION("""COMPUTED_VALUE"""),2026.0)</f>
        <v>2026</v>
      </c>
      <c r="D614" s="2">
        <f>IFERROR(__xludf.DUMMYFUNCTION("""COMPUTED_VALUE"""),46271.0)</f>
        <v>46271</v>
      </c>
      <c r="E614" s="2" t="str">
        <f>IFERROR(__xludf.DUMMYFUNCTION("""COMPUTED_VALUE"""),"VF")</f>
        <v>VF</v>
      </c>
      <c r="F614" s="2">
        <f>IFERROR(__xludf.DUMMYFUNCTION("""COMPUTED_VALUE"""),1.0)</f>
        <v>1</v>
      </c>
      <c r="G614" s="2" t="str">
        <f>IFERROR(__xludf.DUMMYFUNCTION("""COMPUTED_VALUE"""),"PR052")</f>
        <v>PR052</v>
      </c>
      <c r="H614" s="2" t="str">
        <f>IFERROR(__xludf.DUMMYFUNCTION("""COMPUTED_VALUE"""),"VD044")</f>
        <v>VD044</v>
      </c>
      <c r="I614" s="2">
        <f>IFERROR(__xludf.DUMMYFUNCTION("""COMPUTED_VALUE"""),20.0)</f>
        <v>20</v>
      </c>
      <c r="J614" s="2">
        <f>IFERROR(__xludf.DUMMYFUNCTION("""COMPUTED_VALUE"""),1077.84)</f>
        <v>1077.84</v>
      </c>
      <c r="K614" s="2">
        <f>IFERROR(__xludf.DUMMYFUNCTION("""COMPUTED_VALUE"""),1077.84)</f>
        <v>1077.84</v>
      </c>
    </row>
    <row r="615">
      <c r="A615" s="2">
        <f>IFERROR(__xludf.DUMMYFUNCTION("""COMPUTED_VALUE"""),1000.0)</f>
        <v>1000</v>
      </c>
      <c r="B615" s="2">
        <f>IFERROR(__xludf.DUMMYFUNCTION("""COMPUTED_VALUE"""),183896.0)</f>
        <v>183896</v>
      </c>
      <c r="C615" s="2">
        <f>IFERROR(__xludf.DUMMYFUNCTION("""COMPUTED_VALUE"""),2026.0)</f>
        <v>2026</v>
      </c>
      <c r="D615" s="2">
        <f>IFERROR(__xludf.DUMMYFUNCTION("""COMPUTED_VALUE"""),46270.0)</f>
        <v>46270</v>
      </c>
      <c r="E615" s="2" t="str">
        <f>IFERROR(__xludf.DUMMYFUNCTION("""COMPUTED_VALUE"""),"VF")</f>
        <v>VF</v>
      </c>
      <c r="F615" s="2">
        <f>IFERROR(__xludf.DUMMYFUNCTION("""COMPUTED_VALUE"""),1.0)</f>
        <v>1</v>
      </c>
      <c r="G615" s="2" t="str">
        <f>IFERROR(__xludf.DUMMYFUNCTION("""COMPUTED_VALUE"""),"PR001")</f>
        <v>PR001</v>
      </c>
      <c r="H615" s="2" t="str">
        <f>IFERROR(__xludf.DUMMYFUNCTION("""COMPUTED_VALUE"""),"VD039")</f>
        <v>VD039</v>
      </c>
      <c r="I615" s="2">
        <f>IFERROR(__xludf.DUMMYFUNCTION("""COMPUTED_VALUE"""),5.0)</f>
        <v>5</v>
      </c>
      <c r="J615" s="2">
        <f>IFERROR(__xludf.DUMMYFUNCTION("""COMPUTED_VALUE"""),345.98)</f>
        <v>345.98</v>
      </c>
      <c r="K615" s="2">
        <f>IFERROR(__xludf.DUMMYFUNCTION("""COMPUTED_VALUE"""),345.98)</f>
        <v>345.98</v>
      </c>
    </row>
    <row r="616">
      <c r="A616" s="2">
        <f>IFERROR(__xludf.DUMMYFUNCTION("""COMPUTED_VALUE"""),1000.0)</f>
        <v>1000</v>
      </c>
      <c r="B616" s="2">
        <f>IFERROR(__xludf.DUMMYFUNCTION("""COMPUTED_VALUE"""),183897.0)</f>
        <v>183897</v>
      </c>
      <c r="C616" s="2">
        <f>IFERROR(__xludf.DUMMYFUNCTION("""COMPUTED_VALUE"""),2026.0)</f>
        <v>2026</v>
      </c>
      <c r="D616" s="2">
        <f>IFERROR(__xludf.DUMMYFUNCTION("""COMPUTED_VALUE"""),46270.0)</f>
        <v>46270</v>
      </c>
      <c r="E616" s="2" t="str">
        <f>IFERROR(__xludf.DUMMYFUNCTION("""COMPUTED_VALUE"""),"VF")</f>
        <v>VF</v>
      </c>
      <c r="F616" s="2">
        <f>IFERROR(__xludf.DUMMYFUNCTION("""COMPUTED_VALUE"""),1.0)</f>
        <v>1</v>
      </c>
      <c r="G616" s="2" t="str">
        <f>IFERROR(__xludf.DUMMYFUNCTION("""COMPUTED_VALUE"""),"PR051")</f>
        <v>PR051</v>
      </c>
      <c r="H616" s="2" t="str">
        <f>IFERROR(__xludf.DUMMYFUNCTION("""COMPUTED_VALUE"""),"VD031")</f>
        <v>VD031</v>
      </c>
      <c r="I616" s="2">
        <f>IFERROR(__xludf.DUMMYFUNCTION("""COMPUTED_VALUE"""),5.0)</f>
        <v>5</v>
      </c>
      <c r="J616" s="2">
        <f>IFERROR(__xludf.DUMMYFUNCTION("""COMPUTED_VALUE"""),164.5)</f>
        <v>164.5</v>
      </c>
      <c r="K616" s="2">
        <f>IFERROR(__xludf.DUMMYFUNCTION("""COMPUTED_VALUE"""),164.5)</f>
        <v>164.5</v>
      </c>
    </row>
    <row r="617">
      <c r="A617" s="2">
        <f>IFERROR(__xludf.DUMMYFUNCTION("""COMPUTED_VALUE"""),1000.0)</f>
        <v>1000</v>
      </c>
      <c r="B617" s="2">
        <f>IFERROR(__xludf.DUMMYFUNCTION("""COMPUTED_VALUE"""),183897.0)</f>
        <v>183897</v>
      </c>
      <c r="C617" s="2">
        <f>IFERROR(__xludf.DUMMYFUNCTION("""COMPUTED_VALUE"""),2026.0)</f>
        <v>2026</v>
      </c>
      <c r="D617" s="2">
        <f>IFERROR(__xludf.DUMMYFUNCTION("""COMPUTED_VALUE"""),46270.0)</f>
        <v>46270</v>
      </c>
      <c r="E617" s="2" t="str">
        <f>IFERROR(__xludf.DUMMYFUNCTION("""COMPUTED_VALUE"""),"VF")</f>
        <v>VF</v>
      </c>
      <c r="F617" s="2">
        <f>IFERROR(__xludf.DUMMYFUNCTION("""COMPUTED_VALUE"""),2.0)</f>
        <v>2</v>
      </c>
      <c r="G617" s="2" t="str">
        <f>IFERROR(__xludf.DUMMYFUNCTION("""COMPUTED_VALUE"""),"PR007")</f>
        <v>PR007</v>
      </c>
      <c r="H617" s="2" t="str">
        <f>IFERROR(__xludf.DUMMYFUNCTION("""COMPUTED_VALUE"""),"VD023")</f>
        <v>VD023</v>
      </c>
      <c r="I617" s="2">
        <f>IFERROR(__xludf.DUMMYFUNCTION("""COMPUTED_VALUE"""),4.0)</f>
        <v>4</v>
      </c>
      <c r="J617" s="2">
        <f>IFERROR(__xludf.DUMMYFUNCTION("""COMPUTED_VALUE"""),367.65)</f>
        <v>367.65</v>
      </c>
      <c r="K617" s="2">
        <f>IFERROR(__xludf.DUMMYFUNCTION("""COMPUTED_VALUE"""),367.65)</f>
        <v>367.65</v>
      </c>
    </row>
    <row r="618">
      <c r="A618" s="2">
        <f>IFERROR(__xludf.DUMMYFUNCTION("""COMPUTED_VALUE"""),1000.0)</f>
        <v>1000</v>
      </c>
      <c r="B618" s="2">
        <f>IFERROR(__xludf.DUMMYFUNCTION("""COMPUTED_VALUE"""),183898.0)</f>
        <v>183898</v>
      </c>
      <c r="C618" s="2">
        <f>IFERROR(__xludf.DUMMYFUNCTION("""COMPUTED_VALUE"""),2026.0)</f>
        <v>2026</v>
      </c>
      <c r="D618" s="2">
        <f>IFERROR(__xludf.DUMMYFUNCTION("""COMPUTED_VALUE"""),46270.0)</f>
        <v>46270</v>
      </c>
      <c r="E618" s="2" t="str">
        <f>IFERROR(__xludf.DUMMYFUNCTION("""COMPUTED_VALUE"""),"VF")</f>
        <v>VF</v>
      </c>
      <c r="F618" s="2">
        <f>IFERROR(__xludf.DUMMYFUNCTION("""COMPUTED_VALUE"""),1.0)</f>
        <v>1</v>
      </c>
      <c r="G618" s="2" t="str">
        <f>IFERROR(__xludf.DUMMYFUNCTION("""COMPUTED_VALUE"""),"PR039")</f>
        <v>PR039</v>
      </c>
      <c r="H618" s="2" t="str">
        <f>IFERROR(__xludf.DUMMYFUNCTION("""COMPUTED_VALUE"""),"VD019")</f>
        <v>VD019</v>
      </c>
      <c r="I618" s="2">
        <f>IFERROR(__xludf.DUMMYFUNCTION("""COMPUTED_VALUE"""),3.0)</f>
        <v>3</v>
      </c>
      <c r="J618" s="2">
        <f>IFERROR(__xludf.DUMMYFUNCTION("""COMPUTED_VALUE"""),459.9)</f>
        <v>459.9</v>
      </c>
      <c r="K618" s="2">
        <f>IFERROR(__xludf.DUMMYFUNCTION("""COMPUTED_VALUE"""),459.9)</f>
        <v>459.9</v>
      </c>
    </row>
    <row r="619">
      <c r="A619" s="2">
        <f>IFERROR(__xludf.DUMMYFUNCTION("""COMPUTED_VALUE"""),1000.0)</f>
        <v>1000</v>
      </c>
      <c r="B619" s="2">
        <f>IFERROR(__xludf.DUMMYFUNCTION("""COMPUTED_VALUE"""),183898.0)</f>
        <v>183898</v>
      </c>
      <c r="C619" s="2">
        <f>IFERROR(__xludf.DUMMYFUNCTION("""COMPUTED_VALUE"""),2026.0)</f>
        <v>2026</v>
      </c>
      <c r="D619" s="2">
        <f>IFERROR(__xludf.DUMMYFUNCTION("""COMPUTED_VALUE"""),46270.0)</f>
        <v>46270</v>
      </c>
      <c r="E619" s="2" t="str">
        <f>IFERROR(__xludf.DUMMYFUNCTION("""COMPUTED_VALUE"""),"VF")</f>
        <v>VF</v>
      </c>
      <c r="F619" s="2">
        <f>IFERROR(__xludf.DUMMYFUNCTION("""COMPUTED_VALUE"""),2.0)</f>
        <v>2</v>
      </c>
      <c r="G619" s="2" t="str">
        <f>IFERROR(__xludf.DUMMYFUNCTION("""COMPUTED_VALUE"""),"PR033")</f>
        <v>PR033</v>
      </c>
      <c r="H619" s="2" t="str">
        <f>IFERROR(__xludf.DUMMYFUNCTION("""COMPUTED_VALUE"""),"VD041")</f>
        <v>VD041</v>
      </c>
      <c r="I619" s="2">
        <f>IFERROR(__xludf.DUMMYFUNCTION("""COMPUTED_VALUE"""),5.0)</f>
        <v>5</v>
      </c>
      <c r="J619" s="2">
        <f>IFERROR(__xludf.DUMMYFUNCTION("""COMPUTED_VALUE"""),1351.48)</f>
        <v>1351.48</v>
      </c>
      <c r="K619" s="2">
        <f>IFERROR(__xludf.DUMMYFUNCTION("""COMPUTED_VALUE"""),1351.48)</f>
        <v>1351.48</v>
      </c>
    </row>
    <row r="620">
      <c r="A620" s="2">
        <f>IFERROR(__xludf.DUMMYFUNCTION("""COMPUTED_VALUE"""),1000.0)</f>
        <v>1000</v>
      </c>
      <c r="B620" s="2">
        <f>IFERROR(__xludf.DUMMYFUNCTION("""COMPUTED_VALUE"""),183899.0)</f>
        <v>183899</v>
      </c>
      <c r="C620" s="2">
        <f>IFERROR(__xludf.DUMMYFUNCTION("""COMPUTED_VALUE"""),2026.0)</f>
        <v>2026</v>
      </c>
      <c r="D620" s="2">
        <f>IFERROR(__xludf.DUMMYFUNCTION("""COMPUTED_VALUE"""),46269.0)</f>
        <v>46269</v>
      </c>
      <c r="E620" s="2" t="str">
        <f>IFERROR(__xludf.DUMMYFUNCTION("""COMPUTED_VALUE"""),"VF")</f>
        <v>VF</v>
      </c>
      <c r="F620" s="2">
        <f>IFERROR(__xludf.DUMMYFUNCTION("""COMPUTED_VALUE"""),1.0)</f>
        <v>1</v>
      </c>
      <c r="G620" s="2" t="str">
        <f>IFERROR(__xludf.DUMMYFUNCTION("""COMPUTED_VALUE"""),"PR043")</f>
        <v>PR043</v>
      </c>
      <c r="H620" s="2" t="str">
        <f>IFERROR(__xludf.DUMMYFUNCTION("""COMPUTED_VALUE"""),"VD035")</f>
        <v>VD035</v>
      </c>
      <c r="I620" s="2">
        <f>IFERROR(__xludf.DUMMYFUNCTION("""COMPUTED_VALUE"""),6.0)</f>
        <v>6</v>
      </c>
      <c r="J620" s="2">
        <f>IFERROR(__xludf.DUMMYFUNCTION("""COMPUTED_VALUE"""),474.15)</f>
        <v>474.15</v>
      </c>
      <c r="K620" s="2">
        <f>IFERROR(__xludf.DUMMYFUNCTION("""COMPUTED_VALUE"""),474.15)</f>
        <v>474.15</v>
      </c>
    </row>
    <row r="621">
      <c r="A621" s="2">
        <f>IFERROR(__xludf.DUMMYFUNCTION("""COMPUTED_VALUE"""),2000.0)</f>
        <v>2000</v>
      </c>
      <c r="B621" s="2">
        <f>IFERROR(__xludf.DUMMYFUNCTION("""COMPUTED_VALUE"""),183900.0)</f>
        <v>183900</v>
      </c>
      <c r="C621" s="2">
        <f>IFERROR(__xludf.DUMMYFUNCTION("""COMPUTED_VALUE"""),2026.0)</f>
        <v>2026</v>
      </c>
      <c r="D621" s="2">
        <f>IFERROR(__xludf.DUMMYFUNCTION("""COMPUTED_VALUE"""),46269.0)</f>
        <v>46269</v>
      </c>
      <c r="E621" s="2" t="str">
        <f>IFERROR(__xludf.DUMMYFUNCTION("""COMPUTED_VALUE"""),"VF")</f>
        <v>VF</v>
      </c>
      <c r="F621" s="2">
        <f>IFERROR(__xludf.DUMMYFUNCTION("""COMPUTED_VALUE"""),1.0)</f>
        <v>1</v>
      </c>
      <c r="G621" s="2" t="str">
        <f>IFERROR(__xludf.DUMMYFUNCTION("""COMPUTED_VALUE"""),"PR056")</f>
        <v>PR056</v>
      </c>
      <c r="H621" s="2" t="str">
        <f>IFERROR(__xludf.DUMMYFUNCTION("""COMPUTED_VALUE"""),"VD025")</f>
        <v>VD025</v>
      </c>
      <c r="I621" s="2">
        <f>IFERROR(__xludf.DUMMYFUNCTION("""COMPUTED_VALUE"""),1.0)</f>
        <v>1</v>
      </c>
      <c r="J621" s="2">
        <f>IFERROR(__xludf.DUMMYFUNCTION("""COMPUTED_VALUE"""),92.6)</f>
        <v>92.6</v>
      </c>
      <c r="K621" s="2">
        <f>IFERROR(__xludf.DUMMYFUNCTION("""COMPUTED_VALUE"""),92.6)</f>
        <v>92.6</v>
      </c>
    </row>
    <row r="622">
      <c r="A622" s="2">
        <f>IFERROR(__xludf.DUMMYFUNCTION("""COMPUTED_VALUE"""),1000.0)</f>
        <v>1000</v>
      </c>
      <c r="B622" s="2">
        <f>IFERROR(__xludf.DUMMYFUNCTION("""COMPUTED_VALUE"""),183901.0)</f>
        <v>183901</v>
      </c>
      <c r="C622" s="2">
        <f>IFERROR(__xludf.DUMMYFUNCTION("""COMPUTED_VALUE"""),2026.0)</f>
        <v>2026</v>
      </c>
      <c r="D622" s="2">
        <f>IFERROR(__xludf.DUMMYFUNCTION("""COMPUTED_VALUE"""),46269.0)</f>
        <v>46269</v>
      </c>
      <c r="E622" s="2" t="str">
        <f>IFERROR(__xludf.DUMMYFUNCTION("""COMPUTED_VALUE"""),"VF")</f>
        <v>VF</v>
      </c>
      <c r="F622" s="2">
        <f>IFERROR(__xludf.DUMMYFUNCTION("""COMPUTED_VALUE"""),1.0)</f>
        <v>1</v>
      </c>
      <c r="G622" s="2" t="str">
        <f>IFERROR(__xludf.DUMMYFUNCTION("""COMPUTED_VALUE"""),"PR032")</f>
        <v>PR032</v>
      </c>
      <c r="H622" s="2" t="str">
        <f>IFERROR(__xludf.DUMMYFUNCTION("""COMPUTED_VALUE"""),"VD033")</f>
        <v>VD033</v>
      </c>
      <c r="I622" s="2">
        <f>IFERROR(__xludf.DUMMYFUNCTION("""COMPUTED_VALUE"""),7.0)</f>
        <v>7</v>
      </c>
      <c r="J622" s="2">
        <f>IFERROR(__xludf.DUMMYFUNCTION("""COMPUTED_VALUE"""),1820.0)</f>
        <v>1820</v>
      </c>
      <c r="K622" s="2">
        <f>IFERROR(__xludf.DUMMYFUNCTION("""COMPUTED_VALUE"""),1820.0)</f>
        <v>1820</v>
      </c>
    </row>
    <row r="623">
      <c r="A623" s="2">
        <f>IFERROR(__xludf.DUMMYFUNCTION("""COMPUTED_VALUE"""),1000.0)</f>
        <v>1000</v>
      </c>
      <c r="B623" s="2">
        <f>IFERROR(__xludf.DUMMYFUNCTION("""COMPUTED_VALUE"""),183902.0)</f>
        <v>183902</v>
      </c>
      <c r="C623" s="2">
        <f>IFERROR(__xludf.DUMMYFUNCTION("""COMPUTED_VALUE"""),2026.0)</f>
        <v>2026</v>
      </c>
      <c r="D623" s="2">
        <f>IFERROR(__xludf.DUMMYFUNCTION("""COMPUTED_VALUE"""),46269.0)</f>
        <v>46269</v>
      </c>
      <c r="E623" s="2" t="str">
        <f>IFERROR(__xludf.DUMMYFUNCTION("""COMPUTED_VALUE"""),"VF")</f>
        <v>VF</v>
      </c>
      <c r="F623" s="2">
        <f>IFERROR(__xludf.DUMMYFUNCTION("""COMPUTED_VALUE"""),1.0)</f>
        <v>1</v>
      </c>
      <c r="G623" s="2" t="str">
        <f>IFERROR(__xludf.DUMMYFUNCTION("""COMPUTED_VALUE"""),"PR035")</f>
        <v>PR035</v>
      </c>
      <c r="H623" s="2" t="str">
        <f>IFERROR(__xludf.DUMMYFUNCTION("""COMPUTED_VALUE"""),"VD042")</f>
        <v>VD042</v>
      </c>
      <c r="I623" s="2">
        <f>IFERROR(__xludf.DUMMYFUNCTION("""COMPUTED_VALUE"""),4.0)</f>
        <v>4</v>
      </c>
      <c r="J623" s="2">
        <f>IFERROR(__xludf.DUMMYFUNCTION("""COMPUTED_VALUE"""),398.5)</f>
        <v>398.5</v>
      </c>
      <c r="K623" s="2">
        <f>IFERROR(__xludf.DUMMYFUNCTION("""COMPUTED_VALUE"""),398.5)</f>
        <v>398.5</v>
      </c>
    </row>
    <row r="624">
      <c r="A624" s="2">
        <f>IFERROR(__xludf.DUMMYFUNCTION("""COMPUTED_VALUE"""),1000.0)</f>
        <v>1000</v>
      </c>
      <c r="B624" s="2">
        <f>IFERROR(__xludf.DUMMYFUNCTION("""COMPUTED_VALUE"""),183903.0)</f>
        <v>183903</v>
      </c>
      <c r="C624" s="2">
        <f>IFERROR(__xludf.DUMMYFUNCTION("""COMPUTED_VALUE"""),2026.0)</f>
        <v>2026</v>
      </c>
      <c r="D624" s="2">
        <f>IFERROR(__xludf.DUMMYFUNCTION("""COMPUTED_VALUE"""),46269.0)</f>
        <v>46269</v>
      </c>
      <c r="E624" s="2" t="str">
        <f>IFERROR(__xludf.DUMMYFUNCTION("""COMPUTED_VALUE"""),"VF")</f>
        <v>VF</v>
      </c>
      <c r="F624" s="2">
        <f>IFERROR(__xludf.DUMMYFUNCTION("""COMPUTED_VALUE"""),1.0)</f>
        <v>1</v>
      </c>
      <c r="G624" s="2" t="str">
        <f>IFERROR(__xludf.DUMMYFUNCTION("""COMPUTED_VALUE"""),"PR011")</f>
        <v>PR011</v>
      </c>
      <c r="H624" s="2" t="str">
        <f>IFERROR(__xludf.DUMMYFUNCTION("""COMPUTED_VALUE"""),"VD030")</f>
        <v>VD030</v>
      </c>
      <c r="I624" s="2">
        <f>IFERROR(__xludf.DUMMYFUNCTION("""COMPUTED_VALUE"""),4.0)</f>
        <v>4</v>
      </c>
      <c r="J624" s="2">
        <f>IFERROR(__xludf.DUMMYFUNCTION("""COMPUTED_VALUE"""),193.23)</f>
        <v>193.23</v>
      </c>
      <c r="K624" s="2">
        <f>IFERROR(__xludf.DUMMYFUNCTION("""COMPUTED_VALUE"""),193.23)</f>
        <v>193.23</v>
      </c>
    </row>
    <row r="625">
      <c r="A625" s="2">
        <f>IFERROR(__xludf.DUMMYFUNCTION("""COMPUTED_VALUE"""),1000.0)</f>
        <v>1000</v>
      </c>
      <c r="B625" s="2">
        <f>IFERROR(__xludf.DUMMYFUNCTION("""COMPUTED_VALUE"""),183903.0)</f>
        <v>183903</v>
      </c>
      <c r="C625" s="2">
        <f>IFERROR(__xludf.DUMMYFUNCTION("""COMPUTED_VALUE"""),2026.0)</f>
        <v>2026</v>
      </c>
      <c r="D625" s="2">
        <f>IFERROR(__xludf.DUMMYFUNCTION("""COMPUTED_VALUE"""),46269.0)</f>
        <v>46269</v>
      </c>
      <c r="E625" s="2" t="str">
        <f>IFERROR(__xludf.DUMMYFUNCTION("""COMPUTED_VALUE"""),"VF")</f>
        <v>VF</v>
      </c>
      <c r="F625" s="2">
        <f>IFERROR(__xludf.DUMMYFUNCTION("""COMPUTED_VALUE"""),2.0)</f>
        <v>2</v>
      </c>
      <c r="G625" s="2" t="str">
        <f>IFERROR(__xludf.DUMMYFUNCTION("""COMPUTED_VALUE"""),"PR011")</f>
        <v>PR011</v>
      </c>
      <c r="H625" s="2" t="str">
        <f>IFERROR(__xludf.DUMMYFUNCTION("""COMPUTED_VALUE"""),"VD036")</f>
        <v>VD036</v>
      </c>
      <c r="I625" s="2">
        <f>IFERROR(__xludf.DUMMYFUNCTION("""COMPUTED_VALUE"""),2.0)</f>
        <v>2</v>
      </c>
      <c r="J625" s="2">
        <f>IFERROR(__xludf.DUMMYFUNCTION("""COMPUTED_VALUE"""),93.8)</f>
        <v>93.8</v>
      </c>
      <c r="K625" s="2">
        <f>IFERROR(__xludf.DUMMYFUNCTION("""COMPUTED_VALUE"""),93.8)</f>
        <v>93.8</v>
      </c>
    </row>
    <row r="626">
      <c r="A626" s="2">
        <f>IFERROR(__xludf.DUMMYFUNCTION("""COMPUTED_VALUE"""),1000.0)</f>
        <v>1000</v>
      </c>
      <c r="B626" s="2">
        <f>IFERROR(__xludf.DUMMYFUNCTION("""COMPUTED_VALUE"""),183904.0)</f>
        <v>183904</v>
      </c>
      <c r="C626" s="2">
        <f>IFERROR(__xludf.DUMMYFUNCTION("""COMPUTED_VALUE"""),2026.0)</f>
        <v>2026</v>
      </c>
      <c r="D626" s="2">
        <f>IFERROR(__xludf.DUMMYFUNCTION("""COMPUTED_VALUE"""),46268.0)</f>
        <v>46268</v>
      </c>
      <c r="E626" s="2" t="str">
        <f>IFERROR(__xludf.DUMMYFUNCTION("""COMPUTED_VALUE"""),"VF")</f>
        <v>VF</v>
      </c>
      <c r="F626" s="2">
        <f>IFERROR(__xludf.DUMMYFUNCTION("""COMPUTED_VALUE"""),1.0)</f>
        <v>1</v>
      </c>
      <c r="G626" s="2" t="str">
        <f>IFERROR(__xludf.DUMMYFUNCTION("""COMPUTED_VALUE"""),"PR039")</f>
        <v>PR039</v>
      </c>
      <c r="H626" s="2" t="str">
        <f>IFERROR(__xludf.DUMMYFUNCTION("""COMPUTED_VALUE"""),"VD031")</f>
        <v>VD031</v>
      </c>
      <c r="I626" s="2">
        <f>IFERROR(__xludf.DUMMYFUNCTION("""COMPUTED_VALUE"""),4.0)</f>
        <v>4</v>
      </c>
      <c r="J626" s="2">
        <f>IFERROR(__xludf.DUMMYFUNCTION("""COMPUTED_VALUE"""),624.88)</f>
        <v>624.88</v>
      </c>
      <c r="K626" s="2">
        <f>IFERROR(__xludf.DUMMYFUNCTION("""COMPUTED_VALUE"""),624.88)</f>
        <v>624.88</v>
      </c>
    </row>
    <row r="627">
      <c r="A627" s="2">
        <f>IFERROR(__xludf.DUMMYFUNCTION("""COMPUTED_VALUE"""),1000.0)</f>
        <v>1000</v>
      </c>
      <c r="B627" s="2">
        <f>IFERROR(__xludf.DUMMYFUNCTION("""COMPUTED_VALUE"""),183905.0)</f>
        <v>183905</v>
      </c>
      <c r="C627" s="2">
        <f>IFERROR(__xludf.DUMMYFUNCTION("""COMPUTED_VALUE"""),2026.0)</f>
        <v>2026</v>
      </c>
      <c r="D627" s="2">
        <f>IFERROR(__xludf.DUMMYFUNCTION("""COMPUTED_VALUE"""),46268.0)</f>
        <v>46268</v>
      </c>
      <c r="E627" s="2" t="str">
        <f>IFERROR(__xludf.DUMMYFUNCTION("""COMPUTED_VALUE"""),"VF")</f>
        <v>VF</v>
      </c>
      <c r="F627" s="2">
        <f>IFERROR(__xludf.DUMMYFUNCTION("""COMPUTED_VALUE"""),1.0)</f>
        <v>1</v>
      </c>
      <c r="G627" s="2" t="str">
        <f>IFERROR(__xludf.DUMMYFUNCTION("""COMPUTED_VALUE"""),"PR026")</f>
        <v>PR026</v>
      </c>
      <c r="H627" s="2" t="str">
        <f>IFERROR(__xludf.DUMMYFUNCTION("""COMPUTED_VALUE"""),"VD045")</f>
        <v>VD045</v>
      </c>
      <c r="I627" s="2">
        <f>IFERROR(__xludf.DUMMYFUNCTION("""COMPUTED_VALUE"""),16.0)</f>
        <v>16</v>
      </c>
      <c r="J627" s="2">
        <f>IFERROR(__xludf.DUMMYFUNCTION("""COMPUTED_VALUE"""),5822.34)</f>
        <v>5822.34</v>
      </c>
      <c r="K627" s="2">
        <f>IFERROR(__xludf.DUMMYFUNCTION("""COMPUTED_VALUE"""),5822.34)</f>
        <v>5822.34</v>
      </c>
    </row>
    <row r="628">
      <c r="A628" s="2">
        <f>IFERROR(__xludf.DUMMYFUNCTION("""COMPUTED_VALUE"""),1000.0)</f>
        <v>1000</v>
      </c>
      <c r="B628" s="2">
        <f>IFERROR(__xludf.DUMMYFUNCTION("""COMPUTED_VALUE"""),183906.0)</f>
        <v>183906</v>
      </c>
      <c r="C628" s="2">
        <f>IFERROR(__xludf.DUMMYFUNCTION("""COMPUTED_VALUE"""),2026.0)</f>
        <v>2026</v>
      </c>
      <c r="D628" s="2">
        <f>IFERROR(__xludf.DUMMYFUNCTION("""COMPUTED_VALUE"""),46268.0)</f>
        <v>46268</v>
      </c>
      <c r="E628" s="2" t="str">
        <f>IFERROR(__xludf.DUMMYFUNCTION("""COMPUTED_VALUE"""),"VF")</f>
        <v>VF</v>
      </c>
      <c r="F628" s="2">
        <f>IFERROR(__xludf.DUMMYFUNCTION("""COMPUTED_VALUE"""),1.0)</f>
        <v>1</v>
      </c>
      <c r="G628" s="2" t="str">
        <f>IFERROR(__xludf.DUMMYFUNCTION("""COMPUTED_VALUE"""),"PR048")</f>
        <v>PR048</v>
      </c>
      <c r="H628" s="2" t="str">
        <f>IFERROR(__xludf.DUMMYFUNCTION("""COMPUTED_VALUE"""),"VD029")</f>
        <v>VD029</v>
      </c>
      <c r="I628" s="2">
        <f>IFERROR(__xludf.DUMMYFUNCTION("""COMPUTED_VALUE"""),20.0)</f>
        <v>20</v>
      </c>
      <c r="J628" s="2">
        <f>IFERROR(__xludf.DUMMYFUNCTION("""COMPUTED_VALUE"""),6145.88)</f>
        <v>6145.88</v>
      </c>
      <c r="K628" s="2">
        <f>IFERROR(__xludf.DUMMYFUNCTION("""COMPUTED_VALUE"""),6145.88)</f>
        <v>6145.88</v>
      </c>
    </row>
    <row r="629">
      <c r="A629" s="2">
        <f>IFERROR(__xludf.DUMMYFUNCTION("""COMPUTED_VALUE"""),2000.0)</f>
        <v>2000</v>
      </c>
      <c r="B629" s="2">
        <f>IFERROR(__xludf.DUMMYFUNCTION("""COMPUTED_VALUE"""),183907.0)</f>
        <v>183907</v>
      </c>
      <c r="C629" s="2">
        <f>IFERROR(__xludf.DUMMYFUNCTION("""COMPUTED_VALUE"""),2026.0)</f>
        <v>2026</v>
      </c>
      <c r="D629" s="2">
        <f>IFERROR(__xludf.DUMMYFUNCTION("""COMPUTED_VALUE"""),46268.0)</f>
        <v>46268</v>
      </c>
      <c r="E629" s="2" t="str">
        <f>IFERROR(__xludf.DUMMYFUNCTION("""COMPUTED_VALUE"""),"VF")</f>
        <v>VF</v>
      </c>
      <c r="F629" s="2">
        <f>IFERROR(__xludf.DUMMYFUNCTION("""COMPUTED_VALUE"""),1.0)</f>
        <v>1</v>
      </c>
      <c r="G629" s="2" t="str">
        <f>IFERROR(__xludf.DUMMYFUNCTION("""COMPUTED_VALUE"""),"PR021")</f>
        <v>PR021</v>
      </c>
      <c r="H629" s="2" t="str">
        <f>IFERROR(__xludf.DUMMYFUNCTION("""COMPUTED_VALUE"""),"VD045")</f>
        <v>VD045</v>
      </c>
      <c r="I629" s="2">
        <f>IFERROR(__xludf.DUMMYFUNCTION("""COMPUTED_VALUE"""),6.0)</f>
        <v>6</v>
      </c>
      <c r="J629" s="2">
        <f>IFERROR(__xludf.DUMMYFUNCTION("""COMPUTED_VALUE"""),1817.4)</f>
        <v>1817.4</v>
      </c>
      <c r="K629" s="2">
        <f>IFERROR(__xludf.DUMMYFUNCTION("""COMPUTED_VALUE"""),1817.4)</f>
        <v>1817.4</v>
      </c>
    </row>
    <row r="630">
      <c r="A630" s="2">
        <f>IFERROR(__xludf.DUMMYFUNCTION("""COMPUTED_VALUE"""),1000.0)</f>
        <v>1000</v>
      </c>
      <c r="B630" s="2">
        <f>IFERROR(__xludf.DUMMYFUNCTION("""COMPUTED_VALUE"""),183908.0)</f>
        <v>183908</v>
      </c>
      <c r="C630" s="2">
        <f>IFERROR(__xludf.DUMMYFUNCTION("""COMPUTED_VALUE"""),2026.0)</f>
        <v>2026</v>
      </c>
      <c r="D630" s="2">
        <f>IFERROR(__xludf.DUMMYFUNCTION("""COMPUTED_VALUE"""),46268.0)</f>
        <v>46268</v>
      </c>
      <c r="E630" s="2" t="str">
        <f>IFERROR(__xludf.DUMMYFUNCTION("""COMPUTED_VALUE"""),"VF")</f>
        <v>VF</v>
      </c>
      <c r="F630" s="2">
        <f>IFERROR(__xludf.DUMMYFUNCTION("""COMPUTED_VALUE"""),1.0)</f>
        <v>1</v>
      </c>
      <c r="G630" s="2" t="str">
        <f>IFERROR(__xludf.DUMMYFUNCTION("""COMPUTED_VALUE"""),"PR047")</f>
        <v>PR047</v>
      </c>
      <c r="H630" s="2" t="str">
        <f>IFERROR(__xludf.DUMMYFUNCTION("""COMPUTED_VALUE"""),"VD030")</f>
        <v>VD030</v>
      </c>
      <c r="I630" s="2">
        <f>IFERROR(__xludf.DUMMYFUNCTION("""COMPUTED_VALUE"""),14.0)</f>
        <v>14</v>
      </c>
      <c r="J630" s="2">
        <f>IFERROR(__xludf.DUMMYFUNCTION("""COMPUTED_VALUE"""),4180.36)</f>
        <v>4180.36</v>
      </c>
      <c r="K630" s="2">
        <f>IFERROR(__xludf.DUMMYFUNCTION("""COMPUTED_VALUE"""),4180.36)</f>
        <v>4180.36</v>
      </c>
    </row>
    <row r="631">
      <c r="A631" s="2">
        <f>IFERROR(__xludf.DUMMYFUNCTION("""COMPUTED_VALUE"""),1000.0)</f>
        <v>1000</v>
      </c>
      <c r="B631" s="2">
        <f>IFERROR(__xludf.DUMMYFUNCTION("""COMPUTED_VALUE"""),183908.0)</f>
        <v>183908</v>
      </c>
      <c r="C631" s="2">
        <f>IFERROR(__xludf.DUMMYFUNCTION("""COMPUTED_VALUE"""),2026.0)</f>
        <v>2026</v>
      </c>
      <c r="D631" s="2">
        <f>IFERROR(__xludf.DUMMYFUNCTION("""COMPUTED_VALUE"""),46268.0)</f>
        <v>46268</v>
      </c>
      <c r="E631" s="2" t="str">
        <f>IFERROR(__xludf.DUMMYFUNCTION("""COMPUTED_VALUE"""),"VF")</f>
        <v>VF</v>
      </c>
      <c r="F631" s="2">
        <f>IFERROR(__xludf.DUMMYFUNCTION("""COMPUTED_VALUE"""),2.0)</f>
        <v>2</v>
      </c>
      <c r="G631" s="2" t="str">
        <f>IFERROR(__xludf.DUMMYFUNCTION("""COMPUTED_VALUE"""),"PR002")</f>
        <v>PR002</v>
      </c>
      <c r="H631" s="2" t="str">
        <f>IFERROR(__xludf.DUMMYFUNCTION("""COMPUTED_VALUE"""),"VD030")</f>
        <v>VD030</v>
      </c>
      <c r="I631" s="2">
        <f>IFERROR(__xludf.DUMMYFUNCTION("""COMPUTED_VALUE"""),8.0)</f>
        <v>8</v>
      </c>
      <c r="J631" s="2">
        <f>IFERROR(__xludf.DUMMYFUNCTION("""COMPUTED_VALUE"""),609.53)</f>
        <v>609.53</v>
      </c>
      <c r="K631" s="2">
        <f>IFERROR(__xludf.DUMMYFUNCTION("""COMPUTED_VALUE"""),609.53)</f>
        <v>609.53</v>
      </c>
    </row>
    <row r="632">
      <c r="A632" s="2">
        <f>IFERROR(__xludf.DUMMYFUNCTION("""COMPUTED_VALUE"""),1000.0)</f>
        <v>1000</v>
      </c>
      <c r="B632" s="2">
        <f>IFERROR(__xludf.DUMMYFUNCTION("""COMPUTED_VALUE"""),183909.0)</f>
        <v>183909</v>
      </c>
      <c r="C632" s="2">
        <f>IFERROR(__xludf.DUMMYFUNCTION("""COMPUTED_VALUE"""),2026.0)</f>
        <v>2026</v>
      </c>
      <c r="D632" s="2">
        <f>IFERROR(__xludf.DUMMYFUNCTION("""COMPUTED_VALUE"""),46268.0)</f>
        <v>46268</v>
      </c>
      <c r="E632" s="2" t="str">
        <f>IFERROR(__xludf.DUMMYFUNCTION("""COMPUTED_VALUE"""),"VF")</f>
        <v>VF</v>
      </c>
      <c r="F632" s="2">
        <f>IFERROR(__xludf.DUMMYFUNCTION("""COMPUTED_VALUE"""),1.0)</f>
        <v>1</v>
      </c>
      <c r="G632" s="2" t="str">
        <f>IFERROR(__xludf.DUMMYFUNCTION("""COMPUTED_VALUE"""),"PR048")</f>
        <v>PR048</v>
      </c>
      <c r="H632" s="2" t="str">
        <f>IFERROR(__xludf.DUMMYFUNCTION("""COMPUTED_VALUE"""),"VD040")</f>
        <v>VD040</v>
      </c>
      <c r="I632" s="2">
        <f>IFERROR(__xludf.DUMMYFUNCTION("""COMPUTED_VALUE"""),4.0)</f>
        <v>4</v>
      </c>
      <c r="J632" s="2">
        <f>IFERROR(__xludf.DUMMYFUNCTION("""COMPUTED_VALUE"""),1263.96)</f>
        <v>1263.96</v>
      </c>
      <c r="K632" s="2">
        <f>IFERROR(__xludf.DUMMYFUNCTION("""COMPUTED_VALUE"""),1263.96)</f>
        <v>1263.96</v>
      </c>
    </row>
    <row r="633">
      <c r="A633" s="2">
        <f>IFERROR(__xludf.DUMMYFUNCTION("""COMPUTED_VALUE"""),1000.0)</f>
        <v>1000</v>
      </c>
      <c r="B633" s="2">
        <f>IFERROR(__xludf.DUMMYFUNCTION("""COMPUTED_VALUE"""),183910.0)</f>
        <v>183910</v>
      </c>
      <c r="C633" s="2">
        <f>IFERROR(__xludf.DUMMYFUNCTION("""COMPUTED_VALUE"""),2026.0)</f>
        <v>2026</v>
      </c>
      <c r="D633" s="2">
        <f>IFERROR(__xludf.DUMMYFUNCTION("""COMPUTED_VALUE"""),46268.0)</f>
        <v>46268</v>
      </c>
      <c r="E633" s="2" t="str">
        <f>IFERROR(__xludf.DUMMYFUNCTION("""COMPUTED_VALUE"""),"VF")</f>
        <v>VF</v>
      </c>
      <c r="F633" s="2">
        <f>IFERROR(__xludf.DUMMYFUNCTION("""COMPUTED_VALUE"""),1.0)</f>
        <v>1</v>
      </c>
      <c r="G633" s="2" t="str">
        <f>IFERROR(__xludf.DUMMYFUNCTION("""COMPUTED_VALUE"""),"PR017")</f>
        <v>PR017</v>
      </c>
      <c r="H633" s="2" t="str">
        <f>IFERROR(__xludf.DUMMYFUNCTION("""COMPUTED_VALUE"""),"VD019")</f>
        <v>VD019</v>
      </c>
      <c r="I633" s="2">
        <f>IFERROR(__xludf.DUMMYFUNCTION("""COMPUTED_VALUE"""),10.0)</f>
        <v>10</v>
      </c>
      <c r="J633" s="2">
        <f>IFERROR(__xludf.DUMMYFUNCTION("""COMPUTED_VALUE"""),304.98)</f>
        <v>304.98</v>
      </c>
      <c r="K633" s="2">
        <f>IFERROR(__xludf.DUMMYFUNCTION("""COMPUTED_VALUE"""),304.98)</f>
        <v>304.98</v>
      </c>
    </row>
    <row r="634">
      <c r="A634" s="2">
        <f>IFERROR(__xludf.DUMMYFUNCTION("""COMPUTED_VALUE"""),1000.0)</f>
        <v>1000</v>
      </c>
      <c r="B634" s="2">
        <f>IFERROR(__xludf.DUMMYFUNCTION("""COMPUTED_VALUE"""),183910.0)</f>
        <v>183910</v>
      </c>
      <c r="C634" s="2">
        <f>IFERROR(__xludf.DUMMYFUNCTION("""COMPUTED_VALUE"""),2026.0)</f>
        <v>2026</v>
      </c>
      <c r="D634" s="2">
        <f>IFERROR(__xludf.DUMMYFUNCTION("""COMPUTED_VALUE"""),46268.0)</f>
        <v>46268</v>
      </c>
      <c r="E634" s="2" t="str">
        <f>IFERROR(__xludf.DUMMYFUNCTION("""COMPUTED_VALUE"""),"VF")</f>
        <v>VF</v>
      </c>
      <c r="F634" s="2">
        <f>IFERROR(__xludf.DUMMYFUNCTION("""COMPUTED_VALUE"""),2.0)</f>
        <v>2</v>
      </c>
      <c r="G634" s="2" t="str">
        <f>IFERROR(__xludf.DUMMYFUNCTION("""COMPUTED_VALUE"""),"PR058")</f>
        <v>PR058</v>
      </c>
      <c r="H634" s="2" t="str">
        <f>IFERROR(__xludf.DUMMYFUNCTION("""COMPUTED_VALUE"""),"VD046")</f>
        <v>VD046</v>
      </c>
      <c r="I634" s="2">
        <f>IFERROR(__xludf.DUMMYFUNCTION("""COMPUTED_VALUE"""),1.0)</f>
        <v>1</v>
      </c>
      <c r="J634" s="2">
        <f>IFERROR(__xludf.DUMMYFUNCTION("""COMPUTED_VALUE"""),189.0)</f>
        <v>189</v>
      </c>
      <c r="K634" s="2">
        <f>IFERROR(__xludf.DUMMYFUNCTION("""COMPUTED_VALUE"""),189.0)</f>
        <v>189</v>
      </c>
    </row>
    <row r="635">
      <c r="A635" s="2">
        <f>IFERROR(__xludf.DUMMYFUNCTION("""COMPUTED_VALUE"""),1000.0)</f>
        <v>1000</v>
      </c>
      <c r="B635" s="2">
        <f>IFERROR(__xludf.DUMMYFUNCTION("""COMPUTED_VALUE"""),183911.0)</f>
        <v>183911</v>
      </c>
      <c r="C635" s="2">
        <f>IFERROR(__xludf.DUMMYFUNCTION("""COMPUTED_VALUE"""),2026.0)</f>
        <v>2026</v>
      </c>
      <c r="D635" s="2">
        <f>IFERROR(__xludf.DUMMYFUNCTION("""COMPUTED_VALUE"""),46267.0)</f>
        <v>46267</v>
      </c>
      <c r="E635" s="2" t="str">
        <f>IFERROR(__xludf.DUMMYFUNCTION("""COMPUTED_VALUE"""),"VF")</f>
        <v>VF</v>
      </c>
      <c r="F635" s="2">
        <f>IFERROR(__xludf.DUMMYFUNCTION("""COMPUTED_VALUE"""),1.0)</f>
        <v>1</v>
      </c>
      <c r="G635" s="2" t="str">
        <f>IFERROR(__xludf.DUMMYFUNCTION("""COMPUTED_VALUE"""),"PR040")</f>
        <v>PR040</v>
      </c>
      <c r="H635" s="2" t="str">
        <f>IFERROR(__xludf.DUMMYFUNCTION("""COMPUTED_VALUE"""),"VD020")</f>
        <v>VD020</v>
      </c>
      <c r="I635" s="2">
        <f>IFERROR(__xludf.DUMMYFUNCTION("""COMPUTED_VALUE"""),10.0)</f>
        <v>10</v>
      </c>
      <c r="J635" s="2">
        <f>IFERROR(__xludf.DUMMYFUNCTION("""COMPUTED_VALUE"""),770.0)</f>
        <v>770</v>
      </c>
      <c r="K635" s="2">
        <f>IFERROR(__xludf.DUMMYFUNCTION("""COMPUTED_VALUE"""),770.0)</f>
        <v>770</v>
      </c>
    </row>
    <row r="636">
      <c r="A636" s="2">
        <f>IFERROR(__xludf.DUMMYFUNCTION("""COMPUTED_VALUE"""),2000.0)</f>
        <v>2000</v>
      </c>
      <c r="B636" s="2">
        <f>IFERROR(__xludf.DUMMYFUNCTION("""COMPUTED_VALUE"""),183912.0)</f>
        <v>183912</v>
      </c>
      <c r="C636" s="2">
        <f>IFERROR(__xludf.DUMMYFUNCTION("""COMPUTED_VALUE"""),2026.0)</f>
        <v>2026</v>
      </c>
      <c r="D636" s="2">
        <f>IFERROR(__xludf.DUMMYFUNCTION("""COMPUTED_VALUE"""),46267.0)</f>
        <v>46267</v>
      </c>
      <c r="E636" s="2" t="str">
        <f>IFERROR(__xludf.DUMMYFUNCTION("""COMPUTED_VALUE"""),"VF")</f>
        <v>VF</v>
      </c>
      <c r="F636" s="2">
        <f>IFERROR(__xludf.DUMMYFUNCTION("""COMPUTED_VALUE"""),1.0)</f>
        <v>1</v>
      </c>
      <c r="G636" s="2" t="str">
        <f>IFERROR(__xludf.DUMMYFUNCTION("""COMPUTED_VALUE"""),"PR014")</f>
        <v>PR014</v>
      </c>
      <c r="H636" s="2" t="str">
        <f>IFERROR(__xludf.DUMMYFUNCTION("""COMPUTED_VALUE"""),"VD028")</f>
        <v>VD028</v>
      </c>
      <c r="I636" s="2">
        <f>IFERROR(__xludf.DUMMYFUNCTION("""COMPUTED_VALUE"""),8.0)</f>
        <v>8</v>
      </c>
      <c r="J636" s="2">
        <f>IFERROR(__xludf.DUMMYFUNCTION("""COMPUTED_VALUE"""),331.97)</f>
        <v>331.97</v>
      </c>
      <c r="K636" s="2">
        <f>IFERROR(__xludf.DUMMYFUNCTION("""COMPUTED_VALUE"""),331.97)</f>
        <v>331.97</v>
      </c>
    </row>
    <row r="637">
      <c r="A637" s="2">
        <f>IFERROR(__xludf.DUMMYFUNCTION("""COMPUTED_VALUE"""),1000.0)</f>
        <v>1000</v>
      </c>
      <c r="B637" s="2">
        <f>IFERROR(__xludf.DUMMYFUNCTION("""COMPUTED_VALUE"""),183913.0)</f>
        <v>183913</v>
      </c>
      <c r="C637" s="2">
        <f>IFERROR(__xludf.DUMMYFUNCTION("""COMPUTED_VALUE"""),2026.0)</f>
        <v>2026</v>
      </c>
      <c r="D637" s="2">
        <f>IFERROR(__xludf.DUMMYFUNCTION("""COMPUTED_VALUE"""),46266.0)</f>
        <v>46266</v>
      </c>
      <c r="E637" s="2" t="str">
        <f>IFERROR(__xludf.DUMMYFUNCTION("""COMPUTED_VALUE"""),"VF")</f>
        <v>VF</v>
      </c>
      <c r="F637" s="2">
        <f>IFERROR(__xludf.DUMMYFUNCTION("""COMPUTED_VALUE"""),1.0)</f>
        <v>1</v>
      </c>
      <c r="G637" s="2" t="str">
        <f>IFERROR(__xludf.DUMMYFUNCTION("""COMPUTED_VALUE"""),"PR021")</f>
        <v>PR021</v>
      </c>
      <c r="H637" s="2" t="str">
        <f>IFERROR(__xludf.DUMMYFUNCTION("""COMPUTED_VALUE"""),"VD022")</f>
        <v>VD022</v>
      </c>
      <c r="I637" s="2">
        <f>IFERROR(__xludf.DUMMYFUNCTION("""COMPUTED_VALUE"""),8.0)</f>
        <v>8</v>
      </c>
      <c r="J637" s="2">
        <f>IFERROR(__xludf.DUMMYFUNCTION("""COMPUTED_VALUE"""),2447.43)</f>
        <v>2447.43</v>
      </c>
      <c r="K637" s="2">
        <f>IFERROR(__xludf.DUMMYFUNCTION("""COMPUTED_VALUE"""),2447.43)</f>
        <v>2447.43</v>
      </c>
    </row>
    <row r="638">
      <c r="A638" s="2">
        <f>IFERROR(__xludf.DUMMYFUNCTION("""COMPUTED_VALUE"""),1000.0)</f>
        <v>1000</v>
      </c>
      <c r="B638" s="2">
        <f>IFERROR(__xludf.DUMMYFUNCTION("""COMPUTED_VALUE"""),183914.0)</f>
        <v>183914</v>
      </c>
      <c r="C638" s="2">
        <f>IFERROR(__xludf.DUMMYFUNCTION("""COMPUTED_VALUE"""),2026.0)</f>
        <v>2026</v>
      </c>
      <c r="D638" s="2">
        <f>IFERROR(__xludf.DUMMYFUNCTION("""COMPUTED_VALUE"""),46266.0)</f>
        <v>46266</v>
      </c>
      <c r="E638" s="2" t="str">
        <f>IFERROR(__xludf.DUMMYFUNCTION("""COMPUTED_VALUE"""),"VF")</f>
        <v>VF</v>
      </c>
      <c r="F638" s="2">
        <f>IFERROR(__xludf.DUMMYFUNCTION("""COMPUTED_VALUE"""),1.0)</f>
        <v>1</v>
      </c>
      <c r="G638" s="2" t="str">
        <f>IFERROR(__xludf.DUMMYFUNCTION("""COMPUTED_VALUE"""),"PR028")</f>
        <v>PR028</v>
      </c>
      <c r="H638" s="2" t="str">
        <f>IFERROR(__xludf.DUMMYFUNCTION("""COMPUTED_VALUE"""),"VD021")</f>
        <v>VD021</v>
      </c>
      <c r="I638" s="2">
        <f>IFERROR(__xludf.DUMMYFUNCTION("""COMPUTED_VALUE"""),10.0)</f>
        <v>10</v>
      </c>
      <c r="J638" s="2">
        <f>IFERROR(__xludf.DUMMYFUNCTION("""COMPUTED_VALUE"""),2723.91)</f>
        <v>2723.91</v>
      </c>
      <c r="K638" s="2">
        <f>IFERROR(__xludf.DUMMYFUNCTION("""COMPUTED_VALUE"""),2723.91)</f>
        <v>2723.91</v>
      </c>
    </row>
    <row r="639">
      <c r="A639" s="2">
        <f>IFERROR(__xludf.DUMMYFUNCTION("""COMPUTED_VALUE"""),2000.0)</f>
        <v>2000</v>
      </c>
      <c r="B639" s="2">
        <f>IFERROR(__xludf.DUMMYFUNCTION("""COMPUTED_VALUE"""),183915.0)</f>
        <v>183915</v>
      </c>
      <c r="C639" s="2">
        <f>IFERROR(__xludf.DUMMYFUNCTION("""COMPUTED_VALUE"""),2026.0)</f>
        <v>2026</v>
      </c>
      <c r="D639" s="2">
        <f>IFERROR(__xludf.DUMMYFUNCTION("""COMPUTED_VALUE"""),46266.0)</f>
        <v>46266</v>
      </c>
      <c r="E639" s="2" t="str">
        <f>IFERROR(__xludf.DUMMYFUNCTION("""COMPUTED_VALUE"""),"VF")</f>
        <v>VF</v>
      </c>
      <c r="F639" s="2">
        <f>IFERROR(__xludf.DUMMYFUNCTION("""COMPUTED_VALUE"""),1.0)</f>
        <v>1</v>
      </c>
      <c r="G639" s="2" t="str">
        <f>IFERROR(__xludf.DUMMYFUNCTION("""COMPUTED_VALUE"""),"PR052")</f>
        <v>PR052</v>
      </c>
      <c r="H639" s="2" t="str">
        <f>IFERROR(__xludf.DUMMYFUNCTION("""COMPUTED_VALUE"""),"VD018")</f>
        <v>VD018</v>
      </c>
      <c r="I639" s="2">
        <f>IFERROR(__xludf.DUMMYFUNCTION("""COMPUTED_VALUE"""),5.0)</f>
        <v>5</v>
      </c>
      <c r="J639" s="2">
        <f>IFERROR(__xludf.DUMMYFUNCTION("""COMPUTED_VALUE"""),259.48)</f>
        <v>259.48</v>
      </c>
      <c r="K639" s="2">
        <f>IFERROR(__xludf.DUMMYFUNCTION("""COMPUTED_VALUE"""),259.48)</f>
        <v>259.48</v>
      </c>
    </row>
    <row r="640">
      <c r="A640" s="2">
        <f>IFERROR(__xludf.DUMMYFUNCTION("""COMPUTED_VALUE"""),2000.0)</f>
        <v>2000</v>
      </c>
      <c r="B640" s="2">
        <f>IFERROR(__xludf.DUMMYFUNCTION("""COMPUTED_VALUE"""),183915.0)</f>
        <v>183915</v>
      </c>
      <c r="C640" s="2">
        <f>IFERROR(__xludf.DUMMYFUNCTION("""COMPUTED_VALUE"""),2026.0)</f>
        <v>2026</v>
      </c>
      <c r="D640" s="2">
        <f>IFERROR(__xludf.DUMMYFUNCTION("""COMPUTED_VALUE"""),46266.0)</f>
        <v>46266</v>
      </c>
      <c r="E640" s="2" t="str">
        <f>IFERROR(__xludf.DUMMYFUNCTION("""COMPUTED_VALUE"""),"VF")</f>
        <v>VF</v>
      </c>
      <c r="F640" s="2">
        <f>IFERROR(__xludf.DUMMYFUNCTION("""COMPUTED_VALUE"""),2.0)</f>
        <v>2</v>
      </c>
      <c r="G640" s="2" t="str">
        <f>IFERROR(__xludf.DUMMYFUNCTION("""COMPUTED_VALUE"""),"PR042")</f>
        <v>PR042</v>
      </c>
      <c r="H640" s="2" t="str">
        <f>IFERROR(__xludf.DUMMYFUNCTION("""COMPUTED_VALUE"""),"VD011")</f>
        <v>VD011</v>
      </c>
      <c r="I640" s="2">
        <f>IFERROR(__xludf.DUMMYFUNCTION("""COMPUTED_VALUE"""),9.0)</f>
        <v>9</v>
      </c>
      <c r="J640" s="2">
        <f>IFERROR(__xludf.DUMMYFUNCTION("""COMPUTED_VALUE"""),523.75)</f>
        <v>523.75</v>
      </c>
      <c r="K640" s="2">
        <f>IFERROR(__xludf.DUMMYFUNCTION("""COMPUTED_VALUE"""),523.75)</f>
        <v>523.75</v>
      </c>
    </row>
    <row r="641">
      <c r="A641" s="2">
        <f>IFERROR(__xludf.DUMMYFUNCTION("""COMPUTED_VALUE"""),1000.0)</f>
        <v>1000</v>
      </c>
      <c r="B641" s="2">
        <f>IFERROR(__xludf.DUMMYFUNCTION("""COMPUTED_VALUE"""),183916.0)</f>
        <v>183916</v>
      </c>
      <c r="C641" s="2">
        <f>IFERROR(__xludf.DUMMYFUNCTION("""COMPUTED_VALUE"""),2026.0)</f>
        <v>2026</v>
      </c>
      <c r="D641" s="2">
        <f>IFERROR(__xludf.DUMMYFUNCTION("""COMPUTED_VALUE"""),46265.0)</f>
        <v>46265</v>
      </c>
      <c r="E641" s="2" t="str">
        <f>IFERROR(__xludf.DUMMYFUNCTION("""COMPUTED_VALUE"""),"VF")</f>
        <v>VF</v>
      </c>
      <c r="F641" s="2">
        <f>IFERROR(__xludf.DUMMYFUNCTION("""COMPUTED_VALUE"""),1.0)</f>
        <v>1</v>
      </c>
      <c r="G641" s="2" t="str">
        <f>IFERROR(__xludf.DUMMYFUNCTION("""COMPUTED_VALUE"""),"PR034")</f>
        <v>PR034</v>
      </c>
      <c r="H641" s="2" t="str">
        <f>IFERROR(__xludf.DUMMYFUNCTION("""COMPUTED_VALUE"""),"VD033")</f>
        <v>VD033</v>
      </c>
      <c r="I641" s="2">
        <f>IFERROR(__xludf.DUMMYFUNCTION("""COMPUTED_VALUE"""),6.0)</f>
        <v>6</v>
      </c>
      <c r="J641" s="2">
        <f>IFERROR(__xludf.DUMMYFUNCTION("""COMPUTED_VALUE"""),539.4)</f>
        <v>539.4</v>
      </c>
      <c r="K641" s="2">
        <f>IFERROR(__xludf.DUMMYFUNCTION("""COMPUTED_VALUE"""),539.4)</f>
        <v>539.4</v>
      </c>
    </row>
    <row r="642">
      <c r="A642" s="2">
        <f>IFERROR(__xludf.DUMMYFUNCTION("""COMPUTED_VALUE"""),1000.0)</f>
        <v>1000</v>
      </c>
      <c r="B642" s="2">
        <f>IFERROR(__xludf.DUMMYFUNCTION("""COMPUTED_VALUE"""),183917.0)</f>
        <v>183917</v>
      </c>
      <c r="C642" s="2">
        <f>IFERROR(__xludf.DUMMYFUNCTION("""COMPUTED_VALUE"""),2026.0)</f>
        <v>2026</v>
      </c>
      <c r="D642" s="2">
        <f>IFERROR(__xludf.DUMMYFUNCTION("""COMPUTED_VALUE"""),46265.0)</f>
        <v>46265</v>
      </c>
      <c r="E642" s="2" t="str">
        <f>IFERROR(__xludf.DUMMYFUNCTION("""COMPUTED_VALUE"""),"VF")</f>
        <v>VF</v>
      </c>
      <c r="F642" s="2">
        <f>IFERROR(__xludf.DUMMYFUNCTION("""COMPUTED_VALUE"""),1.0)</f>
        <v>1</v>
      </c>
      <c r="G642" s="2" t="str">
        <f>IFERROR(__xludf.DUMMYFUNCTION("""COMPUTED_VALUE"""),"PR040")</f>
        <v>PR040</v>
      </c>
      <c r="H642" s="2" t="str">
        <f>IFERROR(__xludf.DUMMYFUNCTION("""COMPUTED_VALUE"""),"VD011")</f>
        <v>VD011</v>
      </c>
      <c r="I642" s="2">
        <f>IFERROR(__xludf.DUMMYFUNCTION("""COMPUTED_VALUE"""),2.0)</f>
        <v>2</v>
      </c>
      <c r="J642" s="2">
        <f>IFERROR(__xludf.DUMMYFUNCTION("""COMPUTED_VALUE"""),140.0)</f>
        <v>140</v>
      </c>
      <c r="K642" s="2">
        <f>IFERROR(__xludf.DUMMYFUNCTION("""COMPUTED_VALUE"""),140.0)</f>
        <v>140</v>
      </c>
    </row>
    <row r="643">
      <c r="A643" s="2">
        <f>IFERROR(__xludf.DUMMYFUNCTION("""COMPUTED_VALUE"""),1000.0)</f>
        <v>1000</v>
      </c>
      <c r="B643" s="2">
        <f>IFERROR(__xludf.DUMMYFUNCTION("""COMPUTED_VALUE"""),183918.0)</f>
        <v>183918</v>
      </c>
      <c r="C643" s="2">
        <f>IFERROR(__xludf.DUMMYFUNCTION("""COMPUTED_VALUE"""),2026.0)</f>
        <v>2026</v>
      </c>
      <c r="D643" s="2">
        <f>IFERROR(__xludf.DUMMYFUNCTION("""COMPUTED_VALUE"""),46265.0)</f>
        <v>46265</v>
      </c>
      <c r="E643" s="2" t="str">
        <f>IFERROR(__xludf.DUMMYFUNCTION("""COMPUTED_VALUE"""),"VF")</f>
        <v>VF</v>
      </c>
      <c r="F643" s="2">
        <f>IFERROR(__xludf.DUMMYFUNCTION("""COMPUTED_VALUE"""),1.0)</f>
        <v>1</v>
      </c>
      <c r="G643" s="2" t="str">
        <f>IFERROR(__xludf.DUMMYFUNCTION("""COMPUTED_VALUE"""),"PR004")</f>
        <v>PR004</v>
      </c>
      <c r="H643" s="2" t="str">
        <f>IFERROR(__xludf.DUMMYFUNCTION("""COMPUTED_VALUE"""),"VD012")</f>
        <v>VD012</v>
      </c>
      <c r="I643" s="2">
        <f>IFERROR(__xludf.DUMMYFUNCTION("""COMPUTED_VALUE"""),6.0)</f>
        <v>6</v>
      </c>
      <c r="J643" s="2">
        <f>IFERROR(__xludf.DUMMYFUNCTION("""COMPUTED_VALUE"""),948.3)</f>
        <v>948.3</v>
      </c>
      <c r="K643" s="2">
        <f>IFERROR(__xludf.DUMMYFUNCTION("""COMPUTED_VALUE"""),948.3)</f>
        <v>948.3</v>
      </c>
    </row>
    <row r="644">
      <c r="A644" s="2">
        <f>IFERROR(__xludf.DUMMYFUNCTION("""COMPUTED_VALUE"""),1000.0)</f>
        <v>1000</v>
      </c>
      <c r="B644" s="2">
        <f>IFERROR(__xludf.DUMMYFUNCTION("""COMPUTED_VALUE"""),183919.0)</f>
        <v>183919</v>
      </c>
      <c r="C644" s="2">
        <f>IFERROR(__xludf.DUMMYFUNCTION("""COMPUTED_VALUE"""),2026.0)</f>
        <v>2026</v>
      </c>
      <c r="D644" s="2">
        <f>IFERROR(__xludf.DUMMYFUNCTION("""COMPUTED_VALUE"""),46265.0)</f>
        <v>46265</v>
      </c>
      <c r="E644" s="2" t="str">
        <f>IFERROR(__xludf.DUMMYFUNCTION("""COMPUTED_VALUE"""),"VF")</f>
        <v>VF</v>
      </c>
      <c r="F644" s="2">
        <f>IFERROR(__xludf.DUMMYFUNCTION("""COMPUTED_VALUE"""),1.0)</f>
        <v>1</v>
      </c>
      <c r="G644" s="2" t="str">
        <f>IFERROR(__xludf.DUMMYFUNCTION("""COMPUTED_VALUE"""),"PR050")</f>
        <v>PR050</v>
      </c>
      <c r="H644" s="2" t="str">
        <f>IFERROR(__xludf.DUMMYFUNCTION("""COMPUTED_VALUE"""),"VD040")</f>
        <v>VD040</v>
      </c>
      <c r="I644" s="2">
        <f>IFERROR(__xludf.DUMMYFUNCTION("""COMPUTED_VALUE"""),6.0)</f>
        <v>6</v>
      </c>
      <c r="J644" s="2">
        <f>IFERROR(__xludf.DUMMYFUNCTION("""COMPUTED_VALUE"""),213.19)</f>
        <v>213.19</v>
      </c>
      <c r="K644" s="2">
        <f>IFERROR(__xludf.DUMMYFUNCTION("""COMPUTED_VALUE"""),213.19)</f>
        <v>213.19</v>
      </c>
    </row>
    <row r="645">
      <c r="A645" s="2">
        <f>IFERROR(__xludf.DUMMYFUNCTION("""COMPUTED_VALUE"""),2000.0)</f>
        <v>2000</v>
      </c>
      <c r="B645" s="2">
        <f>IFERROR(__xludf.DUMMYFUNCTION("""COMPUTED_VALUE"""),183919.0)</f>
        <v>183919</v>
      </c>
      <c r="C645" s="2">
        <f>IFERROR(__xludf.DUMMYFUNCTION("""COMPUTED_VALUE"""),2026.0)</f>
        <v>2026</v>
      </c>
      <c r="D645" s="2">
        <f>IFERROR(__xludf.DUMMYFUNCTION("""COMPUTED_VALUE"""),46265.0)</f>
        <v>46265</v>
      </c>
      <c r="E645" s="2" t="str">
        <f>IFERROR(__xludf.DUMMYFUNCTION("""COMPUTED_VALUE"""),"VF")</f>
        <v>VF</v>
      </c>
      <c r="F645" s="2">
        <f>IFERROR(__xludf.DUMMYFUNCTION("""COMPUTED_VALUE"""),2.0)</f>
        <v>2</v>
      </c>
      <c r="G645" s="2" t="str">
        <f>IFERROR(__xludf.DUMMYFUNCTION("""COMPUTED_VALUE"""),"PR059")</f>
        <v>PR059</v>
      </c>
      <c r="H645" s="2" t="str">
        <f>IFERROR(__xludf.DUMMYFUNCTION("""COMPUTED_VALUE"""),"VD027")</f>
        <v>VD027</v>
      </c>
      <c r="I645" s="2">
        <f>IFERROR(__xludf.DUMMYFUNCTION("""COMPUTED_VALUE"""),2.0)</f>
        <v>2</v>
      </c>
      <c r="J645" s="2">
        <f>IFERROR(__xludf.DUMMYFUNCTION("""COMPUTED_VALUE"""),378.0)</f>
        <v>378</v>
      </c>
      <c r="K645" s="2">
        <f>IFERROR(__xludf.DUMMYFUNCTION("""COMPUTED_VALUE"""),378.0)</f>
        <v>378</v>
      </c>
    </row>
    <row r="646">
      <c r="A646" s="2">
        <f>IFERROR(__xludf.DUMMYFUNCTION("""COMPUTED_VALUE"""),1000.0)</f>
        <v>1000</v>
      </c>
      <c r="B646" s="2">
        <f>IFERROR(__xludf.DUMMYFUNCTION("""COMPUTED_VALUE"""),183919.0)</f>
        <v>183919</v>
      </c>
      <c r="C646" s="2">
        <f>IFERROR(__xludf.DUMMYFUNCTION("""COMPUTED_VALUE"""),2026.0)</f>
        <v>2026</v>
      </c>
      <c r="D646" s="2">
        <f>IFERROR(__xludf.DUMMYFUNCTION("""COMPUTED_VALUE"""),46264.0)</f>
        <v>46264</v>
      </c>
      <c r="E646" s="2" t="str">
        <f>IFERROR(__xludf.DUMMYFUNCTION("""COMPUTED_VALUE"""),"VF")</f>
        <v>VF</v>
      </c>
      <c r="F646" s="2">
        <f>IFERROR(__xludf.DUMMYFUNCTION("""COMPUTED_VALUE"""),3.0)</f>
        <v>3</v>
      </c>
      <c r="G646" s="2" t="str">
        <f>IFERROR(__xludf.DUMMYFUNCTION("""COMPUTED_VALUE"""),"PR058")</f>
        <v>PR058</v>
      </c>
      <c r="H646" s="2" t="str">
        <f>IFERROR(__xludf.DUMMYFUNCTION("""COMPUTED_VALUE"""),"VD031")</f>
        <v>VD031</v>
      </c>
      <c r="I646" s="2">
        <f>IFERROR(__xludf.DUMMYFUNCTION("""COMPUTED_VALUE"""),5.0)</f>
        <v>5</v>
      </c>
      <c r="J646" s="2">
        <f>IFERROR(__xludf.DUMMYFUNCTION("""COMPUTED_VALUE"""),927.0)</f>
        <v>927</v>
      </c>
      <c r="K646" s="2">
        <f>IFERROR(__xludf.DUMMYFUNCTION("""COMPUTED_VALUE"""),927.0)</f>
        <v>927</v>
      </c>
    </row>
    <row r="647">
      <c r="A647" s="2">
        <f>IFERROR(__xludf.DUMMYFUNCTION("""COMPUTED_VALUE"""),1000.0)</f>
        <v>1000</v>
      </c>
      <c r="B647" s="2">
        <f>IFERROR(__xludf.DUMMYFUNCTION("""COMPUTED_VALUE"""),183919.0)</f>
        <v>183919</v>
      </c>
      <c r="C647" s="2">
        <f>IFERROR(__xludf.DUMMYFUNCTION("""COMPUTED_VALUE"""),2026.0)</f>
        <v>2026</v>
      </c>
      <c r="D647" s="2">
        <f>IFERROR(__xludf.DUMMYFUNCTION("""COMPUTED_VALUE"""),46264.0)</f>
        <v>46264</v>
      </c>
      <c r="E647" s="2" t="str">
        <f>IFERROR(__xludf.DUMMYFUNCTION("""COMPUTED_VALUE"""),"VF")</f>
        <v>VF</v>
      </c>
      <c r="F647" s="2">
        <f>IFERROR(__xludf.DUMMYFUNCTION("""COMPUTED_VALUE"""),4.0)</f>
        <v>4</v>
      </c>
      <c r="G647" s="2" t="str">
        <f>IFERROR(__xludf.DUMMYFUNCTION("""COMPUTED_VALUE"""),"PR039")</f>
        <v>PR039</v>
      </c>
      <c r="H647" s="2" t="str">
        <f>IFERROR(__xludf.DUMMYFUNCTION("""COMPUTED_VALUE"""),"VD048")</f>
        <v>VD048</v>
      </c>
      <c r="I647" s="2">
        <f>IFERROR(__xludf.DUMMYFUNCTION("""COMPUTED_VALUE"""),1.0)</f>
        <v>1</v>
      </c>
      <c r="J647" s="2">
        <f>IFERROR(__xludf.DUMMYFUNCTION("""COMPUTED_VALUE"""),153.3)</f>
        <v>153.3</v>
      </c>
      <c r="K647" s="2">
        <f>IFERROR(__xludf.DUMMYFUNCTION("""COMPUTED_VALUE"""),153.3)</f>
        <v>153.3</v>
      </c>
    </row>
    <row r="648">
      <c r="A648" s="2">
        <f>IFERROR(__xludf.DUMMYFUNCTION("""COMPUTED_VALUE"""),1000.0)</f>
        <v>1000</v>
      </c>
      <c r="B648" s="2">
        <f>IFERROR(__xludf.DUMMYFUNCTION("""COMPUTED_VALUE"""),183920.0)</f>
        <v>183920</v>
      </c>
      <c r="C648" s="2">
        <f>IFERROR(__xludf.DUMMYFUNCTION("""COMPUTED_VALUE"""),2026.0)</f>
        <v>2026</v>
      </c>
      <c r="D648" s="2">
        <f>IFERROR(__xludf.DUMMYFUNCTION("""COMPUTED_VALUE"""),46264.0)</f>
        <v>46264</v>
      </c>
      <c r="E648" s="2" t="str">
        <f>IFERROR(__xludf.DUMMYFUNCTION("""COMPUTED_VALUE"""),"VF")</f>
        <v>VF</v>
      </c>
      <c r="F648" s="2">
        <f>IFERROR(__xludf.DUMMYFUNCTION("""COMPUTED_VALUE"""),1.0)</f>
        <v>1</v>
      </c>
      <c r="G648" s="2" t="str">
        <f>IFERROR(__xludf.DUMMYFUNCTION("""COMPUTED_VALUE"""),"PR001")</f>
        <v>PR001</v>
      </c>
      <c r="H648" s="2" t="str">
        <f>IFERROR(__xludf.DUMMYFUNCTION("""COMPUTED_VALUE"""),"VD028")</f>
        <v>VD028</v>
      </c>
      <c r="I648" s="2">
        <f>IFERROR(__xludf.DUMMYFUNCTION("""COMPUTED_VALUE"""),5.0)</f>
        <v>5</v>
      </c>
      <c r="J648" s="2">
        <f>IFERROR(__xludf.DUMMYFUNCTION("""COMPUTED_VALUE"""),336.09)</f>
        <v>336.09</v>
      </c>
      <c r="K648" s="2">
        <f>IFERROR(__xludf.DUMMYFUNCTION("""COMPUTED_VALUE"""),336.09)</f>
        <v>336.09</v>
      </c>
    </row>
    <row r="649">
      <c r="A649" s="2">
        <f>IFERROR(__xludf.DUMMYFUNCTION("""COMPUTED_VALUE"""),1000.0)</f>
        <v>1000</v>
      </c>
      <c r="B649" s="2">
        <f>IFERROR(__xludf.DUMMYFUNCTION("""COMPUTED_VALUE"""),183920.0)</f>
        <v>183920</v>
      </c>
      <c r="C649" s="2">
        <f>IFERROR(__xludf.DUMMYFUNCTION("""COMPUTED_VALUE"""),2026.0)</f>
        <v>2026</v>
      </c>
      <c r="D649" s="2">
        <f>IFERROR(__xludf.DUMMYFUNCTION("""COMPUTED_VALUE"""),46263.0)</f>
        <v>46263</v>
      </c>
      <c r="E649" s="2" t="str">
        <f>IFERROR(__xludf.DUMMYFUNCTION("""COMPUTED_VALUE"""),"VF")</f>
        <v>VF</v>
      </c>
      <c r="F649" s="2">
        <f>IFERROR(__xludf.DUMMYFUNCTION("""COMPUTED_VALUE"""),2.0)</f>
        <v>2</v>
      </c>
      <c r="G649" s="2" t="str">
        <f>IFERROR(__xludf.DUMMYFUNCTION("""COMPUTED_VALUE"""),"PR006")</f>
        <v>PR006</v>
      </c>
      <c r="H649" s="2" t="str">
        <f>IFERROR(__xludf.DUMMYFUNCTION("""COMPUTED_VALUE"""),"VD027")</f>
        <v>VD027</v>
      </c>
      <c r="I649" s="2">
        <f>IFERROR(__xludf.DUMMYFUNCTION("""COMPUTED_VALUE"""),8.0)</f>
        <v>8</v>
      </c>
      <c r="J649" s="2">
        <f>IFERROR(__xludf.DUMMYFUNCTION("""COMPUTED_VALUE"""),347.93)</f>
        <v>347.93</v>
      </c>
      <c r="K649" s="2">
        <f>IFERROR(__xludf.DUMMYFUNCTION("""COMPUTED_VALUE"""),347.93)</f>
        <v>347.93</v>
      </c>
    </row>
    <row r="650">
      <c r="A650" s="2">
        <f>IFERROR(__xludf.DUMMYFUNCTION("""COMPUTED_VALUE"""),1000.0)</f>
        <v>1000</v>
      </c>
      <c r="B650" s="2">
        <f>IFERROR(__xludf.DUMMYFUNCTION("""COMPUTED_VALUE"""),183921.0)</f>
        <v>183921</v>
      </c>
      <c r="C650" s="2">
        <f>IFERROR(__xludf.DUMMYFUNCTION("""COMPUTED_VALUE"""),2026.0)</f>
        <v>2026</v>
      </c>
      <c r="D650" s="2">
        <f>IFERROR(__xludf.DUMMYFUNCTION("""COMPUTED_VALUE"""),46263.0)</f>
        <v>46263</v>
      </c>
      <c r="E650" s="2" t="str">
        <f>IFERROR(__xludf.DUMMYFUNCTION("""COMPUTED_VALUE"""),"VF")</f>
        <v>VF</v>
      </c>
      <c r="F650" s="2">
        <f>IFERROR(__xludf.DUMMYFUNCTION("""COMPUTED_VALUE"""),1.0)</f>
        <v>1</v>
      </c>
      <c r="G650" s="2" t="str">
        <f>IFERROR(__xludf.DUMMYFUNCTION("""COMPUTED_VALUE"""),"PR049")</f>
        <v>PR049</v>
      </c>
      <c r="H650" s="2" t="str">
        <f>IFERROR(__xludf.DUMMYFUNCTION("""COMPUTED_VALUE"""),"VD017")</f>
        <v>VD017</v>
      </c>
      <c r="I650" s="2">
        <f>IFERROR(__xludf.DUMMYFUNCTION("""COMPUTED_VALUE"""),16.0)</f>
        <v>16</v>
      </c>
      <c r="J650" s="2">
        <f>IFERROR(__xludf.DUMMYFUNCTION("""COMPUTED_VALUE"""),536.93)</f>
        <v>536.93</v>
      </c>
      <c r="K650" s="2">
        <f>IFERROR(__xludf.DUMMYFUNCTION("""COMPUTED_VALUE"""),536.93)</f>
        <v>536.93</v>
      </c>
    </row>
    <row r="651">
      <c r="A651" s="2">
        <f>IFERROR(__xludf.DUMMYFUNCTION("""COMPUTED_VALUE"""),1000.0)</f>
        <v>1000</v>
      </c>
      <c r="B651" s="2">
        <f>IFERROR(__xludf.DUMMYFUNCTION("""COMPUTED_VALUE"""),183921.0)</f>
        <v>183921</v>
      </c>
      <c r="C651" s="2">
        <f>IFERROR(__xludf.DUMMYFUNCTION("""COMPUTED_VALUE"""),2026.0)</f>
        <v>2026</v>
      </c>
      <c r="D651" s="2">
        <f>IFERROR(__xludf.DUMMYFUNCTION("""COMPUTED_VALUE"""),46263.0)</f>
        <v>46263</v>
      </c>
      <c r="E651" s="2" t="str">
        <f>IFERROR(__xludf.DUMMYFUNCTION("""COMPUTED_VALUE"""),"VF")</f>
        <v>VF</v>
      </c>
      <c r="F651" s="2">
        <f>IFERROR(__xludf.DUMMYFUNCTION("""COMPUTED_VALUE"""),2.0)</f>
        <v>2</v>
      </c>
      <c r="G651" s="2" t="str">
        <f>IFERROR(__xludf.DUMMYFUNCTION("""COMPUTED_VALUE"""),"PR029")</f>
        <v>PR029</v>
      </c>
      <c r="H651" s="2" t="str">
        <f>IFERROR(__xludf.DUMMYFUNCTION("""COMPUTED_VALUE"""),"VD035")</f>
        <v>VD035</v>
      </c>
      <c r="I651" s="2">
        <f>IFERROR(__xludf.DUMMYFUNCTION("""COMPUTED_VALUE"""),8.0)</f>
        <v>8</v>
      </c>
      <c r="J651" s="2">
        <f>IFERROR(__xludf.DUMMYFUNCTION("""COMPUTED_VALUE"""),2121.6)</f>
        <v>2121.6</v>
      </c>
      <c r="K651" s="2">
        <f>IFERROR(__xludf.DUMMYFUNCTION("""COMPUTED_VALUE"""),2121.6)</f>
        <v>2121.6</v>
      </c>
    </row>
    <row r="652">
      <c r="A652" s="2">
        <f>IFERROR(__xludf.DUMMYFUNCTION("""COMPUTED_VALUE"""),1000.0)</f>
        <v>1000</v>
      </c>
      <c r="B652" s="2">
        <f>IFERROR(__xludf.DUMMYFUNCTION("""COMPUTED_VALUE"""),183922.0)</f>
        <v>183922</v>
      </c>
      <c r="C652" s="2">
        <f>IFERROR(__xludf.DUMMYFUNCTION("""COMPUTED_VALUE"""),2026.0)</f>
        <v>2026</v>
      </c>
      <c r="D652" s="2">
        <f>IFERROR(__xludf.DUMMYFUNCTION("""COMPUTED_VALUE"""),46263.0)</f>
        <v>46263</v>
      </c>
      <c r="E652" s="2" t="str">
        <f>IFERROR(__xludf.DUMMYFUNCTION("""COMPUTED_VALUE"""),"VF")</f>
        <v>VF</v>
      </c>
      <c r="F652" s="2">
        <f>IFERROR(__xludf.DUMMYFUNCTION("""COMPUTED_VALUE"""),1.0)</f>
        <v>1</v>
      </c>
      <c r="G652" s="2" t="str">
        <f>IFERROR(__xludf.DUMMYFUNCTION("""COMPUTED_VALUE"""),"PR053")</f>
        <v>PR053</v>
      </c>
      <c r="H652" s="2" t="str">
        <f>IFERROR(__xludf.DUMMYFUNCTION("""COMPUTED_VALUE"""),"VD017")</f>
        <v>VD017</v>
      </c>
      <c r="I652" s="2">
        <f>IFERROR(__xludf.DUMMYFUNCTION("""COMPUTED_VALUE"""),3.0)</f>
        <v>3</v>
      </c>
      <c r="J652" s="2">
        <f>IFERROR(__xludf.DUMMYFUNCTION("""COMPUTED_VALUE"""),164.67)</f>
        <v>164.67</v>
      </c>
      <c r="K652" s="2">
        <f>IFERROR(__xludf.DUMMYFUNCTION("""COMPUTED_VALUE"""),164.67)</f>
        <v>164.67</v>
      </c>
    </row>
    <row r="653">
      <c r="A653" s="2">
        <f>IFERROR(__xludf.DUMMYFUNCTION("""COMPUTED_VALUE"""),1000.0)</f>
        <v>1000</v>
      </c>
      <c r="B653" s="2">
        <f>IFERROR(__xludf.DUMMYFUNCTION("""COMPUTED_VALUE"""),183923.0)</f>
        <v>183923</v>
      </c>
      <c r="C653" s="2">
        <f>IFERROR(__xludf.DUMMYFUNCTION("""COMPUTED_VALUE"""),2026.0)</f>
        <v>2026</v>
      </c>
      <c r="D653" s="2">
        <f>IFERROR(__xludf.DUMMYFUNCTION("""COMPUTED_VALUE"""),46263.0)</f>
        <v>46263</v>
      </c>
      <c r="E653" s="2" t="str">
        <f>IFERROR(__xludf.DUMMYFUNCTION("""COMPUTED_VALUE"""),"VF")</f>
        <v>VF</v>
      </c>
      <c r="F653" s="2">
        <f>IFERROR(__xludf.DUMMYFUNCTION("""COMPUTED_VALUE"""),1.0)</f>
        <v>1</v>
      </c>
      <c r="G653" s="2" t="str">
        <f>IFERROR(__xludf.DUMMYFUNCTION("""COMPUTED_VALUE"""),"PR058")</f>
        <v>PR058</v>
      </c>
      <c r="H653" s="2" t="str">
        <f>IFERROR(__xludf.DUMMYFUNCTION("""COMPUTED_VALUE"""),"VD038")</f>
        <v>VD038</v>
      </c>
      <c r="I653" s="2">
        <f>IFERROR(__xludf.DUMMYFUNCTION("""COMPUTED_VALUE"""),5.0)</f>
        <v>5</v>
      </c>
      <c r="J653" s="2">
        <f>IFERROR(__xludf.DUMMYFUNCTION("""COMPUTED_VALUE"""),909.0)</f>
        <v>909</v>
      </c>
      <c r="K653" s="2">
        <f>IFERROR(__xludf.DUMMYFUNCTION("""COMPUTED_VALUE"""),909.0)</f>
        <v>909</v>
      </c>
    </row>
    <row r="654">
      <c r="A654" s="2">
        <f>IFERROR(__xludf.DUMMYFUNCTION("""COMPUTED_VALUE"""),1000.0)</f>
        <v>1000</v>
      </c>
      <c r="B654" s="2">
        <f>IFERROR(__xludf.DUMMYFUNCTION("""COMPUTED_VALUE"""),183924.0)</f>
        <v>183924</v>
      </c>
      <c r="C654" s="2">
        <f>IFERROR(__xludf.DUMMYFUNCTION("""COMPUTED_VALUE"""),2026.0)</f>
        <v>2026</v>
      </c>
      <c r="D654" s="2">
        <f>IFERROR(__xludf.DUMMYFUNCTION("""COMPUTED_VALUE"""),46263.0)</f>
        <v>46263</v>
      </c>
      <c r="E654" s="2" t="str">
        <f>IFERROR(__xludf.DUMMYFUNCTION("""COMPUTED_VALUE"""),"VF")</f>
        <v>VF</v>
      </c>
      <c r="F654" s="2">
        <f>IFERROR(__xludf.DUMMYFUNCTION("""COMPUTED_VALUE"""),1.0)</f>
        <v>1</v>
      </c>
      <c r="G654" s="2" t="str">
        <f>IFERROR(__xludf.DUMMYFUNCTION("""COMPUTED_VALUE"""),"PR054")</f>
        <v>PR054</v>
      </c>
      <c r="H654" s="2" t="str">
        <f>IFERROR(__xludf.DUMMYFUNCTION("""COMPUTED_VALUE"""),"VD021")</f>
        <v>VD021</v>
      </c>
      <c r="I654" s="2">
        <f>IFERROR(__xludf.DUMMYFUNCTION("""COMPUTED_VALUE"""),12.0)</f>
        <v>12</v>
      </c>
      <c r="J654" s="2">
        <f>IFERROR(__xludf.DUMMYFUNCTION("""COMPUTED_VALUE"""),604.79)</f>
        <v>604.79</v>
      </c>
      <c r="K654" s="2">
        <f>IFERROR(__xludf.DUMMYFUNCTION("""COMPUTED_VALUE"""),604.79)</f>
        <v>604.79</v>
      </c>
    </row>
    <row r="655">
      <c r="A655" s="2">
        <f>IFERROR(__xludf.DUMMYFUNCTION("""COMPUTED_VALUE"""),1000.0)</f>
        <v>1000</v>
      </c>
      <c r="B655" s="2">
        <f>IFERROR(__xludf.DUMMYFUNCTION("""COMPUTED_VALUE"""),183924.0)</f>
        <v>183924</v>
      </c>
      <c r="C655" s="2">
        <f>IFERROR(__xludf.DUMMYFUNCTION("""COMPUTED_VALUE"""),2026.0)</f>
        <v>2026</v>
      </c>
      <c r="D655" s="2">
        <f>IFERROR(__xludf.DUMMYFUNCTION("""COMPUTED_VALUE"""),46262.0)</f>
        <v>46262</v>
      </c>
      <c r="E655" s="2" t="str">
        <f>IFERROR(__xludf.DUMMYFUNCTION("""COMPUTED_VALUE"""),"VF")</f>
        <v>VF</v>
      </c>
      <c r="F655" s="2">
        <f>IFERROR(__xludf.DUMMYFUNCTION("""COMPUTED_VALUE"""),2.0)</f>
        <v>2</v>
      </c>
      <c r="G655" s="2" t="str">
        <f>IFERROR(__xludf.DUMMYFUNCTION("""COMPUTED_VALUE"""),"PR035")</f>
        <v>PR035</v>
      </c>
      <c r="H655" s="2" t="str">
        <f>IFERROR(__xludf.DUMMYFUNCTION("""COMPUTED_VALUE"""),"VD039")</f>
        <v>VD039</v>
      </c>
      <c r="I655" s="2">
        <f>IFERROR(__xludf.DUMMYFUNCTION("""COMPUTED_VALUE"""),1.0)</f>
        <v>1</v>
      </c>
      <c r="J655" s="2">
        <f>IFERROR(__xludf.DUMMYFUNCTION("""COMPUTED_VALUE"""),94.14)</f>
        <v>94.14</v>
      </c>
      <c r="K655" s="2">
        <f>IFERROR(__xludf.DUMMYFUNCTION("""COMPUTED_VALUE"""),94.14)</f>
        <v>94.14</v>
      </c>
    </row>
    <row r="656">
      <c r="A656" s="2">
        <f>IFERROR(__xludf.DUMMYFUNCTION("""COMPUTED_VALUE"""),1000.0)</f>
        <v>1000</v>
      </c>
      <c r="B656" s="2">
        <f>IFERROR(__xludf.DUMMYFUNCTION("""COMPUTED_VALUE"""),183925.0)</f>
        <v>183925</v>
      </c>
      <c r="C656" s="2">
        <f>IFERROR(__xludf.DUMMYFUNCTION("""COMPUTED_VALUE"""),2026.0)</f>
        <v>2026</v>
      </c>
      <c r="D656" s="2">
        <f>IFERROR(__xludf.DUMMYFUNCTION("""COMPUTED_VALUE"""),46262.0)</f>
        <v>46262</v>
      </c>
      <c r="E656" s="2" t="str">
        <f>IFERROR(__xludf.DUMMYFUNCTION("""COMPUTED_VALUE"""),"VF")</f>
        <v>VF</v>
      </c>
      <c r="F656" s="2">
        <f>IFERROR(__xludf.DUMMYFUNCTION("""COMPUTED_VALUE"""),1.0)</f>
        <v>1</v>
      </c>
      <c r="G656" s="2" t="str">
        <f>IFERROR(__xludf.DUMMYFUNCTION("""COMPUTED_VALUE"""),"PR013")</f>
        <v>PR013</v>
      </c>
      <c r="H656" s="2" t="str">
        <f>IFERROR(__xludf.DUMMYFUNCTION("""COMPUTED_VALUE"""),"VD020")</f>
        <v>VD020</v>
      </c>
      <c r="I656" s="2">
        <f>IFERROR(__xludf.DUMMYFUNCTION("""COMPUTED_VALUE"""),18.0)</f>
        <v>18</v>
      </c>
      <c r="J656" s="2">
        <f>IFERROR(__xludf.DUMMYFUNCTION("""COMPUTED_VALUE"""),761.29)</f>
        <v>761.29</v>
      </c>
      <c r="K656" s="2">
        <f>IFERROR(__xludf.DUMMYFUNCTION("""COMPUTED_VALUE"""),761.29)</f>
        <v>761.29</v>
      </c>
    </row>
    <row r="657">
      <c r="A657" s="2">
        <f>IFERROR(__xludf.DUMMYFUNCTION("""COMPUTED_VALUE"""),1000.0)</f>
        <v>1000</v>
      </c>
      <c r="B657" s="2">
        <f>IFERROR(__xludf.DUMMYFUNCTION("""COMPUTED_VALUE"""),183926.0)</f>
        <v>183926</v>
      </c>
      <c r="C657" s="2">
        <f>IFERROR(__xludf.DUMMYFUNCTION("""COMPUTED_VALUE"""),2026.0)</f>
        <v>2026</v>
      </c>
      <c r="D657" s="2">
        <f>IFERROR(__xludf.DUMMYFUNCTION("""COMPUTED_VALUE"""),46262.0)</f>
        <v>46262</v>
      </c>
      <c r="E657" s="2" t="str">
        <f>IFERROR(__xludf.DUMMYFUNCTION("""COMPUTED_VALUE"""),"VF")</f>
        <v>VF</v>
      </c>
      <c r="F657" s="2">
        <f>IFERROR(__xludf.DUMMYFUNCTION("""COMPUTED_VALUE"""),1.0)</f>
        <v>1</v>
      </c>
      <c r="G657" s="2" t="str">
        <f>IFERROR(__xludf.DUMMYFUNCTION("""COMPUTED_VALUE"""),"PR011")</f>
        <v>PR011</v>
      </c>
      <c r="H657" s="2" t="str">
        <f>IFERROR(__xludf.DUMMYFUNCTION("""COMPUTED_VALUE"""),"VD032")</f>
        <v>VD032</v>
      </c>
      <c r="I657" s="2">
        <f>IFERROR(__xludf.DUMMYFUNCTION("""COMPUTED_VALUE"""),18.0)</f>
        <v>18</v>
      </c>
      <c r="J657" s="2">
        <f>IFERROR(__xludf.DUMMYFUNCTION("""COMPUTED_VALUE"""),886.41)</f>
        <v>886.41</v>
      </c>
      <c r="K657" s="2">
        <f>IFERROR(__xludf.DUMMYFUNCTION("""COMPUTED_VALUE"""),886.41)</f>
        <v>886.41</v>
      </c>
    </row>
    <row r="658">
      <c r="A658" s="2">
        <f>IFERROR(__xludf.DUMMYFUNCTION("""COMPUTED_VALUE"""),1000.0)</f>
        <v>1000</v>
      </c>
      <c r="B658" s="2">
        <f>IFERROR(__xludf.DUMMYFUNCTION("""COMPUTED_VALUE"""),183927.0)</f>
        <v>183927</v>
      </c>
      <c r="C658" s="2">
        <f>IFERROR(__xludf.DUMMYFUNCTION("""COMPUTED_VALUE"""),2026.0)</f>
        <v>2026</v>
      </c>
      <c r="D658" s="2">
        <f>IFERROR(__xludf.DUMMYFUNCTION("""COMPUTED_VALUE"""),46261.0)</f>
        <v>46261</v>
      </c>
      <c r="E658" s="2" t="str">
        <f>IFERROR(__xludf.DUMMYFUNCTION("""COMPUTED_VALUE"""),"VF")</f>
        <v>VF</v>
      </c>
      <c r="F658" s="2">
        <f>IFERROR(__xludf.DUMMYFUNCTION("""COMPUTED_VALUE"""),1.0)</f>
        <v>1</v>
      </c>
      <c r="G658" s="2" t="str">
        <f>IFERROR(__xludf.DUMMYFUNCTION("""COMPUTED_VALUE"""),"PR037")</f>
        <v>PR037</v>
      </c>
      <c r="H658" s="2" t="str">
        <f>IFERROR(__xludf.DUMMYFUNCTION("""COMPUTED_VALUE"""),"VD010")</f>
        <v>VD010</v>
      </c>
      <c r="I658" s="2">
        <f>IFERROR(__xludf.DUMMYFUNCTION("""COMPUTED_VALUE"""),10.0)</f>
        <v>10</v>
      </c>
      <c r="J658" s="2">
        <f>IFERROR(__xludf.DUMMYFUNCTION("""COMPUTED_VALUE"""),1540.0)</f>
        <v>1540</v>
      </c>
      <c r="K658" s="2">
        <f>IFERROR(__xludf.DUMMYFUNCTION("""COMPUTED_VALUE"""),1540.0)</f>
        <v>1540</v>
      </c>
    </row>
    <row r="659">
      <c r="A659" s="2">
        <f>IFERROR(__xludf.DUMMYFUNCTION("""COMPUTED_VALUE"""),1000.0)</f>
        <v>1000</v>
      </c>
      <c r="B659" s="2">
        <f>IFERROR(__xludf.DUMMYFUNCTION("""COMPUTED_VALUE"""),183928.0)</f>
        <v>183928</v>
      </c>
      <c r="C659" s="2">
        <f>IFERROR(__xludf.DUMMYFUNCTION("""COMPUTED_VALUE"""),2026.0)</f>
        <v>2026</v>
      </c>
      <c r="D659" s="2">
        <f>IFERROR(__xludf.DUMMYFUNCTION("""COMPUTED_VALUE"""),46261.0)</f>
        <v>46261</v>
      </c>
      <c r="E659" s="2" t="str">
        <f>IFERROR(__xludf.DUMMYFUNCTION("""COMPUTED_VALUE"""),"VF")</f>
        <v>VF</v>
      </c>
      <c r="F659" s="2">
        <f>IFERROR(__xludf.DUMMYFUNCTION("""COMPUTED_VALUE"""),1.0)</f>
        <v>1</v>
      </c>
      <c r="G659" s="2" t="str">
        <f>IFERROR(__xludf.DUMMYFUNCTION("""COMPUTED_VALUE"""),"PR038")</f>
        <v>PR038</v>
      </c>
      <c r="H659" s="2" t="str">
        <f>IFERROR(__xludf.DUMMYFUNCTION("""COMPUTED_VALUE"""),"VD040")</f>
        <v>VD040</v>
      </c>
      <c r="I659" s="2">
        <f>IFERROR(__xludf.DUMMYFUNCTION("""COMPUTED_VALUE"""),6.0)</f>
        <v>6</v>
      </c>
      <c r="J659" s="2">
        <f>IFERROR(__xludf.DUMMYFUNCTION("""COMPUTED_VALUE"""),908.84)</f>
        <v>908.84</v>
      </c>
      <c r="K659" s="2">
        <f>IFERROR(__xludf.DUMMYFUNCTION("""COMPUTED_VALUE"""),908.84)</f>
        <v>908.84</v>
      </c>
    </row>
    <row r="660">
      <c r="A660" s="2">
        <f>IFERROR(__xludf.DUMMYFUNCTION("""COMPUTED_VALUE"""),1000.0)</f>
        <v>1000</v>
      </c>
      <c r="B660" s="2">
        <f>IFERROR(__xludf.DUMMYFUNCTION("""COMPUTED_VALUE"""),183929.0)</f>
        <v>183929</v>
      </c>
      <c r="C660" s="2">
        <f>IFERROR(__xludf.DUMMYFUNCTION("""COMPUTED_VALUE"""),2026.0)</f>
        <v>2026</v>
      </c>
      <c r="D660" s="2">
        <f>IFERROR(__xludf.DUMMYFUNCTION("""COMPUTED_VALUE"""),46261.0)</f>
        <v>46261</v>
      </c>
      <c r="E660" s="2" t="str">
        <f>IFERROR(__xludf.DUMMYFUNCTION("""COMPUTED_VALUE"""),"VF")</f>
        <v>VF</v>
      </c>
      <c r="F660" s="2">
        <f>IFERROR(__xludf.DUMMYFUNCTION("""COMPUTED_VALUE"""),1.0)</f>
        <v>1</v>
      </c>
      <c r="G660" s="2" t="str">
        <f>IFERROR(__xludf.DUMMYFUNCTION("""COMPUTED_VALUE"""),"PR049")</f>
        <v>PR049</v>
      </c>
      <c r="H660" s="2" t="str">
        <f>IFERROR(__xludf.DUMMYFUNCTION("""COMPUTED_VALUE"""),"VD020")</f>
        <v>VD020</v>
      </c>
      <c r="I660" s="2">
        <f>IFERROR(__xludf.DUMMYFUNCTION("""COMPUTED_VALUE"""),2.0)</f>
        <v>2</v>
      </c>
      <c r="J660" s="2">
        <f>IFERROR(__xludf.DUMMYFUNCTION("""COMPUTED_VALUE"""),68.43)</f>
        <v>68.43</v>
      </c>
      <c r="K660" s="2">
        <f>IFERROR(__xludf.DUMMYFUNCTION("""COMPUTED_VALUE"""),68.43)</f>
        <v>68.43</v>
      </c>
    </row>
    <row r="661">
      <c r="A661" s="2">
        <f>IFERROR(__xludf.DUMMYFUNCTION("""COMPUTED_VALUE"""),2000.0)</f>
        <v>2000</v>
      </c>
      <c r="B661" s="2">
        <f>IFERROR(__xludf.DUMMYFUNCTION("""COMPUTED_VALUE"""),183929.0)</f>
        <v>183929</v>
      </c>
      <c r="C661" s="2">
        <f>IFERROR(__xludf.DUMMYFUNCTION("""COMPUTED_VALUE"""),2026.0)</f>
        <v>2026</v>
      </c>
      <c r="D661" s="2">
        <f>IFERROR(__xludf.DUMMYFUNCTION("""COMPUTED_VALUE"""),46261.0)</f>
        <v>46261</v>
      </c>
      <c r="E661" s="2" t="str">
        <f>IFERROR(__xludf.DUMMYFUNCTION("""COMPUTED_VALUE"""),"VF")</f>
        <v>VF</v>
      </c>
      <c r="F661" s="2">
        <f>IFERROR(__xludf.DUMMYFUNCTION("""COMPUTED_VALUE"""),2.0)</f>
        <v>2</v>
      </c>
      <c r="G661" s="2" t="str">
        <f>IFERROR(__xludf.DUMMYFUNCTION("""COMPUTED_VALUE"""),"PR006")</f>
        <v>PR006</v>
      </c>
      <c r="H661" s="2" t="str">
        <f>IFERROR(__xludf.DUMMYFUNCTION("""COMPUTED_VALUE"""),"VD048")</f>
        <v>VD048</v>
      </c>
      <c r="I661" s="2">
        <f>IFERROR(__xludf.DUMMYFUNCTION("""COMPUTED_VALUE"""),7.0)</f>
        <v>7</v>
      </c>
      <c r="J661" s="2">
        <f>IFERROR(__xludf.DUMMYFUNCTION("""COMPUTED_VALUE"""),307.23)</f>
        <v>307.23</v>
      </c>
      <c r="K661" s="2">
        <f>IFERROR(__xludf.DUMMYFUNCTION("""COMPUTED_VALUE"""),307.23)</f>
        <v>307.23</v>
      </c>
    </row>
    <row r="662">
      <c r="A662" s="2">
        <f>IFERROR(__xludf.DUMMYFUNCTION("""COMPUTED_VALUE"""),1000.0)</f>
        <v>1000</v>
      </c>
      <c r="B662" s="2">
        <f>IFERROR(__xludf.DUMMYFUNCTION("""COMPUTED_VALUE"""),183930.0)</f>
        <v>183930</v>
      </c>
      <c r="C662" s="2">
        <f>IFERROR(__xludf.DUMMYFUNCTION("""COMPUTED_VALUE"""),2026.0)</f>
        <v>2026</v>
      </c>
      <c r="D662" s="2">
        <f>IFERROR(__xludf.DUMMYFUNCTION("""COMPUTED_VALUE"""),46260.0)</f>
        <v>46260</v>
      </c>
      <c r="E662" s="2" t="str">
        <f>IFERROR(__xludf.DUMMYFUNCTION("""COMPUTED_VALUE"""),"VF")</f>
        <v>VF</v>
      </c>
      <c r="F662" s="2">
        <f>IFERROR(__xludf.DUMMYFUNCTION("""COMPUTED_VALUE"""),1.0)</f>
        <v>1</v>
      </c>
      <c r="G662" s="2" t="str">
        <f>IFERROR(__xludf.DUMMYFUNCTION("""COMPUTED_VALUE"""),"PR058")</f>
        <v>PR058</v>
      </c>
      <c r="H662" s="2" t="str">
        <f>IFERROR(__xludf.DUMMYFUNCTION("""COMPUTED_VALUE"""),"VD021")</f>
        <v>VD021</v>
      </c>
      <c r="I662" s="2">
        <f>IFERROR(__xludf.DUMMYFUNCTION("""COMPUTED_VALUE"""),6.0)</f>
        <v>6</v>
      </c>
      <c r="J662" s="2">
        <f>IFERROR(__xludf.DUMMYFUNCTION("""COMPUTED_VALUE"""),1166.4)</f>
        <v>1166.4</v>
      </c>
      <c r="K662" s="2">
        <f>IFERROR(__xludf.DUMMYFUNCTION("""COMPUTED_VALUE"""),1166.4)</f>
        <v>1166.4</v>
      </c>
    </row>
    <row r="663">
      <c r="A663" s="2">
        <f>IFERROR(__xludf.DUMMYFUNCTION("""COMPUTED_VALUE"""),1000.0)</f>
        <v>1000</v>
      </c>
      <c r="B663" s="2">
        <f>IFERROR(__xludf.DUMMYFUNCTION("""COMPUTED_VALUE"""),183930.0)</f>
        <v>183930</v>
      </c>
      <c r="C663" s="2">
        <f>IFERROR(__xludf.DUMMYFUNCTION("""COMPUTED_VALUE"""),2026.0)</f>
        <v>2026</v>
      </c>
      <c r="D663" s="2">
        <f>IFERROR(__xludf.DUMMYFUNCTION("""COMPUTED_VALUE"""),46260.0)</f>
        <v>46260</v>
      </c>
      <c r="E663" s="2" t="str">
        <f>IFERROR(__xludf.DUMMYFUNCTION("""COMPUTED_VALUE"""),"VF")</f>
        <v>VF</v>
      </c>
      <c r="F663" s="2">
        <f>IFERROR(__xludf.DUMMYFUNCTION("""COMPUTED_VALUE"""),2.0)</f>
        <v>2</v>
      </c>
      <c r="G663" s="2" t="str">
        <f>IFERROR(__xludf.DUMMYFUNCTION("""COMPUTED_VALUE"""),"PR059")</f>
        <v>PR059</v>
      </c>
      <c r="H663" s="2" t="str">
        <f>IFERROR(__xludf.DUMMYFUNCTION("""COMPUTED_VALUE"""),"VD033")</f>
        <v>VD033</v>
      </c>
      <c r="I663" s="2">
        <f>IFERROR(__xludf.DUMMYFUNCTION("""COMPUTED_VALUE"""),6.0)</f>
        <v>6</v>
      </c>
      <c r="J663" s="2">
        <f>IFERROR(__xludf.DUMMYFUNCTION("""COMPUTED_VALUE"""),1166.4)</f>
        <v>1166.4</v>
      </c>
      <c r="K663" s="2">
        <f>IFERROR(__xludf.DUMMYFUNCTION("""COMPUTED_VALUE"""),1166.4)</f>
        <v>1166.4</v>
      </c>
    </row>
    <row r="664">
      <c r="A664" s="2">
        <f>IFERROR(__xludf.DUMMYFUNCTION("""COMPUTED_VALUE"""),1000.0)</f>
        <v>1000</v>
      </c>
      <c r="B664" s="2">
        <f>IFERROR(__xludf.DUMMYFUNCTION("""COMPUTED_VALUE"""),183931.0)</f>
        <v>183931</v>
      </c>
      <c r="C664" s="2">
        <f>IFERROR(__xludf.DUMMYFUNCTION("""COMPUTED_VALUE"""),2026.0)</f>
        <v>2026</v>
      </c>
      <c r="D664" s="2">
        <f>IFERROR(__xludf.DUMMYFUNCTION("""COMPUTED_VALUE"""),46260.0)</f>
        <v>46260</v>
      </c>
      <c r="E664" s="2" t="str">
        <f>IFERROR(__xludf.DUMMYFUNCTION("""COMPUTED_VALUE"""),"VF")</f>
        <v>VF</v>
      </c>
      <c r="F664" s="2">
        <f>IFERROR(__xludf.DUMMYFUNCTION("""COMPUTED_VALUE"""),1.0)</f>
        <v>1</v>
      </c>
      <c r="G664" s="2" t="str">
        <f>IFERROR(__xludf.DUMMYFUNCTION("""COMPUTED_VALUE"""),"PR051")</f>
        <v>PR051</v>
      </c>
      <c r="H664" s="2" t="str">
        <f>IFERROR(__xludf.DUMMYFUNCTION("""COMPUTED_VALUE"""),"VD024")</f>
        <v>VD024</v>
      </c>
      <c r="I664" s="2">
        <f>IFERROR(__xludf.DUMMYFUNCTION("""COMPUTED_VALUE"""),1.0)</f>
        <v>1</v>
      </c>
      <c r="J664" s="2">
        <f>IFERROR(__xludf.DUMMYFUNCTION("""COMPUTED_VALUE"""),33.56)</f>
        <v>33.56</v>
      </c>
      <c r="K664" s="2">
        <f>IFERROR(__xludf.DUMMYFUNCTION("""COMPUTED_VALUE"""),33.56)</f>
        <v>33.56</v>
      </c>
    </row>
    <row r="665">
      <c r="A665" s="2">
        <f>IFERROR(__xludf.DUMMYFUNCTION("""COMPUTED_VALUE"""),1000.0)</f>
        <v>1000</v>
      </c>
      <c r="B665" s="2">
        <f>IFERROR(__xludf.DUMMYFUNCTION("""COMPUTED_VALUE"""),183932.0)</f>
        <v>183932</v>
      </c>
      <c r="C665" s="2">
        <f>IFERROR(__xludf.DUMMYFUNCTION("""COMPUTED_VALUE"""),2026.0)</f>
        <v>2026</v>
      </c>
      <c r="D665" s="2">
        <f>IFERROR(__xludf.DUMMYFUNCTION("""COMPUTED_VALUE"""),46260.0)</f>
        <v>46260</v>
      </c>
      <c r="E665" s="2" t="str">
        <f>IFERROR(__xludf.DUMMYFUNCTION("""COMPUTED_VALUE"""),"VF")</f>
        <v>VF</v>
      </c>
      <c r="F665" s="2">
        <f>IFERROR(__xludf.DUMMYFUNCTION("""COMPUTED_VALUE"""),1.0)</f>
        <v>1</v>
      </c>
      <c r="G665" s="2" t="str">
        <f>IFERROR(__xludf.DUMMYFUNCTION("""COMPUTED_VALUE"""),"PR038")</f>
        <v>PR038</v>
      </c>
      <c r="H665" s="2" t="str">
        <f>IFERROR(__xludf.DUMMYFUNCTION("""COMPUTED_VALUE"""),"VD013")</f>
        <v>VD013</v>
      </c>
      <c r="I665" s="2">
        <f>IFERROR(__xludf.DUMMYFUNCTION("""COMPUTED_VALUE"""),7.0)</f>
        <v>7</v>
      </c>
      <c r="J665" s="2">
        <f>IFERROR(__xludf.DUMMYFUNCTION("""COMPUTED_VALUE"""),1020.31)</f>
        <v>1020.31</v>
      </c>
      <c r="K665" s="2">
        <f>IFERROR(__xludf.DUMMYFUNCTION("""COMPUTED_VALUE"""),1020.31)</f>
        <v>1020.31</v>
      </c>
    </row>
    <row r="666">
      <c r="A666" s="2">
        <f>IFERROR(__xludf.DUMMYFUNCTION("""COMPUTED_VALUE"""),1000.0)</f>
        <v>1000</v>
      </c>
      <c r="B666" s="2">
        <f>IFERROR(__xludf.DUMMYFUNCTION("""COMPUTED_VALUE"""),183933.0)</f>
        <v>183933</v>
      </c>
      <c r="C666" s="2">
        <f>IFERROR(__xludf.DUMMYFUNCTION("""COMPUTED_VALUE"""),2026.0)</f>
        <v>2026</v>
      </c>
      <c r="D666" s="2">
        <f>IFERROR(__xludf.DUMMYFUNCTION("""COMPUTED_VALUE"""),46260.0)</f>
        <v>46260</v>
      </c>
      <c r="E666" s="2" t="str">
        <f>IFERROR(__xludf.DUMMYFUNCTION("""COMPUTED_VALUE"""),"VF")</f>
        <v>VF</v>
      </c>
      <c r="F666" s="2">
        <f>IFERROR(__xludf.DUMMYFUNCTION("""COMPUTED_VALUE"""),1.0)</f>
        <v>1</v>
      </c>
      <c r="G666" s="2" t="str">
        <f>IFERROR(__xludf.DUMMYFUNCTION("""COMPUTED_VALUE"""),"PR005")</f>
        <v>PR005</v>
      </c>
      <c r="H666" s="2" t="str">
        <f>IFERROR(__xludf.DUMMYFUNCTION("""COMPUTED_VALUE"""),"VD048")</f>
        <v>VD048</v>
      </c>
      <c r="I666" s="2">
        <f>IFERROR(__xludf.DUMMYFUNCTION("""COMPUTED_VALUE"""),1.0)</f>
        <v>1</v>
      </c>
      <c r="J666" s="2">
        <f>IFERROR(__xludf.DUMMYFUNCTION("""COMPUTED_VALUE"""),275.49)</f>
        <v>275.49</v>
      </c>
      <c r="K666" s="2">
        <f>IFERROR(__xludf.DUMMYFUNCTION("""COMPUTED_VALUE"""),275.49)</f>
        <v>275.49</v>
      </c>
    </row>
    <row r="667">
      <c r="A667" s="2">
        <f>IFERROR(__xludf.DUMMYFUNCTION("""COMPUTED_VALUE"""),1000.0)</f>
        <v>1000</v>
      </c>
      <c r="B667" s="2">
        <f>IFERROR(__xludf.DUMMYFUNCTION("""COMPUTED_VALUE"""),183934.0)</f>
        <v>183934</v>
      </c>
      <c r="C667" s="2">
        <f>IFERROR(__xludf.DUMMYFUNCTION("""COMPUTED_VALUE"""),2026.0)</f>
        <v>2026</v>
      </c>
      <c r="D667" s="2">
        <f>IFERROR(__xludf.DUMMYFUNCTION("""COMPUTED_VALUE"""),46260.0)</f>
        <v>46260</v>
      </c>
      <c r="E667" s="2" t="str">
        <f>IFERROR(__xludf.DUMMYFUNCTION("""COMPUTED_VALUE"""),"VF")</f>
        <v>VF</v>
      </c>
      <c r="F667" s="2">
        <f>IFERROR(__xludf.DUMMYFUNCTION("""COMPUTED_VALUE"""),1.0)</f>
        <v>1</v>
      </c>
      <c r="G667" s="2" t="str">
        <f>IFERROR(__xludf.DUMMYFUNCTION("""COMPUTED_VALUE"""),"PR008")</f>
        <v>PR008</v>
      </c>
      <c r="H667" s="2" t="str">
        <f>IFERROR(__xludf.DUMMYFUNCTION("""COMPUTED_VALUE"""),"VD015")</f>
        <v>VD015</v>
      </c>
      <c r="I667" s="2">
        <f>IFERROR(__xludf.DUMMYFUNCTION("""COMPUTED_VALUE"""),20.0)</f>
        <v>20</v>
      </c>
      <c r="J667" s="2">
        <f>IFERROR(__xludf.DUMMYFUNCTION("""COMPUTED_VALUE"""),1977.8)</f>
        <v>1977.8</v>
      </c>
      <c r="K667" s="2">
        <f>IFERROR(__xludf.DUMMYFUNCTION("""COMPUTED_VALUE"""),1977.8)</f>
        <v>1977.8</v>
      </c>
    </row>
    <row r="668">
      <c r="A668" s="2">
        <f>IFERROR(__xludf.DUMMYFUNCTION("""COMPUTED_VALUE"""),1000.0)</f>
        <v>1000</v>
      </c>
      <c r="B668" s="2">
        <f>IFERROR(__xludf.DUMMYFUNCTION("""COMPUTED_VALUE"""),183935.0)</f>
        <v>183935</v>
      </c>
      <c r="C668" s="2">
        <f>IFERROR(__xludf.DUMMYFUNCTION("""COMPUTED_VALUE"""),2026.0)</f>
        <v>2026</v>
      </c>
      <c r="D668" s="2">
        <f>IFERROR(__xludf.DUMMYFUNCTION("""COMPUTED_VALUE"""),46259.0)</f>
        <v>46259</v>
      </c>
      <c r="E668" s="2" t="str">
        <f>IFERROR(__xludf.DUMMYFUNCTION("""COMPUTED_VALUE"""),"VF")</f>
        <v>VF</v>
      </c>
      <c r="F668" s="2">
        <f>IFERROR(__xludf.DUMMYFUNCTION("""COMPUTED_VALUE"""),1.0)</f>
        <v>1</v>
      </c>
      <c r="G668" s="2" t="str">
        <f>IFERROR(__xludf.DUMMYFUNCTION("""COMPUTED_VALUE"""),"PR044")</f>
        <v>PR044</v>
      </c>
      <c r="H668" s="2" t="str">
        <f>IFERROR(__xludf.DUMMYFUNCTION("""COMPUTED_VALUE"""),"VD046")</f>
        <v>VD046</v>
      </c>
      <c r="I668" s="2">
        <f>IFERROR(__xludf.DUMMYFUNCTION("""COMPUTED_VALUE"""),5.0)</f>
        <v>5</v>
      </c>
      <c r="J668" s="2">
        <f>IFERROR(__xludf.DUMMYFUNCTION("""COMPUTED_VALUE"""),387.88)</f>
        <v>387.88</v>
      </c>
      <c r="K668" s="2">
        <f>IFERROR(__xludf.DUMMYFUNCTION("""COMPUTED_VALUE"""),387.88)</f>
        <v>387.88</v>
      </c>
    </row>
    <row r="669">
      <c r="A669" s="2">
        <f>IFERROR(__xludf.DUMMYFUNCTION("""COMPUTED_VALUE"""),1000.0)</f>
        <v>1000</v>
      </c>
      <c r="B669" s="2">
        <f>IFERROR(__xludf.DUMMYFUNCTION("""COMPUTED_VALUE"""),183935.0)</f>
        <v>183935</v>
      </c>
      <c r="C669" s="2">
        <f>IFERROR(__xludf.DUMMYFUNCTION("""COMPUTED_VALUE"""),2026.0)</f>
        <v>2026</v>
      </c>
      <c r="D669" s="2">
        <f>IFERROR(__xludf.DUMMYFUNCTION("""COMPUTED_VALUE"""),46259.0)</f>
        <v>46259</v>
      </c>
      <c r="E669" s="2" t="str">
        <f>IFERROR(__xludf.DUMMYFUNCTION("""COMPUTED_VALUE"""),"VF")</f>
        <v>VF</v>
      </c>
      <c r="F669" s="2">
        <f>IFERROR(__xludf.DUMMYFUNCTION("""COMPUTED_VALUE"""),2.0)</f>
        <v>2</v>
      </c>
      <c r="G669" s="2" t="str">
        <f>IFERROR(__xludf.DUMMYFUNCTION("""COMPUTED_VALUE"""),"PR022")</f>
        <v>PR022</v>
      </c>
      <c r="H669" s="2" t="str">
        <f>IFERROR(__xludf.DUMMYFUNCTION("""COMPUTED_VALUE"""),"VD021")</f>
        <v>VD021</v>
      </c>
      <c r="I669" s="2">
        <f>IFERROR(__xludf.DUMMYFUNCTION("""COMPUTED_VALUE"""),3.0)</f>
        <v>3</v>
      </c>
      <c r="J669" s="2">
        <f>IFERROR(__xludf.DUMMYFUNCTION("""COMPUTED_VALUE"""),963.0)</f>
        <v>963</v>
      </c>
      <c r="K669" s="2">
        <f>IFERROR(__xludf.DUMMYFUNCTION("""COMPUTED_VALUE"""),963.0)</f>
        <v>963</v>
      </c>
    </row>
    <row r="670">
      <c r="A670" s="2">
        <f>IFERROR(__xludf.DUMMYFUNCTION("""COMPUTED_VALUE"""),1000.0)</f>
        <v>1000</v>
      </c>
      <c r="B670" s="2">
        <f>IFERROR(__xludf.DUMMYFUNCTION("""COMPUTED_VALUE"""),183935.0)</f>
        <v>183935</v>
      </c>
      <c r="C670" s="2">
        <f>IFERROR(__xludf.DUMMYFUNCTION("""COMPUTED_VALUE"""),2026.0)</f>
        <v>2026</v>
      </c>
      <c r="D670" s="2">
        <f>IFERROR(__xludf.DUMMYFUNCTION("""COMPUTED_VALUE"""),46258.0)</f>
        <v>46258</v>
      </c>
      <c r="E670" s="2" t="str">
        <f>IFERROR(__xludf.DUMMYFUNCTION("""COMPUTED_VALUE"""),"VF")</f>
        <v>VF</v>
      </c>
      <c r="F670" s="2">
        <f>IFERROR(__xludf.DUMMYFUNCTION("""COMPUTED_VALUE"""),3.0)</f>
        <v>3</v>
      </c>
      <c r="G670" s="2" t="str">
        <f>IFERROR(__xludf.DUMMYFUNCTION("""COMPUTED_VALUE"""),"PR017")</f>
        <v>PR017</v>
      </c>
      <c r="H670" s="2" t="str">
        <f>IFERROR(__xludf.DUMMYFUNCTION("""COMPUTED_VALUE"""),"VD042")</f>
        <v>VD042</v>
      </c>
      <c r="I670" s="2">
        <f>IFERROR(__xludf.DUMMYFUNCTION("""COMPUTED_VALUE"""),4.0)</f>
        <v>4</v>
      </c>
      <c r="J670" s="2">
        <f>IFERROR(__xludf.DUMMYFUNCTION("""COMPUTED_VALUE"""),121.99)</f>
        <v>121.99</v>
      </c>
      <c r="K670" s="2">
        <f>IFERROR(__xludf.DUMMYFUNCTION("""COMPUTED_VALUE"""),121.99)</f>
        <v>121.99</v>
      </c>
    </row>
    <row r="671">
      <c r="A671" s="2">
        <f>IFERROR(__xludf.DUMMYFUNCTION("""COMPUTED_VALUE"""),1000.0)</f>
        <v>1000</v>
      </c>
      <c r="B671" s="2">
        <f>IFERROR(__xludf.DUMMYFUNCTION("""COMPUTED_VALUE"""),183935.0)</f>
        <v>183935</v>
      </c>
      <c r="C671" s="2">
        <f>IFERROR(__xludf.DUMMYFUNCTION("""COMPUTED_VALUE"""),2026.0)</f>
        <v>2026</v>
      </c>
      <c r="D671" s="2">
        <f>IFERROR(__xludf.DUMMYFUNCTION("""COMPUTED_VALUE"""),46258.0)</f>
        <v>46258</v>
      </c>
      <c r="E671" s="2" t="str">
        <f>IFERROR(__xludf.DUMMYFUNCTION("""COMPUTED_VALUE"""),"VF")</f>
        <v>VF</v>
      </c>
      <c r="F671" s="2">
        <f>IFERROR(__xludf.DUMMYFUNCTION("""COMPUTED_VALUE"""),4.0)</f>
        <v>4</v>
      </c>
      <c r="G671" s="2" t="str">
        <f>IFERROR(__xludf.DUMMYFUNCTION("""COMPUTED_VALUE"""),"PR008")</f>
        <v>PR008</v>
      </c>
      <c r="H671" s="2" t="str">
        <f>IFERROR(__xludf.DUMMYFUNCTION("""COMPUTED_VALUE"""),"VD043")</f>
        <v>VD043</v>
      </c>
      <c r="I671" s="2">
        <f>IFERROR(__xludf.DUMMYFUNCTION("""COMPUTED_VALUE"""),10.0)</f>
        <v>10</v>
      </c>
      <c r="J671" s="2">
        <f>IFERROR(__xludf.DUMMYFUNCTION("""COMPUTED_VALUE"""),943.95)</f>
        <v>943.95</v>
      </c>
      <c r="K671" s="2">
        <f>IFERROR(__xludf.DUMMYFUNCTION("""COMPUTED_VALUE"""),943.95)</f>
        <v>943.95</v>
      </c>
    </row>
    <row r="672">
      <c r="A672" s="2">
        <f>IFERROR(__xludf.DUMMYFUNCTION("""COMPUTED_VALUE"""),1000.0)</f>
        <v>1000</v>
      </c>
      <c r="B672" s="2">
        <f>IFERROR(__xludf.DUMMYFUNCTION("""COMPUTED_VALUE"""),183936.0)</f>
        <v>183936</v>
      </c>
      <c r="C672" s="2">
        <f>IFERROR(__xludf.DUMMYFUNCTION("""COMPUTED_VALUE"""),2026.0)</f>
        <v>2026</v>
      </c>
      <c r="D672" s="2">
        <f>IFERROR(__xludf.DUMMYFUNCTION("""COMPUTED_VALUE"""),46258.0)</f>
        <v>46258</v>
      </c>
      <c r="E672" s="2" t="str">
        <f>IFERROR(__xludf.DUMMYFUNCTION("""COMPUTED_VALUE"""),"VF")</f>
        <v>VF</v>
      </c>
      <c r="F672" s="2">
        <f>IFERROR(__xludf.DUMMYFUNCTION("""COMPUTED_VALUE"""),1.0)</f>
        <v>1</v>
      </c>
      <c r="G672" s="2" t="str">
        <f>IFERROR(__xludf.DUMMYFUNCTION("""COMPUTED_VALUE"""),"PR047")</f>
        <v>PR047</v>
      </c>
      <c r="H672" s="2" t="str">
        <f>IFERROR(__xludf.DUMMYFUNCTION("""COMPUTED_VALUE"""),"VD025")</f>
        <v>VD025</v>
      </c>
      <c r="I672" s="2">
        <f>IFERROR(__xludf.DUMMYFUNCTION("""COMPUTED_VALUE"""),6.0)</f>
        <v>6</v>
      </c>
      <c r="J672" s="2">
        <f>IFERROR(__xludf.DUMMYFUNCTION("""COMPUTED_VALUE"""),1861.16)</f>
        <v>1861.16</v>
      </c>
      <c r="K672" s="2">
        <f>IFERROR(__xludf.DUMMYFUNCTION("""COMPUTED_VALUE"""),1861.16)</f>
        <v>1861.16</v>
      </c>
    </row>
    <row r="673">
      <c r="A673" s="2">
        <f>IFERROR(__xludf.DUMMYFUNCTION("""COMPUTED_VALUE"""),1000.0)</f>
        <v>1000</v>
      </c>
      <c r="B673" s="2">
        <f>IFERROR(__xludf.DUMMYFUNCTION("""COMPUTED_VALUE"""),183936.0)</f>
        <v>183936</v>
      </c>
      <c r="C673" s="2">
        <f>IFERROR(__xludf.DUMMYFUNCTION("""COMPUTED_VALUE"""),2026.0)</f>
        <v>2026</v>
      </c>
      <c r="D673" s="2">
        <f>IFERROR(__xludf.DUMMYFUNCTION("""COMPUTED_VALUE"""),46258.0)</f>
        <v>46258</v>
      </c>
      <c r="E673" s="2" t="str">
        <f>IFERROR(__xludf.DUMMYFUNCTION("""COMPUTED_VALUE"""),"VF")</f>
        <v>VF</v>
      </c>
      <c r="F673" s="2">
        <f>IFERROR(__xludf.DUMMYFUNCTION("""COMPUTED_VALUE"""),2.0)</f>
        <v>2</v>
      </c>
      <c r="G673" s="2" t="str">
        <f>IFERROR(__xludf.DUMMYFUNCTION("""COMPUTED_VALUE"""),"PR041")</f>
        <v>PR041</v>
      </c>
      <c r="H673" s="2" t="str">
        <f>IFERROR(__xludf.DUMMYFUNCTION("""COMPUTED_VALUE"""),"VD041")</f>
        <v>VD041</v>
      </c>
      <c r="I673" s="2">
        <f>IFERROR(__xludf.DUMMYFUNCTION("""COMPUTED_VALUE"""),2.0)</f>
        <v>2</v>
      </c>
      <c r="J673" s="2">
        <f>IFERROR(__xludf.DUMMYFUNCTION("""COMPUTED_VALUE"""),116.39)</f>
        <v>116.39</v>
      </c>
      <c r="K673" s="2">
        <f>IFERROR(__xludf.DUMMYFUNCTION("""COMPUTED_VALUE"""),116.39)</f>
        <v>116.39</v>
      </c>
    </row>
    <row r="674">
      <c r="A674" s="2">
        <f>IFERROR(__xludf.DUMMYFUNCTION("""COMPUTED_VALUE"""),1000.0)</f>
        <v>1000</v>
      </c>
      <c r="B674" s="2">
        <f>IFERROR(__xludf.DUMMYFUNCTION("""COMPUTED_VALUE"""),183937.0)</f>
        <v>183937</v>
      </c>
      <c r="C674" s="2">
        <f>IFERROR(__xludf.DUMMYFUNCTION("""COMPUTED_VALUE"""),2026.0)</f>
        <v>2026</v>
      </c>
      <c r="D674" s="2">
        <f>IFERROR(__xludf.DUMMYFUNCTION("""COMPUTED_VALUE"""),46257.0)</f>
        <v>46257</v>
      </c>
      <c r="E674" s="2" t="str">
        <f>IFERROR(__xludf.DUMMYFUNCTION("""COMPUTED_VALUE"""),"VF")</f>
        <v>VF</v>
      </c>
      <c r="F674" s="2">
        <f>IFERROR(__xludf.DUMMYFUNCTION("""COMPUTED_VALUE"""),1.0)</f>
        <v>1</v>
      </c>
      <c r="G674" s="2" t="str">
        <f>IFERROR(__xludf.DUMMYFUNCTION("""COMPUTED_VALUE"""),"PR051")</f>
        <v>PR051</v>
      </c>
      <c r="H674" s="2" t="str">
        <f>IFERROR(__xludf.DUMMYFUNCTION("""COMPUTED_VALUE"""),"VD044")</f>
        <v>VD044</v>
      </c>
      <c r="I674" s="2">
        <f>IFERROR(__xludf.DUMMYFUNCTION("""COMPUTED_VALUE"""),10.0)</f>
        <v>10</v>
      </c>
      <c r="J674" s="2">
        <f>IFERROR(__xludf.DUMMYFUNCTION("""COMPUTED_VALUE"""),358.61)</f>
        <v>358.61</v>
      </c>
      <c r="K674" s="2">
        <f>IFERROR(__xludf.DUMMYFUNCTION("""COMPUTED_VALUE"""),358.61)</f>
        <v>358.61</v>
      </c>
    </row>
    <row r="675">
      <c r="A675" s="2">
        <f>IFERROR(__xludf.DUMMYFUNCTION("""COMPUTED_VALUE"""),1000.0)</f>
        <v>1000</v>
      </c>
      <c r="B675" s="2">
        <f>IFERROR(__xludf.DUMMYFUNCTION("""COMPUTED_VALUE"""),183937.0)</f>
        <v>183937</v>
      </c>
      <c r="C675" s="2">
        <f>IFERROR(__xludf.DUMMYFUNCTION("""COMPUTED_VALUE"""),2026.0)</f>
        <v>2026</v>
      </c>
      <c r="D675" s="2">
        <f>IFERROR(__xludf.DUMMYFUNCTION("""COMPUTED_VALUE"""),46257.0)</f>
        <v>46257</v>
      </c>
      <c r="E675" s="2" t="str">
        <f>IFERROR(__xludf.DUMMYFUNCTION("""COMPUTED_VALUE"""),"VF")</f>
        <v>VF</v>
      </c>
      <c r="F675" s="2">
        <f>IFERROR(__xludf.DUMMYFUNCTION("""COMPUTED_VALUE"""),2.0)</f>
        <v>2</v>
      </c>
      <c r="G675" s="2" t="str">
        <f>IFERROR(__xludf.DUMMYFUNCTION("""COMPUTED_VALUE"""),"PR001")</f>
        <v>PR001</v>
      </c>
      <c r="H675" s="2" t="str">
        <f>IFERROR(__xludf.DUMMYFUNCTION("""COMPUTED_VALUE"""),"VD032")</f>
        <v>VD032</v>
      </c>
      <c r="I675" s="2">
        <f>IFERROR(__xludf.DUMMYFUNCTION("""COMPUTED_VALUE"""),6.0)</f>
        <v>6</v>
      </c>
      <c r="J675" s="2">
        <f>IFERROR(__xludf.DUMMYFUNCTION("""COMPUTED_VALUE"""),427.03)</f>
        <v>427.03</v>
      </c>
      <c r="K675" s="2">
        <f>IFERROR(__xludf.DUMMYFUNCTION("""COMPUTED_VALUE"""),427.03)</f>
        <v>427.03</v>
      </c>
    </row>
    <row r="676">
      <c r="A676" s="2">
        <f>IFERROR(__xludf.DUMMYFUNCTION("""COMPUTED_VALUE"""),1000.0)</f>
        <v>1000</v>
      </c>
      <c r="B676" s="2">
        <f>IFERROR(__xludf.DUMMYFUNCTION("""COMPUTED_VALUE"""),183938.0)</f>
        <v>183938</v>
      </c>
      <c r="C676" s="2">
        <f>IFERROR(__xludf.DUMMYFUNCTION("""COMPUTED_VALUE"""),2026.0)</f>
        <v>2026</v>
      </c>
      <c r="D676" s="2">
        <f>IFERROR(__xludf.DUMMYFUNCTION("""COMPUTED_VALUE"""),46257.0)</f>
        <v>46257</v>
      </c>
      <c r="E676" s="2" t="str">
        <f>IFERROR(__xludf.DUMMYFUNCTION("""COMPUTED_VALUE"""),"VF")</f>
        <v>VF</v>
      </c>
      <c r="F676" s="2">
        <f>IFERROR(__xludf.DUMMYFUNCTION("""COMPUTED_VALUE"""),1.0)</f>
        <v>1</v>
      </c>
      <c r="G676" s="2" t="str">
        <f>IFERROR(__xludf.DUMMYFUNCTION("""COMPUTED_VALUE"""),"PR010")</f>
        <v>PR010</v>
      </c>
      <c r="H676" s="2" t="str">
        <f>IFERROR(__xludf.DUMMYFUNCTION("""COMPUTED_VALUE"""),"VD037")</f>
        <v>VD037</v>
      </c>
      <c r="I676" s="2">
        <f>IFERROR(__xludf.DUMMYFUNCTION("""COMPUTED_VALUE"""),20.0)</f>
        <v>20</v>
      </c>
      <c r="J676" s="2">
        <f>IFERROR(__xludf.DUMMYFUNCTION("""COMPUTED_VALUE"""),942.9)</f>
        <v>942.9</v>
      </c>
      <c r="K676" s="2">
        <f>IFERROR(__xludf.DUMMYFUNCTION("""COMPUTED_VALUE"""),942.9)</f>
        <v>942.9</v>
      </c>
    </row>
    <row r="677">
      <c r="A677" s="2">
        <f>IFERROR(__xludf.DUMMYFUNCTION("""COMPUTED_VALUE"""),1000.0)</f>
        <v>1000</v>
      </c>
      <c r="B677" s="2">
        <f>IFERROR(__xludf.DUMMYFUNCTION("""COMPUTED_VALUE"""),183938.0)</f>
        <v>183938</v>
      </c>
      <c r="C677" s="2">
        <f>IFERROR(__xludf.DUMMYFUNCTION("""COMPUTED_VALUE"""),2026.0)</f>
        <v>2026</v>
      </c>
      <c r="D677" s="2">
        <f>IFERROR(__xludf.DUMMYFUNCTION("""COMPUTED_VALUE"""),46257.0)</f>
        <v>46257</v>
      </c>
      <c r="E677" s="2" t="str">
        <f>IFERROR(__xludf.DUMMYFUNCTION("""COMPUTED_VALUE"""),"VF")</f>
        <v>VF</v>
      </c>
      <c r="F677" s="2">
        <f>IFERROR(__xludf.DUMMYFUNCTION("""COMPUTED_VALUE"""),2.0)</f>
        <v>2</v>
      </c>
      <c r="G677" s="2" t="str">
        <f>IFERROR(__xludf.DUMMYFUNCTION("""COMPUTED_VALUE"""),"PR047")</f>
        <v>PR047</v>
      </c>
      <c r="H677" s="2" t="str">
        <f>IFERROR(__xludf.DUMMYFUNCTION("""COMPUTED_VALUE"""),"VD033")</f>
        <v>VD033</v>
      </c>
      <c r="I677" s="2">
        <f>IFERROR(__xludf.DUMMYFUNCTION("""COMPUTED_VALUE"""),8.0)</f>
        <v>8</v>
      </c>
      <c r="J677" s="2">
        <f>IFERROR(__xludf.DUMMYFUNCTION("""COMPUTED_VALUE"""),2388.78)</f>
        <v>2388.78</v>
      </c>
      <c r="K677" s="2">
        <f>IFERROR(__xludf.DUMMYFUNCTION("""COMPUTED_VALUE"""),2388.78)</f>
        <v>2388.78</v>
      </c>
    </row>
    <row r="678">
      <c r="A678" s="2">
        <f>IFERROR(__xludf.DUMMYFUNCTION("""COMPUTED_VALUE"""),1000.0)</f>
        <v>1000</v>
      </c>
      <c r="B678" s="2">
        <f>IFERROR(__xludf.DUMMYFUNCTION("""COMPUTED_VALUE"""),183939.0)</f>
        <v>183939</v>
      </c>
      <c r="C678" s="2">
        <f>IFERROR(__xludf.DUMMYFUNCTION("""COMPUTED_VALUE"""),2026.0)</f>
        <v>2026</v>
      </c>
      <c r="D678" s="2">
        <f>IFERROR(__xludf.DUMMYFUNCTION("""COMPUTED_VALUE"""),46257.0)</f>
        <v>46257</v>
      </c>
      <c r="E678" s="2" t="str">
        <f>IFERROR(__xludf.DUMMYFUNCTION("""COMPUTED_VALUE"""),"VF")</f>
        <v>VF</v>
      </c>
      <c r="F678" s="2">
        <f>IFERROR(__xludf.DUMMYFUNCTION("""COMPUTED_VALUE"""),1.0)</f>
        <v>1</v>
      </c>
      <c r="G678" s="2" t="str">
        <f>IFERROR(__xludf.DUMMYFUNCTION("""COMPUTED_VALUE"""),"PR029")</f>
        <v>PR029</v>
      </c>
      <c r="H678" s="2" t="str">
        <f>IFERROR(__xludf.DUMMYFUNCTION("""COMPUTED_VALUE"""),"VD013")</f>
        <v>VD013</v>
      </c>
      <c r="I678" s="2">
        <f>IFERROR(__xludf.DUMMYFUNCTION("""COMPUTED_VALUE"""),14.0)</f>
        <v>14</v>
      </c>
      <c r="J678" s="2">
        <f>IFERROR(__xludf.DUMMYFUNCTION("""COMPUTED_VALUE"""),3641.4)</f>
        <v>3641.4</v>
      </c>
      <c r="K678" s="2">
        <f>IFERROR(__xludf.DUMMYFUNCTION("""COMPUTED_VALUE"""),3641.4)</f>
        <v>3641.4</v>
      </c>
    </row>
    <row r="679">
      <c r="A679" s="2">
        <f>IFERROR(__xludf.DUMMYFUNCTION("""COMPUTED_VALUE"""),1000.0)</f>
        <v>1000</v>
      </c>
      <c r="B679" s="2">
        <f>IFERROR(__xludf.DUMMYFUNCTION("""COMPUTED_VALUE"""),183940.0)</f>
        <v>183940</v>
      </c>
      <c r="C679" s="2">
        <f>IFERROR(__xludf.DUMMYFUNCTION("""COMPUTED_VALUE"""),2026.0)</f>
        <v>2026</v>
      </c>
      <c r="D679" s="2">
        <f>IFERROR(__xludf.DUMMYFUNCTION("""COMPUTED_VALUE"""),46257.0)</f>
        <v>46257</v>
      </c>
      <c r="E679" s="2" t="str">
        <f>IFERROR(__xludf.DUMMYFUNCTION("""COMPUTED_VALUE"""),"VF")</f>
        <v>VF</v>
      </c>
      <c r="F679" s="2">
        <f>IFERROR(__xludf.DUMMYFUNCTION("""COMPUTED_VALUE"""),1.0)</f>
        <v>1</v>
      </c>
      <c r="G679" s="2" t="str">
        <f>IFERROR(__xludf.DUMMYFUNCTION("""COMPUTED_VALUE"""),"PR031")</f>
        <v>PR031</v>
      </c>
      <c r="H679" s="2" t="str">
        <f>IFERROR(__xludf.DUMMYFUNCTION("""COMPUTED_VALUE"""),"VD036")</f>
        <v>VD036</v>
      </c>
      <c r="I679" s="2">
        <f>IFERROR(__xludf.DUMMYFUNCTION("""COMPUTED_VALUE"""),2.0)</f>
        <v>2</v>
      </c>
      <c r="J679" s="2">
        <f>IFERROR(__xludf.DUMMYFUNCTION("""COMPUTED_VALUE"""),499.8)</f>
        <v>499.8</v>
      </c>
      <c r="K679" s="2">
        <f>IFERROR(__xludf.DUMMYFUNCTION("""COMPUTED_VALUE"""),499.8)</f>
        <v>499.8</v>
      </c>
    </row>
    <row r="680">
      <c r="A680" s="2">
        <f>IFERROR(__xludf.DUMMYFUNCTION("""COMPUTED_VALUE"""),1000.0)</f>
        <v>1000</v>
      </c>
      <c r="B680" s="2">
        <f>IFERROR(__xludf.DUMMYFUNCTION("""COMPUTED_VALUE"""),183941.0)</f>
        <v>183941</v>
      </c>
      <c r="C680" s="2">
        <f>IFERROR(__xludf.DUMMYFUNCTION("""COMPUTED_VALUE"""),2026.0)</f>
        <v>2026</v>
      </c>
      <c r="D680" s="2">
        <f>IFERROR(__xludf.DUMMYFUNCTION("""COMPUTED_VALUE"""),46257.0)</f>
        <v>46257</v>
      </c>
      <c r="E680" s="2" t="str">
        <f>IFERROR(__xludf.DUMMYFUNCTION("""COMPUTED_VALUE"""),"VF")</f>
        <v>VF</v>
      </c>
      <c r="F680" s="2">
        <f>IFERROR(__xludf.DUMMYFUNCTION("""COMPUTED_VALUE"""),1.0)</f>
        <v>1</v>
      </c>
      <c r="G680" s="2" t="str">
        <f>IFERROR(__xludf.DUMMYFUNCTION("""COMPUTED_VALUE"""),"PR032")</f>
        <v>PR032</v>
      </c>
      <c r="H680" s="2" t="str">
        <f>IFERROR(__xludf.DUMMYFUNCTION("""COMPUTED_VALUE"""),"VD021")</f>
        <v>VD021</v>
      </c>
      <c r="I680" s="2">
        <f>IFERROR(__xludf.DUMMYFUNCTION("""COMPUTED_VALUE"""),3.0)</f>
        <v>3</v>
      </c>
      <c r="J680" s="2">
        <f>IFERROR(__xludf.DUMMYFUNCTION("""COMPUTED_VALUE"""),772.5)</f>
        <v>772.5</v>
      </c>
      <c r="K680" s="2">
        <f>IFERROR(__xludf.DUMMYFUNCTION("""COMPUTED_VALUE"""),772.5)</f>
        <v>772.5</v>
      </c>
    </row>
    <row r="681">
      <c r="A681" s="2">
        <f>IFERROR(__xludf.DUMMYFUNCTION("""COMPUTED_VALUE"""),1000.0)</f>
        <v>1000</v>
      </c>
      <c r="B681" s="2">
        <f>IFERROR(__xludf.DUMMYFUNCTION("""COMPUTED_VALUE"""),183942.0)</f>
        <v>183942</v>
      </c>
      <c r="C681" s="2">
        <f>IFERROR(__xludf.DUMMYFUNCTION("""COMPUTED_VALUE"""),2026.0)</f>
        <v>2026</v>
      </c>
      <c r="D681" s="2">
        <f>IFERROR(__xludf.DUMMYFUNCTION("""COMPUTED_VALUE"""),46256.0)</f>
        <v>46256</v>
      </c>
      <c r="E681" s="2" t="str">
        <f>IFERROR(__xludf.DUMMYFUNCTION("""COMPUTED_VALUE"""),"VF")</f>
        <v>VF</v>
      </c>
      <c r="F681" s="2">
        <f>IFERROR(__xludf.DUMMYFUNCTION("""COMPUTED_VALUE"""),1.0)</f>
        <v>1</v>
      </c>
      <c r="G681" s="2" t="str">
        <f>IFERROR(__xludf.DUMMYFUNCTION("""COMPUTED_VALUE"""),"PR037")</f>
        <v>PR037</v>
      </c>
      <c r="H681" s="2" t="str">
        <f>IFERROR(__xludf.DUMMYFUNCTION("""COMPUTED_VALUE"""),"VD049")</f>
        <v>VD049</v>
      </c>
      <c r="I681" s="2">
        <f>IFERROR(__xludf.DUMMYFUNCTION("""COMPUTED_VALUE"""),3.0)</f>
        <v>3</v>
      </c>
      <c r="J681" s="2">
        <f>IFERROR(__xludf.DUMMYFUNCTION("""COMPUTED_VALUE"""),432.6)</f>
        <v>432.6</v>
      </c>
      <c r="K681" s="2">
        <f>IFERROR(__xludf.DUMMYFUNCTION("""COMPUTED_VALUE"""),432.6)</f>
        <v>432.6</v>
      </c>
    </row>
    <row r="682">
      <c r="A682" s="2">
        <f>IFERROR(__xludf.DUMMYFUNCTION("""COMPUTED_VALUE"""),1000.0)</f>
        <v>1000</v>
      </c>
      <c r="B682" s="2">
        <f>IFERROR(__xludf.DUMMYFUNCTION("""COMPUTED_VALUE"""),183943.0)</f>
        <v>183943</v>
      </c>
      <c r="C682" s="2">
        <f>IFERROR(__xludf.DUMMYFUNCTION("""COMPUTED_VALUE"""),2026.0)</f>
        <v>2026</v>
      </c>
      <c r="D682" s="2">
        <f>IFERROR(__xludf.DUMMYFUNCTION("""COMPUTED_VALUE"""),46256.0)</f>
        <v>46256</v>
      </c>
      <c r="E682" s="2" t="str">
        <f>IFERROR(__xludf.DUMMYFUNCTION("""COMPUTED_VALUE"""),"VF")</f>
        <v>VF</v>
      </c>
      <c r="F682" s="2">
        <f>IFERROR(__xludf.DUMMYFUNCTION("""COMPUTED_VALUE"""),1.0)</f>
        <v>1</v>
      </c>
      <c r="G682" s="2" t="str">
        <f>IFERROR(__xludf.DUMMYFUNCTION("""COMPUTED_VALUE"""),"PR018")</f>
        <v>PR018</v>
      </c>
      <c r="H682" s="2" t="str">
        <f>IFERROR(__xludf.DUMMYFUNCTION("""COMPUTED_VALUE"""),"VD026")</f>
        <v>VD026</v>
      </c>
      <c r="I682" s="2">
        <f>IFERROR(__xludf.DUMMYFUNCTION("""COMPUTED_VALUE"""),3.0)</f>
        <v>3</v>
      </c>
      <c r="J682" s="2">
        <f>IFERROR(__xludf.DUMMYFUNCTION("""COMPUTED_VALUE"""),107.58)</f>
        <v>107.58</v>
      </c>
      <c r="K682" s="2">
        <f>IFERROR(__xludf.DUMMYFUNCTION("""COMPUTED_VALUE"""),107.58)</f>
        <v>107.58</v>
      </c>
    </row>
    <row r="683">
      <c r="A683" s="2">
        <f>IFERROR(__xludf.DUMMYFUNCTION("""COMPUTED_VALUE"""),1000.0)</f>
        <v>1000</v>
      </c>
      <c r="B683" s="2">
        <f>IFERROR(__xludf.DUMMYFUNCTION("""COMPUTED_VALUE"""),183944.0)</f>
        <v>183944</v>
      </c>
      <c r="C683" s="2">
        <f>IFERROR(__xludf.DUMMYFUNCTION("""COMPUTED_VALUE"""),2026.0)</f>
        <v>2026</v>
      </c>
      <c r="D683" s="2">
        <f>IFERROR(__xludf.DUMMYFUNCTION("""COMPUTED_VALUE"""),46255.0)</f>
        <v>46255</v>
      </c>
      <c r="E683" s="2" t="str">
        <f>IFERROR(__xludf.DUMMYFUNCTION("""COMPUTED_VALUE"""),"VF")</f>
        <v>VF</v>
      </c>
      <c r="F683" s="2">
        <f>IFERROR(__xludf.DUMMYFUNCTION("""COMPUTED_VALUE"""),1.0)</f>
        <v>1</v>
      </c>
      <c r="G683" s="2" t="str">
        <f>IFERROR(__xludf.DUMMYFUNCTION("""COMPUTED_VALUE"""),"PR048")</f>
        <v>PR048</v>
      </c>
      <c r="H683" s="2" t="str">
        <f>IFERROR(__xludf.DUMMYFUNCTION("""COMPUTED_VALUE"""),"VD040")</f>
        <v>VD040</v>
      </c>
      <c r="I683" s="2">
        <f>IFERROR(__xludf.DUMMYFUNCTION("""COMPUTED_VALUE"""),2.0)</f>
        <v>2</v>
      </c>
      <c r="J683" s="2">
        <f>IFERROR(__xludf.DUMMYFUNCTION("""COMPUTED_VALUE"""),591.4)</f>
        <v>591.4</v>
      </c>
      <c r="K683" s="2">
        <f>IFERROR(__xludf.DUMMYFUNCTION("""COMPUTED_VALUE"""),591.4)</f>
        <v>591.4</v>
      </c>
    </row>
    <row r="684">
      <c r="A684" s="2">
        <f>IFERROR(__xludf.DUMMYFUNCTION("""COMPUTED_VALUE"""),2000.0)</f>
        <v>2000</v>
      </c>
      <c r="B684" s="2">
        <f>IFERROR(__xludf.DUMMYFUNCTION("""COMPUTED_VALUE"""),183945.0)</f>
        <v>183945</v>
      </c>
      <c r="C684" s="2">
        <f>IFERROR(__xludf.DUMMYFUNCTION("""COMPUTED_VALUE"""),2026.0)</f>
        <v>2026</v>
      </c>
      <c r="D684" s="2">
        <f>IFERROR(__xludf.DUMMYFUNCTION("""COMPUTED_VALUE"""),46255.0)</f>
        <v>46255</v>
      </c>
      <c r="E684" s="2" t="str">
        <f>IFERROR(__xludf.DUMMYFUNCTION("""COMPUTED_VALUE"""),"VF")</f>
        <v>VF</v>
      </c>
      <c r="F684" s="2">
        <f>IFERROR(__xludf.DUMMYFUNCTION("""COMPUTED_VALUE"""),1.0)</f>
        <v>1</v>
      </c>
      <c r="G684" s="2" t="str">
        <f>IFERROR(__xludf.DUMMYFUNCTION("""COMPUTED_VALUE"""),"PR011")</f>
        <v>PR011</v>
      </c>
      <c r="H684" s="2" t="str">
        <f>IFERROR(__xludf.DUMMYFUNCTION("""COMPUTED_VALUE"""),"VD036")</f>
        <v>VD036</v>
      </c>
      <c r="I684" s="2">
        <f>IFERROR(__xludf.DUMMYFUNCTION("""COMPUTED_VALUE"""),9.0)</f>
        <v>9</v>
      </c>
      <c r="J684" s="2">
        <f>IFERROR(__xludf.DUMMYFUNCTION("""COMPUTED_VALUE"""),464.31)</f>
        <v>464.31</v>
      </c>
      <c r="K684" s="2">
        <f>IFERROR(__xludf.DUMMYFUNCTION("""COMPUTED_VALUE"""),464.31)</f>
        <v>464.31</v>
      </c>
    </row>
    <row r="685">
      <c r="A685" s="2">
        <f>IFERROR(__xludf.DUMMYFUNCTION("""COMPUTED_VALUE"""),1000.0)</f>
        <v>1000</v>
      </c>
      <c r="B685" s="2">
        <f>IFERROR(__xludf.DUMMYFUNCTION("""COMPUTED_VALUE"""),183946.0)</f>
        <v>183946</v>
      </c>
      <c r="C685" s="2">
        <f>IFERROR(__xludf.DUMMYFUNCTION("""COMPUTED_VALUE"""),2026.0)</f>
        <v>2026</v>
      </c>
      <c r="D685" s="2">
        <f>IFERROR(__xludf.DUMMYFUNCTION("""COMPUTED_VALUE"""),46255.0)</f>
        <v>46255</v>
      </c>
      <c r="E685" s="2" t="str">
        <f>IFERROR(__xludf.DUMMYFUNCTION("""COMPUTED_VALUE"""),"VF")</f>
        <v>VF</v>
      </c>
      <c r="F685" s="2">
        <f>IFERROR(__xludf.DUMMYFUNCTION("""COMPUTED_VALUE"""),1.0)</f>
        <v>1</v>
      </c>
      <c r="G685" s="2" t="str">
        <f>IFERROR(__xludf.DUMMYFUNCTION("""COMPUTED_VALUE"""),"PR021")</f>
        <v>PR021</v>
      </c>
      <c r="H685" s="2" t="str">
        <f>IFERROR(__xludf.DUMMYFUNCTION("""COMPUTED_VALUE"""),"VD019")</f>
        <v>VD019</v>
      </c>
      <c r="I685" s="2">
        <f>IFERROR(__xludf.DUMMYFUNCTION("""COMPUTED_VALUE"""),2.0)</f>
        <v>2</v>
      </c>
      <c r="J685" s="2">
        <f>IFERROR(__xludf.DUMMYFUNCTION("""COMPUTED_VALUE"""),623.97)</f>
        <v>623.97</v>
      </c>
      <c r="K685" s="2">
        <f>IFERROR(__xludf.DUMMYFUNCTION("""COMPUTED_VALUE"""),623.97)</f>
        <v>623.97</v>
      </c>
    </row>
    <row r="686">
      <c r="A686" s="2">
        <f>IFERROR(__xludf.DUMMYFUNCTION("""COMPUTED_VALUE"""),1000.0)</f>
        <v>1000</v>
      </c>
      <c r="B686" s="2">
        <f>IFERROR(__xludf.DUMMYFUNCTION("""COMPUTED_VALUE"""),183947.0)</f>
        <v>183947</v>
      </c>
      <c r="C686" s="2">
        <f>IFERROR(__xludf.DUMMYFUNCTION("""COMPUTED_VALUE"""),2026.0)</f>
        <v>2026</v>
      </c>
      <c r="D686" s="2">
        <f>IFERROR(__xludf.DUMMYFUNCTION("""COMPUTED_VALUE"""),46255.0)</f>
        <v>46255</v>
      </c>
      <c r="E686" s="2" t="str">
        <f>IFERROR(__xludf.DUMMYFUNCTION("""COMPUTED_VALUE"""),"VF")</f>
        <v>VF</v>
      </c>
      <c r="F686" s="2">
        <f>IFERROR(__xludf.DUMMYFUNCTION("""COMPUTED_VALUE"""),1.0)</f>
        <v>1</v>
      </c>
      <c r="G686" s="2" t="str">
        <f>IFERROR(__xludf.DUMMYFUNCTION("""COMPUTED_VALUE"""),"PR021")</f>
        <v>PR021</v>
      </c>
      <c r="H686" s="2" t="str">
        <f>IFERROR(__xludf.DUMMYFUNCTION("""COMPUTED_VALUE"""),"VD038")</f>
        <v>VD038</v>
      </c>
      <c r="I686" s="2">
        <f>IFERROR(__xludf.DUMMYFUNCTION("""COMPUTED_VALUE"""),6.0)</f>
        <v>6</v>
      </c>
      <c r="J686" s="2">
        <f>IFERROR(__xludf.DUMMYFUNCTION("""COMPUTED_VALUE"""),1926.44)</f>
        <v>1926.44</v>
      </c>
      <c r="K686" s="2">
        <f>IFERROR(__xludf.DUMMYFUNCTION("""COMPUTED_VALUE"""),1926.44)</f>
        <v>1926.44</v>
      </c>
    </row>
    <row r="687">
      <c r="A687" s="2">
        <f>IFERROR(__xludf.DUMMYFUNCTION("""COMPUTED_VALUE"""),1000.0)</f>
        <v>1000</v>
      </c>
      <c r="B687" s="2">
        <f>IFERROR(__xludf.DUMMYFUNCTION("""COMPUTED_VALUE"""),183947.0)</f>
        <v>183947</v>
      </c>
      <c r="C687" s="2">
        <f>IFERROR(__xludf.DUMMYFUNCTION("""COMPUTED_VALUE"""),2026.0)</f>
        <v>2026</v>
      </c>
      <c r="D687" s="2">
        <f>IFERROR(__xludf.DUMMYFUNCTION("""COMPUTED_VALUE"""),46255.0)</f>
        <v>46255</v>
      </c>
      <c r="E687" s="2" t="str">
        <f>IFERROR(__xludf.DUMMYFUNCTION("""COMPUTED_VALUE"""),"VF")</f>
        <v>VF</v>
      </c>
      <c r="F687" s="2">
        <f>IFERROR(__xludf.DUMMYFUNCTION("""COMPUTED_VALUE"""),2.0)</f>
        <v>2</v>
      </c>
      <c r="G687" s="2" t="str">
        <f>IFERROR(__xludf.DUMMYFUNCTION("""COMPUTED_VALUE"""),"PR049")</f>
        <v>PR049</v>
      </c>
      <c r="H687" s="2" t="str">
        <f>IFERROR(__xludf.DUMMYFUNCTION("""COMPUTED_VALUE"""),"VD021")</f>
        <v>VD021</v>
      </c>
      <c r="I687" s="2">
        <f>IFERROR(__xludf.DUMMYFUNCTION("""COMPUTED_VALUE"""),2.0)</f>
        <v>2</v>
      </c>
      <c r="J687" s="2">
        <f>IFERROR(__xludf.DUMMYFUNCTION("""COMPUTED_VALUE"""),67.77)</f>
        <v>67.77</v>
      </c>
      <c r="K687" s="2">
        <f>IFERROR(__xludf.DUMMYFUNCTION("""COMPUTED_VALUE"""),67.77)</f>
        <v>67.77</v>
      </c>
    </row>
    <row r="688">
      <c r="A688" s="2">
        <f>IFERROR(__xludf.DUMMYFUNCTION("""COMPUTED_VALUE"""),1000.0)</f>
        <v>1000</v>
      </c>
      <c r="B688" s="2">
        <f>IFERROR(__xludf.DUMMYFUNCTION("""COMPUTED_VALUE"""),183948.0)</f>
        <v>183948</v>
      </c>
      <c r="C688" s="2">
        <f>IFERROR(__xludf.DUMMYFUNCTION("""COMPUTED_VALUE"""),2026.0)</f>
        <v>2026</v>
      </c>
      <c r="D688" s="2">
        <f>IFERROR(__xludf.DUMMYFUNCTION("""COMPUTED_VALUE"""),46255.0)</f>
        <v>46255</v>
      </c>
      <c r="E688" s="2" t="str">
        <f>IFERROR(__xludf.DUMMYFUNCTION("""COMPUTED_VALUE"""),"VF")</f>
        <v>VF</v>
      </c>
      <c r="F688" s="2">
        <f>IFERROR(__xludf.DUMMYFUNCTION("""COMPUTED_VALUE"""),1.0)</f>
        <v>1</v>
      </c>
      <c r="G688" s="2" t="str">
        <f>IFERROR(__xludf.DUMMYFUNCTION("""COMPUTED_VALUE"""),"PR056")</f>
        <v>PR056</v>
      </c>
      <c r="H688" s="2" t="str">
        <f>IFERROR(__xludf.DUMMYFUNCTION("""COMPUTED_VALUE"""),"VD030")</f>
        <v>VD030</v>
      </c>
      <c r="I688" s="2">
        <f>IFERROR(__xludf.DUMMYFUNCTION("""COMPUTED_VALUE"""),7.0)</f>
        <v>7</v>
      </c>
      <c r="J688" s="2">
        <f>IFERROR(__xludf.DUMMYFUNCTION("""COMPUTED_VALUE"""),692.23)</f>
        <v>692.23</v>
      </c>
      <c r="K688" s="2">
        <f>IFERROR(__xludf.DUMMYFUNCTION("""COMPUTED_VALUE"""),692.23)</f>
        <v>692.23</v>
      </c>
    </row>
    <row r="689">
      <c r="A689" s="2">
        <f>IFERROR(__xludf.DUMMYFUNCTION("""COMPUTED_VALUE"""),1000.0)</f>
        <v>1000</v>
      </c>
      <c r="B689" s="2">
        <f>IFERROR(__xludf.DUMMYFUNCTION("""COMPUTED_VALUE"""),183949.0)</f>
        <v>183949</v>
      </c>
      <c r="C689" s="2">
        <f>IFERROR(__xludf.DUMMYFUNCTION("""COMPUTED_VALUE"""),2026.0)</f>
        <v>2026</v>
      </c>
      <c r="D689" s="2">
        <f>IFERROR(__xludf.DUMMYFUNCTION("""COMPUTED_VALUE"""),46255.0)</f>
        <v>46255</v>
      </c>
      <c r="E689" s="2" t="str">
        <f>IFERROR(__xludf.DUMMYFUNCTION("""COMPUTED_VALUE"""),"VF")</f>
        <v>VF</v>
      </c>
      <c r="F689" s="2">
        <f>IFERROR(__xludf.DUMMYFUNCTION("""COMPUTED_VALUE"""),1.0)</f>
        <v>1</v>
      </c>
      <c r="G689" s="2" t="str">
        <f>IFERROR(__xludf.DUMMYFUNCTION("""COMPUTED_VALUE"""),"PR005")</f>
        <v>PR005</v>
      </c>
      <c r="H689" s="2" t="str">
        <f>IFERROR(__xludf.DUMMYFUNCTION("""COMPUTED_VALUE"""),"VD028")</f>
        <v>VD028</v>
      </c>
      <c r="I689" s="2">
        <f>IFERROR(__xludf.DUMMYFUNCTION("""COMPUTED_VALUE"""),6.0)</f>
        <v>6</v>
      </c>
      <c r="J689" s="2">
        <f>IFERROR(__xludf.DUMMYFUNCTION("""COMPUTED_VALUE"""),1684.15)</f>
        <v>1684.15</v>
      </c>
      <c r="K689" s="2">
        <f>IFERROR(__xludf.DUMMYFUNCTION("""COMPUTED_VALUE"""),1684.15)</f>
        <v>1684.15</v>
      </c>
    </row>
    <row r="690">
      <c r="A690" s="2">
        <f>IFERROR(__xludf.DUMMYFUNCTION("""COMPUTED_VALUE"""),1000.0)</f>
        <v>1000</v>
      </c>
      <c r="B690" s="2">
        <f>IFERROR(__xludf.DUMMYFUNCTION("""COMPUTED_VALUE"""),183949.0)</f>
        <v>183949</v>
      </c>
      <c r="C690" s="2">
        <f>IFERROR(__xludf.DUMMYFUNCTION("""COMPUTED_VALUE"""),2026.0)</f>
        <v>2026</v>
      </c>
      <c r="D690" s="2">
        <f>IFERROR(__xludf.DUMMYFUNCTION("""COMPUTED_VALUE"""),46255.0)</f>
        <v>46255</v>
      </c>
      <c r="E690" s="2" t="str">
        <f>IFERROR(__xludf.DUMMYFUNCTION("""COMPUTED_VALUE"""),"VF")</f>
        <v>VF</v>
      </c>
      <c r="F690" s="2">
        <f>IFERROR(__xludf.DUMMYFUNCTION("""COMPUTED_VALUE"""),2.0)</f>
        <v>2</v>
      </c>
      <c r="G690" s="2" t="str">
        <f>IFERROR(__xludf.DUMMYFUNCTION("""COMPUTED_VALUE"""),"PR029")</f>
        <v>PR029</v>
      </c>
      <c r="H690" s="2" t="str">
        <f>IFERROR(__xludf.DUMMYFUNCTION("""COMPUTED_VALUE"""),"VD010")</f>
        <v>VD010</v>
      </c>
      <c r="I690" s="2">
        <f>IFERROR(__xludf.DUMMYFUNCTION("""COMPUTED_VALUE"""),8.0)</f>
        <v>8</v>
      </c>
      <c r="J690" s="2">
        <f>IFERROR(__xludf.DUMMYFUNCTION("""COMPUTED_VALUE"""),2060.4)</f>
        <v>2060.4</v>
      </c>
      <c r="K690" s="2">
        <f>IFERROR(__xludf.DUMMYFUNCTION("""COMPUTED_VALUE"""),2060.4)</f>
        <v>2060.4</v>
      </c>
    </row>
    <row r="691">
      <c r="A691" s="2">
        <f>IFERROR(__xludf.DUMMYFUNCTION("""COMPUTED_VALUE"""),2000.0)</f>
        <v>2000</v>
      </c>
      <c r="B691" s="2">
        <f>IFERROR(__xludf.DUMMYFUNCTION("""COMPUTED_VALUE"""),183950.0)</f>
        <v>183950</v>
      </c>
      <c r="C691" s="2">
        <f>IFERROR(__xludf.DUMMYFUNCTION("""COMPUTED_VALUE"""),2026.0)</f>
        <v>2026</v>
      </c>
      <c r="D691" s="2">
        <f>IFERROR(__xludf.DUMMYFUNCTION("""COMPUTED_VALUE"""),46255.0)</f>
        <v>46255</v>
      </c>
      <c r="E691" s="2" t="str">
        <f>IFERROR(__xludf.DUMMYFUNCTION("""COMPUTED_VALUE"""),"VF")</f>
        <v>VF</v>
      </c>
      <c r="F691" s="2">
        <f>IFERROR(__xludf.DUMMYFUNCTION("""COMPUTED_VALUE"""),1.0)</f>
        <v>1</v>
      </c>
      <c r="G691" s="2" t="str">
        <f>IFERROR(__xludf.DUMMYFUNCTION("""COMPUTED_VALUE"""),"PR054")</f>
        <v>PR054</v>
      </c>
      <c r="H691" s="2" t="str">
        <f>IFERROR(__xludf.DUMMYFUNCTION("""COMPUTED_VALUE"""),"VD032")</f>
        <v>VD032</v>
      </c>
      <c r="I691" s="2">
        <f>IFERROR(__xludf.DUMMYFUNCTION("""COMPUTED_VALUE"""),10.0)</f>
        <v>10</v>
      </c>
      <c r="J691" s="2">
        <f>IFERROR(__xludf.DUMMYFUNCTION("""COMPUTED_VALUE"""),538.92)</f>
        <v>538.92</v>
      </c>
      <c r="K691" s="2">
        <f>IFERROR(__xludf.DUMMYFUNCTION("""COMPUTED_VALUE"""),538.92)</f>
        <v>538.92</v>
      </c>
    </row>
    <row r="692">
      <c r="A692" s="2">
        <f>IFERROR(__xludf.DUMMYFUNCTION("""COMPUTED_VALUE"""),1000.0)</f>
        <v>1000</v>
      </c>
      <c r="B692" s="2">
        <f>IFERROR(__xludf.DUMMYFUNCTION("""COMPUTED_VALUE"""),183951.0)</f>
        <v>183951</v>
      </c>
      <c r="C692" s="2">
        <f>IFERROR(__xludf.DUMMYFUNCTION("""COMPUTED_VALUE"""),2026.0)</f>
        <v>2026</v>
      </c>
      <c r="D692" s="2">
        <f>IFERROR(__xludf.DUMMYFUNCTION("""COMPUTED_VALUE"""),46255.0)</f>
        <v>46255</v>
      </c>
      <c r="E692" s="2" t="str">
        <f>IFERROR(__xludf.DUMMYFUNCTION("""COMPUTED_VALUE"""),"VF")</f>
        <v>VF</v>
      </c>
      <c r="F692" s="2">
        <f>IFERROR(__xludf.DUMMYFUNCTION("""COMPUTED_VALUE"""),1.0)</f>
        <v>1</v>
      </c>
      <c r="G692" s="2" t="str">
        <f>IFERROR(__xludf.DUMMYFUNCTION("""COMPUTED_VALUE"""),"PR038")</f>
        <v>PR038</v>
      </c>
      <c r="H692" s="2" t="str">
        <f>IFERROR(__xludf.DUMMYFUNCTION("""COMPUTED_VALUE"""),"VD040")</f>
        <v>VD040</v>
      </c>
      <c r="I692" s="2">
        <f>IFERROR(__xludf.DUMMYFUNCTION("""COMPUTED_VALUE"""),6.0)</f>
        <v>6</v>
      </c>
      <c r="J692" s="2">
        <f>IFERROR(__xludf.DUMMYFUNCTION("""COMPUTED_VALUE"""),917.42)</f>
        <v>917.42</v>
      </c>
      <c r="K692" s="2">
        <f>IFERROR(__xludf.DUMMYFUNCTION("""COMPUTED_VALUE"""),917.42)</f>
        <v>917.42</v>
      </c>
    </row>
    <row r="693">
      <c r="A693" s="2">
        <f>IFERROR(__xludf.DUMMYFUNCTION("""COMPUTED_VALUE"""),1000.0)</f>
        <v>1000</v>
      </c>
      <c r="B693" s="2">
        <f>IFERROR(__xludf.DUMMYFUNCTION("""COMPUTED_VALUE"""),183952.0)</f>
        <v>183952</v>
      </c>
      <c r="C693" s="2">
        <f>IFERROR(__xludf.DUMMYFUNCTION("""COMPUTED_VALUE"""),2026.0)</f>
        <v>2026</v>
      </c>
      <c r="D693" s="2">
        <f>IFERROR(__xludf.DUMMYFUNCTION("""COMPUTED_VALUE"""),46255.0)</f>
        <v>46255</v>
      </c>
      <c r="E693" s="2" t="str">
        <f>IFERROR(__xludf.DUMMYFUNCTION("""COMPUTED_VALUE"""),"VF")</f>
        <v>VF</v>
      </c>
      <c r="F693" s="2">
        <f>IFERROR(__xludf.DUMMYFUNCTION("""COMPUTED_VALUE"""),1.0)</f>
        <v>1</v>
      </c>
      <c r="G693" s="2" t="str">
        <f>IFERROR(__xludf.DUMMYFUNCTION("""COMPUTED_VALUE"""),"PR042")</f>
        <v>PR042</v>
      </c>
      <c r="H693" s="2" t="str">
        <f>IFERROR(__xludf.DUMMYFUNCTION("""COMPUTED_VALUE"""),"VD012")</f>
        <v>VD012</v>
      </c>
      <c r="I693" s="2">
        <f>IFERROR(__xludf.DUMMYFUNCTION("""COMPUTED_VALUE"""),8.0)</f>
        <v>8</v>
      </c>
      <c r="J693" s="2">
        <f>IFERROR(__xludf.DUMMYFUNCTION("""COMPUTED_VALUE"""),452.38)</f>
        <v>452.38</v>
      </c>
      <c r="K693" s="2">
        <f>IFERROR(__xludf.DUMMYFUNCTION("""COMPUTED_VALUE"""),452.38)</f>
        <v>452.38</v>
      </c>
    </row>
    <row r="694">
      <c r="A694" s="2">
        <f>IFERROR(__xludf.DUMMYFUNCTION("""COMPUTED_VALUE"""),2000.0)</f>
        <v>2000</v>
      </c>
      <c r="B694" s="2">
        <f>IFERROR(__xludf.DUMMYFUNCTION("""COMPUTED_VALUE"""),183952.0)</f>
        <v>183952</v>
      </c>
      <c r="C694" s="2">
        <f>IFERROR(__xludf.DUMMYFUNCTION("""COMPUTED_VALUE"""),2026.0)</f>
        <v>2026</v>
      </c>
      <c r="D694" s="2">
        <f>IFERROR(__xludf.DUMMYFUNCTION("""COMPUTED_VALUE"""),46255.0)</f>
        <v>46255</v>
      </c>
      <c r="E694" s="2" t="str">
        <f>IFERROR(__xludf.DUMMYFUNCTION("""COMPUTED_VALUE"""),"VF")</f>
        <v>VF</v>
      </c>
      <c r="F694" s="2">
        <f>IFERROR(__xludf.DUMMYFUNCTION("""COMPUTED_VALUE"""),2.0)</f>
        <v>2</v>
      </c>
      <c r="G694" s="2" t="str">
        <f>IFERROR(__xludf.DUMMYFUNCTION("""COMPUTED_VALUE"""),"PR028")</f>
        <v>PR028</v>
      </c>
      <c r="H694" s="2" t="str">
        <f>IFERROR(__xludf.DUMMYFUNCTION("""COMPUTED_VALUE"""),"VD032")</f>
        <v>VD032</v>
      </c>
      <c r="I694" s="2">
        <f>IFERROR(__xludf.DUMMYFUNCTION("""COMPUTED_VALUE"""),9.0)</f>
        <v>9</v>
      </c>
      <c r="J694" s="2">
        <f>IFERROR(__xludf.DUMMYFUNCTION("""COMPUTED_VALUE"""),2429.03)</f>
        <v>2429.03</v>
      </c>
      <c r="K694" s="2">
        <f>IFERROR(__xludf.DUMMYFUNCTION("""COMPUTED_VALUE"""),2429.03)</f>
        <v>2429.03</v>
      </c>
    </row>
    <row r="695">
      <c r="A695" s="2">
        <f>IFERROR(__xludf.DUMMYFUNCTION("""COMPUTED_VALUE"""),1000.0)</f>
        <v>1000</v>
      </c>
      <c r="B695" s="2">
        <f>IFERROR(__xludf.DUMMYFUNCTION("""COMPUTED_VALUE"""),183953.0)</f>
        <v>183953</v>
      </c>
      <c r="C695" s="2">
        <f>IFERROR(__xludf.DUMMYFUNCTION("""COMPUTED_VALUE"""),2026.0)</f>
        <v>2026</v>
      </c>
      <c r="D695" s="2">
        <f>IFERROR(__xludf.DUMMYFUNCTION("""COMPUTED_VALUE"""),46255.0)</f>
        <v>46255</v>
      </c>
      <c r="E695" s="2" t="str">
        <f>IFERROR(__xludf.DUMMYFUNCTION("""COMPUTED_VALUE"""),"VF")</f>
        <v>VF</v>
      </c>
      <c r="F695" s="2">
        <f>IFERROR(__xludf.DUMMYFUNCTION("""COMPUTED_VALUE"""),1.0)</f>
        <v>1</v>
      </c>
      <c r="G695" s="2" t="str">
        <f>IFERROR(__xludf.DUMMYFUNCTION("""COMPUTED_VALUE"""),"PR039")</f>
        <v>PR039</v>
      </c>
      <c r="H695" s="2" t="str">
        <f>IFERROR(__xludf.DUMMYFUNCTION("""COMPUTED_VALUE"""),"VD027")</f>
        <v>VD027</v>
      </c>
      <c r="I695" s="2">
        <f>IFERROR(__xludf.DUMMYFUNCTION("""COMPUTED_VALUE"""),6.0)</f>
        <v>6</v>
      </c>
      <c r="J695" s="2">
        <f>IFERROR(__xludf.DUMMYFUNCTION("""COMPUTED_VALUE"""),928.56)</f>
        <v>928.56</v>
      </c>
      <c r="K695" s="2">
        <f>IFERROR(__xludf.DUMMYFUNCTION("""COMPUTED_VALUE"""),928.56)</f>
        <v>928.56</v>
      </c>
    </row>
    <row r="696">
      <c r="A696" s="2">
        <f>IFERROR(__xludf.DUMMYFUNCTION("""COMPUTED_VALUE"""),2000.0)</f>
        <v>2000</v>
      </c>
      <c r="B696" s="2">
        <f>IFERROR(__xludf.DUMMYFUNCTION("""COMPUTED_VALUE"""),183954.0)</f>
        <v>183954</v>
      </c>
      <c r="C696" s="2">
        <f>IFERROR(__xludf.DUMMYFUNCTION("""COMPUTED_VALUE"""),2026.0)</f>
        <v>2026</v>
      </c>
      <c r="D696" s="2">
        <f>IFERROR(__xludf.DUMMYFUNCTION("""COMPUTED_VALUE"""),46255.0)</f>
        <v>46255</v>
      </c>
      <c r="E696" s="2" t="str">
        <f>IFERROR(__xludf.DUMMYFUNCTION("""COMPUTED_VALUE"""),"VF")</f>
        <v>VF</v>
      </c>
      <c r="F696" s="2">
        <f>IFERROR(__xludf.DUMMYFUNCTION("""COMPUTED_VALUE"""),1.0)</f>
        <v>1</v>
      </c>
      <c r="G696" s="2" t="str">
        <f>IFERROR(__xludf.DUMMYFUNCTION("""COMPUTED_VALUE"""),"PR010")</f>
        <v>PR010</v>
      </c>
      <c r="H696" s="2" t="str">
        <f>IFERROR(__xludf.DUMMYFUNCTION("""COMPUTED_VALUE"""),"VD027")</f>
        <v>VD027</v>
      </c>
      <c r="I696" s="2">
        <f>IFERROR(__xludf.DUMMYFUNCTION("""COMPUTED_VALUE"""),1.0)</f>
        <v>1</v>
      </c>
      <c r="J696" s="2">
        <f>IFERROR(__xludf.DUMMYFUNCTION("""COMPUTED_VALUE"""),45.8)</f>
        <v>45.8</v>
      </c>
      <c r="K696" s="2">
        <f>IFERROR(__xludf.DUMMYFUNCTION("""COMPUTED_VALUE"""),45.8)</f>
        <v>45.8</v>
      </c>
    </row>
    <row r="697">
      <c r="A697" s="2">
        <f>IFERROR(__xludf.DUMMYFUNCTION("""COMPUTED_VALUE"""),1000.0)</f>
        <v>1000</v>
      </c>
      <c r="B697" s="2">
        <f>IFERROR(__xludf.DUMMYFUNCTION("""COMPUTED_VALUE"""),183955.0)</f>
        <v>183955</v>
      </c>
      <c r="C697" s="2">
        <f>IFERROR(__xludf.DUMMYFUNCTION("""COMPUTED_VALUE"""),2026.0)</f>
        <v>2026</v>
      </c>
      <c r="D697" s="2">
        <f>IFERROR(__xludf.DUMMYFUNCTION("""COMPUTED_VALUE"""),46255.0)</f>
        <v>46255</v>
      </c>
      <c r="E697" s="2" t="str">
        <f>IFERROR(__xludf.DUMMYFUNCTION("""COMPUTED_VALUE"""),"VF")</f>
        <v>VF</v>
      </c>
      <c r="F697" s="2">
        <f>IFERROR(__xludf.DUMMYFUNCTION("""COMPUTED_VALUE"""),1.0)</f>
        <v>1</v>
      </c>
      <c r="G697" s="2" t="str">
        <f>IFERROR(__xludf.DUMMYFUNCTION("""COMPUTED_VALUE"""),"PR050")</f>
        <v>PR050</v>
      </c>
      <c r="H697" s="2" t="str">
        <f>IFERROR(__xludf.DUMMYFUNCTION("""COMPUTED_VALUE"""),"VD029")</f>
        <v>VD029</v>
      </c>
      <c r="I697" s="2">
        <f>IFERROR(__xludf.DUMMYFUNCTION("""COMPUTED_VALUE"""),16.0)</f>
        <v>16</v>
      </c>
      <c r="J697" s="2">
        <f>IFERROR(__xludf.DUMMYFUNCTION("""COMPUTED_VALUE"""),526.4)</f>
        <v>526.4</v>
      </c>
      <c r="K697" s="2">
        <f>IFERROR(__xludf.DUMMYFUNCTION("""COMPUTED_VALUE"""),526.4)</f>
        <v>526.4</v>
      </c>
    </row>
    <row r="698">
      <c r="A698" s="2">
        <f>IFERROR(__xludf.DUMMYFUNCTION("""COMPUTED_VALUE"""),1000.0)</f>
        <v>1000</v>
      </c>
      <c r="B698" s="2">
        <f>IFERROR(__xludf.DUMMYFUNCTION("""COMPUTED_VALUE"""),183956.0)</f>
        <v>183956</v>
      </c>
      <c r="C698" s="2">
        <f>IFERROR(__xludf.DUMMYFUNCTION("""COMPUTED_VALUE"""),2026.0)</f>
        <v>2026</v>
      </c>
      <c r="D698" s="2">
        <f>IFERROR(__xludf.DUMMYFUNCTION("""COMPUTED_VALUE"""),46255.0)</f>
        <v>46255</v>
      </c>
      <c r="E698" s="2" t="str">
        <f>IFERROR(__xludf.DUMMYFUNCTION("""COMPUTED_VALUE"""),"VF")</f>
        <v>VF</v>
      </c>
      <c r="F698" s="2">
        <f>IFERROR(__xludf.DUMMYFUNCTION("""COMPUTED_VALUE"""),1.0)</f>
        <v>1</v>
      </c>
      <c r="G698" s="2" t="str">
        <f>IFERROR(__xludf.DUMMYFUNCTION("""COMPUTED_VALUE"""),"PR046")</f>
        <v>PR046</v>
      </c>
      <c r="H698" s="2" t="str">
        <f>IFERROR(__xludf.DUMMYFUNCTION("""COMPUTED_VALUE"""),"VD025")</f>
        <v>VD025</v>
      </c>
      <c r="I698" s="2">
        <f>IFERROR(__xludf.DUMMYFUNCTION("""COMPUTED_VALUE"""),6.0)</f>
        <v>6</v>
      </c>
      <c r="J698" s="2">
        <f>IFERROR(__xludf.DUMMYFUNCTION("""COMPUTED_VALUE"""),1826.37)</f>
        <v>1826.37</v>
      </c>
      <c r="K698" s="2">
        <f>IFERROR(__xludf.DUMMYFUNCTION("""COMPUTED_VALUE"""),1826.37)</f>
        <v>1826.37</v>
      </c>
    </row>
    <row r="699">
      <c r="A699" s="2">
        <f>IFERROR(__xludf.DUMMYFUNCTION("""COMPUTED_VALUE"""),1000.0)</f>
        <v>1000</v>
      </c>
      <c r="B699" s="2">
        <f>IFERROR(__xludf.DUMMYFUNCTION("""COMPUTED_VALUE"""),183956.0)</f>
        <v>183956</v>
      </c>
      <c r="C699" s="2">
        <f>IFERROR(__xludf.DUMMYFUNCTION("""COMPUTED_VALUE"""),2026.0)</f>
        <v>2026</v>
      </c>
      <c r="D699" s="2">
        <f>IFERROR(__xludf.DUMMYFUNCTION("""COMPUTED_VALUE"""),46254.0)</f>
        <v>46254</v>
      </c>
      <c r="E699" s="2" t="str">
        <f>IFERROR(__xludf.DUMMYFUNCTION("""COMPUTED_VALUE"""),"VF")</f>
        <v>VF</v>
      </c>
      <c r="F699" s="2">
        <f>IFERROR(__xludf.DUMMYFUNCTION("""COMPUTED_VALUE"""),2.0)</f>
        <v>2</v>
      </c>
      <c r="G699" s="2" t="str">
        <f>IFERROR(__xludf.DUMMYFUNCTION("""COMPUTED_VALUE"""),"PR036")</f>
        <v>PR036</v>
      </c>
      <c r="H699" s="2" t="str">
        <f>IFERROR(__xludf.DUMMYFUNCTION("""COMPUTED_VALUE"""),"VD024")</f>
        <v>VD024</v>
      </c>
      <c r="I699" s="2">
        <f>IFERROR(__xludf.DUMMYFUNCTION("""COMPUTED_VALUE"""),2.0)</f>
        <v>2</v>
      </c>
      <c r="J699" s="2">
        <f>IFERROR(__xludf.DUMMYFUNCTION("""COMPUTED_VALUE"""),203.83)</f>
        <v>203.83</v>
      </c>
      <c r="K699" s="2">
        <f>IFERROR(__xludf.DUMMYFUNCTION("""COMPUTED_VALUE"""),203.83)</f>
        <v>203.83</v>
      </c>
    </row>
    <row r="700">
      <c r="A700" s="2">
        <f>IFERROR(__xludf.DUMMYFUNCTION("""COMPUTED_VALUE"""),1000.0)</f>
        <v>1000</v>
      </c>
      <c r="B700" s="2">
        <f>IFERROR(__xludf.DUMMYFUNCTION("""COMPUTED_VALUE"""),183957.0)</f>
        <v>183957</v>
      </c>
      <c r="C700" s="2">
        <f>IFERROR(__xludf.DUMMYFUNCTION("""COMPUTED_VALUE"""),2026.0)</f>
        <v>2026</v>
      </c>
      <c r="D700" s="2">
        <f>IFERROR(__xludf.DUMMYFUNCTION("""COMPUTED_VALUE"""),46254.0)</f>
        <v>46254</v>
      </c>
      <c r="E700" s="2" t="str">
        <f>IFERROR(__xludf.DUMMYFUNCTION("""COMPUTED_VALUE"""),"VF")</f>
        <v>VF</v>
      </c>
      <c r="F700" s="2">
        <f>IFERROR(__xludf.DUMMYFUNCTION("""COMPUTED_VALUE"""),1.0)</f>
        <v>1</v>
      </c>
      <c r="G700" s="2" t="str">
        <f>IFERROR(__xludf.DUMMYFUNCTION("""COMPUTED_VALUE"""),"PR047")</f>
        <v>PR047</v>
      </c>
      <c r="H700" s="2" t="str">
        <f>IFERROR(__xludf.DUMMYFUNCTION("""COMPUTED_VALUE"""),"VD035")</f>
        <v>VD035</v>
      </c>
      <c r="I700" s="2">
        <f>IFERROR(__xludf.DUMMYFUNCTION("""COMPUTED_VALUE"""),1.0)</f>
        <v>1</v>
      </c>
      <c r="J700" s="2">
        <f>IFERROR(__xludf.DUMMYFUNCTION("""COMPUTED_VALUE"""),313.09)</f>
        <v>313.09</v>
      </c>
      <c r="K700" s="2">
        <f>IFERROR(__xludf.DUMMYFUNCTION("""COMPUTED_VALUE"""),313.09)</f>
        <v>313.09</v>
      </c>
    </row>
    <row r="701">
      <c r="A701" s="2">
        <f>IFERROR(__xludf.DUMMYFUNCTION("""COMPUTED_VALUE"""),2000.0)</f>
        <v>2000</v>
      </c>
      <c r="B701" s="2">
        <f>IFERROR(__xludf.DUMMYFUNCTION("""COMPUTED_VALUE"""),183958.0)</f>
        <v>183958</v>
      </c>
      <c r="C701" s="2">
        <f>IFERROR(__xludf.DUMMYFUNCTION("""COMPUTED_VALUE"""),2026.0)</f>
        <v>2026</v>
      </c>
      <c r="D701" s="2">
        <f>IFERROR(__xludf.DUMMYFUNCTION("""COMPUTED_VALUE"""),46254.0)</f>
        <v>46254</v>
      </c>
      <c r="E701" s="2" t="str">
        <f>IFERROR(__xludf.DUMMYFUNCTION("""COMPUTED_VALUE"""),"VF")</f>
        <v>VF</v>
      </c>
      <c r="F701" s="2">
        <f>IFERROR(__xludf.DUMMYFUNCTION("""COMPUTED_VALUE"""),1.0)</f>
        <v>1</v>
      </c>
      <c r="G701" s="2" t="str">
        <f>IFERROR(__xludf.DUMMYFUNCTION("""COMPUTED_VALUE"""),"PR014")</f>
        <v>PR014</v>
      </c>
      <c r="H701" s="2" t="str">
        <f>IFERROR(__xludf.DUMMYFUNCTION("""COMPUTED_VALUE"""),"VD028")</f>
        <v>VD028</v>
      </c>
      <c r="I701" s="2">
        <f>IFERROR(__xludf.DUMMYFUNCTION("""COMPUTED_VALUE"""),4.0)</f>
        <v>4</v>
      </c>
      <c r="J701" s="2">
        <f>IFERROR(__xludf.DUMMYFUNCTION("""COMPUTED_VALUE"""),161.2)</f>
        <v>161.2</v>
      </c>
      <c r="K701" s="2">
        <f>IFERROR(__xludf.DUMMYFUNCTION("""COMPUTED_VALUE"""),161.2)</f>
        <v>161.2</v>
      </c>
    </row>
    <row r="702">
      <c r="A702" s="2">
        <f>IFERROR(__xludf.DUMMYFUNCTION("""COMPUTED_VALUE"""),1000.0)</f>
        <v>1000</v>
      </c>
      <c r="B702" s="2">
        <f>IFERROR(__xludf.DUMMYFUNCTION("""COMPUTED_VALUE"""),183959.0)</f>
        <v>183959</v>
      </c>
      <c r="C702" s="2">
        <f>IFERROR(__xludf.DUMMYFUNCTION("""COMPUTED_VALUE"""),2026.0)</f>
        <v>2026</v>
      </c>
      <c r="D702" s="2">
        <f>IFERROR(__xludf.DUMMYFUNCTION("""COMPUTED_VALUE"""),46254.0)</f>
        <v>46254</v>
      </c>
      <c r="E702" s="2" t="str">
        <f>IFERROR(__xludf.DUMMYFUNCTION("""COMPUTED_VALUE"""),"VF")</f>
        <v>VF</v>
      </c>
      <c r="F702" s="2">
        <f>IFERROR(__xludf.DUMMYFUNCTION("""COMPUTED_VALUE"""),1.0)</f>
        <v>1</v>
      </c>
      <c r="G702" s="2" t="str">
        <f>IFERROR(__xludf.DUMMYFUNCTION("""COMPUTED_VALUE"""),"PR039")</f>
        <v>PR039</v>
      </c>
      <c r="H702" s="2" t="str">
        <f>IFERROR(__xludf.DUMMYFUNCTION("""COMPUTED_VALUE"""),"VD012")</f>
        <v>VD012</v>
      </c>
      <c r="I702" s="2">
        <f>IFERROR(__xludf.DUMMYFUNCTION("""COMPUTED_VALUE"""),20.0)</f>
        <v>20</v>
      </c>
      <c r="J702" s="2">
        <f>IFERROR(__xludf.DUMMYFUNCTION("""COMPUTED_VALUE"""),3124.4)</f>
        <v>3124.4</v>
      </c>
      <c r="K702" s="2">
        <f>IFERROR(__xludf.DUMMYFUNCTION("""COMPUTED_VALUE"""),3124.4)</f>
        <v>3124.4</v>
      </c>
    </row>
    <row r="703">
      <c r="A703" s="2">
        <f>IFERROR(__xludf.DUMMYFUNCTION("""COMPUTED_VALUE"""),1000.0)</f>
        <v>1000</v>
      </c>
      <c r="B703" s="2">
        <f>IFERROR(__xludf.DUMMYFUNCTION("""COMPUTED_VALUE"""),183959.0)</f>
        <v>183959</v>
      </c>
      <c r="C703" s="2">
        <f>IFERROR(__xludf.DUMMYFUNCTION("""COMPUTED_VALUE"""),2026.0)</f>
        <v>2026</v>
      </c>
      <c r="D703" s="2">
        <f>IFERROR(__xludf.DUMMYFUNCTION("""COMPUTED_VALUE"""),46254.0)</f>
        <v>46254</v>
      </c>
      <c r="E703" s="2" t="str">
        <f>IFERROR(__xludf.DUMMYFUNCTION("""COMPUTED_VALUE"""),"VF")</f>
        <v>VF</v>
      </c>
      <c r="F703" s="2">
        <f>IFERROR(__xludf.DUMMYFUNCTION("""COMPUTED_VALUE"""),2.0)</f>
        <v>2</v>
      </c>
      <c r="G703" s="2" t="str">
        <f>IFERROR(__xludf.DUMMYFUNCTION("""COMPUTED_VALUE"""),"PR051")</f>
        <v>PR051</v>
      </c>
      <c r="H703" s="2" t="str">
        <f>IFERROR(__xludf.DUMMYFUNCTION("""COMPUTED_VALUE"""),"VD034")</f>
        <v>VD034</v>
      </c>
      <c r="I703" s="2">
        <f>IFERROR(__xludf.DUMMYFUNCTION("""COMPUTED_VALUE"""),6.0)</f>
        <v>6</v>
      </c>
      <c r="J703" s="2">
        <f>IFERROR(__xludf.DUMMYFUNCTION("""COMPUTED_VALUE"""),211.22)</f>
        <v>211.22</v>
      </c>
      <c r="K703" s="2">
        <f>IFERROR(__xludf.DUMMYFUNCTION("""COMPUTED_VALUE"""),211.22)</f>
        <v>211.22</v>
      </c>
    </row>
    <row r="704">
      <c r="A704" s="2">
        <f>IFERROR(__xludf.DUMMYFUNCTION("""COMPUTED_VALUE"""),1000.0)</f>
        <v>1000</v>
      </c>
      <c r="B704" s="2">
        <f>IFERROR(__xludf.DUMMYFUNCTION("""COMPUTED_VALUE"""),183960.0)</f>
        <v>183960</v>
      </c>
      <c r="C704" s="2">
        <f>IFERROR(__xludf.DUMMYFUNCTION("""COMPUTED_VALUE"""),2026.0)</f>
        <v>2026</v>
      </c>
      <c r="D704" s="2">
        <f>IFERROR(__xludf.DUMMYFUNCTION("""COMPUTED_VALUE"""),46253.0)</f>
        <v>46253</v>
      </c>
      <c r="E704" s="2" t="str">
        <f>IFERROR(__xludf.DUMMYFUNCTION("""COMPUTED_VALUE"""),"VF")</f>
        <v>VF</v>
      </c>
      <c r="F704" s="2">
        <f>IFERROR(__xludf.DUMMYFUNCTION("""COMPUTED_VALUE"""),1.0)</f>
        <v>1</v>
      </c>
      <c r="G704" s="2" t="str">
        <f>IFERROR(__xludf.DUMMYFUNCTION("""COMPUTED_VALUE"""),"PR060")</f>
        <v>PR060</v>
      </c>
      <c r="H704" s="2" t="str">
        <f>IFERROR(__xludf.DUMMYFUNCTION("""COMPUTED_VALUE"""),"VD043")</f>
        <v>VD043</v>
      </c>
      <c r="I704" s="2">
        <f>IFERROR(__xludf.DUMMYFUNCTION("""COMPUTED_VALUE"""),8.0)</f>
        <v>8</v>
      </c>
      <c r="J704" s="2">
        <f>IFERROR(__xludf.DUMMYFUNCTION("""COMPUTED_VALUE"""),1483.2)</f>
        <v>1483.2</v>
      </c>
      <c r="K704" s="2">
        <f>IFERROR(__xludf.DUMMYFUNCTION("""COMPUTED_VALUE"""),1483.2)</f>
        <v>1483.2</v>
      </c>
    </row>
    <row r="705">
      <c r="A705" s="2">
        <f>IFERROR(__xludf.DUMMYFUNCTION("""COMPUTED_VALUE"""),2000.0)</f>
        <v>2000</v>
      </c>
      <c r="B705" s="2">
        <f>IFERROR(__xludf.DUMMYFUNCTION("""COMPUTED_VALUE"""),183961.0)</f>
        <v>183961</v>
      </c>
      <c r="C705" s="2">
        <f>IFERROR(__xludf.DUMMYFUNCTION("""COMPUTED_VALUE"""),2026.0)</f>
        <v>2026</v>
      </c>
      <c r="D705" s="2">
        <f>IFERROR(__xludf.DUMMYFUNCTION("""COMPUTED_VALUE"""),46253.0)</f>
        <v>46253</v>
      </c>
      <c r="E705" s="2" t="str">
        <f>IFERROR(__xludf.DUMMYFUNCTION("""COMPUTED_VALUE"""),"VF")</f>
        <v>VF</v>
      </c>
      <c r="F705" s="2">
        <f>IFERROR(__xludf.DUMMYFUNCTION("""COMPUTED_VALUE"""),1.0)</f>
        <v>1</v>
      </c>
      <c r="G705" s="2" t="str">
        <f>IFERROR(__xludf.DUMMYFUNCTION("""COMPUTED_VALUE"""),"PR050")</f>
        <v>PR050</v>
      </c>
      <c r="H705" s="2" t="str">
        <f>IFERROR(__xludf.DUMMYFUNCTION("""COMPUTED_VALUE"""),"VD040")</f>
        <v>VD040</v>
      </c>
      <c r="I705" s="2">
        <f>IFERROR(__xludf.DUMMYFUNCTION("""COMPUTED_VALUE"""),10.0)</f>
        <v>10</v>
      </c>
      <c r="J705" s="2">
        <f>IFERROR(__xludf.DUMMYFUNCTION("""COMPUTED_VALUE"""),329.0)</f>
        <v>329</v>
      </c>
      <c r="K705" s="2">
        <f>IFERROR(__xludf.DUMMYFUNCTION("""COMPUTED_VALUE"""),329.0)</f>
        <v>329</v>
      </c>
    </row>
    <row r="706">
      <c r="A706" s="2">
        <f>IFERROR(__xludf.DUMMYFUNCTION("""COMPUTED_VALUE"""),1000.0)</f>
        <v>1000</v>
      </c>
      <c r="B706" s="2">
        <f>IFERROR(__xludf.DUMMYFUNCTION("""COMPUTED_VALUE"""),183962.0)</f>
        <v>183962</v>
      </c>
      <c r="C706" s="2">
        <f>IFERROR(__xludf.DUMMYFUNCTION("""COMPUTED_VALUE"""),2026.0)</f>
        <v>2026</v>
      </c>
      <c r="D706" s="2">
        <f>IFERROR(__xludf.DUMMYFUNCTION("""COMPUTED_VALUE"""),46253.0)</f>
        <v>46253</v>
      </c>
      <c r="E706" s="2" t="str">
        <f>IFERROR(__xludf.DUMMYFUNCTION("""COMPUTED_VALUE"""),"VF")</f>
        <v>VF</v>
      </c>
      <c r="F706" s="2">
        <f>IFERROR(__xludf.DUMMYFUNCTION("""COMPUTED_VALUE"""),1.0)</f>
        <v>1</v>
      </c>
      <c r="G706" s="2" t="str">
        <f>IFERROR(__xludf.DUMMYFUNCTION("""COMPUTED_VALUE"""),"PR044")</f>
        <v>PR044</v>
      </c>
      <c r="H706" s="2" t="str">
        <f>IFERROR(__xludf.DUMMYFUNCTION("""COMPUTED_VALUE"""),"VD012")</f>
        <v>VD012</v>
      </c>
      <c r="I706" s="2">
        <f>IFERROR(__xludf.DUMMYFUNCTION("""COMPUTED_VALUE"""),4.0)</f>
        <v>4</v>
      </c>
      <c r="J706" s="2">
        <f>IFERROR(__xludf.DUMMYFUNCTION("""COMPUTED_VALUE"""),301.6)</f>
        <v>301.6</v>
      </c>
      <c r="K706" s="2">
        <f>IFERROR(__xludf.DUMMYFUNCTION("""COMPUTED_VALUE"""),301.6)</f>
        <v>301.6</v>
      </c>
    </row>
    <row r="707">
      <c r="A707" s="2">
        <f>IFERROR(__xludf.DUMMYFUNCTION("""COMPUTED_VALUE"""),1000.0)</f>
        <v>1000</v>
      </c>
      <c r="B707" s="2">
        <f>IFERROR(__xludf.DUMMYFUNCTION("""COMPUTED_VALUE"""),183963.0)</f>
        <v>183963</v>
      </c>
      <c r="C707" s="2">
        <f>IFERROR(__xludf.DUMMYFUNCTION("""COMPUTED_VALUE"""),2026.0)</f>
        <v>2026</v>
      </c>
      <c r="D707" s="2">
        <f>IFERROR(__xludf.DUMMYFUNCTION("""COMPUTED_VALUE"""),46253.0)</f>
        <v>46253</v>
      </c>
      <c r="E707" s="2" t="str">
        <f>IFERROR(__xludf.DUMMYFUNCTION("""COMPUTED_VALUE"""),"VF")</f>
        <v>VF</v>
      </c>
      <c r="F707" s="2">
        <f>IFERROR(__xludf.DUMMYFUNCTION("""COMPUTED_VALUE"""),1.0)</f>
        <v>1</v>
      </c>
      <c r="G707" s="2" t="str">
        <f>IFERROR(__xludf.DUMMYFUNCTION("""COMPUTED_VALUE"""),"PR013")</f>
        <v>PR013</v>
      </c>
      <c r="H707" s="2" t="str">
        <f>IFERROR(__xludf.DUMMYFUNCTION("""COMPUTED_VALUE"""),"VD031")</f>
        <v>VD031</v>
      </c>
      <c r="I707" s="2">
        <f>IFERROR(__xludf.DUMMYFUNCTION("""COMPUTED_VALUE"""),14.0)</f>
        <v>14</v>
      </c>
      <c r="J707" s="2">
        <f>IFERROR(__xludf.DUMMYFUNCTION("""COMPUTED_VALUE"""),608.87)</f>
        <v>608.87</v>
      </c>
      <c r="K707" s="2">
        <f>IFERROR(__xludf.DUMMYFUNCTION("""COMPUTED_VALUE"""),608.87)</f>
        <v>608.87</v>
      </c>
    </row>
    <row r="708">
      <c r="A708" s="2">
        <f>IFERROR(__xludf.DUMMYFUNCTION("""COMPUTED_VALUE"""),1000.0)</f>
        <v>1000</v>
      </c>
      <c r="B708" s="2">
        <f>IFERROR(__xludf.DUMMYFUNCTION("""COMPUTED_VALUE"""),183964.0)</f>
        <v>183964</v>
      </c>
      <c r="C708" s="2">
        <f>IFERROR(__xludf.DUMMYFUNCTION("""COMPUTED_VALUE"""),2026.0)</f>
        <v>2026</v>
      </c>
      <c r="D708" s="2">
        <f>IFERROR(__xludf.DUMMYFUNCTION("""COMPUTED_VALUE"""),46253.0)</f>
        <v>46253</v>
      </c>
      <c r="E708" s="2" t="str">
        <f>IFERROR(__xludf.DUMMYFUNCTION("""COMPUTED_VALUE"""),"VF")</f>
        <v>VF</v>
      </c>
      <c r="F708" s="2">
        <f>IFERROR(__xludf.DUMMYFUNCTION("""COMPUTED_VALUE"""),1.0)</f>
        <v>1</v>
      </c>
      <c r="G708" s="2" t="str">
        <f>IFERROR(__xludf.DUMMYFUNCTION("""COMPUTED_VALUE"""),"PR002")</f>
        <v>PR002</v>
      </c>
      <c r="H708" s="2" t="str">
        <f>IFERROR(__xludf.DUMMYFUNCTION("""COMPUTED_VALUE"""),"VD027")</f>
        <v>VD027</v>
      </c>
      <c r="I708" s="2">
        <f>IFERROR(__xludf.DUMMYFUNCTION("""COMPUTED_VALUE"""),6.0)</f>
        <v>6</v>
      </c>
      <c r="J708" s="2">
        <f>IFERROR(__xludf.DUMMYFUNCTION("""COMPUTED_VALUE"""),452.95)</f>
        <v>452.95</v>
      </c>
      <c r="K708" s="2">
        <f>IFERROR(__xludf.DUMMYFUNCTION("""COMPUTED_VALUE"""),452.95)</f>
        <v>452.95</v>
      </c>
    </row>
    <row r="709">
      <c r="A709" s="2">
        <f>IFERROR(__xludf.DUMMYFUNCTION("""COMPUTED_VALUE"""),1000.0)</f>
        <v>1000</v>
      </c>
      <c r="B709" s="2">
        <f>IFERROR(__xludf.DUMMYFUNCTION("""COMPUTED_VALUE"""),183965.0)</f>
        <v>183965</v>
      </c>
      <c r="C709" s="2">
        <f>IFERROR(__xludf.DUMMYFUNCTION("""COMPUTED_VALUE"""),2026.0)</f>
        <v>2026</v>
      </c>
      <c r="D709" s="2">
        <f>IFERROR(__xludf.DUMMYFUNCTION("""COMPUTED_VALUE"""),46253.0)</f>
        <v>46253</v>
      </c>
      <c r="E709" s="2" t="str">
        <f>IFERROR(__xludf.DUMMYFUNCTION("""COMPUTED_VALUE"""),"VF")</f>
        <v>VF</v>
      </c>
      <c r="F709" s="2">
        <f>IFERROR(__xludf.DUMMYFUNCTION("""COMPUTED_VALUE"""),1.0)</f>
        <v>1</v>
      </c>
      <c r="G709" s="2" t="str">
        <f>IFERROR(__xludf.DUMMYFUNCTION("""COMPUTED_VALUE"""),"PR031")</f>
        <v>PR031</v>
      </c>
      <c r="H709" s="2" t="str">
        <f>IFERROR(__xludf.DUMMYFUNCTION("""COMPUTED_VALUE"""),"VD024")</f>
        <v>VD024</v>
      </c>
      <c r="I709" s="2">
        <f>IFERROR(__xludf.DUMMYFUNCTION("""COMPUTED_VALUE"""),6.0)</f>
        <v>6</v>
      </c>
      <c r="J709" s="2">
        <f>IFERROR(__xludf.DUMMYFUNCTION("""COMPUTED_VALUE"""),1499.4)</f>
        <v>1499.4</v>
      </c>
      <c r="K709" s="2">
        <f>IFERROR(__xludf.DUMMYFUNCTION("""COMPUTED_VALUE"""),1499.4)</f>
        <v>1499.4</v>
      </c>
    </row>
    <row r="710">
      <c r="A710" s="2">
        <f>IFERROR(__xludf.DUMMYFUNCTION("""COMPUTED_VALUE"""),1000.0)</f>
        <v>1000</v>
      </c>
      <c r="B710" s="2">
        <f>IFERROR(__xludf.DUMMYFUNCTION("""COMPUTED_VALUE"""),183965.0)</f>
        <v>183965</v>
      </c>
      <c r="C710" s="2">
        <f>IFERROR(__xludf.DUMMYFUNCTION("""COMPUTED_VALUE"""),2026.0)</f>
        <v>2026</v>
      </c>
      <c r="D710" s="2">
        <f>IFERROR(__xludf.DUMMYFUNCTION("""COMPUTED_VALUE"""),46253.0)</f>
        <v>46253</v>
      </c>
      <c r="E710" s="2" t="str">
        <f>IFERROR(__xludf.DUMMYFUNCTION("""COMPUTED_VALUE"""),"VF")</f>
        <v>VF</v>
      </c>
      <c r="F710" s="2">
        <f>IFERROR(__xludf.DUMMYFUNCTION("""COMPUTED_VALUE"""),2.0)</f>
        <v>2</v>
      </c>
      <c r="G710" s="2" t="str">
        <f>IFERROR(__xludf.DUMMYFUNCTION("""COMPUTED_VALUE"""),"PR052")</f>
        <v>PR052</v>
      </c>
      <c r="H710" s="2" t="str">
        <f>IFERROR(__xludf.DUMMYFUNCTION("""COMPUTED_VALUE"""),"VD041")</f>
        <v>VD041</v>
      </c>
      <c r="I710" s="2">
        <f>IFERROR(__xludf.DUMMYFUNCTION("""COMPUTED_VALUE"""),14.0)</f>
        <v>14</v>
      </c>
      <c r="J710" s="2">
        <f>IFERROR(__xludf.DUMMYFUNCTION("""COMPUTED_VALUE"""),754.49)</f>
        <v>754.49</v>
      </c>
      <c r="K710" s="2">
        <f>IFERROR(__xludf.DUMMYFUNCTION("""COMPUTED_VALUE"""),754.49)</f>
        <v>754.49</v>
      </c>
    </row>
    <row r="711">
      <c r="A711" s="2">
        <f>IFERROR(__xludf.DUMMYFUNCTION("""COMPUTED_VALUE"""),2000.0)</f>
        <v>2000</v>
      </c>
      <c r="B711" s="2">
        <f>IFERROR(__xludf.DUMMYFUNCTION("""COMPUTED_VALUE"""),183965.0)</f>
        <v>183965</v>
      </c>
      <c r="C711" s="2">
        <f>IFERROR(__xludf.DUMMYFUNCTION("""COMPUTED_VALUE"""),2026.0)</f>
        <v>2026</v>
      </c>
      <c r="D711" s="2">
        <f>IFERROR(__xludf.DUMMYFUNCTION("""COMPUTED_VALUE"""),46253.0)</f>
        <v>46253</v>
      </c>
      <c r="E711" s="2" t="str">
        <f>IFERROR(__xludf.DUMMYFUNCTION("""COMPUTED_VALUE"""),"VF")</f>
        <v>VF</v>
      </c>
      <c r="F711" s="2">
        <f>IFERROR(__xludf.DUMMYFUNCTION("""COMPUTED_VALUE"""),3.0)</f>
        <v>3</v>
      </c>
      <c r="G711" s="2" t="str">
        <f>IFERROR(__xludf.DUMMYFUNCTION("""COMPUTED_VALUE"""),"PR058")</f>
        <v>PR058</v>
      </c>
      <c r="H711" s="2" t="str">
        <f>IFERROR(__xludf.DUMMYFUNCTION("""COMPUTED_VALUE"""),"VD030")</f>
        <v>VD030</v>
      </c>
      <c r="I711" s="2">
        <f>IFERROR(__xludf.DUMMYFUNCTION("""COMPUTED_VALUE"""),2.0)</f>
        <v>2</v>
      </c>
      <c r="J711" s="2">
        <f>IFERROR(__xludf.DUMMYFUNCTION("""COMPUTED_VALUE"""),363.6)</f>
        <v>363.6</v>
      </c>
      <c r="K711" s="2">
        <f>IFERROR(__xludf.DUMMYFUNCTION("""COMPUTED_VALUE"""),363.6)</f>
        <v>363.6</v>
      </c>
    </row>
    <row r="712">
      <c r="A712" s="2">
        <f>IFERROR(__xludf.DUMMYFUNCTION("""COMPUTED_VALUE"""),1000.0)</f>
        <v>1000</v>
      </c>
      <c r="B712" s="2">
        <f>IFERROR(__xludf.DUMMYFUNCTION("""COMPUTED_VALUE"""),183966.0)</f>
        <v>183966</v>
      </c>
      <c r="C712" s="2">
        <f>IFERROR(__xludf.DUMMYFUNCTION("""COMPUTED_VALUE"""),2026.0)</f>
        <v>2026</v>
      </c>
      <c r="D712" s="2">
        <f>IFERROR(__xludf.DUMMYFUNCTION("""COMPUTED_VALUE"""),46253.0)</f>
        <v>46253</v>
      </c>
      <c r="E712" s="2" t="str">
        <f>IFERROR(__xludf.DUMMYFUNCTION("""COMPUTED_VALUE"""),"VF")</f>
        <v>VF</v>
      </c>
      <c r="F712" s="2">
        <f>IFERROR(__xludf.DUMMYFUNCTION("""COMPUTED_VALUE"""),1.0)</f>
        <v>1</v>
      </c>
      <c r="G712" s="2" t="str">
        <f>IFERROR(__xludf.DUMMYFUNCTION("""COMPUTED_VALUE"""),"PR034")</f>
        <v>PR034</v>
      </c>
      <c r="H712" s="2" t="str">
        <f>IFERROR(__xludf.DUMMYFUNCTION("""COMPUTED_VALUE"""),"VD013")</f>
        <v>VD013</v>
      </c>
      <c r="I712" s="2">
        <f>IFERROR(__xludf.DUMMYFUNCTION("""COMPUTED_VALUE"""),7.0)</f>
        <v>7</v>
      </c>
      <c r="J712" s="2">
        <f>IFERROR(__xludf.DUMMYFUNCTION("""COMPUTED_VALUE"""),667.06)</f>
        <v>667.06</v>
      </c>
      <c r="K712" s="2">
        <f>IFERROR(__xludf.DUMMYFUNCTION("""COMPUTED_VALUE"""),667.06)</f>
        <v>667.06</v>
      </c>
    </row>
    <row r="713">
      <c r="A713" s="2">
        <f>IFERROR(__xludf.DUMMYFUNCTION("""COMPUTED_VALUE"""),2000.0)</f>
        <v>2000</v>
      </c>
      <c r="B713" s="2">
        <f>IFERROR(__xludf.DUMMYFUNCTION("""COMPUTED_VALUE"""),183967.0)</f>
        <v>183967</v>
      </c>
      <c r="C713" s="2">
        <f>IFERROR(__xludf.DUMMYFUNCTION("""COMPUTED_VALUE"""),2026.0)</f>
        <v>2026</v>
      </c>
      <c r="D713" s="2">
        <f>IFERROR(__xludf.DUMMYFUNCTION("""COMPUTED_VALUE"""),46252.0)</f>
        <v>46252</v>
      </c>
      <c r="E713" s="2" t="str">
        <f>IFERROR(__xludf.DUMMYFUNCTION("""COMPUTED_VALUE"""),"VF")</f>
        <v>VF</v>
      </c>
      <c r="F713" s="2">
        <f>IFERROR(__xludf.DUMMYFUNCTION("""COMPUTED_VALUE"""),1.0)</f>
        <v>1</v>
      </c>
      <c r="G713" s="2" t="str">
        <f>IFERROR(__xludf.DUMMYFUNCTION("""COMPUTED_VALUE"""),"PR052")</f>
        <v>PR052</v>
      </c>
      <c r="H713" s="2" t="str">
        <f>IFERROR(__xludf.DUMMYFUNCTION("""COMPUTED_VALUE"""),"VD041")</f>
        <v>VD041</v>
      </c>
      <c r="I713" s="2">
        <f>IFERROR(__xludf.DUMMYFUNCTION("""COMPUTED_VALUE"""),18.0)</f>
        <v>18</v>
      </c>
      <c r="J713" s="2">
        <f>IFERROR(__xludf.DUMMYFUNCTION("""COMPUTED_VALUE"""),970.06)</f>
        <v>970.06</v>
      </c>
      <c r="K713" s="2">
        <f>IFERROR(__xludf.DUMMYFUNCTION("""COMPUTED_VALUE"""),970.06)</f>
        <v>970.06</v>
      </c>
    </row>
    <row r="714">
      <c r="A714" s="2">
        <f>IFERROR(__xludf.DUMMYFUNCTION("""COMPUTED_VALUE"""),1000.0)</f>
        <v>1000</v>
      </c>
      <c r="B714" s="2">
        <f>IFERROR(__xludf.DUMMYFUNCTION("""COMPUTED_VALUE"""),183968.0)</f>
        <v>183968</v>
      </c>
      <c r="C714" s="2">
        <f>IFERROR(__xludf.DUMMYFUNCTION("""COMPUTED_VALUE"""),2026.0)</f>
        <v>2026</v>
      </c>
      <c r="D714" s="2">
        <f>IFERROR(__xludf.DUMMYFUNCTION("""COMPUTED_VALUE"""),46252.0)</f>
        <v>46252</v>
      </c>
      <c r="E714" s="2" t="str">
        <f>IFERROR(__xludf.DUMMYFUNCTION("""COMPUTED_VALUE"""),"VF")</f>
        <v>VF</v>
      </c>
      <c r="F714" s="2">
        <f>IFERROR(__xludf.DUMMYFUNCTION("""COMPUTED_VALUE"""),1.0)</f>
        <v>1</v>
      </c>
      <c r="G714" s="2" t="str">
        <f>IFERROR(__xludf.DUMMYFUNCTION("""COMPUTED_VALUE"""),"PR046")</f>
        <v>PR046</v>
      </c>
      <c r="H714" s="2" t="str">
        <f>IFERROR(__xludf.DUMMYFUNCTION("""COMPUTED_VALUE"""),"VD019")</f>
        <v>VD019</v>
      </c>
      <c r="I714" s="2">
        <f>IFERROR(__xludf.DUMMYFUNCTION("""COMPUTED_VALUE"""),4.0)</f>
        <v>4</v>
      </c>
      <c r="J714" s="2">
        <f>IFERROR(__xludf.DUMMYFUNCTION("""COMPUTED_VALUE"""),1240.77)</f>
        <v>1240.77</v>
      </c>
      <c r="K714" s="2">
        <f>IFERROR(__xludf.DUMMYFUNCTION("""COMPUTED_VALUE"""),1240.77)</f>
        <v>1240.77</v>
      </c>
    </row>
    <row r="715">
      <c r="A715" s="2">
        <f>IFERROR(__xludf.DUMMYFUNCTION("""COMPUTED_VALUE"""),1000.0)</f>
        <v>1000</v>
      </c>
      <c r="B715" s="2">
        <f>IFERROR(__xludf.DUMMYFUNCTION("""COMPUTED_VALUE"""),183969.0)</f>
        <v>183969</v>
      </c>
      <c r="C715" s="2">
        <f>IFERROR(__xludf.DUMMYFUNCTION("""COMPUTED_VALUE"""),2026.0)</f>
        <v>2026</v>
      </c>
      <c r="D715" s="2">
        <f>IFERROR(__xludf.DUMMYFUNCTION("""COMPUTED_VALUE"""),46251.0)</f>
        <v>46251</v>
      </c>
      <c r="E715" s="2" t="str">
        <f>IFERROR(__xludf.DUMMYFUNCTION("""COMPUTED_VALUE"""),"VF")</f>
        <v>VF</v>
      </c>
      <c r="F715" s="2">
        <f>IFERROR(__xludf.DUMMYFUNCTION("""COMPUTED_VALUE"""),1.0)</f>
        <v>1</v>
      </c>
      <c r="G715" s="2" t="str">
        <f>IFERROR(__xludf.DUMMYFUNCTION("""COMPUTED_VALUE"""),"PR056")</f>
        <v>PR056</v>
      </c>
      <c r="H715" s="2" t="str">
        <f>IFERROR(__xludf.DUMMYFUNCTION("""COMPUTED_VALUE"""),"VD039")</f>
        <v>VD039</v>
      </c>
      <c r="I715" s="2">
        <f>IFERROR(__xludf.DUMMYFUNCTION("""COMPUTED_VALUE"""),14.0)</f>
        <v>14</v>
      </c>
      <c r="J715" s="2">
        <f>IFERROR(__xludf.DUMMYFUNCTION("""COMPUTED_VALUE"""),1334.12)</f>
        <v>1334.12</v>
      </c>
      <c r="K715" s="2">
        <f>IFERROR(__xludf.DUMMYFUNCTION("""COMPUTED_VALUE"""),1334.12)</f>
        <v>1334.12</v>
      </c>
    </row>
    <row r="716">
      <c r="A716" s="2">
        <f>IFERROR(__xludf.DUMMYFUNCTION("""COMPUTED_VALUE"""),1000.0)</f>
        <v>1000</v>
      </c>
      <c r="B716" s="2">
        <f>IFERROR(__xludf.DUMMYFUNCTION("""COMPUTED_VALUE"""),183970.0)</f>
        <v>183970</v>
      </c>
      <c r="C716" s="2">
        <f>IFERROR(__xludf.DUMMYFUNCTION("""COMPUTED_VALUE"""),2026.0)</f>
        <v>2026</v>
      </c>
      <c r="D716" s="2">
        <f>IFERROR(__xludf.DUMMYFUNCTION("""COMPUTED_VALUE"""),46251.0)</f>
        <v>46251</v>
      </c>
      <c r="E716" s="2" t="str">
        <f>IFERROR(__xludf.DUMMYFUNCTION("""COMPUTED_VALUE"""),"VF")</f>
        <v>VF</v>
      </c>
      <c r="F716" s="2">
        <f>IFERROR(__xludf.DUMMYFUNCTION("""COMPUTED_VALUE"""),1.0)</f>
        <v>1</v>
      </c>
      <c r="G716" s="2" t="str">
        <f>IFERROR(__xludf.DUMMYFUNCTION("""COMPUTED_VALUE"""),"PR034")</f>
        <v>PR034</v>
      </c>
      <c r="H716" s="2" t="str">
        <f>IFERROR(__xludf.DUMMYFUNCTION("""COMPUTED_VALUE"""),"VD042")</f>
        <v>VD042</v>
      </c>
      <c r="I716" s="2">
        <f>IFERROR(__xludf.DUMMYFUNCTION("""COMPUTED_VALUE"""),10.0)</f>
        <v>10</v>
      </c>
      <c r="J716" s="2">
        <f>IFERROR(__xludf.DUMMYFUNCTION("""COMPUTED_VALUE"""),988.9)</f>
        <v>988.9</v>
      </c>
      <c r="K716" s="2">
        <f>IFERROR(__xludf.DUMMYFUNCTION("""COMPUTED_VALUE"""),988.9)</f>
        <v>988.9</v>
      </c>
    </row>
    <row r="717">
      <c r="A717" s="2">
        <f>IFERROR(__xludf.DUMMYFUNCTION("""COMPUTED_VALUE"""),2000.0)</f>
        <v>2000</v>
      </c>
      <c r="B717" s="2">
        <f>IFERROR(__xludf.DUMMYFUNCTION("""COMPUTED_VALUE"""),183970.0)</f>
        <v>183970</v>
      </c>
      <c r="C717" s="2">
        <f>IFERROR(__xludf.DUMMYFUNCTION("""COMPUTED_VALUE"""),2026.0)</f>
        <v>2026</v>
      </c>
      <c r="D717" s="2">
        <f>IFERROR(__xludf.DUMMYFUNCTION("""COMPUTED_VALUE"""),46251.0)</f>
        <v>46251</v>
      </c>
      <c r="E717" s="2" t="str">
        <f>IFERROR(__xludf.DUMMYFUNCTION("""COMPUTED_VALUE"""),"VF")</f>
        <v>VF</v>
      </c>
      <c r="F717" s="2">
        <f>IFERROR(__xludf.DUMMYFUNCTION("""COMPUTED_VALUE"""),2.0)</f>
        <v>2</v>
      </c>
      <c r="G717" s="2" t="str">
        <f>IFERROR(__xludf.DUMMYFUNCTION("""COMPUTED_VALUE"""),"PR029")</f>
        <v>PR029</v>
      </c>
      <c r="H717" s="2" t="str">
        <f>IFERROR(__xludf.DUMMYFUNCTION("""COMPUTED_VALUE"""),"VD043")</f>
        <v>VD043</v>
      </c>
      <c r="I717" s="2">
        <f>IFERROR(__xludf.DUMMYFUNCTION("""COMPUTED_VALUE"""),1.0)</f>
        <v>1</v>
      </c>
      <c r="J717" s="2">
        <f>IFERROR(__xludf.DUMMYFUNCTION("""COMPUTED_VALUE"""),267.75)</f>
        <v>267.75</v>
      </c>
      <c r="K717" s="2">
        <f>IFERROR(__xludf.DUMMYFUNCTION("""COMPUTED_VALUE"""),267.75)</f>
        <v>267.75</v>
      </c>
    </row>
    <row r="718">
      <c r="A718" s="2">
        <f>IFERROR(__xludf.DUMMYFUNCTION("""COMPUTED_VALUE"""),1000.0)</f>
        <v>1000</v>
      </c>
      <c r="B718" s="2">
        <f>IFERROR(__xludf.DUMMYFUNCTION("""COMPUTED_VALUE"""),183971.0)</f>
        <v>183971</v>
      </c>
      <c r="C718" s="2">
        <f>IFERROR(__xludf.DUMMYFUNCTION("""COMPUTED_VALUE"""),2026.0)</f>
        <v>2026</v>
      </c>
      <c r="D718" s="2">
        <f>IFERROR(__xludf.DUMMYFUNCTION("""COMPUTED_VALUE"""),46250.0)</f>
        <v>46250</v>
      </c>
      <c r="E718" s="2" t="str">
        <f>IFERROR(__xludf.DUMMYFUNCTION("""COMPUTED_VALUE"""),"VF")</f>
        <v>VF</v>
      </c>
      <c r="F718" s="2">
        <f>IFERROR(__xludf.DUMMYFUNCTION("""COMPUTED_VALUE"""),1.0)</f>
        <v>1</v>
      </c>
      <c r="G718" s="2" t="str">
        <f>IFERROR(__xludf.DUMMYFUNCTION("""COMPUTED_VALUE"""),"PR043")</f>
        <v>PR043</v>
      </c>
      <c r="H718" s="2" t="str">
        <f>IFERROR(__xludf.DUMMYFUNCTION("""COMPUTED_VALUE"""),"VD023")</f>
        <v>VD023</v>
      </c>
      <c r="I718" s="2">
        <f>IFERROR(__xludf.DUMMYFUNCTION("""COMPUTED_VALUE"""),8.0)</f>
        <v>8</v>
      </c>
      <c r="J718" s="2">
        <f>IFERROR(__xludf.DUMMYFUNCTION("""COMPUTED_VALUE"""),603.2)</f>
        <v>603.2</v>
      </c>
      <c r="K718" s="2">
        <f>IFERROR(__xludf.DUMMYFUNCTION("""COMPUTED_VALUE"""),603.2)</f>
        <v>603.2</v>
      </c>
    </row>
    <row r="719">
      <c r="A719" s="2">
        <f>IFERROR(__xludf.DUMMYFUNCTION("""COMPUTED_VALUE"""),1000.0)</f>
        <v>1000</v>
      </c>
      <c r="B719" s="2">
        <f>IFERROR(__xludf.DUMMYFUNCTION("""COMPUTED_VALUE"""),183972.0)</f>
        <v>183972</v>
      </c>
      <c r="C719" s="2">
        <f>IFERROR(__xludf.DUMMYFUNCTION("""COMPUTED_VALUE"""),2026.0)</f>
        <v>2026</v>
      </c>
      <c r="D719" s="2">
        <f>IFERROR(__xludf.DUMMYFUNCTION("""COMPUTED_VALUE"""),46250.0)</f>
        <v>46250</v>
      </c>
      <c r="E719" s="2" t="str">
        <f>IFERROR(__xludf.DUMMYFUNCTION("""COMPUTED_VALUE"""),"VF")</f>
        <v>VF</v>
      </c>
      <c r="F719" s="2">
        <f>IFERROR(__xludf.DUMMYFUNCTION("""COMPUTED_VALUE"""),1.0)</f>
        <v>1</v>
      </c>
      <c r="G719" s="2" t="str">
        <f>IFERROR(__xludf.DUMMYFUNCTION("""COMPUTED_VALUE"""),"PR014")</f>
        <v>PR014</v>
      </c>
      <c r="H719" s="2" t="str">
        <f>IFERROR(__xludf.DUMMYFUNCTION("""COMPUTED_VALUE"""),"VD035")</f>
        <v>VD035</v>
      </c>
      <c r="I719" s="2">
        <f>IFERROR(__xludf.DUMMYFUNCTION("""COMPUTED_VALUE"""),5.0)</f>
        <v>5</v>
      </c>
      <c r="J719" s="2">
        <f>IFERROR(__xludf.DUMMYFUNCTION("""COMPUTED_VALUE"""),211.47)</f>
        <v>211.47</v>
      </c>
      <c r="K719" s="2">
        <f>IFERROR(__xludf.DUMMYFUNCTION("""COMPUTED_VALUE"""),211.47)</f>
        <v>211.47</v>
      </c>
    </row>
    <row r="720">
      <c r="A720" s="2">
        <f>IFERROR(__xludf.DUMMYFUNCTION("""COMPUTED_VALUE"""),1000.0)</f>
        <v>1000</v>
      </c>
      <c r="B720" s="2">
        <f>IFERROR(__xludf.DUMMYFUNCTION("""COMPUTED_VALUE"""),183973.0)</f>
        <v>183973</v>
      </c>
      <c r="C720" s="2">
        <f>IFERROR(__xludf.DUMMYFUNCTION("""COMPUTED_VALUE"""),2026.0)</f>
        <v>2026</v>
      </c>
      <c r="D720" s="2">
        <f>IFERROR(__xludf.DUMMYFUNCTION("""COMPUTED_VALUE"""),46250.0)</f>
        <v>46250</v>
      </c>
      <c r="E720" s="2" t="str">
        <f>IFERROR(__xludf.DUMMYFUNCTION("""COMPUTED_VALUE"""),"VF")</f>
        <v>VF</v>
      </c>
      <c r="F720" s="2">
        <f>IFERROR(__xludf.DUMMYFUNCTION("""COMPUTED_VALUE"""),1.0)</f>
        <v>1</v>
      </c>
      <c r="G720" s="2" t="str">
        <f>IFERROR(__xludf.DUMMYFUNCTION("""COMPUTED_VALUE"""),"PR019")</f>
        <v>PR019</v>
      </c>
      <c r="H720" s="2" t="str">
        <f>IFERROR(__xludf.DUMMYFUNCTION("""COMPUTED_VALUE"""),"VD018")</f>
        <v>VD018</v>
      </c>
      <c r="I720" s="2">
        <f>IFERROR(__xludf.DUMMYFUNCTION("""COMPUTED_VALUE"""),18.0)</f>
        <v>18</v>
      </c>
      <c r="J720" s="2">
        <f>IFERROR(__xludf.DUMMYFUNCTION("""COMPUTED_VALUE"""),925.15)</f>
        <v>925.15</v>
      </c>
      <c r="K720" s="2">
        <f>IFERROR(__xludf.DUMMYFUNCTION("""COMPUTED_VALUE"""),925.15)</f>
        <v>925.15</v>
      </c>
    </row>
    <row r="721">
      <c r="A721" s="2">
        <f>IFERROR(__xludf.DUMMYFUNCTION("""COMPUTED_VALUE"""),1000.0)</f>
        <v>1000</v>
      </c>
      <c r="B721" s="2">
        <f>IFERROR(__xludf.DUMMYFUNCTION("""COMPUTED_VALUE"""),183974.0)</f>
        <v>183974</v>
      </c>
      <c r="C721" s="2">
        <f>IFERROR(__xludf.DUMMYFUNCTION("""COMPUTED_VALUE"""),2026.0)</f>
        <v>2026</v>
      </c>
      <c r="D721" s="2">
        <f>IFERROR(__xludf.DUMMYFUNCTION("""COMPUTED_VALUE"""),46250.0)</f>
        <v>46250</v>
      </c>
      <c r="E721" s="2" t="str">
        <f>IFERROR(__xludf.DUMMYFUNCTION("""COMPUTED_VALUE"""),"VF")</f>
        <v>VF</v>
      </c>
      <c r="F721" s="2">
        <f>IFERROR(__xludf.DUMMYFUNCTION("""COMPUTED_VALUE"""),1.0)</f>
        <v>1</v>
      </c>
      <c r="G721" s="2" t="str">
        <f>IFERROR(__xludf.DUMMYFUNCTION("""COMPUTED_VALUE"""),"PR057")</f>
        <v>PR057</v>
      </c>
      <c r="H721" s="2" t="str">
        <f>IFERROR(__xludf.DUMMYFUNCTION("""COMPUTED_VALUE"""),"VD028")</f>
        <v>VD028</v>
      </c>
      <c r="I721" s="2">
        <f>IFERROR(__xludf.DUMMYFUNCTION("""COMPUTED_VALUE"""),6.0)</f>
        <v>6</v>
      </c>
      <c r="J721" s="2">
        <f>IFERROR(__xludf.DUMMYFUNCTION("""COMPUTED_VALUE"""),539.4)</f>
        <v>539.4</v>
      </c>
      <c r="K721" s="2">
        <f>IFERROR(__xludf.DUMMYFUNCTION("""COMPUTED_VALUE"""),539.4)</f>
        <v>539.4</v>
      </c>
    </row>
    <row r="722">
      <c r="A722" s="2">
        <f>IFERROR(__xludf.DUMMYFUNCTION("""COMPUTED_VALUE"""),1000.0)</f>
        <v>1000</v>
      </c>
      <c r="B722" s="2">
        <f>IFERROR(__xludf.DUMMYFUNCTION("""COMPUTED_VALUE"""),183975.0)</f>
        <v>183975</v>
      </c>
      <c r="C722" s="2">
        <f>IFERROR(__xludf.DUMMYFUNCTION("""COMPUTED_VALUE"""),2026.0)</f>
        <v>2026</v>
      </c>
      <c r="D722" s="2">
        <f>IFERROR(__xludf.DUMMYFUNCTION("""COMPUTED_VALUE"""),46249.0)</f>
        <v>46249</v>
      </c>
      <c r="E722" s="2" t="str">
        <f>IFERROR(__xludf.DUMMYFUNCTION("""COMPUTED_VALUE"""),"VF")</f>
        <v>VF</v>
      </c>
      <c r="F722" s="2">
        <f>IFERROR(__xludf.DUMMYFUNCTION("""COMPUTED_VALUE"""),1.0)</f>
        <v>1</v>
      </c>
      <c r="G722" s="2" t="str">
        <f>IFERROR(__xludf.DUMMYFUNCTION("""COMPUTED_VALUE"""),"PR047")</f>
        <v>PR047</v>
      </c>
      <c r="H722" s="2" t="str">
        <f>IFERROR(__xludf.DUMMYFUNCTION("""COMPUTED_VALUE"""),"VD047")</f>
        <v>VD047</v>
      </c>
      <c r="I722" s="2">
        <f>IFERROR(__xludf.DUMMYFUNCTION("""COMPUTED_VALUE"""),8.0)</f>
        <v>8</v>
      </c>
      <c r="J722" s="2">
        <f>IFERROR(__xludf.DUMMYFUNCTION("""COMPUTED_VALUE"""),2458.35)</f>
        <v>2458.35</v>
      </c>
      <c r="K722" s="2">
        <f>IFERROR(__xludf.DUMMYFUNCTION("""COMPUTED_VALUE"""),2458.35)</f>
        <v>2458.35</v>
      </c>
    </row>
    <row r="723">
      <c r="A723" s="2">
        <f>IFERROR(__xludf.DUMMYFUNCTION("""COMPUTED_VALUE"""),1000.0)</f>
        <v>1000</v>
      </c>
      <c r="B723" s="2">
        <f>IFERROR(__xludf.DUMMYFUNCTION("""COMPUTED_VALUE"""),183976.0)</f>
        <v>183976</v>
      </c>
      <c r="C723" s="2">
        <f>IFERROR(__xludf.DUMMYFUNCTION("""COMPUTED_VALUE"""),2026.0)</f>
        <v>2026</v>
      </c>
      <c r="D723" s="2">
        <f>IFERROR(__xludf.DUMMYFUNCTION("""COMPUTED_VALUE"""),46249.0)</f>
        <v>46249</v>
      </c>
      <c r="E723" s="2" t="str">
        <f>IFERROR(__xludf.DUMMYFUNCTION("""COMPUTED_VALUE"""),"VF")</f>
        <v>VF</v>
      </c>
      <c r="F723" s="2">
        <f>IFERROR(__xludf.DUMMYFUNCTION("""COMPUTED_VALUE"""),1.0)</f>
        <v>1</v>
      </c>
      <c r="G723" s="2" t="str">
        <f>IFERROR(__xludf.DUMMYFUNCTION("""COMPUTED_VALUE"""),"PR012")</f>
        <v>PR012</v>
      </c>
      <c r="H723" s="2" t="str">
        <f>IFERROR(__xludf.DUMMYFUNCTION("""COMPUTED_VALUE"""),"VD042")</f>
        <v>VD042</v>
      </c>
      <c r="I723" s="2">
        <f>IFERROR(__xludf.DUMMYFUNCTION("""COMPUTED_VALUE"""),16.0)</f>
        <v>16</v>
      </c>
      <c r="J723" s="2">
        <f>IFERROR(__xludf.DUMMYFUNCTION("""COMPUTED_VALUE"""),837.17)</f>
        <v>837.17</v>
      </c>
      <c r="K723" s="2">
        <f>IFERROR(__xludf.DUMMYFUNCTION("""COMPUTED_VALUE"""),837.17)</f>
        <v>837.17</v>
      </c>
    </row>
    <row r="724">
      <c r="A724" s="2">
        <f>IFERROR(__xludf.DUMMYFUNCTION("""COMPUTED_VALUE"""),1000.0)</f>
        <v>1000</v>
      </c>
      <c r="B724" s="2">
        <f>IFERROR(__xludf.DUMMYFUNCTION("""COMPUTED_VALUE"""),183976.0)</f>
        <v>183976</v>
      </c>
      <c r="C724" s="2">
        <f>IFERROR(__xludf.DUMMYFUNCTION("""COMPUTED_VALUE"""),2026.0)</f>
        <v>2026</v>
      </c>
      <c r="D724" s="2">
        <f>IFERROR(__xludf.DUMMYFUNCTION("""COMPUTED_VALUE"""),46249.0)</f>
        <v>46249</v>
      </c>
      <c r="E724" s="2" t="str">
        <f>IFERROR(__xludf.DUMMYFUNCTION("""COMPUTED_VALUE"""),"VF")</f>
        <v>VF</v>
      </c>
      <c r="F724" s="2">
        <f>IFERROR(__xludf.DUMMYFUNCTION("""COMPUTED_VALUE"""),2.0)</f>
        <v>2</v>
      </c>
      <c r="G724" s="2" t="str">
        <f>IFERROR(__xludf.DUMMYFUNCTION("""COMPUTED_VALUE"""),"PR016")</f>
        <v>PR016</v>
      </c>
      <c r="H724" s="2" t="str">
        <f>IFERROR(__xludf.DUMMYFUNCTION("""COMPUTED_VALUE"""),"VD048")</f>
        <v>VD048</v>
      </c>
      <c r="I724" s="2">
        <f>IFERROR(__xludf.DUMMYFUNCTION("""COMPUTED_VALUE"""),14.0)</f>
        <v>14</v>
      </c>
      <c r="J724" s="2">
        <f>IFERROR(__xludf.DUMMYFUNCTION("""COMPUTED_VALUE"""),391.61)</f>
        <v>391.61</v>
      </c>
      <c r="K724" s="2">
        <f>IFERROR(__xludf.DUMMYFUNCTION("""COMPUTED_VALUE"""),391.61)</f>
        <v>391.61</v>
      </c>
    </row>
    <row r="725">
      <c r="A725" s="2">
        <f>IFERROR(__xludf.DUMMYFUNCTION("""COMPUTED_VALUE"""),1000.0)</f>
        <v>1000</v>
      </c>
      <c r="B725" s="2">
        <f>IFERROR(__xludf.DUMMYFUNCTION("""COMPUTED_VALUE"""),183976.0)</f>
        <v>183976</v>
      </c>
      <c r="C725" s="2">
        <f>IFERROR(__xludf.DUMMYFUNCTION("""COMPUTED_VALUE"""),2026.0)</f>
        <v>2026</v>
      </c>
      <c r="D725" s="2">
        <f>IFERROR(__xludf.DUMMYFUNCTION("""COMPUTED_VALUE"""),46249.0)</f>
        <v>46249</v>
      </c>
      <c r="E725" s="2" t="str">
        <f>IFERROR(__xludf.DUMMYFUNCTION("""COMPUTED_VALUE"""),"VF")</f>
        <v>VF</v>
      </c>
      <c r="F725" s="2">
        <f>IFERROR(__xludf.DUMMYFUNCTION("""COMPUTED_VALUE"""),3.0)</f>
        <v>3</v>
      </c>
      <c r="G725" s="2" t="str">
        <f>IFERROR(__xludf.DUMMYFUNCTION("""COMPUTED_VALUE"""),"PR047")</f>
        <v>PR047</v>
      </c>
      <c r="H725" s="2" t="str">
        <f>IFERROR(__xludf.DUMMYFUNCTION("""COMPUTED_VALUE"""),"VD049")</f>
        <v>VD049</v>
      </c>
      <c r="I725" s="2">
        <f>IFERROR(__xludf.DUMMYFUNCTION("""COMPUTED_VALUE"""),2.0)</f>
        <v>2</v>
      </c>
      <c r="J725" s="2">
        <f>IFERROR(__xludf.DUMMYFUNCTION("""COMPUTED_VALUE"""),620.39)</f>
        <v>620.39</v>
      </c>
      <c r="K725" s="2">
        <f>IFERROR(__xludf.DUMMYFUNCTION("""COMPUTED_VALUE"""),620.39)</f>
        <v>620.39</v>
      </c>
    </row>
    <row r="726">
      <c r="A726" s="2">
        <f>IFERROR(__xludf.DUMMYFUNCTION("""COMPUTED_VALUE"""),1000.0)</f>
        <v>1000</v>
      </c>
      <c r="B726" s="2">
        <f>IFERROR(__xludf.DUMMYFUNCTION("""COMPUTED_VALUE"""),183977.0)</f>
        <v>183977</v>
      </c>
      <c r="C726" s="2">
        <f>IFERROR(__xludf.DUMMYFUNCTION("""COMPUTED_VALUE"""),2026.0)</f>
        <v>2026</v>
      </c>
      <c r="D726" s="2">
        <f>IFERROR(__xludf.DUMMYFUNCTION("""COMPUTED_VALUE"""),46248.0)</f>
        <v>46248</v>
      </c>
      <c r="E726" s="2" t="str">
        <f>IFERROR(__xludf.DUMMYFUNCTION("""COMPUTED_VALUE"""),"VF")</f>
        <v>VF</v>
      </c>
      <c r="F726" s="2">
        <f>IFERROR(__xludf.DUMMYFUNCTION("""COMPUTED_VALUE"""),1.0)</f>
        <v>1</v>
      </c>
      <c r="G726" s="2" t="str">
        <f>IFERROR(__xludf.DUMMYFUNCTION("""COMPUTED_VALUE"""),"PR048")</f>
        <v>PR048</v>
      </c>
      <c r="H726" s="2" t="str">
        <f>IFERROR(__xludf.DUMMYFUNCTION("""COMPUTED_VALUE"""),"VD036")</f>
        <v>VD036</v>
      </c>
      <c r="I726" s="2">
        <f>IFERROR(__xludf.DUMMYFUNCTION("""COMPUTED_VALUE"""),4.0)</f>
        <v>4</v>
      </c>
      <c r="J726" s="2">
        <f>IFERROR(__xludf.DUMMYFUNCTION("""COMPUTED_VALUE"""),1275.56)</f>
        <v>1275.56</v>
      </c>
      <c r="K726" s="2">
        <f>IFERROR(__xludf.DUMMYFUNCTION("""COMPUTED_VALUE"""),1275.56)</f>
        <v>1275.56</v>
      </c>
    </row>
    <row r="727">
      <c r="A727" s="2">
        <f>IFERROR(__xludf.DUMMYFUNCTION("""COMPUTED_VALUE"""),1000.0)</f>
        <v>1000</v>
      </c>
      <c r="B727" s="2">
        <f>IFERROR(__xludf.DUMMYFUNCTION("""COMPUTED_VALUE"""),183978.0)</f>
        <v>183978</v>
      </c>
      <c r="C727" s="2">
        <f>IFERROR(__xludf.DUMMYFUNCTION("""COMPUTED_VALUE"""),2026.0)</f>
        <v>2026</v>
      </c>
      <c r="D727" s="2">
        <f>IFERROR(__xludf.DUMMYFUNCTION("""COMPUTED_VALUE"""),46248.0)</f>
        <v>46248</v>
      </c>
      <c r="E727" s="2" t="str">
        <f>IFERROR(__xludf.DUMMYFUNCTION("""COMPUTED_VALUE"""),"VF")</f>
        <v>VF</v>
      </c>
      <c r="F727" s="2">
        <f>IFERROR(__xludf.DUMMYFUNCTION("""COMPUTED_VALUE"""),1.0)</f>
        <v>1</v>
      </c>
      <c r="G727" s="2" t="str">
        <f>IFERROR(__xludf.DUMMYFUNCTION("""COMPUTED_VALUE"""),"PR020")</f>
        <v>PR020</v>
      </c>
      <c r="H727" s="2" t="str">
        <f>IFERROR(__xludf.DUMMYFUNCTION("""COMPUTED_VALUE"""),"VD038")</f>
        <v>VD038</v>
      </c>
      <c r="I727" s="2">
        <f>IFERROR(__xludf.DUMMYFUNCTION("""COMPUTED_VALUE"""),4.0)</f>
        <v>4</v>
      </c>
      <c r="J727" s="2">
        <f>IFERROR(__xludf.DUMMYFUNCTION("""COMPUTED_VALUE"""),1235.59)</f>
        <v>1235.59</v>
      </c>
      <c r="K727" s="2">
        <f>IFERROR(__xludf.DUMMYFUNCTION("""COMPUTED_VALUE"""),1235.59)</f>
        <v>1235.59</v>
      </c>
    </row>
    <row r="728">
      <c r="A728" s="2">
        <f>IFERROR(__xludf.DUMMYFUNCTION("""COMPUTED_VALUE"""),2000.0)</f>
        <v>2000</v>
      </c>
      <c r="B728" s="2">
        <f>IFERROR(__xludf.DUMMYFUNCTION("""COMPUTED_VALUE"""),183979.0)</f>
        <v>183979</v>
      </c>
      <c r="C728" s="2">
        <f>IFERROR(__xludf.DUMMYFUNCTION("""COMPUTED_VALUE"""),2026.0)</f>
        <v>2026</v>
      </c>
      <c r="D728" s="2">
        <f>IFERROR(__xludf.DUMMYFUNCTION("""COMPUTED_VALUE"""),46248.0)</f>
        <v>46248</v>
      </c>
      <c r="E728" s="2" t="str">
        <f>IFERROR(__xludf.DUMMYFUNCTION("""COMPUTED_VALUE"""),"VF")</f>
        <v>VF</v>
      </c>
      <c r="F728" s="2">
        <f>IFERROR(__xludf.DUMMYFUNCTION("""COMPUTED_VALUE"""),1.0)</f>
        <v>1</v>
      </c>
      <c r="G728" s="2" t="str">
        <f>IFERROR(__xludf.DUMMYFUNCTION("""COMPUTED_VALUE"""),"PR011")</f>
        <v>PR011</v>
      </c>
      <c r="H728" s="2" t="str">
        <f>IFERROR(__xludf.DUMMYFUNCTION("""COMPUTED_VALUE"""),"VD018")</f>
        <v>VD018</v>
      </c>
      <c r="I728" s="2">
        <f>IFERROR(__xludf.DUMMYFUNCTION("""COMPUTED_VALUE"""),6.0)</f>
        <v>6</v>
      </c>
      <c r="J728" s="2">
        <f>IFERROR(__xludf.DUMMYFUNCTION("""COMPUTED_VALUE"""),309.54)</f>
        <v>309.54</v>
      </c>
      <c r="K728" s="2">
        <f>IFERROR(__xludf.DUMMYFUNCTION("""COMPUTED_VALUE"""),309.54)</f>
        <v>309.54</v>
      </c>
    </row>
    <row r="729">
      <c r="A729" s="2">
        <f>IFERROR(__xludf.DUMMYFUNCTION("""COMPUTED_VALUE"""),1000.0)</f>
        <v>1000</v>
      </c>
      <c r="B729" s="2">
        <f>IFERROR(__xludf.DUMMYFUNCTION("""COMPUTED_VALUE"""),183979.0)</f>
        <v>183979</v>
      </c>
      <c r="C729" s="2">
        <f>IFERROR(__xludf.DUMMYFUNCTION("""COMPUTED_VALUE"""),2026.0)</f>
        <v>2026</v>
      </c>
      <c r="D729" s="2">
        <f>IFERROR(__xludf.DUMMYFUNCTION("""COMPUTED_VALUE"""),46248.0)</f>
        <v>46248</v>
      </c>
      <c r="E729" s="2" t="str">
        <f>IFERROR(__xludf.DUMMYFUNCTION("""COMPUTED_VALUE"""),"VF")</f>
        <v>VF</v>
      </c>
      <c r="F729" s="2">
        <f>IFERROR(__xludf.DUMMYFUNCTION("""COMPUTED_VALUE"""),2.0)</f>
        <v>2</v>
      </c>
      <c r="G729" s="2" t="str">
        <f>IFERROR(__xludf.DUMMYFUNCTION("""COMPUTED_VALUE"""),"PR049")</f>
        <v>PR049</v>
      </c>
      <c r="H729" s="2" t="str">
        <f>IFERROR(__xludf.DUMMYFUNCTION("""COMPUTED_VALUE"""),"VD043")</f>
        <v>VD043</v>
      </c>
      <c r="I729" s="2">
        <f>IFERROR(__xludf.DUMMYFUNCTION("""COMPUTED_VALUE"""),7.0)</f>
        <v>7</v>
      </c>
      <c r="J729" s="2">
        <f>IFERROR(__xludf.DUMMYFUNCTION("""COMPUTED_VALUE"""),244.12)</f>
        <v>244.12</v>
      </c>
      <c r="K729" s="2">
        <f>IFERROR(__xludf.DUMMYFUNCTION("""COMPUTED_VALUE"""),244.12)</f>
        <v>244.12</v>
      </c>
    </row>
    <row r="730">
      <c r="A730" s="2">
        <f>IFERROR(__xludf.DUMMYFUNCTION("""COMPUTED_VALUE"""),2000.0)</f>
        <v>2000</v>
      </c>
      <c r="B730" s="2">
        <f>IFERROR(__xludf.DUMMYFUNCTION("""COMPUTED_VALUE"""),183980.0)</f>
        <v>183980</v>
      </c>
      <c r="C730" s="2">
        <f>IFERROR(__xludf.DUMMYFUNCTION("""COMPUTED_VALUE"""),2026.0)</f>
        <v>2026</v>
      </c>
      <c r="D730" s="2">
        <f>IFERROR(__xludf.DUMMYFUNCTION("""COMPUTED_VALUE"""),46248.0)</f>
        <v>46248</v>
      </c>
      <c r="E730" s="2" t="str">
        <f>IFERROR(__xludf.DUMMYFUNCTION("""COMPUTED_VALUE"""),"VF")</f>
        <v>VF</v>
      </c>
      <c r="F730" s="2">
        <f>IFERROR(__xludf.DUMMYFUNCTION("""COMPUTED_VALUE"""),1.0)</f>
        <v>1</v>
      </c>
      <c r="G730" s="2" t="str">
        <f>IFERROR(__xludf.DUMMYFUNCTION("""COMPUTED_VALUE"""),"PR018")</f>
        <v>PR018</v>
      </c>
      <c r="H730" s="2" t="str">
        <f>IFERROR(__xludf.DUMMYFUNCTION("""COMPUTED_VALUE"""),"VD033")</f>
        <v>VD033</v>
      </c>
      <c r="I730" s="2">
        <f>IFERROR(__xludf.DUMMYFUNCTION("""COMPUTED_VALUE"""),4.0)</f>
        <v>4</v>
      </c>
      <c r="J730" s="2">
        <f>IFERROR(__xludf.DUMMYFUNCTION("""COMPUTED_VALUE"""),135.55)</f>
        <v>135.55</v>
      </c>
      <c r="K730" s="2">
        <f>IFERROR(__xludf.DUMMYFUNCTION("""COMPUTED_VALUE"""),135.55)</f>
        <v>135.55</v>
      </c>
    </row>
    <row r="731">
      <c r="A731" s="2">
        <f>IFERROR(__xludf.DUMMYFUNCTION("""COMPUTED_VALUE"""),1000.0)</f>
        <v>1000</v>
      </c>
      <c r="B731" s="2">
        <f>IFERROR(__xludf.DUMMYFUNCTION("""COMPUTED_VALUE"""),183981.0)</f>
        <v>183981</v>
      </c>
      <c r="C731" s="2">
        <f>IFERROR(__xludf.DUMMYFUNCTION("""COMPUTED_VALUE"""),2026.0)</f>
        <v>2026</v>
      </c>
      <c r="D731" s="2">
        <f>IFERROR(__xludf.DUMMYFUNCTION("""COMPUTED_VALUE"""),46248.0)</f>
        <v>46248</v>
      </c>
      <c r="E731" s="2" t="str">
        <f>IFERROR(__xludf.DUMMYFUNCTION("""COMPUTED_VALUE"""),"VF")</f>
        <v>VF</v>
      </c>
      <c r="F731" s="2">
        <f>IFERROR(__xludf.DUMMYFUNCTION("""COMPUTED_VALUE"""),1.0)</f>
        <v>1</v>
      </c>
      <c r="G731" s="2" t="str">
        <f>IFERROR(__xludf.DUMMYFUNCTION("""COMPUTED_VALUE"""),"PR051")</f>
        <v>PR051</v>
      </c>
      <c r="H731" s="2" t="str">
        <f>IFERROR(__xludf.DUMMYFUNCTION("""COMPUTED_VALUE"""),"VD010")</f>
        <v>VD010</v>
      </c>
      <c r="I731" s="2">
        <f>IFERROR(__xludf.DUMMYFUNCTION("""COMPUTED_VALUE"""),9.0)</f>
        <v>9</v>
      </c>
      <c r="J731" s="2">
        <f>IFERROR(__xludf.DUMMYFUNCTION("""COMPUTED_VALUE"""),296.1)</f>
        <v>296.1</v>
      </c>
      <c r="K731" s="2">
        <f>IFERROR(__xludf.DUMMYFUNCTION("""COMPUTED_VALUE"""),296.1)</f>
        <v>296.1</v>
      </c>
    </row>
    <row r="732">
      <c r="A732" s="2">
        <f>IFERROR(__xludf.DUMMYFUNCTION("""COMPUTED_VALUE"""),1000.0)</f>
        <v>1000</v>
      </c>
      <c r="B732" s="2">
        <f>IFERROR(__xludf.DUMMYFUNCTION("""COMPUTED_VALUE"""),183981.0)</f>
        <v>183981</v>
      </c>
      <c r="C732" s="2">
        <f>IFERROR(__xludf.DUMMYFUNCTION("""COMPUTED_VALUE"""),2026.0)</f>
        <v>2026</v>
      </c>
      <c r="D732" s="2">
        <f>IFERROR(__xludf.DUMMYFUNCTION("""COMPUTED_VALUE"""),46248.0)</f>
        <v>46248</v>
      </c>
      <c r="E732" s="2" t="str">
        <f>IFERROR(__xludf.DUMMYFUNCTION("""COMPUTED_VALUE"""),"VF")</f>
        <v>VF</v>
      </c>
      <c r="F732" s="2">
        <f>IFERROR(__xludf.DUMMYFUNCTION("""COMPUTED_VALUE"""),2.0)</f>
        <v>2</v>
      </c>
      <c r="G732" s="2" t="str">
        <f>IFERROR(__xludf.DUMMYFUNCTION("""COMPUTED_VALUE"""),"PR007")</f>
        <v>PR007</v>
      </c>
      <c r="H732" s="2" t="str">
        <f>IFERROR(__xludf.DUMMYFUNCTION("""COMPUTED_VALUE"""),"VD041")</f>
        <v>VD041</v>
      </c>
      <c r="I732" s="2">
        <f>IFERROR(__xludf.DUMMYFUNCTION("""COMPUTED_VALUE"""),4.0)</f>
        <v>4</v>
      </c>
      <c r="J732" s="2">
        <f>IFERROR(__xludf.DUMMYFUNCTION("""COMPUTED_VALUE"""),353.91)</f>
        <v>353.91</v>
      </c>
      <c r="K732" s="2">
        <f>IFERROR(__xludf.DUMMYFUNCTION("""COMPUTED_VALUE"""),353.91)</f>
        <v>353.91</v>
      </c>
    </row>
    <row r="733">
      <c r="A733" s="2">
        <f>IFERROR(__xludf.DUMMYFUNCTION("""COMPUTED_VALUE"""),1000.0)</f>
        <v>1000</v>
      </c>
      <c r="B733" s="2">
        <f>IFERROR(__xludf.DUMMYFUNCTION("""COMPUTED_VALUE"""),183982.0)</f>
        <v>183982</v>
      </c>
      <c r="C733" s="2">
        <f>IFERROR(__xludf.DUMMYFUNCTION("""COMPUTED_VALUE"""),2026.0)</f>
        <v>2026</v>
      </c>
      <c r="D733" s="2">
        <f>IFERROR(__xludf.DUMMYFUNCTION("""COMPUTED_VALUE"""),46248.0)</f>
        <v>46248</v>
      </c>
      <c r="E733" s="2" t="str">
        <f>IFERROR(__xludf.DUMMYFUNCTION("""COMPUTED_VALUE"""),"VF")</f>
        <v>VF</v>
      </c>
      <c r="F733" s="2">
        <f>IFERROR(__xludf.DUMMYFUNCTION("""COMPUTED_VALUE"""),1.0)</f>
        <v>1</v>
      </c>
      <c r="G733" s="2" t="str">
        <f>IFERROR(__xludf.DUMMYFUNCTION("""COMPUTED_VALUE"""),"PR008")</f>
        <v>PR008</v>
      </c>
      <c r="H733" s="2" t="str">
        <f>IFERROR(__xludf.DUMMYFUNCTION("""COMPUTED_VALUE"""),"VD046")</f>
        <v>VD046</v>
      </c>
      <c r="I733" s="2">
        <f>IFERROR(__xludf.DUMMYFUNCTION("""COMPUTED_VALUE"""),3.0)</f>
        <v>3</v>
      </c>
      <c r="J733" s="2">
        <f>IFERROR(__xludf.DUMMYFUNCTION("""COMPUTED_VALUE"""),288.58)</f>
        <v>288.58</v>
      </c>
      <c r="K733" s="2">
        <f>IFERROR(__xludf.DUMMYFUNCTION("""COMPUTED_VALUE"""),288.58)</f>
        <v>288.58</v>
      </c>
    </row>
    <row r="734">
      <c r="A734" s="2">
        <f>IFERROR(__xludf.DUMMYFUNCTION("""COMPUTED_VALUE"""),1000.0)</f>
        <v>1000</v>
      </c>
      <c r="B734" s="2">
        <f>IFERROR(__xludf.DUMMYFUNCTION("""COMPUTED_VALUE"""),183983.0)</f>
        <v>183983</v>
      </c>
      <c r="C734" s="2">
        <f>IFERROR(__xludf.DUMMYFUNCTION("""COMPUTED_VALUE"""),2026.0)</f>
        <v>2026</v>
      </c>
      <c r="D734" s="2">
        <f>IFERROR(__xludf.DUMMYFUNCTION("""COMPUTED_VALUE"""),46248.0)</f>
        <v>46248</v>
      </c>
      <c r="E734" s="2" t="str">
        <f>IFERROR(__xludf.DUMMYFUNCTION("""COMPUTED_VALUE"""),"VF")</f>
        <v>VF</v>
      </c>
      <c r="F734" s="2">
        <f>IFERROR(__xludf.DUMMYFUNCTION("""COMPUTED_VALUE"""),1.0)</f>
        <v>1</v>
      </c>
      <c r="G734" s="2" t="str">
        <f>IFERROR(__xludf.DUMMYFUNCTION("""COMPUTED_VALUE"""),"PR053")</f>
        <v>PR053</v>
      </c>
      <c r="H734" s="2" t="str">
        <f>IFERROR(__xludf.DUMMYFUNCTION("""COMPUTED_VALUE"""),"VD029")</f>
        <v>VD029</v>
      </c>
      <c r="I734" s="2">
        <f>IFERROR(__xludf.DUMMYFUNCTION("""COMPUTED_VALUE"""),8.0)</f>
        <v>8</v>
      </c>
      <c r="J734" s="2">
        <f>IFERROR(__xludf.DUMMYFUNCTION("""COMPUTED_VALUE"""),415.17)</f>
        <v>415.17</v>
      </c>
      <c r="K734" s="2">
        <f>IFERROR(__xludf.DUMMYFUNCTION("""COMPUTED_VALUE"""),415.17)</f>
        <v>415.17</v>
      </c>
    </row>
    <row r="735">
      <c r="A735" s="2">
        <f>IFERROR(__xludf.DUMMYFUNCTION("""COMPUTED_VALUE"""),2000.0)</f>
        <v>2000</v>
      </c>
      <c r="B735" s="2">
        <f>IFERROR(__xludf.DUMMYFUNCTION("""COMPUTED_VALUE"""),183984.0)</f>
        <v>183984</v>
      </c>
      <c r="C735" s="2">
        <f>IFERROR(__xludf.DUMMYFUNCTION("""COMPUTED_VALUE"""),2026.0)</f>
        <v>2026</v>
      </c>
      <c r="D735" s="2">
        <f>IFERROR(__xludf.DUMMYFUNCTION("""COMPUTED_VALUE"""),46248.0)</f>
        <v>46248</v>
      </c>
      <c r="E735" s="2" t="str">
        <f>IFERROR(__xludf.DUMMYFUNCTION("""COMPUTED_VALUE"""),"VF")</f>
        <v>VF</v>
      </c>
      <c r="F735" s="2">
        <f>IFERROR(__xludf.DUMMYFUNCTION("""COMPUTED_VALUE"""),1.0)</f>
        <v>1</v>
      </c>
      <c r="G735" s="2" t="str">
        <f>IFERROR(__xludf.DUMMYFUNCTION("""COMPUTED_VALUE"""),"PR060")</f>
        <v>PR060</v>
      </c>
      <c r="H735" s="2" t="str">
        <f>IFERROR(__xludf.DUMMYFUNCTION("""COMPUTED_VALUE"""),"VD015")</f>
        <v>VD015</v>
      </c>
      <c r="I735" s="2">
        <f>IFERROR(__xludf.DUMMYFUNCTION("""COMPUTED_VALUE"""),20.0)</f>
        <v>20</v>
      </c>
      <c r="J735" s="2">
        <f>IFERROR(__xludf.DUMMYFUNCTION("""COMPUTED_VALUE"""),3744.0)</f>
        <v>3744</v>
      </c>
      <c r="K735" s="2">
        <f>IFERROR(__xludf.DUMMYFUNCTION("""COMPUTED_VALUE"""),3744.0)</f>
        <v>3744</v>
      </c>
    </row>
    <row r="736">
      <c r="A736" s="2">
        <f>IFERROR(__xludf.DUMMYFUNCTION("""COMPUTED_VALUE"""),1000.0)</f>
        <v>1000</v>
      </c>
      <c r="B736" s="2">
        <f>IFERROR(__xludf.DUMMYFUNCTION("""COMPUTED_VALUE"""),183985.0)</f>
        <v>183985</v>
      </c>
      <c r="C736" s="2">
        <f>IFERROR(__xludf.DUMMYFUNCTION("""COMPUTED_VALUE"""),2026.0)</f>
        <v>2026</v>
      </c>
      <c r="D736" s="2">
        <f>IFERROR(__xludf.DUMMYFUNCTION("""COMPUTED_VALUE"""),46247.0)</f>
        <v>46247</v>
      </c>
      <c r="E736" s="2" t="str">
        <f>IFERROR(__xludf.DUMMYFUNCTION("""COMPUTED_VALUE"""),"VF")</f>
        <v>VF</v>
      </c>
      <c r="F736" s="2">
        <f>IFERROR(__xludf.DUMMYFUNCTION("""COMPUTED_VALUE"""),1.0)</f>
        <v>1</v>
      </c>
      <c r="G736" s="2" t="str">
        <f>IFERROR(__xludf.DUMMYFUNCTION("""COMPUTED_VALUE"""),"PR037")</f>
        <v>PR037</v>
      </c>
      <c r="H736" s="2" t="str">
        <f>IFERROR(__xludf.DUMMYFUNCTION("""COMPUTED_VALUE"""),"VD040")</f>
        <v>VD040</v>
      </c>
      <c r="I736" s="2">
        <f>IFERROR(__xludf.DUMMYFUNCTION("""COMPUTED_VALUE"""),9.0)</f>
        <v>9</v>
      </c>
      <c r="J736" s="2">
        <f>IFERROR(__xludf.DUMMYFUNCTION("""COMPUTED_VALUE"""),1335.6)</f>
        <v>1335.6</v>
      </c>
      <c r="K736" s="2">
        <f>IFERROR(__xludf.DUMMYFUNCTION("""COMPUTED_VALUE"""),1335.6)</f>
        <v>1335.6</v>
      </c>
    </row>
    <row r="737">
      <c r="A737" s="2">
        <f>IFERROR(__xludf.DUMMYFUNCTION("""COMPUTED_VALUE"""),1000.0)</f>
        <v>1000</v>
      </c>
      <c r="B737" s="2">
        <f>IFERROR(__xludf.DUMMYFUNCTION("""COMPUTED_VALUE"""),183986.0)</f>
        <v>183986</v>
      </c>
      <c r="C737" s="2">
        <f>IFERROR(__xludf.DUMMYFUNCTION("""COMPUTED_VALUE"""),2026.0)</f>
        <v>2026</v>
      </c>
      <c r="D737" s="2">
        <f>IFERROR(__xludf.DUMMYFUNCTION("""COMPUTED_VALUE"""),46247.0)</f>
        <v>46247</v>
      </c>
      <c r="E737" s="2" t="str">
        <f>IFERROR(__xludf.DUMMYFUNCTION("""COMPUTED_VALUE"""),"VF")</f>
        <v>VF</v>
      </c>
      <c r="F737" s="2">
        <f>IFERROR(__xludf.DUMMYFUNCTION("""COMPUTED_VALUE"""),1.0)</f>
        <v>1</v>
      </c>
      <c r="G737" s="2" t="str">
        <f>IFERROR(__xludf.DUMMYFUNCTION("""COMPUTED_VALUE"""),"PR050")</f>
        <v>PR050</v>
      </c>
      <c r="H737" s="2" t="str">
        <f>IFERROR(__xludf.DUMMYFUNCTION("""COMPUTED_VALUE"""),"VD028")</f>
        <v>VD028</v>
      </c>
      <c r="I737" s="2">
        <f>IFERROR(__xludf.DUMMYFUNCTION("""COMPUTED_VALUE"""),2.0)</f>
        <v>2</v>
      </c>
      <c r="J737" s="2">
        <f>IFERROR(__xludf.DUMMYFUNCTION("""COMPUTED_VALUE"""),66.46)</f>
        <v>66.46</v>
      </c>
      <c r="K737" s="2">
        <f>IFERROR(__xludf.DUMMYFUNCTION("""COMPUTED_VALUE"""),66.46)</f>
        <v>66.46</v>
      </c>
    </row>
    <row r="738">
      <c r="A738" s="2">
        <f>IFERROR(__xludf.DUMMYFUNCTION("""COMPUTED_VALUE"""),2000.0)</f>
        <v>2000</v>
      </c>
      <c r="B738" s="2">
        <f>IFERROR(__xludf.DUMMYFUNCTION("""COMPUTED_VALUE"""),183987.0)</f>
        <v>183987</v>
      </c>
      <c r="C738" s="2">
        <f>IFERROR(__xludf.DUMMYFUNCTION("""COMPUTED_VALUE"""),2026.0)</f>
        <v>2026</v>
      </c>
      <c r="D738" s="2">
        <f>IFERROR(__xludf.DUMMYFUNCTION("""COMPUTED_VALUE"""),46246.0)</f>
        <v>46246</v>
      </c>
      <c r="E738" s="2" t="str">
        <f>IFERROR(__xludf.DUMMYFUNCTION("""COMPUTED_VALUE"""),"VF")</f>
        <v>VF</v>
      </c>
      <c r="F738" s="2">
        <f>IFERROR(__xludf.DUMMYFUNCTION("""COMPUTED_VALUE"""),1.0)</f>
        <v>1</v>
      </c>
      <c r="G738" s="2" t="str">
        <f>IFERROR(__xludf.DUMMYFUNCTION("""COMPUTED_VALUE"""),"PR013")</f>
        <v>PR013</v>
      </c>
      <c r="H738" s="2" t="str">
        <f>IFERROR(__xludf.DUMMYFUNCTION("""COMPUTED_VALUE"""),"VD017")</f>
        <v>VD017</v>
      </c>
      <c r="I738" s="2">
        <f>IFERROR(__xludf.DUMMYFUNCTION("""COMPUTED_VALUE"""),8.0)</f>
        <v>8</v>
      </c>
      <c r="J738" s="2">
        <f>IFERROR(__xludf.DUMMYFUNCTION("""COMPUTED_VALUE"""),351.12)</f>
        <v>351.12</v>
      </c>
      <c r="K738" s="2">
        <f>IFERROR(__xludf.DUMMYFUNCTION("""COMPUTED_VALUE"""),351.12)</f>
        <v>351.12</v>
      </c>
    </row>
    <row r="739">
      <c r="A739" s="2">
        <f>IFERROR(__xludf.DUMMYFUNCTION("""COMPUTED_VALUE"""),1000.0)</f>
        <v>1000</v>
      </c>
      <c r="B739" s="2">
        <f>IFERROR(__xludf.DUMMYFUNCTION("""COMPUTED_VALUE"""),183987.0)</f>
        <v>183987</v>
      </c>
      <c r="C739" s="2">
        <f>IFERROR(__xludf.DUMMYFUNCTION("""COMPUTED_VALUE"""),2026.0)</f>
        <v>2026</v>
      </c>
      <c r="D739" s="2">
        <f>IFERROR(__xludf.DUMMYFUNCTION("""COMPUTED_VALUE"""),46246.0)</f>
        <v>46246</v>
      </c>
      <c r="E739" s="2" t="str">
        <f>IFERROR(__xludf.DUMMYFUNCTION("""COMPUTED_VALUE"""),"VF")</f>
        <v>VF</v>
      </c>
      <c r="F739" s="2">
        <f>IFERROR(__xludf.DUMMYFUNCTION("""COMPUTED_VALUE"""),2.0)</f>
        <v>2</v>
      </c>
      <c r="G739" s="2" t="str">
        <f>IFERROR(__xludf.DUMMYFUNCTION("""COMPUTED_VALUE"""),"PR024")</f>
        <v>PR024</v>
      </c>
      <c r="H739" s="2" t="str">
        <f>IFERROR(__xludf.DUMMYFUNCTION("""COMPUTED_VALUE"""),"VD043")</f>
        <v>VD043</v>
      </c>
      <c r="I739" s="2">
        <f>IFERROR(__xludf.DUMMYFUNCTION("""COMPUTED_VALUE"""),10.0)</f>
        <v>10</v>
      </c>
      <c r="J739" s="2">
        <f>IFERROR(__xludf.DUMMYFUNCTION("""COMPUTED_VALUE"""),2650.98)</f>
        <v>2650.98</v>
      </c>
      <c r="K739" s="2">
        <f>IFERROR(__xludf.DUMMYFUNCTION("""COMPUTED_VALUE"""),2650.98)</f>
        <v>2650.98</v>
      </c>
    </row>
    <row r="740">
      <c r="A740" s="2">
        <f>IFERROR(__xludf.DUMMYFUNCTION("""COMPUTED_VALUE"""),1000.0)</f>
        <v>1000</v>
      </c>
      <c r="B740" s="2">
        <f>IFERROR(__xludf.DUMMYFUNCTION("""COMPUTED_VALUE"""),183988.0)</f>
        <v>183988</v>
      </c>
      <c r="C740" s="2">
        <f>IFERROR(__xludf.DUMMYFUNCTION("""COMPUTED_VALUE"""),2026.0)</f>
        <v>2026</v>
      </c>
      <c r="D740" s="2">
        <f>IFERROR(__xludf.DUMMYFUNCTION("""COMPUTED_VALUE"""),46246.0)</f>
        <v>46246</v>
      </c>
      <c r="E740" s="2" t="str">
        <f>IFERROR(__xludf.DUMMYFUNCTION("""COMPUTED_VALUE"""),"VF")</f>
        <v>VF</v>
      </c>
      <c r="F740" s="2">
        <f>IFERROR(__xludf.DUMMYFUNCTION("""COMPUTED_VALUE"""),1.0)</f>
        <v>1</v>
      </c>
      <c r="G740" s="2" t="str">
        <f>IFERROR(__xludf.DUMMYFUNCTION("""COMPUTED_VALUE"""),"PR001")</f>
        <v>PR001</v>
      </c>
      <c r="H740" s="2" t="str">
        <f>IFERROR(__xludf.DUMMYFUNCTION("""COMPUTED_VALUE"""),"VD038")</f>
        <v>VD038</v>
      </c>
      <c r="I740" s="2">
        <f>IFERROR(__xludf.DUMMYFUNCTION("""COMPUTED_VALUE"""),14.0)</f>
        <v>14</v>
      </c>
      <c r="J740" s="2">
        <f>IFERROR(__xludf.DUMMYFUNCTION("""COMPUTED_VALUE"""),987.18)</f>
        <v>987.18</v>
      </c>
      <c r="K740" s="2">
        <f>IFERROR(__xludf.DUMMYFUNCTION("""COMPUTED_VALUE"""),987.18)</f>
        <v>987.18</v>
      </c>
    </row>
    <row r="741">
      <c r="A741" s="2">
        <f>IFERROR(__xludf.DUMMYFUNCTION("""COMPUTED_VALUE"""),1000.0)</f>
        <v>1000</v>
      </c>
      <c r="B741" s="2">
        <f>IFERROR(__xludf.DUMMYFUNCTION("""COMPUTED_VALUE"""),183989.0)</f>
        <v>183989</v>
      </c>
      <c r="C741" s="2">
        <f>IFERROR(__xludf.DUMMYFUNCTION("""COMPUTED_VALUE"""),2026.0)</f>
        <v>2026</v>
      </c>
      <c r="D741" s="2">
        <f>IFERROR(__xludf.DUMMYFUNCTION("""COMPUTED_VALUE"""),46246.0)</f>
        <v>46246</v>
      </c>
      <c r="E741" s="2" t="str">
        <f>IFERROR(__xludf.DUMMYFUNCTION("""COMPUTED_VALUE"""),"VF")</f>
        <v>VF</v>
      </c>
      <c r="F741" s="2">
        <f>IFERROR(__xludf.DUMMYFUNCTION("""COMPUTED_VALUE"""),1.0)</f>
        <v>1</v>
      </c>
      <c r="G741" s="2" t="str">
        <f>IFERROR(__xludf.DUMMYFUNCTION("""COMPUTED_VALUE"""),"PR004")</f>
        <v>PR004</v>
      </c>
      <c r="H741" s="2" t="str">
        <f>IFERROR(__xludf.DUMMYFUNCTION("""COMPUTED_VALUE"""),"VD019")</f>
        <v>VD019</v>
      </c>
      <c r="I741" s="2">
        <f>IFERROR(__xludf.DUMMYFUNCTION("""COMPUTED_VALUE"""),1.0)</f>
        <v>1</v>
      </c>
      <c r="J741" s="2">
        <f>IFERROR(__xludf.DUMMYFUNCTION("""COMPUTED_VALUE"""),150.8)</f>
        <v>150.8</v>
      </c>
      <c r="K741" s="2">
        <f>IFERROR(__xludf.DUMMYFUNCTION("""COMPUTED_VALUE"""),150.8)</f>
        <v>150.8</v>
      </c>
    </row>
    <row r="742">
      <c r="A742" s="2">
        <f>IFERROR(__xludf.DUMMYFUNCTION("""COMPUTED_VALUE"""),1000.0)</f>
        <v>1000</v>
      </c>
      <c r="B742" s="2">
        <f>IFERROR(__xludf.DUMMYFUNCTION("""COMPUTED_VALUE"""),183990.0)</f>
        <v>183990</v>
      </c>
      <c r="C742" s="2">
        <f>IFERROR(__xludf.DUMMYFUNCTION("""COMPUTED_VALUE"""),2026.0)</f>
        <v>2026</v>
      </c>
      <c r="D742" s="2">
        <f>IFERROR(__xludf.DUMMYFUNCTION("""COMPUTED_VALUE"""),46245.0)</f>
        <v>46245</v>
      </c>
      <c r="E742" s="2" t="str">
        <f>IFERROR(__xludf.DUMMYFUNCTION("""COMPUTED_VALUE"""),"VF")</f>
        <v>VF</v>
      </c>
      <c r="F742" s="2">
        <f>IFERROR(__xludf.DUMMYFUNCTION("""COMPUTED_VALUE"""),1.0)</f>
        <v>1</v>
      </c>
      <c r="G742" s="2" t="str">
        <f>IFERROR(__xludf.DUMMYFUNCTION("""COMPUTED_VALUE"""),"PR041")</f>
        <v>PR041</v>
      </c>
      <c r="H742" s="2" t="str">
        <f>IFERROR(__xludf.DUMMYFUNCTION("""COMPUTED_VALUE"""),"VD017")</f>
        <v>VD017</v>
      </c>
      <c r="I742" s="2">
        <f>IFERROR(__xludf.DUMMYFUNCTION("""COMPUTED_VALUE"""),4.0)</f>
        <v>4</v>
      </c>
      <c r="J742" s="2">
        <f>IFERROR(__xludf.DUMMYFUNCTION("""COMPUTED_VALUE"""),228.38)</f>
        <v>228.38</v>
      </c>
      <c r="K742" s="2">
        <f>IFERROR(__xludf.DUMMYFUNCTION("""COMPUTED_VALUE"""),228.38)</f>
        <v>228.38</v>
      </c>
    </row>
    <row r="743">
      <c r="A743" s="2">
        <f>IFERROR(__xludf.DUMMYFUNCTION("""COMPUTED_VALUE"""),1000.0)</f>
        <v>1000</v>
      </c>
      <c r="B743" s="2">
        <f>IFERROR(__xludf.DUMMYFUNCTION("""COMPUTED_VALUE"""),183991.0)</f>
        <v>183991</v>
      </c>
      <c r="C743" s="2">
        <f>IFERROR(__xludf.DUMMYFUNCTION("""COMPUTED_VALUE"""),2026.0)</f>
        <v>2026</v>
      </c>
      <c r="D743" s="2">
        <f>IFERROR(__xludf.DUMMYFUNCTION("""COMPUTED_VALUE"""),46245.0)</f>
        <v>46245</v>
      </c>
      <c r="E743" s="2" t="str">
        <f>IFERROR(__xludf.DUMMYFUNCTION("""COMPUTED_VALUE"""),"VF")</f>
        <v>VF</v>
      </c>
      <c r="F743" s="2">
        <f>IFERROR(__xludf.DUMMYFUNCTION("""COMPUTED_VALUE"""),1.0)</f>
        <v>1</v>
      </c>
      <c r="G743" s="2" t="str">
        <f>IFERROR(__xludf.DUMMYFUNCTION("""COMPUTED_VALUE"""),"PR055")</f>
        <v>PR055</v>
      </c>
      <c r="H743" s="2" t="str">
        <f>IFERROR(__xludf.DUMMYFUNCTION("""COMPUTED_VALUE"""),"VD040")</f>
        <v>VD040</v>
      </c>
      <c r="I743" s="2">
        <f>IFERROR(__xludf.DUMMYFUNCTION("""COMPUTED_VALUE"""),16.0)</f>
        <v>16</v>
      </c>
      <c r="J743" s="2">
        <f>IFERROR(__xludf.DUMMYFUNCTION("""COMPUTED_VALUE"""),1495.94)</f>
        <v>1495.94</v>
      </c>
      <c r="K743" s="2">
        <f>IFERROR(__xludf.DUMMYFUNCTION("""COMPUTED_VALUE"""),1495.94)</f>
        <v>1495.94</v>
      </c>
    </row>
    <row r="744">
      <c r="A744" s="2">
        <f>IFERROR(__xludf.DUMMYFUNCTION("""COMPUTED_VALUE"""),1000.0)</f>
        <v>1000</v>
      </c>
      <c r="B744" s="2">
        <f>IFERROR(__xludf.DUMMYFUNCTION("""COMPUTED_VALUE"""),183992.0)</f>
        <v>183992</v>
      </c>
      <c r="C744" s="2">
        <f>IFERROR(__xludf.DUMMYFUNCTION("""COMPUTED_VALUE"""),2026.0)</f>
        <v>2026</v>
      </c>
      <c r="D744" s="2">
        <f>IFERROR(__xludf.DUMMYFUNCTION("""COMPUTED_VALUE"""),46245.0)</f>
        <v>46245</v>
      </c>
      <c r="E744" s="2" t="str">
        <f>IFERROR(__xludf.DUMMYFUNCTION("""COMPUTED_VALUE"""),"VF")</f>
        <v>VF</v>
      </c>
      <c r="F744" s="2">
        <f>IFERROR(__xludf.DUMMYFUNCTION("""COMPUTED_VALUE"""),1.0)</f>
        <v>1</v>
      </c>
      <c r="G744" s="2" t="str">
        <f>IFERROR(__xludf.DUMMYFUNCTION("""COMPUTED_VALUE"""),"PR048")</f>
        <v>PR048</v>
      </c>
      <c r="H744" s="2" t="str">
        <f>IFERROR(__xludf.DUMMYFUNCTION("""COMPUTED_VALUE"""),"VD045")</f>
        <v>VD045</v>
      </c>
      <c r="I744" s="2">
        <f>IFERROR(__xludf.DUMMYFUNCTION("""COMPUTED_VALUE"""),4.0)</f>
        <v>4</v>
      </c>
      <c r="J744" s="2">
        <f>IFERROR(__xludf.DUMMYFUNCTION("""COMPUTED_VALUE"""),1205.98)</f>
        <v>1205.98</v>
      </c>
      <c r="K744" s="2">
        <f>IFERROR(__xludf.DUMMYFUNCTION("""COMPUTED_VALUE"""),1205.98)</f>
        <v>1205.98</v>
      </c>
    </row>
    <row r="745">
      <c r="A745" s="2">
        <f>IFERROR(__xludf.DUMMYFUNCTION("""COMPUTED_VALUE"""),2000.0)</f>
        <v>2000</v>
      </c>
      <c r="B745" s="2">
        <f>IFERROR(__xludf.DUMMYFUNCTION("""COMPUTED_VALUE"""),183992.0)</f>
        <v>183992</v>
      </c>
      <c r="C745" s="2">
        <f>IFERROR(__xludf.DUMMYFUNCTION("""COMPUTED_VALUE"""),2026.0)</f>
        <v>2026</v>
      </c>
      <c r="D745" s="2">
        <f>IFERROR(__xludf.DUMMYFUNCTION("""COMPUTED_VALUE"""),46244.0)</f>
        <v>46244</v>
      </c>
      <c r="E745" s="2" t="str">
        <f>IFERROR(__xludf.DUMMYFUNCTION("""COMPUTED_VALUE"""),"VF")</f>
        <v>VF</v>
      </c>
      <c r="F745" s="2">
        <f>IFERROR(__xludf.DUMMYFUNCTION("""COMPUTED_VALUE"""),2.0)</f>
        <v>2</v>
      </c>
      <c r="G745" s="2" t="str">
        <f>IFERROR(__xludf.DUMMYFUNCTION("""COMPUTED_VALUE"""),"PR024")</f>
        <v>PR024</v>
      </c>
      <c r="H745" s="2" t="str">
        <f>IFERROR(__xludf.DUMMYFUNCTION("""COMPUTED_VALUE"""),"VD019")</f>
        <v>VD019</v>
      </c>
      <c r="I745" s="2">
        <f>IFERROR(__xludf.DUMMYFUNCTION("""COMPUTED_VALUE"""),4.0)</f>
        <v>4</v>
      </c>
      <c r="J745" s="2">
        <f>IFERROR(__xludf.DUMMYFUNCTION("""COMPUTED_VALUE"""),1112.37)</f>
        <v>1112.37</v>
      </c>
      <c r="K745" s="2">
        <f>IFERROR(__xludf.DUMMYFUNCTION("""COMPUTED_VALUE"""),1112.37)</f>
        <v>1112.37</v>
      </c>
    </row>
    <row r="746">
      <c r="A746" s="2">
        <f>IFERROR(__xludf.DUMMYFUNCTION("""COMPUTED_VALUE"""),1000.0)</f>
        <v>1000</v>
      </c>
      <c r="B746" s="2">
        <f>IFERROR(__xludf.DUMMYFUNCTION("""COMPUTED_VALUE"""),183992.0)</f>
        <v>183992</v>
      </c>
      <c r="C746" s="2">
        <f>IFERROR(__xludf.DUMMYFUNCTION("""COMPUTED_VALUE"""),2026.0)</f>
        <v>2026</v>
      </c>
      <c r="D746" s="2">
        <f>IFERROR(__xludf.DUMMYFUNCTION("""COMPUTED_VALUE"""),46244.0)</f>
        <v>46244</v>
      </c>
      <c r="E746" s="2" t="str">
        <f>IFERROR(__xludf.DUMMYFUNCTION("""COMPUTED_VALUE"""),"VF")</f>
        <v>VF</v>
      </c>
      <c r="F746" s="2">
        <f>IFERROR(__xludf.DUMMYFUNCTION("""COMPUTED_VALUE"""),3.0)</f>
        <v>3</v>
      </c>
      <c r="G746" s="2" t="str">
        <f>IFERROR(__xludf.DUMMYFUNCTION("""COMPUTED_VALUE"""),"PR006")</f>
        <v>PR006</v>
      </c>
      <c r="H746" s="2" t="str">
        <f>IFERROR(__xludf.DUMMYFUNCTION("""COMPUTED_VALUE"""),"VD023")</f>
        <v>VD023</v>
      </c>
      <c r="I746" s="2">
        <f>IFERROR(__xludf.DUMMYFUNCTION("""COMPUTED_VALUE"""),14.0)</f>
        <v>14</v>
      </c>
      <c r="J746" s="2">
        <f>IFERROR(__xludf.DUMMYFUNCTION("""COMPUTED_VALUE"""),586.53)</f>
        <v>586.53</v>
      </c>
      <c r="K746" s="2">
        <f>IFERROR(__xludf.DUMMYFUNCTION("""COMPUTED_VALUE"""),586.53)</f>
        <v>586.53</v>
      </c>
    </row>
    <row r="747">
      <c r="A747" s="2">
        <f>IFERROR(__xludf.DUMMYFUNCTION("""COMPUTED_VALUE"""),1000.0)</f>
        <v>1000</v>
      </c>
      <c r="B747" s="2">
        <f>IFERROR(__xludf.DUMMYFUNCTION("""COMPUTED_VALUE"""),183993.0)</f>
        <v>183993</v>
      </c>
      <c r="C747" s="2">
        <f>IFERROR(__xludf.DUMMYFUNCTION("""COMPUTED_VALUE"""),2026.0)</f>
        <v>2026</v>
      </c>
      <c r="D747" s="2">
        <f>IFERROR(__xludf.DUMMYFUNCTION("""COMPUTED_VALUE"""),46244.0)</f>
        <v>46244</v>
      </c>
      <c r="E747" s="2" t="str">
        <f>IFERROR(__xludf.DUMMYFUNCTION("""COMPUTED_VALUE"""),"VF")</f>
        <v>VF</v>
      </c>
      <c r="F747" s="2">
        <f>IFERROR(__xludf.DUMMYFUNCTION("""COMPUTED_VALUE"""),1.0)</f>
        <v>1</v>
      </c>
      <c r="G747" s="2" t="str">
        <f>IFERROR(__xludf.DUMMYFUNCTION("""COMPUTED_VALUE"""),"PR022")</f>
        <v>PR022</v>
      </c>
      <c r="H747" s="2" t="str">
        <f>IFERROR(__xludf.DUMMYFUNCTION("""COMPUTED_VALUE"""),"VD029")</f>
        <v>VD029</v>
      </c>
      <c r="I747" s="2">
        <f>IFERROR(__xludf.DUMMYFUNCTION("""COMPUTED_VALUE"""),7.0)</f>
        <v>7</v>
      </c>
      <c r="J747" s="2">
        <f>IFERROR(__xludf.DUMMYFUNCTION("""COMPUTED_VALUE"""),2100.0)</f>
        <v>2100</v>
      </c>
      <c r="K747" s="2">
        <f>IFERROR(__xludf.DUMMYFUNCTION("""COMPUTED_VALUE"""),2100.0)</f>
        <v>2100</v>
      </c>
    </row>
    <row r="748">
      <c r="A748" s="2">
        <f>IFERROR(__xludf.DUMMYFUNCTION("""COMPUTED_VALUE"""),1000.0)</f>
        <v>1000</v>
      </c>
      <c r="B748" s="2">
        <f>IFERROR(__xludf.DUMMYFUNCTION("""COMPUTED_VALUE"""),183994.0)</f>
        <v>183994</v>
      </c>
      <c r="C748" s="2">
        <f>IFERROR(__xludf.DUMMYFUNCTION("""COMPUTED_VALUE"""),2026.0)</f>
        <v>2026</v>
      </c>
      <c r="D748" s="2">
        <f>IFERROR(__xludf.DUMMYFUNCTION("""COMPUTED_VALUE"""),46244.0)</f>
        <v>46244</v>
      </c>
      <c r="E748" s="2" t="str">
        <f>IFERROR(__xludf.DUMMYFUNCTION("""COMPUTED_VALUE"""),"VF")</f>
        <v>VF</v>
      </c>
      <c r="F748" s="2">
        <f>IFERROR(__xludf.DUMMYFUNCTION("""COMPUTED_VALUE"""),1.0)</f>
        <v>1</v>
      </c>
      <c r="G748" s="2" t="str">
        <f>IFERROR(__xludf.DUMMYFUNCTION("""COMPUTED_VALUE"""),"PR027")</f>
        <v>PR027</v>
      </c>
      <c r="H748" s="2" t="str">
        <f>IFERROR(__xludf.DUMMYFUNCTION("""COMPUTED_VALUE"""),"VD016")</f>
        <v>VD016</v>
      </c>
      <c r="I748" s="2">
        <f>IFERROR(__xludf.DUMMYFUNCTION("""COMPUTED_VALUE"""),2.0)</f>
        <v>2</v>
      </c>
      <c r="J748" s="2">
        <f>IFERROR(__xludf.DUMMYFUNCTION("""COMPUTED_VALUE"""),242.4)</f>
        <v>242.4</v>
      </c>
      <c r="K748" s="2">
        <f>IFERROR(__xludf.DUMMYFUNCTION("""COMPUTED_VALUE"""),242.4)</f>
        <v>242.4</v>
      </c>
    </row>
    <row r="749">
      <c r="A749" s="2">
        <f>IFERROR(__xludf.DUMMYFUNCTION("""COMPUTED_VALUE"""),1000.0)</f>
        <v>1000</v>
      </c>
      <c r="B749" s="2">
        <f>IFERROR(__xludf.DUMMYFUNCTION("""COMPUTED_VALUE"""),183995.0)</f>
        <v>183995</v>
      </c>
      <c r="C749" s="2">
        <f>IFERROR(__xludf.DUMMYFUNCTION("""COMPUTED_VALUE"""),2026.0)</f>
        <v>2026</v>
      </c>
      <c r="D749" s="2">
        <f>IFERROR(__xludf.DUMMYFUNCTION("""COMPUTED_VALUE"""),46244.0)</f>
        <v>46244</v>
      </c>
      <c r="E749" s="2" t="str">
        <f>IFERROR(__xludf.DUMMYFUNCTION("""COMPUTED_VALUE"""),"VF")</f>
        <v>VF</v>
      </c>
      <c r="F749" s="2">
        <f>IFERROR(__xludf.DUMMYFUNCTION("""COMPUTED_VALUE"""),1.0)</f>
        <v>1</v>
      </c>
      <c r="G749" s="2" t="str">
        <f>IFERROR(__xludf.DUMMYFUNCTION("""COMPUTED_VALUE"""),"PR017")</f>
        <v>PR017</v>
      </c>
      <c r="H749" s="2" t="str">
        <f>IFERROR(__xludf.DUMMYFUNCTION("""COMPUTED_VALUE"""),"VD029")</f>
        <v>VD029</v>
      </c>
      <c r="I749" s="2">
        <f>IFERROR(__xludf.DUMMYFUNCTION("""COMPUTED_VALUE"""),12.0)</f>
        <v>12</v>
      </c>
      <c r="J749" s="2">
        <f>IFERROR(__xludf.DUMMYFUNCTION("""COMPUTED_VALUE"""),380.33)</f>
        <v>380.33</v>
      </c>
      <c r="K749" s="2">
        <f>IFERROR(__xludf.DUMMYFUNCTION("""COMPUTED_VALUE"""),380.33)</f>
        <v>380.33</v>
      </c>
    </row>
    <row r="750">
      <c r="A750" s="2">
        <f>IFERROR(__xludf.DUMMYFUNCTION("""COMPUTED_VALUE"""),1000.0)</f>
        <v>1000</v>
      </c>
      <c r="B750" s="2">
        <f>IFERROR(__xludf.DUMMYFUNCTION("""COMPUTED_VALUE"""),183996.0)</f>
        <v>183996</v>
      </c>
      <c r="C750" s="2">
        <f>IFERROR(__xludf.DUMMYFUNCTION("""COMPUTED_VALUE"""),2026.0)</f>
        <v>2026</v>
      </c>
      <c r="D750" s="2">
        <f>IFERROR(__xludf.DUMMYFUNCTION("""COMPUTED_VALUE"""),46243.0)</f>
        <v>46243</v>
      </c>
      <c r="E750" s="2" t="str">
        <f>IFERROR(__xludf.DUMMYFUNCTION("""COMPUTED_VALUE"""),"VF")</f>
        <v>VF</v>
      </c>
      <c r="F750" s="2">
        <f>IFERROR(__xludf.DUMMYFUNCTION("""COMPUTED_VALUE"""),1.0)</f>
        <v>1</v>
      </c>
      <c r="G750" s="2" t="str">
        <f>IFERROR(__xludf.DUMMYFUNCTION("""COMPUTED_VALUE"""),"PR018")</f>
        <v>PR018</v>
      </c>
      <c r="H750" s="2" t="str">
        <f>IFERROR(__xludf.DUMMYFUNCTION("""COMPUTED_VALUE"""),"VD049")</f>
        <v>VD049</v>
      </c>
      <c r="I750" s="2">
        <f>IFERROR(__xludf.DUMMYFUNCTION("""COMPUTED_VALUE"""),12.0)</f>
        <v>12</v>
      </c>
      <c r="J750" s="2">
        <f>IFERROR(__xludf.DUMMYFUNCTION("""COMPUTED_VALUE"""),410.59)</f>
        <v>410.59</v>
      </c>
      <c r="K750" s="2">
        <f>IFERROR(__xludf.DUMMYFUNCTION("""COMPUTED_VALUE"""),410.59)</f>
        <v>410.59</v>
      </c>
    </row>
    <row r="751">
      <c r="A751" s="2">
        <f>IFERROR(__xludf.DUMMYFUNCTION("""COMPUTED_VALUE"""),1000.0)</f>
        <v>1000</v>
      </c>
      <c r="B751" s="2">
        <f>IFERROR(__xludf.DUMMYFUNCTION("""COMPUTED_VALUE"""),183996.0)</f>
        <v>183996</v>
      </c>
      <c r="C751" s="2">
        <f>IFERROR(__xludf.DUMMYFUNCTION("""COMPUTED_VALUE"""),2026.0)</f>
        <v>2026</v>
      </c>
      <c r="D751" s="2">
        <f>IFERROR(__xludf.DUMMYFUNCTION("""COMPUTED_VALUE"""),46243.0)</f>
        <v>46243</v>
      </c>
      <c r="E751" s="2" t="str">
        <f>IFERROR(__xludf.DUMMYFUNCTION("""COMPUTED_VALUE"""),"VF")</f>
        <v>VF</v>
      </c>
      <c r="F751" s="2">
        <f>IFERROR(__xludf.DUMMYFUNCTION("""COMPUTED_VALUE"""),2.0)</f>
        <v>2</v>
      </c>
      <c r="G751" s="2" t="str">
        <f>IFERROR(__xludf.DUMMYFUNCTION("""COMPUTED_VALUE"""),"PR003")</f>
        <v>PR003</v>
      </c>
      <c r="H751" s="2" t="str">
        <f>IFERROR(__xludf.DUMMYFUNCTION("""COMPUTED_VALUE"""),"VD024")</f>
        <v>VD024</v>
      </c>
      <c r="I751" s="2">
        <f>IFERROR(__xludf.DUMMYFUNCTION("""COMPUTED_VALUE"""),9.0)</f>
        <v>9</v>
      </c>
      <c r="J751" s="2">
        <f>IFERROR(__xludf.DUMMYFUNCTION("""COMPUTED_VALUE"""),638.1)</f>
        <v>638.1</v>
      </c>
      <c r="K751" s="2">
        <f>IFERROR(__xludf.DUMMYFUNCTION("""COMPUTED_VALUE"""),638.1)</f>
        <v>638.1</v>
      </c>
    </row>
    <row r="752">
      <c r="A752" s="2">
        <f>IFERROR(__xludf.DUMMYFUNCTION("""COMPUTED_VALUE"""),1000.0)</f>
        <v>1000</v>
      </c>
      <c r="B752" s="2">
        <f>IFERROR(__xludf.DUMMYFUNCTION("""COMPUTED_VALUE"""),183997.0)</f>
        <v>183997</v>
      </c>
      <c r="C752" s="2">
        <f>IFERROR(__xludf.DUMMYFUNCTION("""COMPUTED_VALUE"""),2026.0)</f>
        <v>2026</v>
      </c>
      <c r="D752" s="2">
        <f>IFERROR(__xludf.DUMMYFUNCTION("""COMPUTED_VALUE"""),46242.0)</f>
        <v>46242</v>
      </c>
      <c r="E752" s="2" t="str">
        <f>IFERROR(__xludf.DUMMYFUNCTION("""COMPUTED_VALUE"""),"VF")</f>
        <v>VF</v>
      </c>
      <c r="F752" s="2">
        <f>IFERROR(__xludf.DUMMYFUNCTION("""COMPUTED_VALUE"""),1.0)</f>
        <v>1</v>
      </c>
      <c r="G752" s="2" t="str">
        <f>IFERROR(__xludf.DUMMYFUNCTION("""COMPUTED_VALUE"""),"PR021")</f>
        <v>PR021</v>
      </c>
      <c r="H752" s="2" t="str">
        <f>IFERROR(__xludf.DUMMYFUNCTION("""COMPUTED_VALUE"""),"VD046")</f>
        <v>VD046</v>
      </c>
      <c r="I752" s="2">
        <f>IFERROR(__xludf.DUMMYFUNCTION("""COMPUTED_VALUE"""),20.0)</f>
        <v>20</v>
      </c>
      <c r="J752" s="2">
        <f>IFERROR(__xludf.DUMMYFUNCTION("""COMPUTED_VALUE"""),6239.74)</f>
        <v>6239.74</v>
      </c>
      <c r="K752" s="2">
        <f>IFERROR(__xludf.DUMMYFUNCTION("""COMPUTED_VALUE"""),6239.74)</f>
        <v>6239.74</v>
      </c>
    </row>
    <row r="753">
      <c r="A753" s="2">
        <f>IFERROR(__xludf.DUMMYFUNCTION("""COMPUTED_VALUE"""),1000.0)</f>
        <v>1000</v>
      </c>
      <c r="B753" s="2">
        <f>IFERROR(__xludf.DUMMYFUNCTION("""COMPUTED_VALUE"""),183998.0)</f>
        <v>183998</v>
      </c>
      <c r="C753" s="2">
        <f>IFERROR(__xludf.DUMMYFUNCTION("""COMPUTED_VALUE"""),2026.0)</f>
        <v>2026</v>
      </c>
      <c r="D753" s="2">
        <f>IFERROR(__xludf.DUMMYFUNCTION("""COMPUTED_VALUE"""),46242.0)</f>
        <v>46242</v>
      </c>
      <c r="E753" s="2" t="str">
        <f>IFERROR(__xludf.DUMMYFUNCTION("""COMPUTED_VALUE"""),"VF")</f>
        <v>VF</v>
      </c>
      <c r="F753" s="2">
        <f>IFERROR(__xludf.DUMMYFUNCTION("""COMPUTED_VALUE"""),1.0)</f>
        <v>1</v>
      </c>
      <c r="G753" s="2" t="str">
        <f>IFERROR(__xludf.DUMMYFUNCTION("""COMPUTED_VALUE"""),"PR018")</f>
        <v>PR018</v>
      </c>
      <c r="H753" s="2" t="str">
        <f>IFERROR(__xludf.DUMMYFUNCTION("""COMPUTED_VALUE"""),"VD049")</f>
        <v>VD049</v>
      </c>
      <c r="I753" s="2">
        <f>IFERROR(__xludf.DUMMYFUNCTION("""COMPUTED_VALUE"""),8.0)</f>
        <v>8</v>
      </c>
      <c r="J753" s="2">
        <f>IFERROR(__xludf.DUMMYFUNCTION("""COMPUTED_VALUE"""),278.99)</f>
        <v>278.99</v>
      </c>
      <c r="K753" s="2">
        <f>IFERROR(__xludf.DUMMYFUNCTION("""COMPUTED_VALUE"""),278.99)</f>
        <v>278.99</v>
      </c>
    </row>
    <row r="754">
      <c r="A754" s="2">
        <f>IFERROR(__xludf.DUMMYFUNCTION("""COMPUTED_VALUE"""),1000.0)</f>
        <v>1000</v>
      </c>
      <c r="B754" s="2">
        <f>IFERROR(__xludf.DUMMYFUNCTION("""COMPUTED_VALUE"""),183999.0)</f>
        <v>183999</v>
      </c>
      <c r="C754" s="2">
        <f>IFERROR(__xludf.DUMMYFUNCTION("""COMPUTED_VALUE"""),2026.0)</f>
        <v>2026</v>
      </c>
      <c r="D754" s="2">
        <f>IFERROR(__xludf.DUMMYFUNCTION("""COMPUTED_VALUE"""),46242.0)</f>
        <v>46242</v>
      </c>
      <c r="E754" s="2" t="str">
        <f>IFERROR(__xludf.DUMMYFUNCTION("""COMPUTED_VALUE"""),"VF")</f>
        <v>VF</v>
      </c>
      <c r="F754" s="2">
        <f>IFERROR(__xludf.DUMMYFUNCTION("""COMPUTED_VALUE"""),1.0)</f>
        <v>1</v>
      </c>
      <c r="G754" s="2" t="str">
        <f>IFERROR(__xludf.DUMMYFUNCTION("""COMPUTED_VALUE"""),"PR047")</f>
        <v>PR047</v>
      </c>
      <c r="H754" s="2" t="str">
        <f>IFERROR(__xludf.DUMMYFUNCTION("""COMPUTED_VALUE"""),"VD019")</f>
        <v>VD019</v>
      </c>
      <c r="I754" s="2">
        <f>IFERROR(__xludf.DUMMYFUNCTION("""COMPUTED_VALUE"""),8.0)</f>
        <v>8</v>
      </c>
      <c r="J754" s="2">
        <f>IFERROR(__xludf.DUMMYFUNCTION("""COMPUTED_VALUE"""),2527.93)</f>
        <v>2527.93</v>
      </c>
      <c r="K754" s="2">
        <f>IFERROR(__xludf.DUMMYFUNCTION("""COMPUTED_VALUE"""),2527.93)</f>
        <v>2527.93</v>
      </c>
    </row>
    <row r="755">
      <c r="A755" s="2">
        <f>IFERROR(__xludf.DUMMYFUNCTION("""COMPUTED_VALUE"""),1000.0)</f>
        <v>1000</v>
      </c>
      <c r="B755" s="2">
        <f>IFERROR(__xludf.DUMMYFUNCTION("""COMPUTED_VALUE"""),184000.0)</f>
        <v>184000</v>
      </c>
      <c r="C755" s="2">
        <f>IFERROR(__xludf.DUMMYFUNCTION("""COMPUTED_VALUE"""),2026.0)</f>
        <v>2026</v>
      </c>
      <c r="D755" s="2">
        <f>IFERROR(__xludf.DUMMYFUNCTION("""COMPUTED_VALUE"""),46241.0)</f>
        <v>46241</v>
      </c>
      <c r="E755" s="2" t="str">
        <f>IFERROR(__xludf.DUMMYFUNCTION("""COMPUTED_VALUE"""),"VF")</f>
        <v>VF</v>
      </c>
      <c r="F755" s="2">
        <f>IFERROR(__xludf.DUMMYFUNCTION("""COMPUTED_VALUE"""),1.0)</f>
        <v>1</v>
      </c>
      <c r="G755" s="2" t="str">
        <f>IFERROR(__xludf.DUMMYFUNCTION("""COMPUTED_VALUE"""),"PR030")</f>
        <v>PR030</v>
      </c>
      <c r="H755" s="2" t="str">
        <f>IFERROR(__xludf.DUMMYFUNCTION("""COMPUTED_VALUE"""),"VD043")</f>
        <v>VD043</v>
      </c>
      <c r="I755" s="2">
        <f>IFERROR(__xludf.DUMMYFUNCTION("""COMPUTED_VALUE"""),16.0)</f>
        <v>16</v>
      </c>
      <c r="J755" s="2">
        <f>IFERROR(__xludf.DUMMYFUNCTION("""COMPUTED_VALUE"""),4366.32)</f>
        <v>4366.32</v>
      </c>
      <c r="K755" s="2">
        <f>IFERROR(__xludf.DUMMYFUNCTION("""COMPUTED_VALUE"""),4366.32)</f>
        <v>4366.32</v>
      </c>
    </row>
    <row r="756">
      <c r="A756" s="2">
        <f>IFERROR(__xludf.DUMMYFUNCTION("""COMPUTED_VALUE"""),1000.0)</f>
        <v>1000</v>
      </c>
      <c r="B756" s="2">
        <f>IFERROR(__xludf.DUMMYFUNCTION("""COMPUTED_VALUE"""),184001.0)</f>
        <v>184001</v>
      </c>
      <c r="C756" s="2">
        <f>IFERROR(__xludf.DUMMYFUNCTION("""COMPUTED_VALUE"""),2026.0)</f>
        <v>2026</v>
      </c>
      <c r="D756" s="2">
        <f>IFERROR(__xludf.DUMMYFUNCTION("""COMPUTED_VALUE"""),46241.0)</f>
        <v>46241</v>
      </c>
      <c r="E756" s="2" t="str">
        <f>IFERROR(__xludf.DUMMYFUNCTION("""COMPUTED_VALUE"""),"VF")</f>
        <v>VF</v>
      </c>
      <c r="F756" s="2">
        <f>IFERROR(__xludf.DUMMYFUNCTION("""COMPUTED_VALUE"""),1.0)</f>
        <v>1</v>
      </c>
      <c r="G756" s="2" t="str">
        <f>IFERROR(__xludf.DUMMYFUNCTION("""COMPUTED_VALUE"""),"PR011")</f>
        <v>PR011</v>
      </c>
      <c r="H756" s="2" t="str">
        <f>IFERROR(__xludf.DUMMYFUNCTION("""COMPUTED_VALUE"""),"VD026")</f>
        <v>VD026</v>
      </c>
      <c r="I756" s="2">
        <f>IFERROR(__xludf.DUMMYFUNCTION("""COMPUTED_VALUE"""),14.0)</f>
        <v>14</v>
      </c>
      <c r="J756" s="2">
        <f>IFERROR(__xludf.DUMMYFUNCTION("""COMPUTED_VALUE"""),709.13)</f>
        <v>709.13</v>
      </c>
      <c r="K756" s="2">
        <f>IFERROR(__xludf.DUMMYFUNCTION("""COMPUTED_VALUE"""),709.13)</f>
        <v>709.13</v>
      </c>
    </row>
    <row r="757">
      <c r="A757" s="2">
        <f>IFERROR(__xludf.DUMMYFUNCTION("""COMPUTED_VALUE"""),1000.0)</f>
        <v>1000</v>
      </c>
      <c r="B757" s="2">
        <f>IFERROR(__xludf.DUMMYFUNCTION("""COMPUTED_VALUE"""),184001.0)</f>
        <v>184001</v>
      </c>
      <c r="C757" s="2">
        <f>IFERROR(__xludf.DUMMYFUNCTION("""COMPUTED_VALUE"""),2026.0)</f>
        <v>2026</v>
      </c>
      <c r="D757" s="2">
        <f>IFERROR(__xludf.DUMMYFUNCTION("""COMPUTED_VALUE"""),46240.0)</f>
        <v>46240</v>
      </c>
      <c r="E757" s="2" t="str">
        <f>IFERROR(__xludf.DUMMYFUNCTION("""COMPUTED_VALUE"""),"VF")</f>
        <v>VF</v>
      </c>
      <c r="F757" s="2">
        <f>IFERROR(__xludf.DUMMYFUNCTION("""COMPUTED_VALUE"""),2.0)</f>
        <v>2</v>
      </c>
      <c r="G757" s="2" t="str">
        <f>IFERROR(__xludf.DUMMYFUNCTION("""COMPUTED_VALUE"""),"PR049")</f>
        <v>PR049</v>
      </c>
      <c r="H757" s="2" t="str">
        <f>IFERROR(__xludf.DUMMYFUNCTION("""COMPUTED_VALUE"""),"VD042")</f>
        <v>VD042</v>
      </c>
      <c r="I757" s="2">
        <f>IFERROR(__xludf.DUMMYFUNCTION("""COMPUTED_VALUE"""),8.0)</f>
        <v>8</v>
      </c>
      <c r="J757" s="2">
        <f>IFERROR(__xludf.DUMMYFUNCTION("""COMPUTED_VALUE"""),289.52)</f>
        <v>289.52</v>
      </c>
      <c r="K757" s="2">
        <f>IFERROR(__xludf.DUMMYFUNCTION("""COMPUTED_VALUE"""),289.52)</f>
        <v>289.52</v>
      </c>
    </row>
    <row r="758">
      <c r="A758" s="2">
        <f>IFERROR(__xludf.DUMMYFUNCTION("""COMPUTED_VALUE"""),1000.0)</f>
        <v>1000</v>
      </c>
      <c r="B758" s="2">
        <f>IFERROR(__xludf.DUMMYFUNCTION("""COMPUTED_VALUE"""),184001.0)</f>
        <v>184001</v>
      </c>
      <c r="C758" s="2">
        <f>IFERROR(__xludf.DUMMYFUNCTION("""COMPUTED_VALUE"""),2026.0)</f>
        <v>2026</v>
      </c>
      <c r="D758" s="2">
        <f>IFERROR(__xludf.DUMMYFUNCTION("""COMPUTED_VALUE"""),46240.0)</f>
        <v>46240</v>
      </c>
      <c r="E758" s="2" t="str">
        <f>IFERROR(__xludf.DUMMYFUNCTION("""COMPUTED_VALUE"""),"VF")</f>
        <v>VF</v>
      </c>
      <c r="F758" s="2">
        <f>IFERROR(__xludf.DUMMYFUNCTION("""COMPUTED_VALUE"""),3.0)</f>
        <v>3</v>
      </c>
      <c r="G758" s="2" t="str">
        <f>IFERROR(__xludf.DUMMYFUNCTION("""COMPUTED_VALUE"""),"PR057")</f>
        <v>PR057</v>
      </c>
      <c r="H758" s="2" t="str">
        <f>IFERROR(__xludf.DUMMYFUNCTION("""COMPUTED_VALUE"""),"VD034")</f>
        <v>VD034</v>
      </c>
      <c r="I758" s="2">
        <f>IFERROR(__xludf.DUMMYFUNCTION("""COMPUTED_VALUE"""),4.0)</f>
        <v>4</v>
      </c>
      <c r="J758" s="2">
        <f>IFERROR(__xludf.DUMMYFUNCTION("""COMPUTED_VALUE"""),366.79)</f>
        <v>366.79</v>
      </c>
      <c r="K758" s="2">
        <f>IFERROR(__xludf.DUMMYFUNCTION("""COMPUTED_VALUE"""),366.79)</f>
        <v>366.79</v>
      </c>
    </row>
    <row r="759">
      <c r="A759" s="2">
        <f>IFERROR(__xludf.DUMMYFUNCTION("""COMPUTED_VALUE"""),1000.0)</f>
        <v>1000</v>
      </c>
      <c r="B759" s="2">
        <f>IFERROR(__xludf.DUMMYFUNCTION("""COMPUTED_VALUE"""),184002.0)</f>
        <v>184002</v>
      </c>
      <c r="C759" s="2">
        <f>IFERROR(__xludf.DUMMYFUNCTION("""COMPUTED_VALUE"""),2026.0)</f>
        <v>2026</v>
      </c>
      <c r="D759" s="2">
        <f>IFERROR(__xludf.DUMMYFUNCTION("""COMPUTED_VALUE"""),46240.0)</f>
        <v>46240</v>
      </c>
      <c r="E759" s="2" t="str">
        <f>IFERROR(__xludf.DUMMYFUNCTION("""COMPUTED_VALUE"""),"VF")</f>
        <v>VF</v>
      </c>
      <c r="F759" s="2">
        <f>IFERROR(__xludf.DUMMYFUNCTION("""COMPUTED_VALUE"""),1.0)</f>
        <v>1</v>
      </c>
      <c r="G759" s="2" t="str">
        <f>IFERROR(__xludf.DUMMYFUNCTION("""COMPUTED_VALUE"""),"PR049")</f>
        <v>PR049</v>
      </c>
      <c r="H759" s="2" t="str">
        <f>IFERROR(__xludf.DUMMYFUNCTION("""COMPUTED_VALUE"""),"VD049")</f>
        <v>VD049</v>
      </c>
      <c r="I759" s="2">
        <f>IFERROR(__xludf.DUMMYFUNCTION("""COMPUTED_VALUE"""),10.0)</f>
        <v>10</v>
      </c>
      <c r="J759" s="2">
        <f>IFERROR(__xludf.DUMMYFUNCTION("""COMPUTED_VALUE"""),361.9)</f>
        <v>361.9</v>
      </c>
      <c r="K759" s="2">
        <f>IFERROR(__xludf.DUMMYFUNCTION("""COMPUTED_VALUE"""),361.9)</f>
        <v>361.9</v>
      </c>
    </row>
    <row r="760">
      <c r="A760" s="2">
        <f>IFERROR(__xludf.DUMMYFUNCTION("""COMPUTED_VALUE"""),1000.0)</f>
        <v>1000</v>
      </c>
      <c r="B760" s="2">
        <f>IFERROR(__xludf.DUMMYFUNCTION("""COMPUTED_VALUE"""),184002.0)</f>
        <v>184002</v>
      </c>
      <c r="C760" s="2">
        <f>IFERROR(__xludf.DUMMYFUNCTION("""COMPUTED_VALUE"""),2026.0)</f>
        <v>2026</v>
      </c>
      <c r="D760" s="2">
        <f>IFERROR(__xludf.DUMMYFUNCTION("""COMPUTED_VALUE"""),46240.0)</f>
        <v>46240</v>
      </c>
      <c r="E760" s="2" t="str">
        <f>IFERROR(__xludf.DUMMYFUNCTION("""COMPUTED_VALUE"""),"VF")</f>
        <v>VF</v>
      </c>
      <c r="F760" s="2">
        <f>IFERROR(__xludf.DUMMYFUNCTION("""COMPUTED_VALUE"""),2.0)</f>
        <v>2</v>
      </c>
      <c r="G760" s="2" t="str">
        <f>IFERROR(__xludf.DUMMYFUNCTION("""COMPUTED_VALUE"""),"PR037")</f>
        <v>PR037</v>
      </c>
      <c r="H760" s="2" t="str">
        <f>IFERROR(__xludf.DUMMYFUNCTION("""COMPUTED_VALUE"""),"VD029")</f>
        <v>VD029</v>
      </c>
      <c r="I760" s="2">
        <f>IFERROR(__xludf.DUMMYFUNCTION("""COMPUTED_VALUE"""),4.0)</f>
        <v>4</v>
      </c>
      <c r="J760" s="2">
        <f>IFERROR(__xludf.DUMMYFUNCTION("""COMPUTED_VALUE"""),588.0)</f>
        <v>588</v>
      </c>
      <c r="K760" s="2">
        <f>IFERROR(__xludf.DUMMYFUNCTION("""COMPUTED_VALUE"""),588.0)</f>
        <v>588</v>
      </c>
    </row>
    <row r="761">
      <c r="A761" s="2">
        <f>IFERROR(__xludf.DUMMYFUNCTION("""COMPUTED_VALUE"""),2000.0)</f>
        <v>2000</v>
      </c>
      <c r="B761" s="2">
        <f>IFERROR(__xludf.DUMMYFUNCTION("""COMPUTED_VALUE"""),184003.0)</f>
        <v>184003</v>
      </c>
      <c r="C761" s="2">
        <f>IFERROR(__xludf.DUMMYFUNCTION("""COMPUTED_VALUE"""),2026.0)</f>
        <v>2026</v>
      </c>
      <c r="D761" s="2">
        <f>IFERROR(__xludf.DUMMYFUNCTION("""COMPUTED_VALUE"""),46240.0)</f>
        <v>46240</v>
      </c>
      <c r="E761" s="2" t="str">
        <f>IFERROR(__xludf.DUMMYFUNCTION("""COMPUTED_VALUE"""),"VF")</f>
        <v>VF</v>
      </c>
      <c r="F761" s="2">
        <f>IFERROR(__xludf.DUMMYFUNCTION("""COMPUTED_VALUE"""),1.0)</f>
        <v>1</v>
      </c>
      <c r="G761" s="2" t="str">
        <f>IFERROR(__xludf.DUMMYFUNCTION("""COMPUTED_VALUE"""),"PR029")</f>
        <v>PR029</v>
      </c>
      <c r="H761" s="2" t="str">
        <f>IFERROR(__xludf.DUMMYFUNCTION("""COMPUTED_VALUE"""),"VD017")</f>
        <v>VD017</v>
      </c>
      <c r="I761" s="2">
        <f>IFERROR(__xludf.DUMMYFUNCTION("""COMPUTED_VALUE"""),8.0)</f>
        <v>8</v>
      </c>
      <c r="J761" s="2">
        <f>IFERROR(__xludf.DUMMYFUNCTION("""COMPUTED_VALUE"""),2223.6)</f>
        <v>2223.6</v>
      </c>
      <c r="K761" s="2">
        <f>IFERROR(__xludf.DUMMYFUNCTION("""COMPUTED_VALUE"""),2223.6)</f>
        <v>2223.6</v>
      </c>
    </row>
    <row r="762">
      <c r="A762" s="2">
        <f>IFERROR(__xludf.DUMMYFUNCTION("""COMPUTED_VALUE"""),1000.0)</f>
        <v>1000</v>
      </c>
      <c r="B762" s="2">
        <f>IFERROR(__xludf.DUMMYFUNCTION("""COMPUTED_VALUE"""),184004.0)</f>
        <v>184004</v>
      </c>
      <c r="C762" s="2">
        <f>IFERROR(__xludf.DUMMYFUNCTION("""COMPUTED_VALUE"""),2026.0)</f>
        <v>2026</v>
      </c>
      <c r="D762" s="2">
        <f>IFERROR(__xludf.DUMMYFUNCTION("""COMPUTED_VALUE"""),46240.0)</f>
        <v>46240</v>
      </c>
      <c r="E762" s="2" t="str">
        <f>IFERROR(__xludf.DUMMYFUNCTION("""COMPUTED_VALUE"""),"VF")</f>
        <v>VF</v>
      </c>
      <c r="F762" s="2">
        <f>IFERROR(__xludf.DUMMYFUNCTION("""COMPUTED_VALUE"""),1.0)</f>
        <v>1</v>
      </c>
      <c r="G762" s="2" t="str">
        <f>IFERROR(__xludf.DUMMYFUNCTION("""COMPUTED_VALUE"""),"PR007")</f>
        <v>PR007</v>
      </c>
      <c r="H762" s="2" t="str">
        <f>IFERROR(__xludf.DUMMYFUNCTION("""COMPUTED_VALUE"""),"VD027")</f>
        <v>VD027</v>
      </c>
      <c r="I762" s="2">
        <f>IFERROR(__xludf.DUMMYFUNCTION("""COMPUTED_VALUE"""),18.0)</f>
        <v>18</v>
      </c>
      <c r="J762" s="2">
        <f>IFERROR(__xludf.DUMMYFUNCTION("""COMPUTED_VALUE"""),1592.59)</f>
        <v>1592.59</v>
      </c>
      <c r="K762" s="2">
        <f>IFERROR(__xludf.DUMMYFUNCTION("""COMPUTED_VALUE"""),1592.59)</f>
        <v>1592.59</v>
      </c>
    </row>
    <row r="763">
      <c r="A763" s="2">
        <f>IFERROR(__xludf.DUMMYFUNCTION("""COMPUTED_VALUE"""),1000.0)</f>
        <v>1000</v>
      </c>
      <c r="B763" s="2">
        <f>IFERROR(__xludf.DUMMYFUNCTION("""COMPUTED_VALUE"""),184004.0)</f>
        <v>184004</v>
      </c>
      <c r="C763" s="2">
        <f>IFERROR(__xludf.DUMMYFUNCTION("""COMPUTED_VALUE"""),2026.0)</f>
        <v>2026</v>
      </c>
      <c r="D763" s="2">
        <f>IFERROR(__xludf.DUMMYFUNCTION("""COMPUTED_VALUE"""),46240.0)</f>
        <v>46240</v>
      </c>
      <c r="E763" s="2" t="str">
        <f>IFERROR(__xludf.DUMMYFUNCTION("""COMPUTED_VALUE"""),"VF")</f>
        <v>VF</v>
      </c>
      <c r="F763" s="2">
        <f>IFERROR(__xludf.DUMMYFUNCTION("""COMPUTED_VALUE"""),2.0)</f>
        <v>2</v>
      </c>
      <c r="G763" s="2" t="str">
        <f>IFERROR(__xludf.DUMMYFUNCTION("""COMPUTED_VALUE"""),"PR023")</f>
        <v>PR023</v>
      </c>
      <c r="H763" s="2" t="str">
        <f>IFERROR(__xludf.DUMMYFUNCTION("""COMPUTED_VALUE"""),"VD044")</f>
        <v>VD044</v>
      </c>
      <c r="I763" s="2">
        <f>IFERROR(__xludf.DUMMYFUNCTION("""COMPUTED_VALUE"""),7.0)</f>
        <v>7</v>
      </c>
      <c r="J763" s="2">
        <f>IFERROR(__xludf.DUMMYFUNCTION("""COMPUTED_VALUE"""),1784.29)</f>
        <v>1784.29</v>
      </c>
      <c r="K763" s="2">
        <f>IFERROR(__xludf.DUMMYFUNCTION("""COMPUTED_VALUE"""),1784.29)</f>
        <v>1784.29</v>
      </c>
    </row>
    <row r="764">
      <c r="A764" s="2">
        <f>IFERROR(__xludf.DUMMYFUNCTION("""COMPUTED_VALUE"""),1000.0)</f>
        <v>1000</v>
      </c>
      <c r="B764" s="2">
        <f>IFERROR(__xludf.DUMMYFUNCTION("""COMPUTED_VALUE"""),184005.0)</f>
        <v>184005</v>
      </c>
      <c r="C764" s="2">
        <f>IFERROR(__xludf.DUMMYFUNCTION("""COMPUTED_VALUE"""),2026.0)</f>
        <v>2026</v>
      </c>
      <c r="D764" s="2">
        <f>IFERROR(__xludf.DUMMYFUNCTION("""COMPUTED_VALUE"""),46239.0)</f>
        <v>46239</v>
      </c>
      <c r="E764" s="2" t="str">
        <f>IFERROR(__xludf.DUMMYFUNCTION("""COMPUTED_VALUE"""),"VF")</f>
        <v>VF</v>
      </c>
      <c r="F764" s="2">
        <f>IFERROR(__xludf.DUMMYFUNCTION("""COMPUTED_VALUE"""),1.0)</f>
        <v>1</v>
      </c>
      <c r="G764" s="2" t="str">
        <f>IFERROR(__xludf.DUMMYFUNCTION("""COMPUTED_VALUE"""),"PR003")</f>
        <v>PR003</v>
      </c>
      <c r="H764" s="2" t="str">
        <f>IFERROR(__xludf.DUMMYFUNCTION("""COMPUTED_VALUE"""),"VD011")</f>
        <v>VD011</v>
      </c>
      <c r="I764" s="2">
        <f>IFERROR(__xludf.DUMMYFUNCTION("""COMPUTED_VALUE"""),2.0)</f>
        <v>2</v>
      </c>
      <c r="J764" s="2">
        <f>IFERROR(__xludf.DUMMYFUNCTION("""COMPUTED_VALUE"""),143.22)</f>
        <v>143.22</v>
      </c>
      <c r="K764" s="2">
        <f>IFERROR(__xludf.DUMMYFUNCTION("""COMPUTED_VALUE"""),143.22)</f>
        <v>143.22</v>
      </c>
    </row>
    <row r="765">
      <c r="A765" s="2">
        <f>IFERROR(__xludf.DUMMYFUNCTION("""COMPUTED_VALUE"""),1000.0)</f>
        <v>1000</v>
      </c>
      <c r="B765" s="2">
        <f>IFERROR(__xludf.DUMMYFUNCTION("""COMPUTED_VALUE"""),184006.0)</f>
        <v>184006</v>
      </c>
      <c r="C765" s="2">
        <f>IFERROR(__xludf.DUMMYFUNCTION("""COMPUTED_VALUE"""),2026.0)</f>
        <v>2026</v>
      </c>
      <c r="D765" s="2">
        <f>IFERROR(__xludf.DUMMYFUNCTION("""COMPUTED_VALUE"""),46239.0)</f>
        <v>46239</v>
      </c>
      <c r="E765" s="2" t="str">
        <f>IFERROR(__xludf.DUMMYFUNCTION("""COMPUTED_VALUE"""),"VF")</f>
        <v>VF</v>
      </c>
      <c r="F765" s="2">
        <f>IFERROR(__xludf.DUMMYFUNCTION("""COMPUTED_VALUE"""),1.0)</f>
        <v>1</v>
      </c>
      <c r="G765" s="2" t="str">
        <f>IFERROR(__xludf.DUMMYFUNCTION("""COMPUTED_VALUE"""),"PR006")</f>
        <v>PR006</v>
      </c>
      <c r="H765" s="2" t="str">
        <f>IFERROR(__xludf.DUMMYFUNCTION("""COMPUTED_VALUE"""),"VD039")</f>
        <v>VD039</v>
      </c>
      <c r="I765" s="2">
        <f>IFERROR(__xludf.DUMMYFUNCTION("""COMPUTED_VALUE"""),10.0)</f>
        <v>10</v>
      </c>
      <c r="J765" s="2">
        <f>IFERROR(__xludf.DUMMYFUNCTION("""COMPUTED_VALUE"""),402.99)</f>
        <v>402.99</v>
      </c>
      <c r="K765" s="2">
        <f>IFERROR(__xludf.DUMMYFUNCTION("""COMPUTED_VALUE"""),402.99)</f>
        <v>402.99</v>
      </c>
    </row>
    <row r="766">
      <c r="A766" s="2">
        <f>IFERROR(__xludf.DUMMYFUNCTION("""COMPUTED_VALUE"""),2000.0)</f>
        <v>2000</v>
      </c>
      <c r="B766" s="2">
        <f>IFERROR(__xludf.DUMMYFUNCTION("""COMPUTED_VALUE"""),184006.0)</f>
        <v>184006</v>
      </c>
      <c r="C766" s="2">
        <f>IFERROR(__xludf.DUMMYFUNCTION("""COMPUTED_VALUE"""),2026.0)</f>
        <v>2026</v>
      </c>
      <c r="D766" s="2">
        <f>IFERROR(__xludf.DUMMYFUNCTION("""COMPUTED_VALUE"""),46239.0)</f>
        <v>46239</v>
      </c>
      <c r="E766" s="2" t="str">
        <f>IFERROR(__xludf.DUMMYFUNCTION("""COMPUTED_VALUE"""),"VF")</f>
        <v>VF</v>
      </c>
      <c r="F766" s="2">
        <f>IFERROR(__xludf.DUMMYFUNCTION("""COMPUTED_VALUE"""),2.0)</f>
        <v>2</v>
      </c>
      <c r="G766" s="2" t="str">
        <f>IFERROR(__xludf.DUMMYFUNCTION("""COMPUTED_VALUE"""),"PR014")</f>
        <v>PR014</v>
      </c>
      <c r="H766" s="2" t="str">
        <f>IFERROR(__xludf.DUMMYFUNCTION("""COMPUTED_VALUE"""),"VD039")</f>
        <v>VD039</v>
      </c>
      <c r="I766" s="2">
        <f>IFERROR(__xludf.DUMMYFUNCTION("""COMPUTED_VALUE"""),7.0)</f>
        <v>7</v>
      </c>
      <c r="J766" s="2">
        <f>IFERROR(__xludf.DUMMYFUNCTION("""COMPUTED_VALUE"""),304.44)</f>
        <v>304.44</v>
      </c>
      <c r="K766" s="2">
        <f>IFERROR(__xludf.DUMMYFUNCTION("""COMPUTED_VALUE"""),304.44)</f>
        <v>304.44</v>
      </c>
    </row>
    <row r="767">
      <c r="A767" s="2">
        <f>IFERROR(__xludf.DUMMYFUNCTION("""COMPUTED_VALUE"""),1000.0)</f>
        <v>1000</v>
      </c>
      <c r="B767" s="2">
        <f>IFERROR(__xludf.DUMMYFUNCTION("""COMPUTED_VALUE"""),184006.0)</f>
        <v>184006</v>
      </c>
      <c r="C767" s="2">
        <f>IFERROR(__xludf.DUMMYFUNCTION("""COMPUTED_VALUE"""),2026.0)</f>
        <v>2026</v>
      </c>
      <c r="D767" s="2">
        <f>IFERROR(__xludf.DUMMYFUNCTION("""COMPUTED_VALUE"""),46238.0)</f>
        <v>46238</v>
      </c>
      <c r="E767" s="2" t="str">
        <f>IFERROR(__xludf.DUMMYFUNCTION("""COMPUTED_VALUE"""),"VF")</f>
        <v>VF</v>
      </c>
      <c r="F767" s="2">
        <f>IFERROR(__xludf.DUMMYFUNCTION("""COMPUTED_VALUE"""),3.0)</f>
        <v>3</v>
      </c>
      <c r="G767" s="2" t="str">
        <f>IFERROR(__xludf.DUMMYFUNCTION("""COMPUTED_VALUE"""),"PR033")</f>
        <v>PR033</v>
      </c>
      <c r="H767" s="2" t="str">
        <f>IFERROR(__xludf.DUMMYFUNCTION("""COMPUTED_VALUE"""),"VD042")</f>
        <v>VD042</v>
      </c>
      <c r="I767" s="2">
        <f>IFERROR(__xludf.DUMMYFUNCTION("""COMPUTED_VALUE"""),9.0)</f>
        <v>9</v>
      </c>
      <c r="J767" s="2">
        <f>IFERROR(__xludf.DUMMYFUNCTION("""COMPUTED_VALUE"""),2409.27)</f>
        <v>2409.27</v>
      </c>
      <c r="K767" s="2">
        <f>IFERROR(__xludf.DUMMYFUNCTION("""COMPUTED_VALUE"""),2409.27)</f>
        <v>2409.27</v>
      </c>
    </row>
    <row r="768">
      <c r="A768" s="2">
        <f>IFERROR(__xludf.DUMMYFUNCTION("""COMPUTED_VALUE"""),1000.0)</f>
        <v>1000</v>
      </c>
      <c r="B768" s="2">
        <f>IFERROR(__xludf.DUMMYFUNCTION("""COMPUTED_VALUE"""),184006.0)</f>
        <v>184006</v>
      </c>
      <c r="C768" s="2">
        <f>IFERROR(__xludf.DUMMYFUNCTION("""COMPUTED_VALUE"""),2026.0)</f>
        <v>2026</v>
      </c>
      <c r="D768" s="2">
        <f>IFERROR(__xludf.DUMMYFUNCTION("""COMPUTED_VALUE"""),46238.0)</f>
        <v>46238</v>
      </c>
      <c r="E768" s="2" t="str">
        <f>IFERROR(__xludf.DUMMYFUNCTION("""COMPUTED_VALUE"""),"VF")</f>
        <v>VF</v>
      </c>
      <c r="F768" s="2">
        <f>IFERROR(__xludf.DUMMYFUNCTION("""COMPUTED_VALUE"""),4.0)</f>
        <v>4</v>
      </c>
      <c r="G768" s="2" t="str">
        <f>IFERROR(__xludf.DUMMYFUNCTION("""COMPUTED_VALUE"""),"PR017")</f>
        <v>PR017</v>
      </c>
      <c r="H768" s="2" t="str">
        <f>IFERROR(__xludf.DUMMYFUNCTION("""COMPUTED_VALUE"""),"VD022")</f>
        <v>VD022</v>
      </c>
      <c r="I768" s="2">
        <f>IFERROR(__xludf.DUMMYFUNCTION("""COMPUTED_VALUE"""),2.0)</f>
        <v>2</v>
      </c>
      <c r="J768" s="2">
        <f>IFERROR(__xludf.DUMMYFUNCTION("""COMPUTED_VALUE"""),63.39)</f>
        <v>63.39</v>
      </c>
      <c r="K768" s="2">
        <f>IFERROR(__xludf.DUMMYFUNCTION("""COMPUTED_VALUE"""),63.39)</f>
        <v>63.39</v>
      </c>
    </row>
    <row r="769">
      <c r="A769" s="2">
        <f>IFERROR(__xludf.DUMMYFUNCTION("""COMPUTED_VALUE"""),1000.0)</f>
        <v>1000</v>
      </c>
      <c r="B769" s="2">
        <f>IFERROR(__xludf.DUMMYFUNCTION("""COMPUTED_VALUE"""),184007.0)</f>
        <v>184007</v>
      </c>
      <c r="C769" s="2">
        <f>IFERROR(__xludf.DUMMYFUNCTION("""COMPUTED_VALUE"""),2026.0)</f>
        <v>2026</v>
      </c>
      <c r="D769" s="2">
        <f>IFERROR(__xludf.DUMMYFUNCTION("""COMPUTED_VALUE"""),46238.0)</f>
        <v>46238</v>
      </c>
      <c r="E769" s="2" t="str">
        <f>IFERROR(__xludf.DUMMYFUNCTION("""COMPUTED_VALUE"""),"VF")</f>
        <v>VF</v>
      </c>
      <c r="F769" s="2">
        <f>IFERROR(__xludf.DUMMYFUNCTION("""COMPUTED_VALUE"""),1.0)</f>
        <v>1</v>
      </c>
      <c r="G769" s="2" t="str">
        <f>IFERROR(__xludf.DUMMYFUNCTION("""COMPUTED_VALUE"""),"PR038")</f>
        <v>PR038</v>
      </c>
      <c r="H769" s="2" t="str">
        <f>IFERROR(__xludf.DUMMYFUNCTION("""COMPUTED_VALUE"""),"VD010")</f>
        <v>VD010</v>
      </c>
      <c r="I769" s="2">
        <f>IFERROR(__xludf.DUMMYFUNCTION("""COMPUTED_VALUE"""),7.0)</f>
        <v>7</v>
      </c>
      <c r="J769" s="2">
        <f>IFERROR(__xludf.DUMMYFUNCTION("""COMPUTED_VALUE"""),1070.32)</f>
        <v>1070.32</v>
      </c>
      <c r="K769" s="2">
        <f>IFERROR(__xludf.DUMMYFUNCTION("""COMPUTED_VALUE"""),1070.32)</f>
        <v>1070.32</v>
      </c>
    </row>
    <row r="770">
      <c r="A770" s="2">
        <f>IFERROR(__xludf.DUMMYFUNCTION("""COMPUTED_VALUE"""),1000.0)</f>
        <v>1000</v>
      </c>
      <c r="B770" s="2">
        <f>IFERROR(__xludf.DUMMYFUNCTION("""COMPUTED_VALUE"""),184008.0)</f>
        <v>184008</v>
      </c>
      <c r="C770" s="2">
        <f>IFERROR(__xludf.DUMMYFUNCTION("""COMPUTED_VALUE"""),2026.0)</f>
        <v>2026</v>
      </c>
      <c r="D770" s="2">
        <f>IFERROR(__xludf.DUMMYFUNCTION("""COMPUTED_VALUE"""),46238.0)</f>
        <v>46238</v>
      </c>
      <c r="E770" s="2" t="str">
        <f>IFERROR(__xludf.DUMMYFUNCTION("""COMPUTED_VALUE"""),"VF")</f>
        <v>VF</v>
      </c>
      <c r="F770" s="2">
        <f>IFERROR(__xludf.DUMMYFUNCTION("""COMPUTED_VALUE"""),1.0)</f>
        <v>1</v>
      </c>
      <c r="G770" s="2" t="str">
        <f>IFERROR(__xludf.DUMMYFUNCTION("""COMPUTED_VALUE"""),"PR020")</f>
        <v>PR020</v>
      </c>
      <c r="H770" s="2" t="str">
        <f>IFERROR(__xludf.DUMMYFUNCTION("""COMPUTED_VALUE"""),"VD038")</f>
        <v>VD038</v>
      </c>
      <c r="I770" s="2">
        <f>IFERROR(__xludf.DUMMYFUNCTION("""COMPUTED_VALUE"""),5.0)</f>
        <v>5</v>
      </c>
      <c r="J770" s="2">
        <f>IFERROR(__xludf.DUMMYFUNCTION("""COMPUTED_VALUE"""),1589.47)</f>
        <v>1589.47</v>
      </c>
      <c r="K770" s="2">
        <f>IFERROR(__xludf.DUMMYFUNCTION("""COMPUTED_VALUE"""),1589.47)</f>
        <v>1589.47</v>
      </c>
    </row>
    <row r="771">
      <c r="A771" s="2">
        <f>IFERROR(__xludf.DUMMYFUNCTION("""COMPUTED_VALUE"""),1000.0)</f>
        <v>1000</v>
      </c>
      <c r="B771" s="2">
        <f>IFERROR(__xludf.DUMMYFUNCTION("""COMPUTED_VALUE"""),184009.0)</f>
        <v>184009</v>
      </c>
      <c r="C771" s="2">
        <f>IFERROR(__xludf.DUMMYFUNCTION("""COMPUTED_VALUE"""),2026.0)</f>
        <v>2026</v>
      </c>
      <c r="D771" s="2">
        <f>IFERROR(__xludf.DUMMYFUNCTION("""COMPUTED_VALUE"""),46238.0)</f>
        <v>46238</v>
      </c>
      <c r="E771" s="2" t="str">
        <f>IFERROR(__xludf.DUMMYFUNCTION("""COMPUTED_VALUE"""),"VF")</f>
        <v>VF</v>
      </c>
      <c r="F771" s="2">
        <f>IFERROR(__xludf.DUMMYFUNCTION("""COMPUTED_VALUE"""),1.0)</f>
        <v>1</v>
      </c>
      <c r="G771" s="2" t="str">
        <f>IFERROR(__xludf.DUMMYFUNCTION("""COMPUTED_VALUE"""),"PR005")</f>
        <v>PR005</v>
      </c>
      <c r="H771" s="2" t="str">
        <f>IFERROR(__xludf.DUMMYFUNCTION("""COMPUTED_VALUE"""),"VD047")</f>
        <v>VD047</v>
      </c>
      <c r="I771" s="2">
        <f>IFERROR(__xludf.DUMMYFUNCTION("""COMPUTED_VALUE"""),3.0)</f>
        <v>3</v>
      </c>
      <c r="J771" s="2">
        <f>IFERROR(__xludf.DUMMYFUNCTION("""COMPUTED_VALUE"""),849.87)</f>
        <v>849.87</v>
      </c>
      <c r="K771" s="2">
        <f>IFERROR(__xludf.DUMMYFUNCTION("""COMPUTED_VALUE"""),849.87)</f>
        <v>849.87</v>
      </c>
    </row>
    <row r="772">
      <c r="A772" s="2">
        <f>IFERROR(__xludf.DUMMYFUNCTION("""COMPUTED_VALUE"""),1000.0)</f>
        <v>1000</v>
      </c>
      <c r="B772" s="2">
        <f>IFERROR(__xludf.DUMMYFUNCTION("""COMPUTED_VALUE"""),184010.0)</f>
        <v>184010</v>
      </c>
      <c r="C772" s="2">
        <f>IFERROR(__xludf.DUMMYFUNCTION("""COMPUTED_VALUE"""),2026.0)</f>
        <v>2026</v>
      </c>
      <c r="D772" s="2">
        <f>IFERROR(__xludf.DUMMYFUNCTION("""COMPUTED_VALUE"""),46238.0)</f>
        <v>46238</v>
      </c>
      <c r="E772" s="2" t="str">
        <f>IFERROR(__xludf.DUMMYFUNCTION("""COMPUTED_VALUE"""),"VF")</f>
        <v>VF</v>
      </c>
      <c r="F772" s="2">
        <f>IFERROR(__xludf.DUMMYFUNCTION("""COMPUTED_VALUE"""),1.0)</f>
        <v>1</v>
      </c>
      <c r="G772" s="2" t="str">
        <f>IFERROR(__xludf.DUMMYFUNCTION("""COMPUTED_VALUE"""),"PR058")</f>
        <v>PR058</v>
      </c>
      <c r="H772" s="2" t="str">
        <f>IFERROR(__xludf.DUMMYFUNCTION("""COMPUTED_VALUE"""),"VD014")</f>
        <v>VD014</v>
      </c>
      <c r="I772" s="2">
        <f>IFERROR(__xludf.DUMMYFUNCTION("""COMPUTED_VALUE"""),1.0)</f>
        <v>1</v>
      </c>
      <c r="J772" s="2">
        <f>IFERROR(__xludf.DUMMYFUNCTION("""COMPUTED_VALUE"""),190.8)</f>
        <v>190.8</v>
      </c>
      <c r="K772" s="2">
        <f>IFERROR(__xludf.DUMMYFUNCTION("""COMPUTED_VALUE"""),190.8)</f>
        <v>190.8</v>
      </c>
    </row>
    <row r="773">
      <c r="A773" s="2">
        <f>IFERROR(__xludf.DUMMYFUNCTION("""COMPUTED_VALUE"""),1000.0)</f>
        <v>1000</v>
      </c>
      <c r="B773" s="2">
        <f>IFERROR(__xludf.DUMMYFUNCTION("""COMPUTED_VALUE"""),184011.0)</f>
        <v>184011</v>
      </c>
      <c r="C773" s="2">
        <f>IFERROR(__xludf.DUMMYFUNCTION("""COMPUTED_VALUE"""),2026.0)</f>
        <v>2026</v>
      </c>
      <c r="D773" s="2">
        <f>IFERROR(__xludf.DUMMYFUNCTION("""COMPUTED_VALUE"""),46237.0)</f>
        <v>46237</v>
      </c>
      <c r="E773" s="2" t="str">
        <f>IFERROR(__xludf.DUMMYFUNCTION("""COMPUTED_VALUE"""),"VF")</f>
        <v>VF</v>
      </c>
      <c r="F773" s="2">
        <f>IFERROR(__xludf.DUMMYFUNCTION("""COMPUTED_VALUE"""),1.0)</f>
        <v>1</v>
      </c>
      <c r="G773" s="2" t="str">
        <f>IFERROR(__xludf.DUMMYFUNCTION("""COMPUTED_VALUE"""),"PR033")</f>
        <v>PR033</v>
      </c>
      <c r="H773" s="2" t="str">
        <f>IFERROR(__xludf.DUMMYFUNCTION("""COMPUTED_VALUE"""),"VD049")</f>
        <v>VD049</v>
      </c>
      <c r="I773" s="2">
        <f>IFERROR(__xludf.DUMMYFUNCTION("""COMPUTED_VALUE"""),2.0)</f>
        <v>2</v>
      </c>
      <c r="J773" s="2">
        <f>IFERROR(__xludf.DUMMYFUNCTION("""COMPUTED_VALUE"""),571.78)</f>
        <v>571.78</v>
      </c>
      <c r="K773" s="2">
        <f>IFERROR(__xludf.DUMMYFUNCTION("""COMPUTED_VALUE"""),571.78)</f>
        <v>571.78</v>
      </c>
    </row>
    <row r="774">
      <c r="A774" s="2">
        <f>IFERROR(__xludf.DUMMYFUNCTION("""COMPUTED_VALUE"""),1000.0)</f>
        <v>1000</v>
      </c>
      <c r="B774" s="2">
        <f>IFERROR(__xludf.DUMMYFUNCTION("""COMPUTED_VALUE"""),184012.0)</f>
        <v>184012</v>
      </c>
      <c r="C774" s="2">
        <f>IFERROR(__xludf.DUMMYFUNCTION("""COMPUTED_VALUE"""),2026.0)</f>
        <v>2026</v>
      </c>
      <c r="D774" s="2">
        <f>IFERROR(__xludf.DUMMYFUNCTION("""COMPUTED_VALUE"""),46237.0)</f>
        <v>46237</v>
      </c>
      <c r="E774" s="2" t="str">
        <f>IFERROR(__xludf.DUMMYFUNCTION("""COMPUTED_VALUE"""),"VF")</f>
        <v>VF</v>
      </c>
      <c r="F774" s="2">
        <f>IFERROR(__xludf.DUMMYFUNCTION("""COMPUTED_VALUE"""),1.0)</f>
        <v>1</v>
      </c>
      <c r="G774" s="2" t="str">
        <f>IFERROR(__xludf.DUMMYFUNCTION("""COMPUTED_VALUE"""),"PR049")</f>
        <v>PR049</v>
      </c>
      <c r="H774" s="2" t="str">
        <f>IFERROR(__xludf.DUMMYFUNCTION("""COMPUTED_VALUE"""),"VD047")</f>
        <v>VD047</v>
      </c>
      <c r="I774" s="2">
        <f>IFERROR(__xludf.DUMMYFUNCTION("""COMPUTED_VALUE"""),1.0)</f>
        <v>1</v>
      </c>
      <c r="J774" s="2">
        <f>IFERROR(__xludf.DUMMYFUNCTION("""COMPUTED_VALUE"""),34.55)</f>
        <v>34.55</v>
      </c>
      <c r="K774" s="2">
        <f>IFERROR(__xludf.DUMMYFUNCTION("""COMPUTED_VALUE"""),34.55)</f>
        <v>34.55</v>
      </c>
    </row>
    <row r="775">
      <c r="A775" s="2">
        <f>IFERROR(__xludf.DUMMYFUNCTION("""COMPUTED_VALUE"""),1000.0)</f>
        <v>1000</v>
      </c>
      <c r="B775" s="2">
        <f>IFERROR(__xludf.DUMMYFUNCTION("""COMPUTED_VALUE"""),184012.0)</f>
        <v>184012</v>
      </c>
      <c r="C775" s="2">
        <f>IFERROR(__xludf.DUMMYFUNCTION("""COMPUTED_VALUE"""),2026.0)</f>
        <v>2026</v>
      </c>
      <c r="D775" s="2">
        <f>IFERROR(__xludf.DUMMYFUNCTION("""COMPUTED_VALUE"""),46236.0)</f>
        <v>46236</v>
      </c>
      <c r="E775" s="2" t="str">
        <f>IFERROR(__xludf.DUMMYFUNCTION("""COMPUTED_VALUE"""),"VF")</f>
        <v>VF</v>
      </c>
      <c r="F775" s="2">
        <f>IFERROR(__xludf.DUMMYFUNCTION("""COMPUTED_VALUE"""),2.0)</f>
        <v>2</v>
      </c>
      <c r="G775" s="2" t="str">
        <f>IFERROR(__xludf.DUMMYFUNCTION("""COMPUTED_VALUE"""),"PR028")</f>
        <v>PR028</v>
      </c>
      <c r="H775" s="2" t="str">
        <f>IFERROR(__xludf.DUMMYFUNCTION("""COMPUTED_VALUE"""),"VD024")</f>
        <v>VD024</v>
      </c>
      <c r="I775" s="2">
        <f>IFERROR(__xludf.DUMMYFUNCTION("""COMPUTED_VALUE"""),9.0)</f>
        <v>9</v>
      </c>
      <c r="J775" s="2">
        <f>IFERROR(__xludf.DUMMYFUNCTION("""COMPUTED_VALUE"""),2474.01)</f>
        <v>2474.01</v>
      </c>
      <c r="K775" s="2">
        <f>IFERROR(__xludf.DUMMYFUNCTION("""COMPUTED_VALUE"""),2474.01)</f>
        <v>2474.01</v>
      </c>
    </row>
    <row r="776">
      <c r="A776" s="2">
        <f>IFERROR(__xludf.DUMMYFUNCTION("""COMPUTED_VALUE"""),1000.0)</f>
        <v>1000</v>
      </c>
      <c r="B776" s="2">
        <f>IFERROR(__xludf.DUMMYFUNCTION("""COMPUTED_VALUE"""),184012.0)</f>
        <v>184012</v>
      </c>
      <c r="C776" s="2">
        <f>IFERROR(__xludf.DUMMYFUNCTION("""COMPUTED_VALUE"""),2026.0)</f>
        <v>2026</v>
      </c>
      <c r="D776" s="2">
        <f>IFERROR(__xludf.DUMMYFUNCTION("""COMPUTED_VALUE"""),46236.0)</f>
        <v>46236</v>
      </c>
      <c r="E776" s="2" t="str">
        <f>IFERROR(__xludf.DUMMYFUNCTION("""COMPUTED_VALUE"""),"VF")</f>
        <v>VF</v>
      </c>
      <c r="F776" s="2">
        <f>IFERROR(__xludf.DUMMYFUNCTION("""COMPUTED_VALUE"""),3.0)</f>
        <v>3</v>
      </c>
      <c r="G776" s="2" t="str">
        <f>IFERROR(__xludf.DUMMYFUNCTION("""COMPUTED_VALUE"""),"PR034")</f>
        <v>PR034</v>
      </c>
      <c r="H776" s="2" t="str">
        <f>IFERROR(__xludf.DUMMYFUNCTION("""COMPUTED_VALUE"""),"VD029")</f>
        <v>VD029</v>
      </c>
      <c r="I776" s="2">
        <f>IFERROR(__xludf.DUMMYFUNCTION("""COMPUTED_VALUE"""),8.0)</f>
        <v>8</v>
      </c>
      <c r="J776" s="2">
        <f>IFERROR(__xludf.DUMMYFUNCTION("""COMPUTED_VALUE"""),769.54)</f>
        <v>769.54</v>
      </c>
      <c r="K776" s="2">
        <f>IFERROR(__xludf.DUMMYFUNCTION("""COMPUTED_VALUE"""),769.54)</f>
        <v>769.54</v>
      </c>
    </row>
    <row r="777">
      <c r="A777" s="2">
        <f>IFERROR(__xludf.DUMMYFUNCTION("""COMPUTED_VALUE"""),1000.0)</f>
        <v>1000</v>
      </c>
      <c r="B777" s="2">
        <f>IFERROR(__xludf.DUMMYFUNCTION("""COMPUTED_VALUE"""),184013.0)</f>
        <v>184013</v>
      </c>
      <c r="C777" s="2">
        <f>IFERROR(__xludf.DUMMYFUNCTION("""COMPUTED_VALUE"""),2026.0)</f>
        <v>2026</v>
      </c>
      <c r="D777" s="2">
        <f>IFERROR(__xludf.DUMMYFUNCTION("""COMPUTED_VALUE"""),46236.0)</f>
        <v>46236</v>
      </c>
      <c r="E777" s="2" t="str">
        <f>IFERROR(__xludf.DUMMYFUNCTION("""COMPUTED_VALUE"""),"VF")</f>
        <v>VF</v>
      </c>
      <c r="F777" s="2">
        <f>IFERROR(__xludf.DUMMYFUNCTION("""COMPUTED_VALUE"""),1.0)</f>
        <v>1</v>
      </c>
      <c r="G777" s="2" t="str">
        <f>IFERROR(__xludf.DUMMYFUNCTION("""COMPUTED_VALUE"""),"PR057")</f>
        <v>PR057</v>
      </c>
      <c r="H777" s="2" t="str">
        <f>IFERROR(__xludf.DUMMYFUNCTION("""COMPUTED_VALUE"""),"VD024")</f>
        <v>VD024</v>
      </c>
      <c r="I777" s="2">
        <f>IFERROR(__xludf.DUMMYFUNCTION("""COMPUTED_VALUE"""),8.0)</f>
        <v>8</v>
      </c>
      <c r="J777" s="2">
        <f>IFERROR(__xludf.DUMMYFUNCTION("""COMPUTED_VALUE"""),726.39)</f>
        <v>726.39</v>
      </c>
      <c r="K777" s="2">
        <f>IFERROR(__xludf.DUMMYFUNCTION("""COMPUTED_VALUE"""),726.39)</f>
        <v>726.39</v>
      </c>
    </row>
    <row r="778">
      <c r="A778" s="2">
        <f>IFERROR(__xludf.DUMMYFUNCTION("""COMPUTED_VALUE"""),1000.0)</f>
        <v>1000</v>
      </c>
      <c r="B778" s="2">
        <f>IFERROR(__xludf.DUMMYFUNCTION("""COMPUTED_VALUE"""),184014.0)</f>
        <v>184014</v>
      </c>
      <c r="C778" s="2">
        <f>IFERROR(__xludf.DUMMYFUNCTION("""COMPUTED_VALUE"""),2026.0)</f>
        <v>2026</v>
      </c>
      <c r="D778" s="2">
        <f>IFERROR(__xludf.DUMMYFUNCTION("""COMPUTED_VALUE"""),46236.0)</f>
        <v>46236</v>
      </c>
      <c r="E778" s="2" t="str">
        <f>IFERROR(__xludf.DUMMYFUNCTION("""COMPUTED_VALUE"""),"VF")</f>
        <v>VF</v>
      </c>
      <c r="F778" s="2">
        <f>IFERROR(__xludf.DUMMYFUNCTION("""COMPUTED_VALUE"""),1.0)</f>
        <v>1</v>
      </c>
      <c r="G778" s="2" t="str">
        <f>IFERROR(__xludf.DUMMYFUNCTION("""COMPUTED_VALUE"""),"PR007")</f>
        <v>PR007</v>
      </c>
      <c r="H778" s="2" t="str">
        <f>IFERROR(__xludf.DUMMYFUNCTION("""COMPUTED_VALUE"""),"VD048")</f>
        <v>VD048</v>
      </c>
      <c r="I778" s="2">
        <f>IFERROR(__xludf.DUMMYFUNCTION("""COMPUTED_VALUE"""),14.0)</f>
        <v>14</v>
      </c>
      <c r="J778" s="2">
        <f>IFERROR(__xludf.DUMMYFUNCTION("""COMPUTED_VALUE"""),1322.86)</f>
        <v>1322.86</v>
      </c>
      <c r="K778" s="2">
        <f>IFERROR(__xludf.DUMMYFUNCTION("""COMPUTED_VALUE"""),1322.86)</f>
        <v>1322.86</v>
      </c>
    </row>
    <row r="779">
      <c r="A779" s="2">
        <f>IFERROR(__xludf.DUMMYFUNCTION("""COMPUTED_VALUE"""),2000.0)</f>
        <v>2000</v>
      </c>
      <c r="B779" s="2">
        <f>IFERROR(__xludf.DUMMYFUNCTION("""COMPUTED_VALUE"""),184015.0)</f>
        <v>184015</v>
      </c>
      <c r="C779" s="2">
        <f>IFERROR(__xludf.DUMMYFUNCTION("""COMPUTED_VALUE"""),2026.0)</f>
        <v>2026</v>
      </c>
      <c r="D779" s="2">
        <f>IFERROR(__xludf.DUMMYFUNCTION("""COMPUTED_VALUE"""),46236.0)</f>
        <v>46236</v>
      </c>
      <c r="E779" s="2" t="str">
        <f>IFERROR(__xludf.DUMMYFUNCTION("""COMPUTED_VALUE"""),"VF")</f>
        <v>VF</v>
      </c>
      <c r="F779" s="2">
        <f>IFERROR(__xludf.DUMMYFUNCTION("""COMPUTED_VALUE"""),1.0)</f>
        <v>1</v>
      </c>
      <c r="G779" s="2" t="str">
        <f>IFERROR(__xludf.DUMMYFUNCTION("""COMPUTED_VALUE"""),"PR054")</f>
        <v>PR054</v>
      </c>
      <c r="H779" s="2" t="str">
        <f>IFERROR(__xludf.DUMMYFUNCTION("""COMPUTED_VALUE"""),"VD036")</f>
        <v>VD036</v>
      </c>
      <c r="I779" s="2">
        <f>IFERROR(__xludf.DUMMYFUNCTION("""COMPUTED_VALUE"""),6.0)</f>
        <v>6</v>
      </c>
      <c r="J779" s="2">
        <f>IFERROR(__xludf.DUMMYFUNCTION("""COMPUTED_VALUE"""),317.36)</f>
        <v>317.36</v>
      </c>
      <c r="K779" s="2">
        <f>IFERROR(__xludf.DUMMYFUNCTION("""COMPUTED_VALUE"""),317.36)</f>
        <v>317.36</v>
      </c>
    </row>
    <row r="780">
      <c r="A780" s="2">
        <f>IFERROR(__xludf.DUMMYFUNCTION("""COMPUTED_VALUE"""),1000.0)</f>
        <v>1000</v>
      </c>
      <c r="B780" s="2">
        <f>IFERROR(__xludf.DUMMYFUNCTION("""COMPUTED_VALUE"""),184016.0)</f>
        <v>184016</v>
      </c>
      <c r="C780" s="2">
        <f>IFERROR(__xludf.DUMMYFUNCTION("""COMPUTED_VALUE"""),2026.0)</f>
        <v>2026</v>
      </c>
      <c r="D780" s="2">
        <f>IFERROR(__xludf.DUMMYFUNCTION("""COMPUTED_VALUE"""),46236.0)</f>
        <v>46236</v>
      </c>
      <c r="E780" s="2" t="str">
        <f>IFERROR(__xludf.DUMMYFUNCTION("""COMPUTED_VALUE"""),"VF")</f>
        <v>VF</v>
      </c>
      <c r="F780" s="2">
        <f>IFERROR(__xludf.DUMMYFUNCTION("""COMPUTED_VALUE"""),1.0)</f>
        <v>1</v>
      </c>
      <c r="G780" s="2" t="str">
        <f>IFERROR(__xludf.DUMMYFUNCTION("""COMPUTED_VALUE"""),"PR026")</f>
        <v>PR026</v>
      </c>
      <c r="H780" s="2" t="str">
        <f>IFERROR(__xludf.DUMMYFUNCTION("""COMPUTED_VALUE"""),"VD016")</f>
        <v>VD016</v>
      </c>
      <c r="I780" s="2">
        <f>IFERROR(__xludf.DUMMYFUNCTION("""COMPUTED_VALUE"""),6.0)</f>
        <v>6</v>
      </c>
      <c r="J780" s="2">
        <f>IFERROR(__xludf.DUMMYFUNCTION("""COMPUTED_VALUE"""),2183.38)</f>
        <v>2183.38</v>
      </c>
      <c r="K780" s="2">
        <f>IFERROR(__xludf.DUMMYFUNCTION("""COMPUTED_VALUE"""),2183.38)</f>
        <v>2183.38</v>
      </c>
    </row>
    <row r="781">
      <c r="A781" s="2">
        <f>IFERROR(__xludf.DUMMYFUNCTION("""COMPUTED_VALUE"""),2000.0)</f>
        <v>2000</v>
      </c>
      <c r="B781" s="2">
        <f>IFERROR(__xludf.DUMMYFUNCTION("""COMPUTED_VALUE"""),184017.0)</f>
        <v>184017</v>
      </c>
      <c r="C781" s="2">
        <f>IFERROR(__xludf.DUMMYFUNCTION("""COMPUTED_VALUE"""),2026.0)</f>
        <v>2026</v>
      </c>
      <c r="D781" s="2">
        <f>IFERROR(__xludf.DUMMYFUNCTION("""COMPUTED_VALUE"""),46236.0)</f>
        <v>46236</v>
      </c>
      <c r="E781" s="2" t="str">
        <f>IFERROR(__xludf.DUMMYFUNCTION("""COMPUTED_VALUE"""),"VF")</f>
        <v>VF</v>
      </c>
      <c r="F781" s="2">
        <f>IFERROR(__xludf.DUMMYFUNCTION("""COMPUTED_VALUE"""),1.0)</f>
        <v>1</v>
      </c>
      <c r="G781" s="2" t="str">
        <f>IFERROR(__xludf.DUMMYFUNCTION("""COMPUTED_VALUE"""),"PR024")</f>
        <v>PR024</v>
      </c>
      <c r="H781" s="2" t="str">
        <f>IFERROR(__xludf.DUMMYFUNCTION("""COMPUTED_VALUE"""),"VD037")</f>
        <v>VD037</v>
      </c>
      <c r="I781" s="2">
        <f>IFERROR(__xludf.DUMMYFUNCTION("""COMPUTED_VALUE"""),5.0)</f>
        <v>5</v>
      </c>
      <c r="J781" s="2">
        <f>IFERROR(__xludf.DUMMYFUNCTION("""COMPUTED_VALUE"""),1429.45)</f>
        <v>1429.45</v>
      </c>
      <c r="K781" s="2">
        <f>IFERROR(__xludf.DUMMYFUNCTION("""COMPUTED_VALUE"""),1429.45)</f>
        <v>1429.45</v>
      </c>
    </row>
    <row r="782">
      <c r="A782" s="2">
        <f>IFERROR(__xludf.DUMMYFUNCTION("""COMPUTED_VALUE"""),2000.0)</f>
        <v>2000</v>
      </c>
      <c r="B782" s="2">
        <f>IFERROR(__xludf.DUMMYFUNCTION("""COMPUTED_VALUE"""),184017.0)</f>
        <v>184017</v>
      </c>
      <c r="C782" s="2">
        <f>IFERROR(__xludf.DUMMYFUNCTION("""COMPUTED_VALUE"""),2026.0)</f>
        <v>2026</v>
      </c>
      <c r="D782" s="2">
        <f>IFERROR(__xludf.DUMMYFUNCTION("""COMPUTED_VALUE"""),46236.0)</f>
        <v>46236</v>
      </c>
      <c r="E782" s="2" t="str">
        <f>IFERROR(__xludf.DUMMYFUNCTION("""COMPUTED_VALUE"""),"VF")</f>
        <v>VF</v>
      </c>
      <c r="F782" s="2">
        <f>IFERROR(__xludf.DUMMYFUNCTION("""COMPUTED_VALUE"""),2.0)</f>
        <v>2</v>
      </c>
      <c r="G782" s="2" t="str">
        <f>IFERROR(__xludf.DUMMYFUNCTION("""COMPUTED_VALUE"""),"PR044")</f>
        <v>PR044</v>
      </c>
      <c r="H782" s="2" t="str">
        <f>IFERROR(__xludf.DUMMYFUNCTION("""COMPUTED_VALUE"""),"VD045")</f>
        <v>VD045</v>
      </c>
      <c r="I782" s="2">
        <f>IFERROR(__xludf.DUMMYFUNCTION("""COMPUTED_VALUE"""),8.0)</f>
        <v>8</v>
      </c>
      <c r="J782" s="2">
        <f>IFERROR(__xludf.DUMMYFUNCTION("""COMPUTED_VALUE"""),620.6)</f>
        <v>620.6</v>
      </c>
      <c r="K782" s="2">
        <f>IFERROR(__xludf.DUMMYFUNCTION("""COMPUTED_VALUE"""),620.6)</f>
        <v>620.6</v>
      </c>
    </row>
    <row r="783">
      <c r="A783" s="2">
        <f>IFERROR(__xludf.DUMMYFUNCTION("""COMPUTED_VALUE"""),1000.0)</f>
        <v>1000</v>
      </c>
      <c r="B783" s="2">
        <f>IFERROR(__xludf.DUMMYFUNCTION("""COMPUTED_VALUE"""),184017.0)</f>
        <v>184017</v>
      </c>
      <c r="C783" s="2">
        <f>IFERROR(__xludf.DUMMYFUNCTION("""COMPUTED_VALUE"""),2026.0)</f>
        <v>2026</v>
      </c>
      <c r="D783" s="2">
        <f>IFERROR(__xludf.DUMMYFUNCTION("""COMPUTED_VALUE"""),46235.0)</f>
        <v>46235</v>
      </c>
      <c r="E783" s="2" t="str">
        <f>IFERROR(__xludf.DUMMYFUNCTION("""COMPUTED_VALUE"""),"VF")</f>
        <v>VF</v>
      </c>
      <c r="F783" s="2">
        <f>IFERROR(__xludf.DUMMYFUNCTION("""COMPUTED_VALUE"""),3.0)</f>
        <v>3</v>
      </c>
      <c r="G783" s="2" t="str">
        <f>IFERROR(__xludf.DUMMYFUNCTION("""COMPUTED_VALUE"""),"PR045")</f>
        <v>PR045</v>
      </c>
      <c r="H783" s="2" t="str">
        <f>IFERROR(__xludf.DUMMYFUNCTION("""COMPUTED_VALUE"""),"VD011")</f>
        <v>VD011</v>
      </c>
      <c r="I783" s="2">
        <f>IFERROR(__xludf.DUMMYFUNCTION("""COMPUTED_VALUE"""),12.0)</f>
        <v>12</v>
      </c>
      <c r="J783" s="2">
        <f>IFERROR(__xludf.DUMMYFUNCTION("""COMPUTED_VALUE"""),887.4)</f>
        <v>887.4</v>
      </c>
      <c r="K783" s="2">
        <f>IFERROR(__xludf.DUMMYFUNCTION("""COMPUTED_VALUE"""),887.4)</f>
        <v>887.4</v>
      </c>
    </row>
    <row r="784">
      <c r="A784" s="2">
        <f>IFERROR(__xludf.DUMMYFUNCTION("""COMPUTED_VALUE"""),1000.0)</f>
        <v>1000</v>
      </c>
      <c r="B784" s="2">
        <f>IFERROR(__xludf.DUMMYFUNCTION("""COMPUTED_VALUE"""),184017.0)</f>
        <v>184017</v>
      </c>
      <c r="C784" s="2">
        <f>IFERROR(__xludf.DUMMYFUNCTION("""COMPUTED_VALUE"""),2026.0)</f>
        <v>2026</v>
      </c>
      <c r="D784" s="2">
        <f>IFERROR(__xludf.DUMMYFUNCTION("""COMPUTED_VALUE"""),46235.0)</f>
        <v>46235</v>
      </c>
      <c r="E784" s="2" t="str">
        <f>IFERROR(__xludf.DUMMYFUNCTION("""COMPUTED_VALUE"""),"VF")</f>
        <v>VF</v>
      </c>
      <c r="F784" s="2">
        <f>IFERROR(__xludf.DUMMYFUNCTION("""COMPUTED_VALUE"""),4.0)</f>
        <v>4</v>
      </c>
      <c r="G784" s="2" t="str">
        <f>IFERROR(__xludf.DUMMYFUNCTION("""COMPUTED_VALUE"""),"PR060")</f>
        <v>PR060</v>
      </c>
      <c r="H784" s="2" t="str">
        <f>IFERROR(__xludf.DUMMYFUNCTION("""COMPUTED_VALUE"""),"VD037")</f>
        <v>VD037</v>
      </c>
      <c r="I784" s="2">
        <f>IFERROR(__xludf.DUMMYFUNCTION("""COMPUTED_VALUE"""),8.0)</f>
        <v>8</v>
      </c>
      <c r="J784" s="2">
        <f>IFERROR(__xludf.DUMMYFUNCTION("""COMPUTED_VALUE"""),1483.2)</f>
        <v>1483.2</v>
      </c>
      <c r="K784" s="2">
        <f>IFERROR(__xludf.DUMMYFUNCTION("""COMPUTED_VALUE"""),1483.2)</f>
        <v>1483.2</v>
      </c>
    </row>
    <row r="785">
      <c r="A785" s="2">
        <f>IFERROR(__xludf.DUMMYFUNCTION("""COMPUTED_VALUE"""),1000.0)</f>
        <v>1000</v>
      </c>
      <c r="B785" s="2">
        <f>IFERROR(__xludf.DUMMYFUNCTION("""COMPUTED_VALUE"""),184018.0)</f>
        <v>184018</v>
      </c>
      <c r="C785" s="2">
        <f>IFERROR(__xludf.DUMMYFUNCTION("""COMPUTED_VALUE"""),2026.0)</f>
        <v>2026</v>
      </c>
      <c r="D785" s="2">
        <f>IFERROR(__xludf.DUMMYFUNCTION("""COMPUTED_VALUE"""),46234.0)</f>
        <v>46234</v>
      </c>
      <c r="E785" s="2" t="str">
        <f>IFERROR(__xludf.DUMMYFUNCTION("""COMPUTED_VALUE"""),"VF")</f>
        <v>VF</v>
      </c>
      <c r="F785" s="2">
        <f>IFERROR(__xludf.DUMMYFUNCTION("""COMPUTED_VALUE"""),1.0)</f>
        <v>1</v>
      </c>
      <c r="G785" s="2" t="str">
        <f>IFERROR(__xludf.DUMMYFUNCTION("""COMPUTED_VALUE"""),"PR024")</f>
        <v>PR024</v>
      </c>
      <c r="H785" s="2" t="str">
        <f>IFERROR(__xludf.DUMMYFUNCTION("""COMPUTED_VALUE"""),"VD048")</f>
        <v>VD048</v>
      </c>
      <c r="I785" s="2">
        <f>IFERROR(__xludf.DUMMYFUNCTION("""COMPUTED_VALUE"""),2.0)</f>
        <v>2</v>
      </c>
      <c r="J785" s="2">
        <f>IFERROR(__xludf.DUMMYFUNCTION("""COMPUTED_VALUE"""),525.0)</f>
        <v>525</v>
      </c>
      <c r="K785" s="2">
        <f>IFERROR(__xludf.DUMMYFUNCTION("""COMPUTED_VALUE"""),525.0)</f>
        <v>525</v>
      </c>
    </row>
    <row r="786">
      <c r="A786" s="2">
        <f>IFERROR(__xludf.DUMMYFUNCTION("""COMPUTED_VALUE"""),1000.0)</f>
        <v>1000</v>
      </c>
      <c r="B786" s="2">
        <f>IFERROR(__xludf.DUMMYFUNCTION("""COMPUTED_VALUE"""),184018.0)</f>
        <v>184018</v>
      </c>
      <c r="C786" s="2">
        <f>IFERROR(__xludf.DUMMYFUNCTION("""COMPUTED_VALUE"""),2026.0)</f>
        <v>2026</v>
      </c>
      <c r="D786" s="2">
        <f>IFERROR(__xludf.DUMMYFUNCTION("""COMPUTED_VALUE"""),46234.0)</f>
        <v>46234</v>
      </c>
      <c r="E786" s="2" t="str">
        <f>IFERROR(__xludf.DUMMYFUNCTION("""COMPUTED_VALUE"""),"VF")</f>
        <v>VF</v>
      </c>
      <c r="F786" s="2">
        <f>IFERROR(__xludf.DUMMYFUNCTION("""COMPUTED_VALUE"""),2.0)</f>
        <v>2</v>
      </c>
      <c r="G786" s="2" t="str">
        <f>IFERROR(__xludf.DUMMYFUNCTION("""COMPUTED_VALUE"""),"PR056")</f>
        <v>PR056</v>
      </c>
      <c r="H786" s="2" t="str">
        <f>IFERROR(__xludf.DUMMYFUNCTION("""COMPUTED_VALUE"""),"VD038")</f>
        <v>VD038</v>
      </c>
      <c r="I786" s="2">
        <f>IFERROR(__xludf.DUMMYFUNCTION("""COMPUTED_VALUE"""),9.0)</f>
        <v>9</v>
      </c>
      <c r="J786" s="2">
        <f>IFERROR(__xludf.DUMMYFUNCTION("""COMPUTED_VALUE"""),825.28)</f>
        <v>825.28</v>
      </c>
      <c r="K786" s="2">
        <f>IFERROR(__xludf.DUMMYFUNCTION("""COMPUTED_VALUE"""),825.28)</f>
        <v>825.28</v>
      </c>
    </row>
    <row r="787">
      <c r="A787" s="2">
        <f>IFERROR(__xludf.DUMMYFUNCTION("""COMPUTED_VALUE"""),1000.0)</f>
        <v>1000</v>
      </c>
      <c r="B787" s="2">
        <f>IFERROR(__xludf.DUMMYFUNCTION("""COMPUTED_VALUE"""),184019.0)</f>
        <v>184019</v>
      </c>
      <c r="C787" s="2">
        <f>IFERROR(__xludf.DUMMYFUNCTION("""COMPUTED_VALUE"""),2026.0)</f>
        <v>2026</v>
      </c>
      <c r="D787" s="2">
        <f>IFERROR(__xludf.DUMMYFUNCTION("""COMPUTED_VALUE"""),46233.0)</f>
        <v>46233</v>
      </c>
      <c r="E787" s="2" t="str">
        <f>IFERROR(__xludf.DUMMYFUNCTION("""COMPUTED_VALUE"""),"VF")</f>
        <v>VF</v>
      </c>
      <c r="F787" s="2">
        <f>IFERROR(__xludf.DUMMYFUNCTION("""COMPUTED_VALUE"""),1.0)</f>
        <v>1</v>
      </c>
      <c r="G787" s="2" t="str">
        <f>IFERROR(__xludf.DUMMYFUNCTION("""COMPUTED_VALUE"""),"PR005")</f>
        <v>PR005</v>
      </c>
      <c r="H787" s="2" t="str">
        <f>IFERROR(__xludf.DUMMYFUNCTION("""COMPUTED_VALUE"""),"VD029")</f>
        <v>VD029</v>
      </c>
      <c r="I787" s="2">
        <f>IFERROR(__xludf.DUMMYFUNCTION("""COMPUTED_VALUE"""),2.0)</f>
        <v>2</v>
      </c>
      <c r="J787" s="2">
        <f>IFERROR(__xludf.DUMMYFUNCTION("""COMPUTED_VALUE"""),525.0)</f>
        <v>525</v>
      </c>
      <c r="K787" s="2">
        <f>IFERROR(__xludf.DUMMYFUNCTION("""COMPUTED_VALUE"""),525.0)</f>
        <v>525</v>
      </c>
    </row>
    <row r="788">
      <c r="A788" s="2">
        <f>IFERROR(__xludf.DUMMYFUNCTION("""COMPUTED_VALUE"""),2000.0)</f>
        <v>2000</v>
      </c>
      <c r="B788" s="2">
        <f>IFERROR(__xludf.DUMMYFUNCTION("""COMPUTED_VALUE"""),184020.0)</f>
        <v>184020</v>
      </c>
      <c r="C788" s="2">
        <f>IFERROR(__xludf.DUMMYFUNCTION("""COMPUTED_VALUE"""),2026.0)</f>
        <v>2026</v>
      </c>
      <c r="D788" s="2">
        <f>IFERROR(__xludf.DUMMYFUNCTION("""COMPUTED_VALUE"""),46233.0)</f>
        <v>46233</v>
      </c>
      <c r="E788" s="2" t="str">
        <f>IFERROR(__xludf.DUMMYFUNCTION("""COMPUTED_VALUE"""),"VF")</f>
        <v>VF</v>
      </c>
      <c r="F788" s="2">
        <f>IFERROR(__xludf.DUMMYFUNCTION("""COMPUTED_VALUE"""),1.0)</f>
        <v>1</v>
      </c>
      <c r="G788" s="2" t="str">
        <f>IFERROR(__xludf.DUMMYFUNCTION("""COMPUTED_VALUE"""),"PR042")</f>
        <v>PR042</v>
      </c>
      <c r="H788" s="2" t="str">
        <f>IFERROR(__xludf.DUMMYFUNCTION("""COMPUTED_VALUE"""),"VD036")</f>
        <v>VD036</v>
      </c>
      <c r="I788" s="2">
        <f>IFERROR(__xludf.DUMMYFUNCTION("""COMPUTED_VALUE"""),9.0)</f>
        <v>9</v>
      </c>
      <c r="J788" s="2">
        <f>IFERROR(__xludf.DUMMYFUNCTION("""COMPUTED_VALUE"""),533.63)</f>
        <v>533.63</v>
      </c>
      <c r="K788" s="2">
        <f>IFERROR(__xludf.DUMMYFUNCTION("""COMPUTED_VALUE"""),533.63)</f>
        <v>533.63</v>
      </c>
    </row>
    <row r="789">
      <c r="A789" s="2">
        <f>IFERROR(__xludf.DUMMYFUNCTION("""COMPUTED_VALUE"""),1000.0)</f>
        <v>1000</v>
      </c>
      <c r="B789" s="2">
        <f>IFERROR(__xludf.DUMMYFUNCTION("""COMPUTED_VALUE"""),184021.0)</f>
        <v>184021</v>
      </c>
      <c r="C789" s="2">
        <f>IFERROR(__xludf.DUMMYFUNCTION("""COMPUTED_VALUE"""),2026.0)</f>
        <v>2026</v>
      </c>
      <c r="D789" s="2">
        <f>IFERROR(__xludf.DUMMYFUNCTION("""COMPUTED_VALUE"""),46232.0)</f>
        <v>46232</v>
      </c>
      <c r="E789" s="2" t="str">
        <f>IFERROR(__xludf.DUMMYFUNCTION("""COMPUTED_VALUE"""),"VF")</f>
        <v>VF</v>
      </c>
      <c r="F789" s="2">
        <f>IFERROR(__xludf.DUMMYFUNCTION("""COMPUTED_VALUE"""),1.0)</f>
        <v>1</v>
      </c>
      <c r="G789" s="2" t="str">
        <f>IFERROR(__xludf.DUMMYFUNCTION("""COMPUTED_VALUE"""),"PR039")</f>
        <v>PR039</v>
      </c>
      <c r="H789" s="2" t="str">
        <f>IFERROR(__xludf.DUMMYFUNCTION("""COMPUTED_VALUE"""),"VD013")</f>
        <v>VD013</v>
      </c>
      <c r="I789" s="2">
        <f>IFERROR(__xludf.DUMMYFUNCTION("""COMPUTED_VALUE"""),9.0)</f>
        <v>9</v>
      </c>
      <c r="J789" s="2">
        <f>IFERROR(__xludf.DUMMYFUNCTION("""COMPUTED_VALUE"""),1379.7)</f>
        <v>1379.7</v>
      </c>
      <c r="K789" s="2">
        <f>IFERROR(__xludf.DUMMYFUNCTION("""COMPUTED_VALUE"""),1379.7)</f>
        <v>1379.7</v>
      </c>
    </row>
    <row r="790">
      <c r="A790" s="2">
        <f>IFERROR(__xludf.DUMMYFUNCTION("""COMPUTED_VALUE"""),1000.0)</f>
        <v>1000</v>
      </c>
      <c r="B790" s="2">
        <f>IFERROR(__xludf.DUMMYFUNCTION("""COMPUTED_VALUE"""),184022.0)</f>
        <v>184022</v>
      </c>
      <c r="C790" s="2">
        <f>IFERROR(__xludf.DUMMYFUNCTION("""COMPUTED_VALUE"""),2026.0)</f>
        <v>2026</v>
      </c>
      <c r="D790" s="2">
        <f>IFERROR(__xludf.DUMMYFUNCTION("""COMPUTED_VALUE"""),46232.0)</f>
        <v>46232</v>
      </c>
      <c r="E790" s="2" t="str">
        <f>IFERROR(__xludf.DUMMYFUNCTION("""COMPUTED_VALUE"""),"VF")</f>
        <v>VF</v>
      </c>
      <c r="F790" s="2">
        <f>IFERROR(__xludf.DUMMYFUNCTION("""COMPUTED_VALUE"""),1.0)</f>
        <v>1</v>
      </c>
      <c r="G790" s="2" t="str">
        <f>IFERROR(__xludf.DUMMYFUNCTION("""COMPUTED_VALUE"""),"PR021")</f>
        <v>PR021</v>
      </c>
      <c r="H790" s="2" t="str">
        <f>IFERROR(__xludf.DUMMYFUNCTION("""COMPUTED_VALUE"""),"VD027")</f>
        <v>VD027</v>
      </c>
      <c r="I790" s="2">
        <f>IFERROR(__xludf.DUMMYFUNCTION("""COMPUTED_VALUE"""),4.0)</f>
        <v>4</v>
      </c>
      <c r="J790" s="2">
        <f>IFERROR(__xludf.DUMMYFUNCTION("""COMPUTED_VALUE"""),1260.06)</f>
        <v>1260.06</v>
      </c>
      <c r="K790" s="2">
        <f>IFERROR(__xludf.DUMMYFUNCTION("""COMPUTED_VALUE"""),1260.06)</f>
        <v>1260.06</v>
      </c>
    </row>
    <row r="791">
      <c r="A791" s="2">
        <f>IFERROR(__xludf.DUMMYFUNCTION("""COMPUTED_VALUE"""),1000.0)</f>
        <v>1000</v>
      </c>
      <c r="B791" s="2">
        <f>IFERROR(__xludf.DUMMYFUNCTION("""COMPUTED_VALUE"""),184023.0)</f>
        <v>184023</v>
      </c>
      <c r="C791" s="2">
        <f>IFERROR(__xludf.DUMMYFUNCTION("""COMPUTED_VALUE"""),2026.0)</f>
        <v>2026</v>
      </c>
      <c r="D791" s="2">
        <f>IFERROR(__xludf.DUMMYFUNCTION("""COMPUTED_VALUE"""),46232.0)</f>
        <v>46232</v>
      </c>
      <c r="E791" s="2" t="str">
        <f>IFERROR(__xludf.DUMMYFUNCTION("""COMPUTED_VALUE"""),"VF")</f>
        <v>VF</v>
      </c>
      <c r="F791" s="2">
        <f>IFERROR(__xludf.DUMMYFUNCTION("""COMPUTED_VALUE"""),1.0)</f>
        <v>1</v>
      </c>
      <c r="G791" s="2" t="str">
        <f>IFERROR(__xludf.DUMMYFUNCTION("""COMPUTED_VALUE"""),"PR047")</f>
        <v>PR047</v>
      </c>
      <c r="H791" s="2" t="str">
        <f>IFERROR(__xludf.DUMMYFUNCTION("""COMPUTED_VALUE"""),"VD030")</f>
        <v>VD030</v>
      </c>
      <c r="I791" s="2">
        <f>IFERROR(__xludf.DUMMYFUNCTION("""COMPUTED_VALUE"""),10.0)</f>
        <v>10</v>
      </c>
      <c r="J791" s="2">
        <f>IFERROR(__xludf.DUMMYFUNCTION("""COMPUTED_VALUE"""),3043.95)</f>
        <v>3043.95</v>
      </c>
      <c r="K791" s="2">
        <f>IFERROR(__xludf.DUMMYFUNCTION("""COMPUTED_VALUE"""),3043.95)</f>
        <v>3043.95</v>
      </c>
    </row>
    <row r="792">
      <c r="A792" s="2">
        <f>IFERROR(__xludf.DUMMYFUNCTION("""COMPUTED_VALUE"""),1000.0)</f>
        <v>1000</v>
      </c>
      <c r="B792" s="2">
        <f>IFERROR(__xludf.DUMMYFUNCTION("""COMPUTED_VALUE"""),184024.0)</f>
        <v>184024</v>
      </c>
      <c r="C792" s="2">
        <f>IFERROR(__xludf.DUMMYFUNCTION("""COMPUTED_VALUE"""),2026.0)</f>
        <v>2026</v>
      </c>
      <c r="D792" s="2">
        <f>IFERROR(__xludf.DUMMYFUNCTION("""COMPUTED_VALUE"""),46231.0)</f>
        <v>46231</v>
      </c>
      <c r="E792" s="2" t="str">
        <f>IFERROR(__xludf.DUMMYFUNCTION("""COMPUTED_VALUE"""),"VF")</f>
        <v>VF</v>
      </c>
      <c r="F792" s="2">
        <f>IFERROR(__xludf.DUMMYFUNCTION("""COMPUTED_VALUE"""),1.0)</f>
        <v>1</v>
      </c>
      <c r="G792" s="2" t="str">
        <f>IFERROR(__xludf.DUMMYFUNCTION("""COMPUTED_VALUE"""),"PR056")</f>
        <v>PR056</v>
      </c>
      <c r="H792" s="2" t="str">
        <f>IFERROR(__xludf.DUMMYFUNCTION("""COMPUTED_VALUE"""),"VD015")</f>
        <v>VD015</v>
      </c>
      <c r="I792" s="2">
        <f>IFERROR(__xludf.DUMMYFUNCTION("""COMPUTED_VALUE"""),7.0)</f>
        <v>7</v>
      </c>
      <c r="J792" s="2">
        <f>IFERROR(__xludf.DUMMYFUNCTION("""COMPUTED_VALUE"""),635.59)</f>
        <v>635.59</v>
      </c>
      <c r="K792" s="2">
        <f>IFERROR(__xludf.DUMMYFUNCTION("""COMPUTED_VALUE"""),635.59)</f>
        <v>635.59</v>
      </c>
    </row>
    <row r="793">
      <c r="A793" s="2">
        <f>IFERROR(__xludf.DUMMYFUNCTION("""COMPUTED_VALUE"""),1000.0)</f>
        <v>1000</v>
      </c>
      <c r="B793" s="2">
        <f>IFERROR(__xludf.DUMMYFUNCTION("""COMPUTED_VALUE"""),184025.0)</f>
        <v>184025</v>
      </c>
      <c r="C793" s="2">
        <f>IFERROR(__xludf.DUMMYFUNCTION("""COMPUTED_VALUE"""),2026.0)</f>
        <v>2026</v>
      </c>
      <c r="D793" s="2">
        <f>IFERROR(__xludf.DUMMYFUNCTION("""COMPUTED_VALUE"""),46231.0)</f>
        <v>46231</v>
      </c>
      <c r="E793" s="2" t="str">
        <f>IFERROR(__xludf.DUMMYFUNCTION("""COMPUTED_VALUE"""),"VF")</f>
        <v>VF</v>
      </c>
      <c r="F793" s="2">
        <f>IFERROR(__xludf.DUMMYFUNCTION("""COMPUTED_VALUE"""),1.0)</f>
        <v>1</v>
      </c>
      <c r="G793" s="2" t="str">
        <f>IFERROR(__xludf.DUMMYFUNCTION("""COMPUTED_VALUE"""),"PR057")</f>
        <v>PR057</v>
      </c>
      <c r="H793" s="2" t="str">
        <f>IFERROR(__xludf.DUMMYFUNCTION("""COMPUTED_VALUE"""),"VD010")</f>
        <v>VD010</v>
      </c>
      <c r="I793" s="2">
        <f>IFERROR(__xludf.DUMMYFUNCTION("""COMPUTED_VALUE"""),4.0)</f>
        <v>4</v>
      </c>
      <c r="J793" s="2">
        <f>IFERROR(__xludf.DUMMYFUNCTION("""COMPUTED_VALUE"""),381.18)</f>
        <v>381.18</v>
      </c>
      <c r="K793" s="2">
        <f>IFERROR(__xludf.DUMMYFUNCTION("""COMPUTED_VALUE"""),381.18)</f>
        <v>381.18</v>
      </c>
    </row>
    <row r="794">
      <c r="A794" s="2">
        <f>IFERROR(__xludf.DUMMYFUNCTION("""COMPUTED_VALUE"""),1000.0)</f>
        <v>1000</v>
      </c>
      <c r="B794" s="2">
        <f>IFERROR(__xludf.DUMMYFUNCTION("""COMPUTED_VALUE"""),184026.0)</f>
        <v>184026</v>
      </c>
      <c r="C794" s="2">
        <f>IFERROR(__xludf.DUMMYFUNCTION("""COMPUTED_VALUE"""),2026.0)</f>
        <v>2026</v>
      </c>
      <c r="D794" s="2">
        <f>IFERROR(__xludf.DUMMYFUNCTION("""COMPUTED_VALUE"""),46231.0)</f>
        <v>46231</v>
      </c>
      <c r="E794" s="2" t="str">
        <f>IFERROR(__xludf.DUMMYFUNCTION("""COMPUTED_VALUE"""),"VF")</f>
        <v>VF</v>
      </c>
      <c r="F794" s="2">
        <f>IFERROR(__xludf.DUMMYFUNCTION("""COMPUTED_VALUE"""),1.0)</f>
        <v>1</v>
      </c>
      <c r="G794" s="2" t="str">
        <f>IFERROR(__xludf.DUMMYFUNCTION("""COMPUTED_VALUE"""),"PR023")</f>
        <v>PR023</v>
      </c>
      <c r="H794" s="2" t="str">
        <f>IFERROR(__xludf.DUMMYFUNCTION("""COMPUTED_VALUE"""),"VD021")</f>
        <v>VD021</v>
      </c>
      <c r="I794" s="2">
        <f>IFERROR(__xludf.DUMMYFUNCTION("""COMPUTED_VALUE"""),6.0)</f>
        <v>6</v>
      </c>
      <c r="J794" s="2">
        <f>IFERROR(__xludf.DUMMYFUNCTION("""COMPUTED_VALUE"""),1604.36)</f>
        <v>1604.36</v>
      </c>
      <c r="K794" s="2">
        <f>IFERROR(__xludf.DUMMYFUNCTION("""COMPUTED_VALUE"""),1604.36)</f>
        <v>1604.36</v>
      </c>
    </row>
    <row r="795">
      <c r="A795" s="2">
        <f>IFERROR(__xludf.DUMMYFUNCTION("""COMPUTED_VALUE"""),1000.0)</f>
        <v>1000</v>
      </c>
      <c r="B795" s="2">
        <f>IFERROR(__xludf.DUMMYFUNCTION("""COMPUTED_VALUE"""),184027.0)</f>
        <v>184027</v>
      </c>
      <c r="C795" s="2">
        <f>IFERROR(__xludf.DUMMYFUNCTION("""COMPUTED_VALUE"""),2026.0)</f>
        <v>2026</v>
      </c>
      <c r="D795" s="2">
        <f>IFERROR(__xludf.DUMMYFUNCTION("""COMPUTED_VALUE"""),46230.0)</f>
        <v>46230</v>
      </c>
      <c r="E795" s="2" t="str">
        <f>IFERROR(__xludf.DUMMYFUNCTION("""COMPUTED_VALUE"""),"VF")</f>
        <v>VF</v>
      </c>
      <c r="F795" s="2">
        <f>IFERROR(__xludf.DUMMYFUNCTION("""COMPUTED_VALUE"""),1.0)</f>
        <v>1</v>
      </c>
      <c r="G795" s="2" t="str">
        <f>IFERROR(__xludf.DUMMYFUNCTION("""COMPUTED_VALUE"""),"PR001")</f>
        <v>PR001</v>
      </c>
      <c r="H795" s="2" t="str">
        <f>IFERROR(__xludf.DUMMYFUNCTION("""COMPUTED_VALUE"""),"VD036")</f>
        <v>VD036</v>
      </c>
      <c r="I795" s="2">
        <f>IFERROR(__xludf.DUMMYFUNCTION("""COMPUTED_VALUE"""),8.0)</f>
        <v>8</v>
      </c>
      <c r="J795" s="2">
        <f>IFERROR(__xludf.DUMMYFUNCTION("""COMPUTED_VALUE"""),574.65)</f>
        <v>574.65</v>
      </c>
      <c r="K795" s="2">
        <f>IFERROR(__xludf.DUMMYFUNCTION("""COMPUTED_VALUE"""),574.65)</f>
        <v>574.65</v>
      </c>
    </row>
    <row r="796">
      <c r="A796" s="2">
        <f>IFERROR(__xludf.DUMMYFUNCTION("""COMPUTED_VALUE"""),1000.0)</f>
        <v>1000</v>
      </c>
      <c r="B796" s="2">
        <f>IFERROR(__xludf.DUMMYFUNCTION("""COMPUTED_VALUE"""),184028.0)</f>
        <v>184028</v>
      </c>
      <c r="C796" s="2">
        <f>IFERROR(__xludf.DUMMYFUNCTION("""COMPUTED_VALUE"""),2026.0)</f>
        <v>2026</v>
      </c>
      <c r="D796" s="2">
        <f>IFERROR(__xludf.DUMMYFUNCTION("""COMPUTED_VALUE"""),46230.0)</f>
        <v>46230</v>
      </c>
      <c r="E796" s="2" t="str">
        <f>IFERROR(__xludf.DUMMYFUNCTION("""COMPUTED_VALUE"""),"VF")</f>
        <v>VF</v>
      </c>
      <c r="F796" s="2">
        <f>IFERROR(__xludf.DUMMYFUNCTION("""COMPUTED_VALUE"""),1.0)</f>
        <v>1</v>
      </c>
      <c r="G796" s="2" t="str">
        <f>IFERROR(__xludf.DUMMYFUNCTION("""COMPUTED_VALUE"""),"PR043")</f>
        <v>PR043</v>
      </c>
      <c r="H796" s="2" t="str">
        <f>IFERROR(__xludf.DUMMYFUNCTION("""COMPUTED_VALUE"""),"VD040")</f>
        <v>VD040</v>
      </c>
      <c r="I796" s="2">
        <f>IFERROR(__xludf.DUMMYFUNCTION("""COMPUTED_VALUE"""),2.0)</f>
        <v>2</v>
      </c>
      <c r="J796" s="2">
        <f>IFERROR(__xludf.DUMMYFUNCTION("""COMPUTED_VALUE"""),155.15)</f>
        <v>155.15</v>
      </c>
      <c r="K796" s="2">
        <f>IFERROR(__xludf.DUMMYFUNCTION("""COMPUTED_VALUE"""),155.15)</f>
        <v>155.15</v>
      </c>
    </row>
    <row r="797">
      <c r="A797" s="2">
        <f>IFERROR(__xludf.DUMMYFUNCTION("""COMPUTED_VALUE"""),1000.0)</f>
        <v>1000</v>
      </c>
      <c r="B797" s="2">
        <f>IFERROR(__xludf.DUMMYFUNCTION("""COMPUTED_VALUE"""),184029.0)</f>
        <v>184029</v>
      </c>
      <c r="C797" s="2">
        <f>IFERROR(__xludf.DUMMYFUNCTION("""COMPUTED_VALUE"""),2026.0)</f>
        <v>2026</v>
      </c>
      <c r="D797" s="2">
        <f>IFERROR(__xludf.DUMMYFUNCTION("""COMPUTED_VALUE"""),46230.0)</f>
        <v>46230</v>
      </c>
      <c r="E797" s="2" t="str">
        <f>IFERROR(__xludf.DUMMYFUNCTION("""COMPUTED_VALUE"""),"VF")</f>
        <v>VF</v>
      </c>
      <c r="F797" s="2">
        <f>IFERROR(__xludf.DUMMYFUNCTION("""COMPUTED_VALUE"""),1.0)</f>
        <v>1</v>
      </c>
      <c r="G797" s="2" t="str">
        <f>IFERROR(__xludf.DUMMYFUNCTION("""COMPUTED_VALUE"""),"PR058")</f>
        <v>PR058</v>
      </c>
      <c r="H797" s="2" t="str">
        <f>IFERROR(__xludf.DUMMYFUNCTION("""COMPUTED_VALUE"""),"VD030")</f>
        <v>VD030</v>
      </c>
      <c r="I797" s="2">
        <f>IFERROR(__xludf.DUMMYFUNCTION("""COMPUTED_VALUE"""),4.0)</f>
        <v>4</v>
      </c>
      <c r="J797" s="2">
        <f>IFERROR(__xludf.DUMMYFUNCTION("""COMPUTED_VALUE"""),720.0)</f>
        <v>720</v>
      </c>
      <c r="K797" s="2">
        <f>IFERROR(__xludf.DUMMYFUNCTION("""COMPUTED_VALUE"""),720.0)</f>
        <v>720</v>
      </c>
    </row>
    <row r="798">
      <c r="A798" s="2">
        <f>IFERROR(__xludf.DUMMYFUNCTION("""COMPUTED_VALUE"""),1000.0)</f>
        <v>1000</v>
      </c>
      <c r="B798" s="2">
        <f>IFERROR(__xludf.DUMMYFUNCTION("""COMPUTED_VALUE"""),184030.0)</f>
        <v>184030</v>
      </c>
      <c r="C798" s="2">
        <f>IFERROR(__xludf.DUMMYFUNCTION("""COMPUTED_VALUE"""),2026.0)</f>
        <v>2026</v>
      </c>
      <c r="D798" s="2">
        <f>IFERROR(__xludf.DUMMYFUNCTION("""COMPUTED_VALUE"""),46229.0)</f>
        <v>46229</v>
      </c>
      <c r="E798" s="2" t="str">
        <f>IFERROR(__xludf.DUMMYFUNCTION("""COMPUTED_VALUE"""),"VF")</f>
        <v>VF</v>
      </c>
      <c r="F798" s="2">
        <f>IFERROR(__xludf.DUMMYFUNCTION("""COMPUTED_VALUE"""),1.0)</f>
        <v>1</v>
      </c>
      <c r="G798" s="2" t="str">
        <f>IFERROR(__xludf.DUMMYFUNCTION("""COMPUTED_VALUE"""),"PR023")</f>
        <v>PR023</v>
      </c>
      <c r="H798" s="2" t="str">
        <f>IFERROR(__xludf.DUMMYFUNCTION("""COMPUTED_VALUE"""),"VD039")</f>
        <v>VD039</v>
      </c>
      <c r="I798" s="2">
        <f>IFERROR(__xludf.DUMMYFUNCTION("""COMPUTED_VALUE"""),9.0)</f>
        <v>9</v>
      </c>
      <c r="J798" s="2">
        <f>IFERROR(__xludf.DUMMYFUNCTION("""COMPUTED_VALUE"""),2474.01)</f>
        <v>2474.01</v>
      </c>
      <c r="K798" s="2">
        <f>IFERROR(__xludf.DUMMYFUNCTION("""COMPUTED_VALUE"""),2474.01)</f>
        <v>2474.01</v>
      </c>
    </row>
    <row r="799">
      <c r="A799" s="2">
        <f>IFERROR(__xludf.DUMMYFUNCTION("""COMPUTED_VALUE"""),1000.0)</f>
        <v>1000</v>
      </c>
      <c r="B799" s="2">
        <f>IFERROR(__xludf.DUMMYFUNCTION("""COMPUTED_VALUE"""),184031.0)</f>
        <v>184031</v>
      </c>
      <c r="C799" s="2">
        <f>IFERROR(__xludf.DUMMYFUNCTION("""COMPUTED_VALUE"""),2026.0)</f>
        <v>2026</v>
      </c>
      <c r="D799" s="2">
        <f>IFERROR(__xludf.DUMMYFUNCTION("""COMPUTED_VALUE"""),46229.0)</f>
        <v>46229</v>
      </c>
      <c r="E799" s="2" t="str">
        <f>IFERROR(__xludf.DUMMYFUNCTION("""COMPUTED_VALUE"""),"VF")</f>
        <v>VF</v>
      </c>
      <c r="F799" s="2">
        <f>IFERROR(__xludf.DUMMYFUNCTION("""COMPUTED_VALUE"""),1.0)</f>
        <v>1</v>
      </c>
      <c r="G799" s="2" t="str">
        <f>IFERROR(__xludf.DUMMYFUNCTION("""COMPUTED_VALUE"""),"PR012")</f>
        <v>PR012</v>
      </c>
      <c r="H799" s="2" t="str">
        <f>IFERROR(__xludf.DUMMYFUNCTION("""COMPUTED_VALUE"""),"VD032")</f>
        <v>VD032</v>
      </c>
      <c r="I799" s="2">
        <f>IFERROR(__xludf.DUMMYFUNCTION("""COMPUTED_VALUE"""),12.0)</f>
        <v>12</v>
      </c>
      <c r="J799" s="2">
        <f>IFERROR(__xludf.DUMMYFUNCTION("""COMPUTED_VALUE"""),610.27)</f>
        <v>610.27</v>
      </c>
      <c r="K799" s="2">
        <f>IFERROR(__xludf.DUMMYFUNCTION("""COMPUTED_VALUE"""),610.27)</f>
        <v>610.27</v>
      </c>
    </row>
    <row r="800">
      <c r="A800" s="2">
        <f>IFERROR(__xludf.DUMMYFUNCTION("""COMPUTED_VALUE"""),1000.0)</f>
        <v>1000</v>
      </c>
      <c r="B800" s="2">
        <f>IFERROR(__xludf.DUMMYFUNCTION("""COMPUTED_VALUE"""),184032.0)</f>
        <v>184032</v>
      </c>
      <c r="C800" s="2">
        <f>IFERROR(__xludf.DUMMYFUNCTION("""COMPUTED_VALUE"""),2026.0)</f>
        <v>2026</v>
      </c>
      <c r="D800" s="2">
        <f>IFERROR(__xludf.DUMMYFUNCTION("""COMPUTED_VALUE"""),46229.0)</f>
        <v>46229</v>
      </c>
      <c r="E800" s="2" t="str">
        <f>IFERROR(__xludf.DUMMYFUNCTION("""COMPUTED_VALUE"""),"VF")</f>
        <v>VF</v>
      </c>
      <c r="F800" s="2">
        <f>IFERROR(__xludf.DUMMYFUNCTION("""COMPUTED_VALUE"""),1.0)</f>
        <v>1</v>
      </c>
      <c r="G800" s="2" t="str">
        <f>IFERROR(__xludf.DUMMYFUNCTION("""COMPUTED_VALUE"""),"PR026")</f>
        <v>PR026</v>
      </c>
      <c r="H800" s="2" t="str">
        <f>IFERROR(__xludf.DUMMYFUNCTION("""COMPUTED_VALUE"""),"VD043")</f>
        <v>VD043</v>
      </c>
      <c r="I800" s="2">
        <f>IFERROR(__xludf.DUMMYFUNCTION("""COMPUTED_VALUE"""),2.0)</f>
        <v>2</v>
      </c>
      <c r="J800" s="2">
        <f>IFERROR(__xludf.DUMMYFUNCTION("""COMPUTED_VALUE"""),769.78)</f>
        <v>769.78</v>
      </c>
      <c r="K800" s="2">
        <f>IFERROR(__xludf.DUMMYFUNCTION("""COMPUTED_VALUE"""),769.78)</f>
        <v>769.78</v>
      </c>
    </row>
    <row r="801">
      <c r="A801" s="2">
        <f>IFERROR(__xludf.DUMMYFUNCTION("""COMPUTED_VALUE"""),1000.0)</f>
        <v>1000</v>
      </c>
      <c r="B801" s="2">
        <f>IFERROR(__xludf.DUMMYFUNCTION("""COMPUTED_VALUE"""),184033.0)</f>
        <v>184033</v>
      </c>
      <c r="C801" s="2">
        <f>IFERROR(__xludf.DUMMYFUNCTION("""COMPUTED_VALUE"""),2026.0)</f>
        <v>2026</v>
      </c>
      <c r="D801" s="2">
        <f>IFERROR(__xludf.DUMMYFUNCTION("""COMPUTED_VALUE"""),46229.0)</f>
        <v>46229</v>
      </c>
      <c r="E801" s="2" t="str">
        <f>IFERROR(__xludf.DUMMYFUNCTION("""COMPUTED_VALUE"""),"VF")</f>
        <v>VF</v>
      </c>
      <c r="F801" s="2">
        <f>IFERROR(__xludf.DUMMYFUNCTION("""COMPUTED_VALUE"""),1.0)</f>
        <v>1</v>
      </c>
      <c r="G801" s="2" t="str">
        <f>IFERROR(__xludf.DUMMYFUNCTION("""COMPUTED_VALUE"""),"PR002")</f>
        <v>PR002</v>
      </c>
      <c r="H801" s="2" t="str">
        <f>IFERROR(__xludf.DUMMYFUNCTION("""COMPUTED_VALUE"""),"VD036")</f>
        <v>VD036</v>
      </c>
      <c r="I801" s="2">
        <f>IFERROR(__xludf.DUMMYFUNCTION("""COMPUTED_VALUE"""),8.0)</f>
        <v>8</v>
      </c>
      <c r="J801" s="2">
        <f>IFERROR(__xludf.DUMMYFUNCTION("""COMPUTED_VALUE"""),587.16)</f>
        <v>587.16</v>
      </c>
      <c r="K801" s="2">
        <f>IFERROR(__xludf.DUMMYFUNCTION("""COMPUTED_VALUE"""),587.16)</f>
        <v>587.16</v>
      </c>
    </row>
    <row r="802">
      <c r="A802" s="2">
        <f>IFERROR(__xludf.DUMMYFUNCTION("""COMPUTED_VALUE"""),1000.0)</f>
        <v>1000</v>
      </c>
      <c r="B802" s="2">
        <f>IFERROR(__xludf.DUMMYFUNCTION("""COMPUTED_VALUE"""),184034.0)</f>
        <v>184034</v>
      </c>
      <c r="C802" s="2">
        <f>IFERROR(__xludf.DUMMYFUNCTION("""COMPUTED_VALUE"""),2026.0)</f>
        <v>2026</v>
      </c>
      <c r="D802" s="2">
        <f>IFERROR(__xludf.DUMMYFUNCTION("""COMPUTED_VALUE"""),46228.0)</f>
        <v>46228</v>
      </c>
      <c r="E802" s="2" t="str">
        <f>IFERROR(__xludf.DUMMYFUNCTION("""COMPUTED_VALUE"""),"VF")</f>
        <v>VF</v>
      </c>
      <c r="F802" s="2">
        <f>IFERROR(__xludf.DUMMYFUNCTION("""COMPUTED_VALUE"""),1.0)</f>
        <v>1</v>
      </c>
      <c r="G802" s="2" t="str">
        <f>IFERROR(__xludf.DUMMYFUNCTION("""COMPUTED_VALUE"""),"PR028")</f>
        <v>PR028</v>
      </c>
      <c r="H802" s="2" t="str">
        <f>IFERROR(__xludf.DUMMYFUNCTION("""COMPUTED_VALUE"""),"VD043")</f>
        <v>VD043</v>
      </c>
      <c r="I802" s="2">
        <f>IFERROR(__xludf.DUMMYFUNCTION("""COMPUTED_VALUE"""),4.0)</f>
        <v>4</v>
      </c>
      <c r="J802" s="2">
        <f>IFERROR(__xludf.DUMMYFUNCTION("""COMPUTED_VALUE"""),1049.58)</f>
        <v>1049.58</v>
      </c>
      <c r="K802" s="2">
        <f>IFERROR(__xludf.DUMMYFUNCTION("""COMPUTED_VALUE"""),1049.58)</f>
        <v>1049.58</v>
      </c>
    </row>
    <row r="803">
      <c r="A803" s="2">
        <f>IFERROR(__xludf.DUMMYFUNCTION("""COMPUTED_VALUE"""),1000.0)</f>
        <v>1000</v>
      </c>
      <c r="B803" s="2">
        <f>IFERROR(__xludf.DUMMYFUNCTION("""COMPUTED_VALUE"""),184034.0)</f>
        <v>184034</v>
      </c>
      <c r="C803" s="2">
        <f>IFERROR(__xludf.DUMMYFUNCTION("""COMPUTED_VALUE"""),2026.0)</f>
        <v>2026</v>
      </c>
      <c r="D803" s="2">
        <f>IFERROR(__xludf.DUMMYFUNCTION("""COMPUTED_VALUE"""),46228.0)</f>
        <v>46228</v>
      </c>
      <c r="E803" s="2" t="str">
        <f>IFERROR(__xludf.DUMMYFUNCTION("""COMPUTED_VALUE"""),"VF")</f>
        <v>VF</v>
      </c>
      <c r="F803" s="2">
        <f>IFERROR(__xludf.DUMMYFUNCTION("""COMPUTED_VALUE"""),2.0)</f>
        <v>2</v>
      </c>
      <c r="G803" s="2" t="str">
        <f>IFERROR(__xludf.DUMMYFUNCTION("""COMPUTED_VALUE"""),"PR044")</f>
        <v>PR044</v>
      </c>
      <c r="H803" s="2" t="str">
        <f>IFERROR(__xludf.DUMMYFUNCTION("""COMPUTED_VALUE"""),"VD021")</f>
        <v>VD021</v>
      </c>
      <c r="I803" s="2">
        <f>IFERROR(__xludf.DUMMYFUNCTION("""COMPUTED_VALUE"""),6.0)</f>
        <v>6</v>
      </c>
      <c r="J803" s="2">
        <f>IFERROR(__xludf.DUMMYFUNCTION("""COMPUTED_VALUE"""),439.35)</f>
        <v>439.35</v>
      </c>
      <c r="K803" s="2">
        <f>IFERROR(__xludf.DUMMYFUNCTION("""COMPUTED_VALUE"""),439.35)</f>
        <v>439.35</v>
      </c>
    </row>
    <row r="804">
      <c r="A804" s="2">
        <f>IFERROR(__xludf.DUMMYFUNCTION("""COMPUTED_VALUE"""),1000.0)</f>
        <v>1000</v>
      </c>
      <c r="B804" s="2">
        <f>IFERROR(__xludf.DUMMYFUNCTION("""COMPUTED_VALUE"""),184034.0)</f>
        <v>184034</v>
      </c>
      <c r="C804" s="2">
        <f>IFERROR(__xludf.DUMMYFUNCTION("""COMPUTED_VALUE"""),2026.0)</f>
        <v>2026</v>
      </c>
      <c r="D804" s="2">
        <f>IFERROR(__xludf.DUMMYFUNCTION("""COMPUTED_VALUE"""),46227.0)</f>
        <v>46227</v>
      </c>
      <c r="E804" s="2" t="str">
        <f>IFERROR(__xludf.DUMMYFUNCTION("""COMPUTED_VALUE"""),"VF")</f>
        <v>VF</v>
      </c>
      <c r="F804" s="2">
        <f>IFERROR(__xludf.DUMMYFUNCTION("""COMPUTED_VALUE"""),3.0)</f>
        <v>3</v>
      </c>
      <c r="G804" s="2" t="str">
        <f>IFERROR(__xludf.DUMMYFUNCTION("""COMPUTED_VALUE"""),"PR017")</f>
        <v>PR017</v>
      </c>
      <c r="H804" s="2" t="str">
        <f>IFERROR(__xludf.DUMMYFUNCTION("""COMPUTED_VALUE"""),"VD026")</f>
        <v>VD026</v>
      </c>
      <c r="I804" s="2">
        <f>IFERROR(__xludf.DUMMYFUNCTION("""COMPUTED_VALUE"""),2.0)</f>
        <v>2</v>
      </c>
      <c r="J804" s="2">
        <f>IFERROR(__xludf.DUMMYFUNCTION("""COMPUTED_VALUE"""),65.18)</f>
        <v>65.18</v>
      </c>
      <c r="K804" s="2">
        <f>IFERROR(__xludf.DUMMYFUNCTION("""COMPUTED_VALUE"""),65.18)</f>
        <v>65.18</v>
      </c>
    </row>
    <row r="805">
      <c r="A805" s="2">
        <f>IFERROR(__xludf.DUMMYFUNCTION("""COMPUTED_VALUE"""),1000.0)</f>
        <v>1000</v>
      </c>
      <c r="B805" s="2">
        <f>IFERROR(__xludf.DUMMYFUNCTION("""COMPUTED_VALUE"""),184035.0)</f>
        <v>184035</v>
      </c>
      <c r="C805" s="2">
        <f>IFERROR(__xludf.DUMMYFUNCTION("""COMPUTED_VALUE"""),2026.0)</f>
        <v>2026</v>
      </c>
      <c r="D805" s="2">
        <f>IFERROR(__xludf.DUMMYFUNCTION("""COMPUTED_VALUE"""),46227.0)</f>
        <v>46227</v>
      </c>
      <c r="E805" s="2" t="str">
        <f>IFERROR(__xludf.DUMMYFUNCTION("""COMPUTED_VALUE"""),"VF")</f>
        <v>VF</v>
      </c>
      <c r="F805" s="2">
        <f>IFERROR(__xludf.DUMMYFUNCTION("""COMPUTED_VALUE"""),1.0)</f>
        <v>1</v>
      </c>
      <c r="G805" s="2" t="str">
        <f>IFERROR(__xludf.DUMMYFUNCTION("""COMPUTED_VALUE"""),"PR008")</f>
        <v>PR008</v>
      </c>
      <c r="H805" s="2" t="str">
        <f>IFERROR(__xludf.DUMMYFUNCTION("""COMPUTED_VALUE"""),"VD027")</f>
        <v>VD027</v>
      </c>
      <c r="I805" s="2">
        <f>IFERROR(__xludf.DUMMYFUNCTION("""COMPUTED_VALUE"""),6.0)</f>
        <v>6</v>
      </c>
      <c r="J805" s="2">
        <f>IFERROR(__xludf.DUMMYFUNCTION("""COMPUTED_VALUE"""),593.34)</f>
        <v>593.34</v>
      </c>
      <c r="K805" s="2">
        <f>IFERROR(__xludf.DUMMYFUNCTION("""COMPUTED_VALUE"""),593.34)</f>
        <v>593.34</v>
      </c>
    </row>
    <row r="806">
      <c r="A806" s="2">
        <f>IFERROR(__xludf.DUMMYFUNCTION("""COMPUTED_VALUE"""),1000.0)</f>
        <v>1000</v>
      </c>
      <c r="B806" s="2">
        <f>IFERROR(__xludf.DUMMYFUNCTION("""COMPUTED_VALUE"""),184036.0)</f>
        <v>184036</v>
      </c>
      <c r="C806" s="2">
        <f>IFERROR(__xludf.DUMMYFUNCTION("""COMPUTED_VALUE"""),2026.0)</f>
        <v>2026</v>
      </c>
      <c r="D806" s="2">
        <f>IFERROR(__xludf.DUMMYFUNCTION("""COMPUTED_VALUE"""),46227.0)</f>
        <v>46227</v>
      </c>
      <c r="E806" s="2" t="str">
        <f>IFERROR(__xludf.DUMMYFUNCTION("""COMPUTED_VALUE"""),"VF")</f>
        <v>VF</v>
      </c>
      <c r="F806" s="2">
        <f>IFERROR(__xludf.DUMMYFUNCTION("""COMPUTED_VALUE"""),1.0)</f>
        <v>1</v>
      </c>
      <c r="G806" s="2" t="str">
        <f>IFERROR(__xludf.DUMMYFUNCTION("""COMPUTED_VALUE"""),"PR041")</f>
        <v>PR041</v>
      </c>
      <c r="H806" s="2" t="str">
        <f>IFERROR(__xludf.DUMMYFUNCTION("""COMPUTED_VALUE"""),"VD018")</f>
        <v>VD018</v>
      </c>
      <c r="I806" s="2">
        <f>IFERROR(__xludf.DUMMYFUNCTION("""COMPUTED_VALUE"""),3.0)</f>
        <v>3</v>
      </c>
      <c r="J806" s="2">
        <f>IFERROR(__xludf.DUMMYFUNCTION("""COMPUTED_VALUE"""),176.23)</f>
        <v>176.23</v>
      </c>
      <c r="K806" s="2">
        <f>IFERROR(__xludf.DUMMYFUNCTION("""COMPUTED_VALUE"""),176.23)</f>
        <v>176.23</v>
      </c>
    </row>
    <row r="807">
      <c r="A807" s="2">
        <f>IFERROR(__xludf.DUMMYFUNCTION("""COMPUTED_VALUE"""),1000.0)</f>
        <v>1000</v>
      </c>
      <c r="B807" s="2">
        <f>IFERROR(__xludf.DUMMYFUNCTION("""COMPUTED_VALUE"""),184036.0)</f>
        <v>184036</v>
      </c>
      <c r="C807" s="2">
        <f>IFERROR(__xludf.DUMMYFUNCTION("""COMPUTED_VALUE"""),2026.0)</f>
        <v>2026</v>
      </c>
      <c r="D807" s="2">
        <f>IFERROR(__xludf.DUMMYFUNCTION("""COMPUTED_VALUE"""),46227.0)</f>
        <v>46227</v>
      </c>
      <c r="E807" s="2" t="str">
        <f>IFERROR(__xludf.DUMMYFUNCTION("""COMPUTED_VALUE"""),"VF")</f>
        <v>VF</v>
      </c>
      <c r="F807" s="2">
        <f>IFERROR(__xludf.DUMMYFUNCTION("""COMPUTED_VALUE"""),2.0)</f>
        <v>2</v>
      </c>
      <c r="G807" s="2" t="str">
        <f>IFERROR(__xludf.DUMMYFUNCTION("""COMPUTED_VALUE"""),"PR012")</f>
        <v>PR012</v>
      </c>
      <c r="H807" s="2" t="str">
        <f>IFERROR(__xludf.DUMMYFUNCTION("""COMPUTED_VALUE"""),"VD013")</f>
        <v>VD013</v>
      </c>
      <c r="I807" s="2">
        <f>IFERROR(__xludf.DUMMYFUNCTION("""COMPUTED_VALUE"""),8.0)</f>
        <v>8</v>
      </c>
      <c r="J807" s="2">
        <f>IFERROR(__xludf.DUMMYFUNCTION("""COMPUTED_VALUE"""),402.94)</f>
        <v>402.94</v>
      </c>
      <c r="K807" s="2">
        <f>IFERROR(__xludf.DUMMYFUNCTION("""COMPUTED_VALUE"""),402.94)</f>
        <v>402.94</v>
      </c>
    </row>
    <row r="808">
      <c r="A808" s="2">
        <f>IFERROR(__xludf.DUMMYFUNCTION("""COMPUTED_VALUE"""),1000.0)</f>
        <v>1000</v>
      </c>
      <c r="B808" s="2">
        <f>IFERROR(__xludf.DUMMYFUNCTION("""COMPUTED_VALUE"""),184037.0)</f>
        <v>184037</v>
      </c>
      <c r="C808" s="2">
        <f>IFERROR(__xludf.DUMMYFUNCTION("""COMPUTED_VALUE"""),2026.0)</f>
        <v>2026</v>
      </c>
      <c r="D808" s="2">
        <f>IFERROR(__xludf.DUMMYFUNCTION("""COMPUTED_VALUE"""),46227.0)</f>
        <v>46227</v>
      </c>
      <c r="E808" s="2" t="str">
        <f>IFERROR(__xludf.DUMMYFUNCTION("""COMPUTED_VALUE"""),"VF")</f>
        <v>VF</v>
      </c>
      <c r="F808" s="2">
        <f>IFERROR(__xludf.DUMMYFUNCTION("""COMPUTED_VALUE"""),1.0)</f>
        <v>1</v>
      </c>
      <c r="G808" s="2" t="str">
        <f>IFERROR(__xludf.DUMMYFUNCTION("""COMPUTED_VALUE"""),"PR039")</f>
        <v>PR039</v>
      </c>
      <c r="H808" s="2" t="str">
        <f>IFERROR(__xludf.DUMMYFUNCTION("""COMPUTED_VALUE"""),"VD027")</f>
        <v>VD027</v>
      </c>
      <c r="I808" s="2">
        <f>IFERROR(__xludf.DUMMYFUNCTION("""COMPUTED_VALUE"""),2.0)</f>
        <v>2</v>
      </c>
      <c r="J808" s="2">
        <f>IFERROR(__xludf.DUMMYFUNCTION("""COMPUTED_VALUE"""),312.44)</f>
        <v>312.44</v>
      </c>
      <c r="K808" s="2">
        <f>IFERROR(__xludf.DUMMYFUNCTION("""COMPUTED_VALUE"""),312.44)</f>
        <v>312.44</v>
      </c>
    </row>
    <row r="809">
      <c r="A809" s="2">
        <f>IFERROR(__xludf.DUMMYFUNCTION("""COMPUTED_VALUE"""),1000.0)</f>
        <v>1000</v>
      </c>
      <c r="B809" s="2">
        <f>IFERROR(__xludf.DUMMYFUNCTION("""COMPUTED_VALUE"""),184037.0)</f>
        <v>184037</v>
      </c>
      <c r="C809" s="2">
        <f>IFERROR(__xludf.DUMMYFUNCTION("""COMPUTED_VALUE"""),2026.0)</f>
        <v>2026</v>
      </c>
      <c r="D809" s="2">
        <f>IFERROR(__xludf.DUMMYFUNCTION("""COMPUTED_VALUE"""),46227.0)</f>
        <v>46227</v>
      </c>
      <c r="E809" s="2" t="str">
        <f>IFERROR(__xludf.DUMMYFUNCTION("""COMPUTED_VALUE"""),"VF")</f>
        <v>VF</v>
      </c>
      <c r="F809" s="2">
        <f>IFERROR(__xludf.DUMMYFUNCTION("""COMPUTED_VALUE"""),2.0)</f>
        <v>2</v>
      </c>
      <c r="G809" s="2" t="str">
        <f>IFERROR(__xludf.DUMMYFUNCTION("""COMPUTED_VALUE"""),"PR054")</f>
        <v>PR054</v>
      </c>
      <c r="H809" s="2" t="str">
        <f>IFERROR(__xludf.DUMMYFUNCTION("""COMPUTED_VALUE"""),"VD036")</f>
        <v>VD036</v>
      </c>
      <c r="I809" s="2">
        <f>IFERROR(__xludf.DUMMYFUNCTION("""COMPUTED_VALUE"""),4.0)</f>
        <v>4</v>
      </c>
      <c r="J809" s="2">
        <f>IFERROR(__xludf.DUMMYFUNCTION("""COMPUTED_VALUE"""),205.59)</f>
        <v>205.59</v>
      </c>
      <c r="K809" s="2">
        <f>IFERROR(__xludf.DUMMYFUNCTION("""COMPUTED_VALUE"""),205.59)</f>
        <v>205.59</v>
      </c>
    </row>
    <row r="810">
      <c r="A810" s="2">
        <f>IFERROR(__xludf.DUMMYFUNCTION("""COMPUTED_VALUE"""),1000.0)</f>
        <v>1000</v>
      </c>
      <c r="B810" s="2">
        <f>IFERROR(__xludf.DUMMYFUNCTION("""COMPUTED_VALUE"""),184038.0)</f>
        <v>184038</v>
      </c>
      <c r="C810" s="2">
        <f>IFERROR(__xludf.DUMMYFUNCTION("""COMPUTED_VALUE"""),2026.0)</f>
        <v>2026</v>
      </c>
      <c r="D810" s="2">
        <f>IFERROR(__xludf.DUMMYFUNCTION("""COMPUTED_VALUE"""),46227.0)</f>
        <v>46227</v>
      </c>
      <c r="E810" s="2" t="str">
        <f>IFERROR(__xludf.DUMMYFUNCTION("""COMPUTED_VALUE"""),"VF")</f>
        <v>VF</v>
      </c>
      <c r="F810" s="2">
        <f>IFERROR(__xludf.DUMMYFUNCTION("""COMPUTED_VALUE"""),1.0)</f>
        <v>1</v>
      </c>
      <c r="G810" s="2" t="str">
        <f>IFERROR(__xludf.DUMMYFUNCTION("""COMPUTED_VALUE"""),"PR057")</f>
        <v>PR057</v>
      </c>
      <c r="H810" s="2" t="str">
        <f>IFERROR(__xludf.DUMMYFUNCTION("""COMPUTED_VALUE"""),"VD021")</f>
        <v>VD021</v>
      </c>
      <c r="I810" s="2">
        <f>IFERROR(__xludf.DUMMYFUNCTION("""COMPUTED_VALUE"""),6.0)</f>
        <v>6</v>
      </c>
      <c r="J810" s="2">
        <f>IFERROR(__xludf.DUMMYFUNCTION("""COMPUTED_VALUE"""),539.4)</f>
        <v>539.4</v>
      </c>
      <c r="K810" s="2">
        <f>IFERROR(__xludf.DUMMYFUNCTION("""COMPUTED_VALUE"""),539.4)</f>
        <v>539.4</v>
      </c>
    </row>
    <row r="811">
      <c r="A811" s="2">
        <f>IFERROR(__xludf.DUMMYFUNCTION("""COMPUTED_VALUE"""),1000.0)</f>
        <v>1000</v>
      </c>
      <c r="B811" s="2">
        <f>IFERROR(__xludf.DUMMYFUNCTION("""COMPUTED_VALUE"""),184038.0)</f>
        <v>184038</v>
      </c>
      <c r="C811" s="2">
        <f>IFERROR(__xludf.DUMMYFUNCTION("""COMPUTED_VALUE"""),2026.0)</f>
        <v>2026</v>
      </c>
      <c r="D811" s="2">
        <f>IFERROR(__xludf.DUMMYFUNCTION("""COMPUTED_VALUE"""),46227.0)</f>
        <v>46227</v>
      </c>
      <c r="E811" s="2" t="str">
        <f>IFERROR(__xludf.DUMMYFUNCTION("""COMPUTED_VALUE"""),"VF")</f>
        <v>VF</v>
      </c>
      <c r="F811" s="2">
        <f>IFERROR(__xludf.DUMMYFUNCTION("""COMPUTED_VALUE"""),2.0)</f>
        <v>2</v>
      </c>
      <c r="G811" s="2" t="str">
        <f>IFERROR(__xludf.DUMMYFUNCTION("""COMPUTED_VALUE"""),"PR013")</f>
        <v>PR013</v>
      </c>
      <c r="H811" s="2" t="str">
        <f>IFERROR(__xludf.DUMMYFUNCTION("""COMPUTED_VALUE"""),"VD010")</f>
        <v>VD010</v>
      </c>
      <c r="I811" s="2">
        <f>IFERROR(__xludf.DUMMYFUNCTION("""COMPUTED_VALUE"""),14.0)</f>
        <v>14</v>
      </c>
      <c r="J811" s="2">
        <f>IFERROR(__xludf.DUMMYFUNCTION("""COMPUTED_VALUE"""),558.6)</f>
        <v>558.6</v>
      </c>
      <c r="K811" s="2">
        <f>IFERROR(__xludf.DUMMYFUNCTION("""COMPUTED_VALUE"""),558.6)</f>
        <v>558.6</v>
      </c>
    </row>
    <row r="812">
      <c r="A812" s="2">
        <f>IFERROR(__xludf.DUMMYFUNCTION("""COMPUTED_VALUE"""),1000.0)</f>
        <v>1000</v>
      </c>
      <c r="B812" s="2">
        <f>IFERROR(__xludf.DUMMYFUNCTION("""COMPUTED_VALUE"""),184039.0)</f>
        <v>184039</v>
      </c>
      <c r="C812" s="2">
        <f>IFERROR(__xludf.DUMMYFUNCTION("""COMPUTED_VALUE"""),2026.0)</f>
        <v>2026</v>
      </c>
      <c r="D812" s="2">
        <f>IFERROR(__xludf.DUMMYFUNCTION("""COMPUTED_VALUE"""),46226.0)</f>
        <v>46226</v>
      </c>
      <c r="E812" s="2" t="str">
        <f>IFERROR(__xludf.DUMMYFUNCTION("""COMPUTED_VALUE"""),"VF")</f>
        <v>VF</v>
      </c>
      <c r="F812" s="2">
        <f>IFERROR(__xludf.DUMMYFUNCTION("""COMPUTED_VALUE"""),1.0)</f>
        <v>1</v>
      </c>
      <c r="G812" s="2" t="str">
        <f>IFERROR(__xludf.DUMMYFUNCTION("""COMPUTED_VALUE"""),"PR033")</f>
        <v>PR033</v>
      </c>
      <c r="H812" s="2" t="str">
        <f>IFERROR(__xludf.DUMMYFUNCTION("""COMPUTED_VALUE"""),"VD038")</f>
        <v>VD038</v>
      </c>
      <c r="I812" s="2">
        <f>IFERROR(__xludf.DUMMYFUNCTION("""COMPUTED_VALUE"""),4.0)</f>
        <v>4</v>
      </c>
      <c r="J812" s="2">
        <f>IFERROR(__xludf.DUMMYFUNCTION("""COMPUTED_VALUE"""),1050.0)</f>
        <v>1050</v>
      </c>
      <c r="K812" s="2">
        <f>IFERROR(__xludf.DUMMYFUNCTION("""COMPUTED_VALUE"""),1050.0)</f>
        <v>1050</v>
      </c>
    </row>
    <row r="813">
      <c r="A813" s="2">
        <f>IFERROR(__xludf.DUMMYFUNCTION("""COMPUTED_VALUE"""),1000.0)</f>
        <v>1000</v>
      </c>
      <c r="B813" s="2">
        <f>IFERROR(__xludf.DUMMYFUNCTION("""COMPUTED_VALUE"""),184040.0)</f>
        <v>184040</v>
      </c>
      <c r="C813" s="2">
        <f>IFERROR(__xludf.DUMMYFUNCTION("""COMPUTED_VALUE"""),2026.0)</f>
        <v>2026</v>
      </c>
      <c r="D813" s="2">
        <f>IFERROR(__xludf.DUMMYFUNCTION("""COMPUTED_VALUE"""),46226.0)</f>
        <v>46226</v>
      </c>
      <c r="E813" s="2" t="str">
        <f>IFERROR(__xludf.DUMMYFUNCTION("""COMPUTED_VALUE"""),"VF")</f>
        <v>VF</v>
      </c>
      <c r="F813" s="2">
        <f>IFERROR(__xludf.DUMMYFUNCTION("""COMPUTED_VALUE"""),1.0)</f>
        <v>1</v>
      </c>
      <c r="G813" s="2" t="str">
        <f>IFERROR(__xludf.DUMMYFUNCTION("""COMPUTED_VALUE"""),"PR009")</f>
        <v>PR009</v>
      </c>
      <c r="H813" s="2" t="str">
        <f>IFERROR(__xludf.DUMMYFUNCTION("""COMPUTED_VALUE"""),"VD012")</f>
        <v>VD012</v>
      </c>
      <c r="I813" s="2">
        <f>IFERROR(__xludf.DUMMYFUNCTION("""COMPUTED_VALUE"""),2.0)</f>
        <v>2</v>
      </c>
      <c r="J813" s="2">
        <f>IFERROR(__xludf.DUMMYFUNCTION("""COMPUTED_VALUE"""),187.66)</f>
        <v>187.66</v>
      </c>
      <c r="K813" s="2">
        <f>IFERROR(__xludf.DUMMYFUNCTION("""COMPUTED_VALUE"""),187.66)</f>
        <v>187.66</v>
      </c>
    </row>
    <row r="814">
      <c r="A814" s="2">
        <f>IFERROR(__xludf.DUMMYFUNCTION("""COMPUTED_VALUE"""),1000.0)</f>
        <v>1000</v>
      </c>
      <c r="B814" s="2">
        <f>IFERROR(__xludf.DUMMYFUNCTION("""COMPUTED_VALUE"""),184041.0)</f>
        <v>184041</v>
      </c>
      <c r="C814" s="2">
        <f>IFERROR(__xludf.DUMMYFUNCTION("""COMPUTED_VALUE"""),2026.0)</f>
        <v>2026</v>
      </c>
      <c r="D814" s="2">
        <f>IFERROR(__xludf.DUMMYFUNCTION("""COMPUTED_VALUE"""),46226.0)</f>
        <v>46226</v>
      </c>
      <c r="E814" s="2" t="str">
        <f>IFERROR(__xludf.DUMMYFUNCTION("""COMPUTED_VALUE"""),"VF")</f>
        <v>VF</v>
      </c>
      <c r="F814" s="2">
        <f>IFERROR(__xludf.DUMMYFUNCTION("""COMPUTED_VALUE"""),1.0)</f>
        <v>1</v>
      </c>
      <c r="G814" s="2" t="str">
        <f>IFERROR(__xludf.DUMMYFUNCTION("""COMPUTED_VALUE"""),"PR016")</f>
        <v>PR016</v>
      </c>
      <c r="H814" s="2" t="str">
        <f>IFERROR(__xludf.DUMMYFUNCTION("""COMPUTED_VALUE"""),"VD010")</f>
        <v>VD010</v>
      </c>
      <c r="I814" s="2">
        <f>IFERROR(__xludf.DUMMYFUNCTION("""COMPUTED_VALUE"""),4.0)</f>
        <v>4</v>
      </c>
      <c r="J814" s="2">
        <f>IFERROR(__xludf.DUMMYFUNCTION("""COMPUTED_VALUE"""),106.71)</f>
        <v>106.71</v>
      </c>
      <c r="K814" s="2">
        <f>IFERROR(__xludf.DUMMYFUNCTION("""COMPUTED_VALUE"""),106.71)</f>
        <v>106.71</v>
      </c>
    </row>
    <row r="815">
      <c r="A815" s="2">
        <f>IFERROR(__xludf.DUMMYFUNCTION("""COMPUTED_VALUE"""),2000.0)</f>
        <v>2000</v>
      </c>
      <c r="B815" s="2">
        <f>IFERROR(__xludf.DUMMYFUNCTION("""COMPUTED_VALUE"""),184041.0)</f>
        <v>184041</v>
      </c>
      <c r="C815" s="2">
        <f>IFERROR(__xludf.DUMMYFUNCTION("""COMPUTED_VALUE"""),2026.0)</f>
        <v>2026</v>
      </c>
      <c r="D815" s="2">
        <f>IFERROR(__xludf.DUMMYFUNCTION("""COMPUTED_VALUE"""),46225.0)</f>
        <v>46225</v>
      </c>
      <c r="E815" s="2" t="str">
        <f>IFERROR(__xludf.DUMMYFUNCTION("""COMPUTED_VALUE"""),"VF")</f>
        <v>VF</v>
      </c>
      <c r="F815" s="2">
        <f>IFERROR(__xludf.DUMMYFUNCTION("""COMPUTED_VALUE"""),2.0)</f>
        <v>2</v>
      </c>
      <c r="G815" s="2" t="str">
        <f>IFERROR(__xludf.DUMMYFUNCTION("""COMPUTED_VALUE"""),"PR023")</f>
        <v>PR023</v>
      </c>
      <c r="H815" s="2" t="str">
        <f>IFERROR(__xludf.DUMMYFUNCTION("""COMPUTED_VALUE"""),"VD018")</f>
        <v>VD018</v>
      </c>
      <c r="I815" s="2">
        <f>IFERROR(__xludf.DUMMYFUNCTION("""COMPUTED_VALUE"""),10.0)</f>
        <v>10</v>
      </c>
      <c r="J815" s="2">
        <f>IFERROR(__xludf.DUMMYFUNCTION("""COMPUTED_VALUE"""),2623.95)</f>
        <v>2623.95</v>
      </c>
      <c r="K815" s="2">
        <f>IFERROR(__xludf.DUMMYFUNCTION("""COMPUTED_VALUE"""),2623.95)</f>
        <v>2623.95</v>
      </c>
    </row>
    <row r="816">
      <c r="A816" s="2">
        <f>IFERROR(__xludf.DUMMYFUNCTION("""COMPUTED_VALUE"""),1000.0)</f>
        <v>1000</v>
      </c>
      <c r="B816" s="2">
        <f>IFERROR(__xludf.DUMMYFUNCTION("""COMPUTED_VALUE"""),184042.0)</f>
        <v>184042</v>
      </c>
      <c r="C816" s="2">
        <f>IFERROR(__xludf.DUMMYFUNCTION("""COMPUTED_VALUE"""),2026.0)</f>
        <v>2026</v>
      </c>
      <c r="D816" s="2">
        <f>IFERROR(__xludf.DUMMYFUNCTION("""COMPUTED_VALUE"""),46225.0)</f>
        <v>46225</v>
      </c>
      <c r="E816" s="2" t="str">
        <f>IFERROR(__xludf.DUMMYFUNCTION("""COMPUTED_VALUE"""),"VF")</f>
        <v>VF</v>
      </c>
      <c r="F816" s="2">
        <f>IFERROR(__xludf.DUMMYFUNCTION("""COMPUTED_VALUE"""),1.0)</f>
        <v>1</v>
      </c>
      <c r="G816" s="2" t="str">
        <f>IFERROR(__xludf.DUMMYFUNCTION("""COMPUTED_VALUE"""),"PR031")</f>
        <v>PR031</v>
      </c>
      <c r="H816" s="2" t="str">
        <f>IFERROR(__xludf.DUMMYFUNCTION("""COMPUTED_VALUE"""),"VD035")</f>
        <v>VD035</v>
      </c>
      <c r="I816" s="2">
        <f>IFERROR(__xludf.DUMMYFUNCTION("""COMPUTED_VALUE"""),10.0)</f>
        <v>10</v>
      </c>
      <c r="J816" s="2">
        <f>IFERROR(__xludf.DUMMYFUNCTION("""COMPUTED_VALUE"""),2646.0)</f>
        <v>2646</v>
      </c>
      <c r="K816" s="2">
        <f>IFERROR(__xludf.DUMMYFUNCTION("""COMPUTED_VALUE"""),2646.0)</f>
        <v>2646</v>
      </c>
    </row>
    <row r="817">
      <c r="A817" s="2">
        <f>IFERROR(__xludf.DUMMYFUNCTION("""COMPUTED_VALUE"""),1000.0)</f>
        <v>1000</v>
      </c>
      <c r="B817" s="2">
        <f>IFERROR(__xludf.DUMMYFUNCTION("""COMPUTED_VALUE"""),184043.0)</f>
        <v>184043</v>
      </c>
      <c r="C817" s="2">
        <f>IFERROR(__xludf.DUMMYFUNCTION("""COMPUTED_VALUE"""),2026.0)</f>
        <v>2026</v>
      </c>
      <c r="D817" s="2">
        <f>IFERROR(__xludf.DUMMYFUNCTION("""COMPUTED_VALUE"""),46224.0)</f>
        <v>46224</v>
      </c>
      <c r="E817" s="2" t="str">
        <f>IFERROR(__xludf.DUMMYFUNCTION("""COMPUTED_VALUE"""),"VF")</f>
        <v>VF</v>
      </c>
      <c r="F817" s="2">
        <f>IFERROR(__xludf.DUMMYFUNCTION("""COMPUTED_VALUE"""),1.0)</f>
        <v>1</v>
      </c>
      <c r="G817" s="2" t="str">
        <f>IFERROR(__xludf.DUMMYFUNCTION("""COMPUTED_VALUE"""),"PR024")</f>
        <v>PR024</v>
      </c>
      <c r="H817" s="2" t="str">
        <f>IFERROR(__xludf.DUMMYFUNCTION("""COMPUTED_VALUE"""),"VD031")</f>
        <v>VD031</v>
      </c>
      <c r="I817" s="2">
        <f>IFERROR(__xludf.DUMMYFUNCTION("""COMPUTED_VALUE"""),4.0)</f>
        <v>4</v>
      </c>
      <c r="J817" s="2">
        <f>IFERROR(__xludf.DUMMYFUNCTION("""COMPUTED_VALUE"""),1060.39)</f>
        <v>1060.39</v>
      </c>
      <c r="K817" s="2">
        <f>IFERROR(__xludf.DUMMYFUNCTION("""COMPUTED_VALUE"""),1060.39)</f>
        <v>1060.39</v>
      </c>
    </row>
    <row r="818">
      <c r="A818" s="2">
        <f>IFERROR(__xludf.DUMMYFUNCTION("""COMPUTED_VALUE"""),1000.0)</f>
        <v>1000</v>
      </c>
      <c r="B818" s="2">
        <f>IFERROR(__xludf.DUMMYFUNCTION("""COMPUTED_VALUE"""),184044.0)</f>
        <v>184044</v>
      </c>
      <c r="C818" s="2">
        <f>IFERROR(__xludf.DUMMYFUNCTION("""COMPUTED_VALUE"""),2026.0)</f>
        <v>2026</v>
      </c>
      <c r="D818" s="2">
        <f>IFERROR(__xludf.DUMMYFUNCTION("""COMPUTED_VALUE"""),46224.0)</f>
        <v>46224</v>
      </c>
      <c r="E818" s="2" t="str">
        <f>IFERROR(__xludf.DUMMYFUNCTION("""COMPUTED_VALUE"""),"VF")</f>
        <v>VF</v>
      </c>
      <c r="F818" s="2">
        <f>IFERROR(__xludf.DUMMYFUNCTION("""COMPUTED_VALUE"""),1.0)</f>
        <v>1</v>
      </c>
      <c r="G818" s="2" t="str">
        <f>IFERROR(__xludf.DUMMYFUNCTION("""COMPUTED_VALUE"""),"PR014")</f>
        <v>PR014</v>
      </c>
      <c r="H818" s="2" t="str">
        <f>IFERROR(__xludf.DUMMYFUNCTION("""COMPUTED_VALUE"""),"VD023")</f>
        <v>VD023</v>
      </c>
      <c r="I818" s="2">
        <f>IFERROR(__xludf.DUMMYFUNCTION("""COMPUTED_VALUE"""),4.0)</f>
        <v>4</v>
      </c>
      <c r="J818" s="2">
        <f>IFERROR(__xludf.DUMMYFUNCTION("""COMPUTED_VALUE"""),172.37)</f>
        <v>172.37</v>
      </c>
      <c r="K818" s="2">
        <f>IFERROR(__xludf.DUMMYFUNCTION("""COMPUTED_VALUE"""),172.37)</f>
        <v>172.37</v>
      </c>
    </row>
    <row r="819">
      <c r="A819" s="2">
        <f>IFERROR(__xludf.DUMMYFUNCTION("""COMPUTED_VALUE"""),2000.0)</f>
        <v>2000</v>
      </c>
      <c r="B819" s="2">
        <f>IFERROR(__xludf.DUMMYFUNCTION("""COMPUTED_VALUE"""),184045.0)</f>
        <v>184045</v>
      </c>
      <c r="C819" s="2">
        <f>IFERROR(__xludf.DUMMYFUNCTION("""COMPUTED_VALUE"""),2026.0)</f>
        <v>2026</v>
      </c>
      <c r="D819" s="2">
        <f>IFERROR(__xludf.DUMMYFUNCTION("""COMPUTED_VALUE"""),46224.0)</f>
        <v>46224</v>
      </c>
      <c r="E819" s="2" t="str">
        <f>IFERROR(__xludf.DUMMYFUNCTION("""COMPUTED_VALUE"""),"VF")</f>
        <v>VF</v>
      </c>
      <c r="F819" s="2">
        <f>IFERROR(__xludf.DUMMYFUNCTION("""COMPUTED_VALUE"""),1.0)</f>
        <v>1</v>
      </c>
      <c r="G819" s="2" t="str">
        <f>IFERROR(__xludf.DUMMYFUNCTION("""COMPUTED_VALUE"""),"PR055")</f>
        <v>PR055</v>
      </c>
      <c r="H819" s="2" t="str">
        <f>IFERROR(__xludf.DUMMYFUNCTION("""COMPUTED_VALUE"""),"VD018")</f>
        <v>VD018</v>
      </c>
      <c r="I819" s="2">
        <f>IFERROR(__xludf.DUMMYFUNCTION("""COMPUTED_VALUE"""),4.0)</f>
        <v>4</v>
      </c>
      <c r="J819" s="2">
        <f>IFERROR(__xludf.DUMMYFUNCTION("""COMPUTED_VALUE"""),366.79)</f>
        <v>366.79</v>
      </c>
      <c r="K819" s="2">
        <f>IFERROR(__xludf.DUMMYFUNCTION("""COMPUTED_VALUE"""),366.79)</f>
        <v>366.79</v>
      </c>
    </row>
    <row r="820">
      <c r="A820" s="2">
        <f>IFERROR(__xludf.DUMMYFUNCTION("""COMPUTED_VALUE"""),1000.0)</f>
        <v>1000</v>
      </c>
      <c r="B820" s="2">
        <f>IFERROR(__xludf.DUMMYFUNCTION("""COMPUTED_VALUE"""),184046.0)</f>
        <v>184046</v>
      </c>
      <c r="C820" s="2">
        <f>IFERROR(__xludf.DUMMYFUNCTION("""COMPUTED_VALUE"""),2026.0)</f>
        <v>2026</v>
      </c>
      <c r="D820" s="2">
        <f>IFERROR(__xludf.DUMMYFUNCTION("""COMPUTED_VALUE"""),46224.0)</f>
        <v>46224</v>
      </c>
      <c r="E820" s="2" t="str">
        <f>IFERROR(__xludf.DUMMYFUNCTION("""COMPUTED_VALUE"""),"VF")</f>
        <v>VF</v>
      </c>
      <c r="F820" s="2">
        <f>IFERROR(__xludf.DUMMYFUNCTION("""COMPUTED_VALUE"""),1.0)</f>
        <v>1</v>
      </c>
      <c r="G820" s="2" t="str">
        <f>IFERROR(__xludf.DUMMYFUNCTION("""COMPUTED_VALUE"""),"PR007")</f>
        <v>PR007</v>
      </c>
      <c r="H820" s="2" t="str">
        <f>IFERROR(__xludf.DUMMYFUNCTION("""COMPUTED_VALUE"""),"VD010")</f>
        <v>VD010</v>
      </c>
      <c r="I820" s="2">
        <f>IFERROR(__xludf.DUMMYFUNCTION("""COMPUTED_VALUE"""),10.0)</f>
        <v>10</v>
      </c>
      <c r="J820" s="2">
        <f>IFERROR(__xludf.DUMMYFUNCTION("""COMPUTED_VALUE"""),910.54)</f>
        <v>910.54</v>
      </c>
      <c r="K820" s="2">
        <f>IFERROR(__xludf.DUMMYFUNCTION("""COMPUTED_VALUE"""),910.54)</f>
        <v>910.54</v>
      </c>
    </row>
    <row r="821">
      <c r="A821" s="2">
        <f>IFERROR(__xludf.DUMMYFUNCTION("""COMPUTED_VALUE"""),1000.0)</f>
        <v>1000</v>
      </c>
      <c r="B821" s="2">
        <f>IFERROR(__xludf.DUMMYFUNCTION("""COMPUTED_VALUE"""),184047.0)</f>
        <v>184047</v>
      </c>
      <c r="C821" s="2">
        <f>IFERROR(__xludf.DUMMYFUNCTION("""COMPUTED_VALUE"""),2026.0)</f>
        <v>2026</v>
      </c>
      <c r="D821" s="2">
        <f>IFERROR(__xludf.DUMMYFUNCTION("""COMPUTED_VALUE"""),46224.0)</f>
        <v>46224</v>
      </c>
      <c r="E821" s="2" t="str">
        <f>IFERROR(__xludf.DUMMYFUNCTION("""COMPUTED_VALUE"""),"VF")</f>
        <v>VF</v>
      </c>
      <c r="F821" s="2">
        <f>IFERROR(__xludf.DUMMYFUNCTION("""COMPUTED_VALUE"""),1.0)</f>
        <v>1</v>
      </c>
      <c r="G821" s="2" t="str">
        <f>IFERROR(__xludf.DUMMYFUNCTION("""COMPUTED_VALUE"""),"PR043")</f>
        <v>PR043</v>
      </c>
      <c r="H821" s="2" t="str">
        <f>IFERROR(__xludf.DUMMYFUNCTION("""COMPUTED_VALUE"""),"VD035")</f>
        <v>VD035</v>
      </c>
      <c r="I821" s="2">
        <f>IFERROR(__xludf.DUMMYFUNCTION("""COMPUTED_VALUE"""),2.0)</f>
        <v>2</v>
      </c>
      <c r="J821" s="2">
        <f>IFERROR(__xludf.DUMMYFUNCTION("""COMPUTED_VALUE"""),150.8)</f>
        <v>150.8</v>
      </c>
      <c r="K821" s="2">
        <f>IFERROR(__xludf.DUMMYFUNCTION("""COMPUTED_VALUE"""),150.8)</f>
        <v>150.8</v>
      </c>
    </row>
    <row r="822">
      <c r="A822" s="2">
        <f>IFERROR(__xludf.DUMMYFUNCTION("""COMPUTED_VALUE"""),1000.0)</f>
        <v>1000</v>
      </c>
      <c r="B822" s="2">
        <f>IFERROR(__xludf.DUMMYFUNCTION("""COMPUTED_VALUE"""),184047.0)</f>
        <v>184047</v>
      </c>
      <c r="C822" s="2">
        <f>IFERROR(__xludf.DUMMYFUNCTION("""COMPUTED_VALUE"""),2026.0)</f>
        <v>2026</v>
      </c>
      <c r="D822" s="2">
        <f>IFERROR(__xludf.DUMMYFUNCTION("""COMPUTED_VALUE"""),46224.0)</f>
        <v>46224</v>
      </c>
      <c r="E822" s="2" t="str">
        <f>IFERROR(__xludf.DUMMYFUNCTION("""COMPUTED_VALUE"""),"VF")</f>
        <v>VF</v>
      </c>
      <c r="F822" s="2">
        <f>IFERROR(__xludf.DUMMYFUNCTION("""COMPUTED_VALUE"""),2.0)</f>
        <v>2</v>
      </c>
      <c r="G822" s="2" t="str">
        <f>IFERROR(__xludf.DUMMYFUNCTION("""COMPUTED_VALUE"""),"PR005")</f>
        <v>PR005</v>
      </c>
      <c r="H822" s="2" t="str">
        <f>IFERROR(__xludf.DUMMYFUNCTION("""COMPUTED_VALUE"""),"VD049")</f>
        <v>VD049</v>
      </c>
      <c r="I822" s="2">
        <f>IFERROR(__xludf.DUMMYFUNCTION("""COMPUTED_VALUE"""),8.0)</f>
        <v>8</v>
      </c>
      <c r="J822" s="2">
        <f>IFERROR(__xludf.DUMMYFUNCTION("""COMPUTED_VALUE"""),2287.12)</f>
        <v>2287.12</v>
      </c>
      <c r="K822" s="2">
        <f>IFERROR(__xludf.DUMMYFUNCTION("""COMPUTED_VALUE"""),2287.12)</f>
        <v>2287.12</v>
      </c>
    </row>
    <row r="823">
      <c r="A823" s="2">
        <f>IFERROR(__xludf.DUMMYFUNCTION("""COMPUTED_VALUE"""),1000.0)</f>
        <v>1000</v>
      </c>
      <c r="B823" s="2">
        <f>IFERROR(__xludf.DUMMYFUNCTION("""COMPUTED_VALUE"""),184048.0)</f>
        <v>184048</v>
      </c>
      <c r="C823" s="2">
        <f>IFERROR(__xludf.DUMMYFUNCTION("""COMPUTED_VALUE"""),2026.0)</f>
        <v>2026</v>
      </c>
      <c r="D823" s="2">
        <f>IFERROR(__xludf.DUMMYFUNCTION("""COMPUTED_VALUE"""),46224.0)</f>
        <v>46224</v>
      </c>
      <c r="E823" s="2" t="str">
        <f>IFERROR(__xludf.DUMMYFUNCTION("""COMPUTED_VALUE"""),"VF")</f>
        <v>VF</v>
      </c>
      <c r="F823" s="2">
        <f>IFERROR(__xludf.DUMMYFUNCTION("""COMPUTED_VALUE"""),1.0)</f>
        <v>1</v>
      </c>
      <c r="G823" s="2" t="str">
        <f>IFERROR(__xludf.DUMMYFUNCTION("""COMPUTED_VALUE"""),"PR006")</f>
        <v>PR006</v>
      </c>
      <c r="H823" s="2" t="str">
        <f>IFERROR(__xludf.DUMMYFUNCTION("""COMPUTED_VALUE"""),"VD011")</f>
        <v>VD011</v>
      </c>
      <c r="I823" s="2">
        <f>IFERROR(__xludf.DUMMYFUNCTION("""COMPUTED_VALUE"""),2.0)</f>
        <v>2</v>
      </c>
      <c r="J823" s="2">
        <f>IFERROR(__xludf.DUMMYFUNCTION("""COMPUTED_VALUE"""),87.78)</f>
        <v>87.78</v>
      </c>
      <c r="K823" s="2">
        <f>IFERROR(__xludf.DUMMYFUNCTION("""COMPUTED_VALUE"""),87.78)</f>
        <v>87.78</v>
      </c>
    </row>
    <row r="824">
      <c r="A824" s="2">
        <f>IFERROR(__xludf.DUMMYFUNCTION("""COMPUTED_VALUE"""),1000.0)</f>
        <v>1000</v>
      </c>
      <c r="B824" s="2">
        <f>IFERROR(__xludf.DUMMYFUNCTION("""COMPUTED_VALUE"""),184049.0)</f>
        <v>184049</v>
      </c>
      <c r="C824" s="2">
        <f>IFERROR(__xludf.DUMMYFUNCTION("""COMPUTED_VALUE"""),2026.0)</f>
        <v>2026</v>
      </c>
      <c r="D824" s="2">
        <f>IFERROR(__xludf.DUMMYFUNCTION("""COMPUTED_VALUE"""),46224.0)</f>
        <v>46224</v>
      </c>
      <c r="E824" s="2" t="str">
        <f>IFERROR(__xludf.DUMMYFUNCTION("""COMPUTED_VALUE"""),"VF")</f>
        <v>VF</v>
      </c>
      <c r="F824" s="2">
        <f>IFERROR(__xludf.DUMMYFUNCTION("""COMPUTED_VALUE"""),1.0)</f>
        <v>1</v>
      </c>
      <c r="G824" s="2" t="str">
        <f>IFERROR(__xludf.DUMMYFUNCTION("""COMPUTED_VALUE"""),"PR053")</f>
        <v>PR053</v>
      </c>
      <c r="H824" s="2" t="str">
        <f>IFERROR(__xludf.DUMMYFUNCTION("""COMPUTED_VALUE"""),"VD012")</f>
        <v>VD012</v>
      </c>
      <c r="I824" s="2">
        <f>IFERROR(__xludf.DUMMYFUNCTION("""COMPUTED_VALUE"""),2.0)</f>
        <v>2</v>
      </c>
      <c r="J824" s="2">
        <f>IFERROR(__xludf.DUMMYFUNCTION("""COMPUTED_VALUE"""),99.8)</f>
        <v>99.8</v>
      </c>
      <c r="K824" s="2">
        <f>IFERROR(__xludf.DUMMYFUNCTION("""COMPUTED_VALUE"""),99.8)</f>
        <v>99.8</v>
      </c>
    </row>
    <row r="825">
      <c r="A825" s="2">
        <f>IFERROR(__xludf.DUMMYFUNCTION("""COMPUTED_VALUE"""),1000.0)</f>
        <v>1000</v>
      </c>
      <c r="B825" s="2">
        <f>IFERROR(__xludf.DUMMYFUNCTION("""COMPUTED_VALUE"""),184049.0)</f>
        <v>184049</v>
      </c>
      <c r="C825" s="2">
        <f>IFERROR(__xludf.DUMMYFUNCTION("""COMPUTED_VALUE"""),2026.0)</f>
        <v>2026</v>
      </c>
      <c r="D825" s="2">
        <f>IFERROR(__xludf.DUMMYFUNCTION("""COMPUTED_VALUE"""),46224.0)</f>
        <v>46224</v>
      </c>
      <c r="E825" s="2" t="str">
        <f>IFERROR(__xludf.DUMMYFUNCTION("""COMPUTED_VALUE"""),"VF")</f>
        <v>VF</v>
      </c>
      <c r="F825" s="2">
        <f>IFERROR(__xludf.DUMMYFUNCTION("""COMPUTED_VALUE"""),2.0)</f>
        <v>2</v>
      </c>
      <c r="G825" s="2" t="str">
        <f>IFERROR(__xludf.DUMMYFUNCTION("""COMPUTED_VALUE"""),"PR042")</f>
        <v>PR042</v>
      </c>
      <c r="H825" s="2" t="str">
        <f>IFERROR(__xludf.DUMMYFUNCTION("""COMPUTED_VALUE"""),"VD018")</f>
        <v>VD018</v>
      </c>
      <c r="I825" s="2">
        <f>IFERROR(__xludf.DUMMYFUNCTION("""COMPUTED_VALUE"""),10.0)</f>
        <v>10</v>
      </c>
      <c r="J825" s="2">
        <f>IFERROR(__xludf.DUMMYFUNCTION("""COMPUTED_VALUE"""),587.43)</f>
        <v>587.43</v>
      </c>
      <c r="K825" s="2">
        <f>IFERROR(__xludf.DUMMYFUNCTION("""COMPUTED_VALUE"""),587.43)</f>
        <v>587.43</v>
      </c>
    </row>
    <row r="826">
      <c r="A826" s="2">
        <f>IFERROR(__xludf.DUMMYFUNCTION("""COMPUTED_VALUE"""),1000.0)</f>
        <v>1000</v>
      </c>
      <c r="B826" s="2">
        <f>IFERROR(__xludf.DUMMYFUNCTION("""COMPUTED_VALUE"""),184050.0)</f>
        <v>184050</v>
      </c>
      <c r="C826" s="2">
        <f>IFERROR(__xludf.DUMMYFUNCTION("""COMPUTED_VALUE"""),2026.0)</f>
        <v>2026</v>
      </c>
      <c r="D826" s="2">
        <f>IFERROR(__xludf.DUMMYFUNCTION("""COMPUTED_VALUE"""),46224.0)</f>
        <v>46224</v>
      </c>
      <c r="E826" s="2" t="str">
        <f>IFERROR(__xludf.DUMMYFUNCTION("""COMPUTED_VALUE"""),"VF")</f>
        <v>VF</v>
      </c>
      <c r="F826" s="2">
        <f>IFERROR(__xludf.DUMMYFUNCTION("""COMPUTED_VALUE"""),1.0)</f>
        <v>1</v>
      </c>
      <c r="G826" s="2" t="str">
        <f>IFERROR(__xludf.DUMMYFUNCTION("""COMPUTED_VALUE"""),"PR060")</f>
        <v>PR060</v>
      </c>
      <c r="H826" s="2" t="str">
        <f>IFERROR(__xludf.DUMMYFUNCTION("""COMPUTED_VALUE"""),"VD047")</f>
        <v>VD047</v>
      </c>
      <c r="I826" s="2">
        <f>IFERROR(__xludf.DUMMYFUNCTION("""COMPUTED_VALUE"""),16.0)</f>
        <v>16</v>
      </c>
      <c r="J826" s="2">
        <f>IFERROR(__xludf.DUMMYFUNCTION("""COMPUTED_VALUE"""),2937.6)</f>
        <v>2937.6</v>
      </c>
      <c r="K826" s="2">
        <f>IFERROR(__xludf.DUMMYFUNCTION("""COMPUTED_VALUE"""),2937.6)</f>
        <v>2937.6</v>
      </c>
    </row>
    <row r="827">
      <c r="A827" s="2">
        <f>IFERROR(__xludf.DUMMYFUNCTION("""COMPUTED_VALUE"""),1000.0)</f>
        <v>1000</v>
      </c>
      <c r="B827" s="2">
        <f>IFERROR(__xludf.DUMMYFUNCTION("""COMPUTED_VALUE"""),184051.0)</f>
        <v>184051</v>
      </c>
      <c r="C827" s="2">
        <f>IFERROR(__xludf.DUMMYFUNCTION("""COMPUTED_VALUE"""),2026.0)</f>
        <v>2026</v>
      </c>
      <c r="D827" s="2">
        <f>IFERROR(__xludf.DUMMYFUNCTION("""COMPUTED_VALUE"""),46224.0)</f>
        <v>46224</v>
      </c>
      <c r="E827" s="2" t="str">
        <f>IFERROR(__xludf.DUMMYFUNCTION("""COMPUTED_VALUE"""),"VF")</f>
        <v>VF</v>
      </c>
      <c r="F827" s="2">
        <f>IFERROR(__xludf.DUMMYFUNCTION("""COMPUTED_VALUE"""),1.0)</f>
        <v>1</v>
      </c>
      <c r="G827" s="2" t="str">
        <f>IFERROR(__xludf.DUMMYFUNCTION("""COMPUTED_VALUE"""),"PR054")</f>
        <v>PR054</v>
      </c>
      <c r="H827" s="2" t="str">
        <f>IFERROR(__xludf.DUMMYFUNCTION("""COMPUTED_VALUE"""),"VD019")</f>
        <v>VD019</v>
      </c>
      <c r="I827" s="2">
        <f>IFERROR(__xludf.DUMMYFUNCTION("""COMPUTED_VALUE"""),3.0)</f>
        <v>3</v>
      </c>
      <c r="J827" s="2">
        <f>IFERROR(__xludf.DUMMYFUNCTION("""COMPUTED_VALUE"""),157.19)</f>
        <v>157.19</v>
      </c>
      <c r="K827" s="2">
        <f>IFERROR(__xludf.DUMMYFUNCTION("""COMPUTED_VALUE"""),157.19)</f>
        <v>157.19</v>
      </c>
    </row>
    <row r="828">
      <c r="A828" s="2">
        <f>IFERROR(__xludf.DUMMYFUNCTION("""COMPUTED_VALUE"""),1000.0)</f>
        <v>1000</v>
      </c>
      <c r="B828" s="2">
        <f>IFERROR(__xludf.DUMMYFUNCTION("""COMPUTED_VALUE"""),184051.0)</f>
        <v>184051</v>
      </c>
      <c r="C828" s="2">
        <f>IFERROR(__xludf.DUMMYFUNCTION("""COMPUTED_VALUE"""),2026.0)</f>
        <v>2026</v>
      </c>
      <c r="D828" s="2">
        <f>IFERROR(__xludf.DUMMYFUNCTION("""COMPUTED_VALUE"""),46224.0)</f>
        <v>46224</v>
      </c>
      <c r="E828" s="2" t="str">
        <f>IFERROR(__xludf.DUMMYFUNCTION("""COMPUTED_VALUE"""),"VF")</f>
        <v>VF</v>
      </c>
      <c r="F828" s="2">
        <f>IFERROR(__xludf.DUMMYFUNCTION("""COMPUTED_VALUE"""),2.0)</f>
        <v>2</v>
      </c>
      <c r="G828" s="2" t="str">
        <f>IFERROR(__xludf.DUMMYFUNCTION("""COMPUTED_VALUE"""),"PR026")</f>
        <v>PR026</v>
      </c>
      <c r="H828" s="2" t="str">
        <f>IFERROR(__xludf.DUMMYFUNCTION("""COMPUTED_VALUE"""),"VD036")</f>
        <v>VD036</v>
      </c>
      <c r="I828" s="2">
        <f>IFERROR(__xludf.DUMMYFUNCTION("""COMPUTED_VALUE"""),7.0)</f>
        <v>7</v>
      </c>
      <c r="J828" s="2">
        <f>IFERROR(__xludf.DUMMYFUNCTION("""COMPUTED_VALUE"""),2694.23)</f>
        <v>2694.23</v>
      </c>
      <c r="K828" s="2">
        <f>IFERROR(__xludf.DUMMYFUNCTION("""COMPUTED_VALUE"""),2694.23)</f>
        <v>2694.23</v>
      </c>
    </row>
    <row r="829">
      <c r="A829" s="2">
        <f>IFERROR(__xludf.DUMMYFUNCTION("""COMPUTED_VALUE"""),2000.0)</f>
        <v>2000</v>
      </c>
      <c r="B829" s="2">
        <f>IFERROR(__xludf.DUMMYFUNCTION("""COMPUTED_VALUE"""),184051.0)</f>
        <v>184051</v>
      </c>
      <c r="C829" s="2">
        <f>IFERROR(__xludf.DUMMYFUNCTION("""COMPUTED_VALUE"""),2026.0)</f>
        <v>2026</v>
      </c>
      <c r="D829" s="2">
        <f>IFERROR(__xludf.DUMMYFUNCTION("""COMPUTED_VALUE"""),46224.0)</f>
        <v>46224</v>
      </c>
      <c r="E829" s="2" t="str">
        <f>IFERROR(__xludf.DUMMYFUNCTION("""COMPUTED_VALUE"""),"VF")</f>
        <v>VF</v>
      </c>
      <c r="F829" s="2">
        <f>IFERROR(__xludf.DUMMYFUNCTION("""COMPUTED_VALUE"""),3.0)</f>
        <v>3</v>
      </c>
      <c r="G829" s="2" t="str">
        <f>IFERROR(__xludf.DUMMYFUNCTION("""COMPUTED_VALUE"""),"PR002")</f>
        <v>PR002</v>
      </c>
      <c r="H829" s="2" t="str">
        <f>IFERROR(__xludf.DUMMYFUNCTION("""COMPUTED_VALUE"""),"VD046")</f>
        <v>VD046</v>
      </c>
      <c r="I829" s="2">
        <f>IFERROR(__xludf.DUMMYFUNCTION("""COMPUTED_VALUE"""),5.0)</f>
        <v>5</v>
      </c>
      <c r="J829" s="2">
        <f>IFERROR(__xludf.DUMMYFUNCTION("""COMPUTED_VALUE"""),356.49)</f>
        <v>356.49</v>
      </c>
      <c r="K829" s="2">
        <f>IFERROR(__xludf.DUMMYFUNCTION("""COMPUTED_VALUE"""),356.49)</f>
        <v>356.49</v>
      </c>
    </row>
    <row r="830">
      <c r="A830" s="2">
        <f>IFERROR(__xludf.DUMMYFUNCTION("""COMPUTED_VALUE"""),2000.0)</f>
        <v>2000</v>
      </c>
      <c r="B830" s="2">
        <f>IFERROR(__xludf.DUMMYFUNCTION("""COMPUTED_VALUE"""),184052.0)</f>
        <v>184052</v>
      </c>
      <c r="C830" s="2">
        <f>IFERROR(__xludf.DUMMYFUNCTION("""COMPUTED_VALUE"""),2026.0)</f>
        <v>2026</v>
      </c>
      <c r="D830" s="2">
        <f>IFERROR(__xludf.DUMMYFUNCTION("""COMPUTED_VALUE"""),46223.0)</f>
        <v>46223</v>
      </c>
      <c r="E830" s="2" t="str">
        <f>IFERROR(__xludf.DUMMYFUNCTION("""COMPUTED_VALUE"""),"VF")</f>
        <v>VF</v>
      </c>
      <c r="F830" s="2">
        <f>IFERROR(__xludf.DUMMYFUNCTION("""COMPUTED_VALUE"""),1.0)</f>
        <v>1</v>
      </c>
      <c r="G830" s="2" t="str">
        <f>IFERROR(__xludf.DUMMYFUNCTION("""COMPUTED_VALUE"""),"PR001")</f>
        <v>PR001</v>
      </c>
      <c r="H830" s="2" t="str">
        <f>IFERROR(__xludf.DUMMYFUNCTION("""COMPUTED_VALUE"""),"VD021")</f>
        <v>VD021</v>
      </c>
      <c r="I830" s="2">
        <f>IFERROR(__xludf.DUMMYFUNCTION("""COMPUTED_VALUE"""),3.0)</f>
        <v>3</v>
      </c>
      <c r="J830" s="2">
        <f>IFERROR(__xludf.DUMMYFUNCTION("""COMPUTED_VALUE"""),213.52)</f>
        <v>213.52</v>
      </c>
      <c r="K830" s="2">
        <f>IFERROR(__xludf.DUMMYFUNCTION("""COMPUTED_VALUE"""),213.52)</f>
        <v>213.52</v>
      </c>
    </row>
    <row r="831">
      <c r="A831" s="2">
        <f>IFERROR(__xludf.DUMMYFUNCTION("""COMPUTED_VALUE"""),1000.0)</f>
        <v>1000</v>
      </c>
      <c r="B831" s="2">
        <f>IFERROR(__xludf.DUMMYFUNCTION("""COMPUTED_VALUE"""),184053.0)</f>
        <v>184053</v>
      </c>
      <c r="C831" s="2">
        <f>IFERROR(__xludf.DUMMYFUNCTION("""COMPUTED_VALUE"""),2026.0)</f>
        <v>2026</v>
      </c>
      <c r="D831" s="2">
        <f>IFERROR(__xludf.DUMMYFUNCTION("""COMPUTED_VALUE"""),46223.0)</f>
        <v>46223</v>
      </c>
      <c r="E831" s="2" t="str">
        <f>IFERROR(__xludf.DUMMYFUNCTION("""COMPUTED_VALUE"""),"VF")</f>
        <v>VF</v>
      </c>
      <c r="F831" s="2">
        <f>IFERROR(__xludf.DUMMYFUNCTION("""COMPUTED_VALUE"""),1.0)</f>
        <v>1</v>
      </c>
      <c r="G831" s="2" t="str">
        <f>IFERROR(__xludf.DUMMYFUNCTION("""COMPUTED_VALUE"""),"PR044")</f>
        <v>PR044</v>
      </c>
      <c r="H831" s="2" t="str">
        <f>IFERROR(__xludf.DUMMYFUNCTION("""COMPUTED_VALUE"""),"VD030")</f>
        <v>VD030</v>
      </c>
      <c r="I831" s="2">
        <f>IFERROR(__xludf.DUMMYFUNCTION("""COMPUTED_VALUE"""),3.0)</f>
        <v>3</v>
      </c>
      <c r="J831" s="2">
        <f>IFERROR(__xludf.DUMMYFUNCTION("""COMPUTED_VALUE"""),232.73)</f>
        <v>232.73</v>
      </c>
      <c r="K831" s="2">
        <f>IFERROR(__xludf.DUMMYFUNCTION("""COMPUTED_VALUE"""),232.73)</f>
        <v>232.73</v>
      </c>
    </row>
    <row r="832">
      <c r="A832" s="2">
        <f>IFERROR(__xludf.DUMMYFUNCTION("""COMPUTED_VALUE"""),1000.0)</f>
        <v>1000</v>
      </c>
      <c r="B832" s="2">
        <f>IFERROR(__xludf.DUMMYFUNCTION("""COMPUTED_VALUE"""),184054.0)</f>
        <v>184054</v>
      </c>
      <c r="C832" s="2">
        <f>IFERROR(__xludf.DUMMYFUNCTION("""COMPUTED_VALUE"""),2026.0)</f>
        <v>2026</v>
      </c>
      <c r="D832" s="2">
        <f>IFERROR(__xludf.DUMMYFUNCTION("""COMPUTED_VALUE"""),46223.0)</f>
        <v>46223</v>
      </c>
      <c r="E832" s="2" t="str">
        <f>IFERROR(__xludf.DUMMYFUNCTION("""COMPUTED_VALUE"""),"VF")</f>
        <v>VF</v>
      </c>
      <c r="F832" s="2">
        <f>IFERROR(__xludf.DUMMYFUNCTION("""COMPUTED_VALUE"""),1.0)</f>
        <v>1</v>
      </c>
      <c r="G832" s="2" t="str">
        <f>IFERROR(__xludf.DUMMYFUNCTION("""COMPUTED_VALUE"""),"PR028")</f>
        <v>PR028</v>
      </c>
      <c r="H832" s="2" t="str">
        <f>IFERROR(__xludf.DUMMYFUNCTION("""COMPUTED_VALUE"""),"VD021")</f>
        <v>VD021</v>
      </c>
      <c r="I832" s="2">
        <f>IFERROR(__xludf.DUMMYFUNCTION("""COMPUTED_VALUE"""),2.0)</f>
        <v>2</v>
      </c>
      <c r="J832" s="2">
        <f>IFERROR(__xludf.DUMMYFUNCTION("""COMPUTED_VALUE"""),529.79)</f>
        <v>529.79</v>
      </c>
      <c r="K832" s="2">
        <f>IFERROR(__xludf.DUMMYFUNCTION("""COMPUTED_VALUE"""),529.79)</f>
        <v>529.79</v>
      </c>
    </row>
    <row r="833">
      <c r="A833" s="2">
        <f>IFERROR(__xludf.DUMMYFUNCTION("""COMPUTED_VALUE"""),1000.0)</f>
        <v>1000</v>
      </c>
      <c r="B833" s="2">
        <f>IFERROR(__xludf.DUMMYFUNCTION("""COMPUTED_VALUE"""),184055.0)</f>
        <v>184055</v>
      </c>
      <c r="C833" s="2">
        <f>IFERROR(__xludf.DUMMYFUNCTION("""COMPUTED_VALUE"""),2026.0)</f>
        <v>2026</v>
      </c>
      <c r="D833" s="2">
        <f>IFERROR(__xludf.DUMMYFUNCTION("""COMPUTED_VALUE"""),46223.0)</f>
        <v>46223</v>
      </c>
      <c r="E833" s="2" t="str">
        <f>IFERROR(__xludf.DUMMYFUNCTION("""COMPUTED_VALUE"""),"VF")</f>
        <v>VF</v>
      </c>
      <c r="F833" s="2">
        <f>IFERROR(__xludf.DUMMYFUNCTION("""COMPUTED_VALUE"""),1.0)</f>
        <v>1</v>
      </c>
      <c r="G833" s="2" t="str">
        <f>IFERROR(__xludf.DUMMYFUNCTION("""COMPUTED_VALUE"""),"PR045")</f>
        <v>PR045</v>
      </c>
      <c r="H833" s="2" t="str">
        <f>IFERROR(__xludf.DUMMYFUNCTION("""COMPUTED_VALUE"""),"VD024")</f>
        <v>VD024</v>
      </c>
      <c r="I833" s="2">
        <f>IFERROR(__xludf.DUMMYFUNCTION("""COMPUTED_VALUE"""),18.0)</f>
        <v>18</v>
      </c>
      <c r="J833" s="2">
        <f>IFERROR(__xludf.DUMMYFUNCTION("""COMPUTED_VALUE"""),1435.5)</f>
        <v>1435.5</v>
      </c>
      <c r="K833" s="2">
        <f>IFERROR(__xludf.DUMMYFUNCTION("""COMPUTED_VALUE"""),1435.5)</f>
        <v>1435.5</v>
      </c>
    </row>
    <row r="834">
      <c r="A834" s="2">
        <f>IFERROR(__xludf.DUMMYFUNCTION("""COMPUTED_VALUE"""),1000.0)</f>
        <v>1000</v>
      </c>
      <c r="B834" s="2">
        <f>IFERROR(__xludf.DUMMYFUNCTION("""COMPUTED_VALUE"""),184055.0)</f>
        <v>184055</v>
      </c>
      <c r="C834" s="2">
        <f>IFERROR(__xludf.DUMMYFUNCTION("""COMPUTED_VALUE"""),2026.0)</f>
        <v>2026</v>
      </c>
      <c r="D834" s="2">
        <f>IFERROR(__xludf.DUMMYFUNCTION("""COMPUTED_VALUE"""),46223.0)</f>
        <v>46223</v>
      </c>
      <c r="E834" s="2" t="str">
        <f>IFERROR(__xludf.DUMMYFUNCTION("""COMPUTED_VALUE"""),"VF")</f>
        <v>VF</v>
      </c>
      <c r="F834" s="2">
        <f>IFERROR(__xludf.DUMMYFUNCTION("""COMPUTED_VALUE"""),2.0)</f>
        <v>2</v>
      </c>
      <c r="G834" s="2" t="str">
        <f>IFERROR(__xludf.DUMMYFUNCTION("""COMPUTED_VALUE"""),"PR052")</f>
        <v>PR052</v>
      </c>
      <c r="H834" s="2" t="str">
        <f>IFERROR(__xludf.DUMMYFUNCTION("""COMPUTED_VALUE"""),"VD038")</f>
        <v>VD038</v>
      </c>
      <c r="I834" s="2">
        <f>IFERROR(__xludf.DUMMYFUNCTION("""COMPUTED_VALUE"""),8.0)</f>
        <v>8</v>
      </c>
      <c r="J834" s="2">
        <f>IFERROR(__xludf.DUMMYFUNCTION("""COMPUTED_VALUE"""),415.17)</f>
        <v>415.17</v>
      </c>
      <c r="K834" s="2">
        <f>IFERROR(__xludf.DUMMYFUNCTION("""COMPUTED_VALUE"""),415.17)</f>
        <v>415.17</v>
      </c>
    </row>
    <row r="835">
      <c r="A835" s="2">
        <f>IFERROR(__xludf.DUMMYFUNCTION("""COMPUTED_VALUE"""),2000.0)</f>
        <v>2000</v>
      </c>
      <c r="B835" s="2">
        <f>IFERROR(__xludf.DUMMYFUNCTION("""COMPUTED_VALUE"""),184056.0)</f>
        <v>184056</v>
      </c>
      <c r="C835" s="2">
        <f>IFERROR(__xludf.DUMMYFUNCTION("""COMPUTED_VALUE"""),2026.0)</f>
        <v>2026</v>
      </c>
      <c r="D835" s="2">
        <f>IFERROR(__xludf.DUMMYFUNCTION("""COMPUTED_VALUE"""),46223.0)</f>
        <v>46223</v>
      </c>
      <c r="E835" s="2" t="str">
        <f>IFERROR(__xludf.DUMMYFUNCTION("""COMPUTED_VALUE"""),"VF")</f>
        <v>VF</v>
      </c>
      <c r="F835" s="2">
        <f>IFERROR(__xludf.DUMMYFUNCTION("""COMPUTED_VALUE"""),1.0)</f>
        <v>1</v>
      </c>
      <c r="G835" s="2" t="str">
        <f>IFERROR(__xludf.DUMMYFUNCTION("""COMPUTED_VALUE"""),"PR024")</f>
        <v>PR024</v>
      </c>
      <c r="H835" s="2" t="str">
        <f>IFERROR(__xludf.DUMMYFUNCTION("""COMPUTED_VALUE"""),"VD026")</f>
        <v>VD026</v>
      </c>
      <c r="I835" s="2">
        <f>IFERROR(__xludf.DUMMYFUNCTION("""COMPUTED_VALUE"""),4.0)</f>
        <v>4</v>
      </c>
      <c r="J835" s="2">
        <f>IFERROR(__xludf.DUMMYFUNCTION("""COMPUTED_VALUE"""),1122.77)</f>
        <v>1122.77</v>
      </c>
      <c r="K835" s="2">
        <f>IFERROR(__xludf.DUMMYFUNCTION("""COMPUTED_VALUE"""),1122.77)</f>
        <v>1122.77</v>
      </c>
    </row>
    <row r="836">
      <c r="A836" s="2">
        <f>IFERROR(__xludf.DUMMYFUNCTION("""COMPUTED_VALUE"""),1000.0)</f>
        <v>1000</v>
      </c>
      <c r="B836" s="2">
        <f>IFERROR(__xludf.DUMMYFUNCTION("""COMPUTED_VALUE"""),184056.0)</f>
        <v>184056</v>
      </c>
      <c r="C836" s="2">
        <f>IFERROR(__xludf.DUMMYFUNCTION("""COMPUTED_VALUE"""),2026.0)</f>
        <v>2026</v>
      </c>
      <c r="D836" s="2">
        <f>IFERROR(__xludf.DUMMYFUNCTION("""COMPUTED_VALUE"""),46223.0)</f>
        <v>46223</v>
      </c>
      <c r="E836" s="2" t="str">
        <f>IFERROR(__xludf.DUMMYFUNCTION("""COMPUTED_VALUE"""),"VF")</f>
        <v>VF</v>
      </c>
      <c r="F836" s="2">
        <f>IFERROR(__xludf.DUMMYFUNCTION("""COMPUTED_VALUE"""),2.0)</f>
        <v>2</v>
      </c>
      <c r="G836" s="2" t="str">
        <f>IFERROR(__xludf.DUMMYFUNCTION("""COMPUTED_VALUE"""),"PR013")</f>
        <v>PR013</v>
      </c>
      <c r="H836" s="2" t="str">
        <f>IFERROR(__xludf.DUMMYFUNCTION("""COMPUTED_VALUE"""),"VD028")</f>
        <v>VD028</v>
      </c>
      <c r="I836" s="2">
        <f>IFERROR(__xludf.DUMMYFUNCTION("""COMPUTED_VALUE"""),20.0)</f>
        <v>20</v>
      </c>
      <c r="J836" s="2">
        <f>IFERROR(__xludf.DUMMYFUNCTION("""COMPUTED_VALUE"""),821.94)</f>
        <v>821.94</v>
      </c>
      <c r="K836" s="2">
        <f>IFERROR(__xludf.DUMMYFUNCTION("""COMPUTED_VALUE"""),821.94)</f>
        <v>821.94</v>
      </c>
    </row>
    <row r="837">
      <c r="A837" s="2">
        <f>IFERROR(__xludf.DUMMYFUNCTION("""COMPUTED_VALUE"""),1000.0)</f>
        <v>1000</v>
      </c>
      <c r="B837" s="2">
        <f>IFERROR(__xludf.DUMMYFUNCTION("""COMPUTED_VALUE"""),184057.0)</f>
        <v>184057</v>
      </c>
      <c r="C837" s="2">
        <f>IFERROR(__xludf.DUMMYFUNCTION("""COMPUTED_VALUE"""),2026.0)</f>
        <v>2026</v>
      </c>
      <c r="D837" s="2">
        <f>IFERROR(__xludf.DUMMYFUNCTION("""COMPUTED_VALUE"""),46222.0)</f>
        <v>46222</v>
      </c>
      <c r="E837" s="2" t="str">
        <f>IFERROR(__xludf.DUMMYFUNCTION("""COMPUTED_VALUE"""),"VF")</f>
        <v>VF</v>
      </c>
      <c r="F837" s="2">
        <f>IFERROR(__xludf.DUMMYFUNCTION("""COMPUTED_VALUE"""),1.0)</f>
        <v>1</v>
      </c>
      <c r="G837" s="2" t="str">
        <f>IFERROR(__xludf.DUMMYFUNCTION("""COMPUTED_VALUE"""),"PR053")</f>
        <v>PR053</v>
      </c>
      <c r="H837" s="2" t="str">
        <f>IFERROR(__xludf.DUMMYFUNCTION("""COMPUTED_VALUE"""),"VD049")</f>
        <v>VD049</v>
      </c>
      <c r="I837" s="2">
        <f>IFERROR(__xludf.DUMMYFUNCTION("""COMPUTED_VALUE"""),6.0)</f>
        <v>6</v>
      </c>
      <c r="J837" s="2">
        <f>IFERROR(__xludf.DUMMYFUNCTION("""COMPUTED_VALUE"""),302.39)</f>
        <v>302.39</v>
      </c>
      <c r="K837" s="2">
        <f>IFERROR(__xludf.DUMMYFUNCTION("""COMPUTED_VALUE"""),302.39)</f>
        <v>302.39</v>
      </c>
    </row>
    <row r="838">
      <c r="A838" s="2">
        <f>IFERROR(__xludf.DUMMYFUNCTION("""COMPUTED_VALUE"""),1000.0)</f>
        <v>1000</v>
      </c>
      <c r="B838" s="2">
        <f>IFERROR(__xludf.DUMMYFUNCTION("""COMPUTED_VALUE"""),184057.0)</f>
        <v>184057</v>
      </c>
      <c r="C838" s="2">
        <f>IFERROR(__xludf.DUMMYFUNCTION("""COMPUTED_VALUE"""),2026.0)</f>
        <v>2026</v>
      </c>
      <c r="D838" s="2">
        <f>IFERROR(__xludf.DUMMYFUNCTION("""COMPUTED_VALUE"""),46222.0)</f>
        <v>46222</v>
      </c>
      <c r="E838" s="2" t="str">
        <f>IFERROR(__xludf.DUMMYFUNCTION("""COMPUTED_VALUE"""),"VF")</f>
        <v>VF</v>
      </c>
      <c r="F838" s="2">
        <f>IFERROR(__xludf.DUMMYFUNCTION("""COMPUTED_VALUE"""),2.0)</f>
        <v>2</v>
      </c>
      <c r="G838" s="2" t="str">
        <f>IFERROR(__xludf.DUMMYFUNCTION("""COMPUTED_VALUE"""),"PR029")</f>
        <v>PR029</v>
      </c>
      <c r="H838" s="2" t="str">
        <f>IFERROR(__xludf.DUMMYFUNCTION("""COMPUTED_VALUE"""),"VD029")</f>
        <v>VD029</v>
      </c>
      <c r="I838" s="2">
        <f>IFERROR(__xludf.DUMMYFUNCTION("""COMPUTED_VALUE"""),8.0)</f>
        <v>8</v>
      </c>
      <c r="J838" s="2">
        <f>IFERROR(__xludf.DUMMYFUNCTION("""COMPUTED_VALUE"""),2182.8)</f>
        <v>2182.8</v>
      </c>
      <c r="K838" s="2">
        <f>IFERROR(__xludf.DUMMYFUNCTION("""COMPUTED_VALUE"""),2182.8)</f>
        <v>2182.8</v>
      </c>
    </row>
    <row r="839">
      <c r="A839" s="2">
        <f>IFERROR(__xludf.DUMMYFUNCTION("""COMPUTED_VALUE"""),1000.0)</f>
        <v>1000</v>
      </c>
      <c r="B839" s="2">
        <f>IFERROR(__xludf.DUMMYFUNCTION("""COMPUTED_VALUE"""),184058.0)</f>
        <v>184058</v>
      </c>
      <c r="C839" s="2">
        <f>IFERROR(__xludf.DUMMYFUNCTION("""COMPUTED_VALUE"""),2026.0)</f>
        <v>2026</v>
      </c>
      <c r="D839" s="2">
        <f>IFERROR(__xludf.DUMMYFUNCTION("""COMPUTED_VALUE"""),46222.0)</f>
        <v>46222</v>
      </c>
      <c r="E839" s="2" t="str">
        <f>IFERROR(__xludf.DUMMYFUNCTION("""COMPUTED_VALUE"""),"VF")</f>
        <v>VF</v>
      </c>
      <c r="F839" s="2">
        <f>IFERROR(__xludf.DUMMYFUNCTION("""COMPUTED_VALUE"""),1.0)</f>
        <v>1</v>
      </c>
      <c r="G839" s="2" t="str">
        <f>IFERROR(__xludf.DUMMYFUNCTION("""COMPUTED_VALUE"""),"PR001")</f>
        <v>PR001</v>
      </c>
      <c r="H839" s="2" t="str">
        <f>IFERROR(__xludf.DUMMYFUNCTION("""COMPUTED_VALUE"""),"VD014")</f>
        <v>VD014</v>
      </c>
      <c r="I839" s="2">
        <f>IFERROR(__xludf.DUMMYFUNCTION("""COMPUTED_VALUE"""),6.0)</f>
        <v>6</v>
      </c>
      <c r="J839" s="2">
        <f>IFERROR(__xludf.DUMMYFUNCTION("""COMPUTED_VALUE"""),423.08)</f>
        <v>423.08</v>
      </c>
      <c r="K839" s="2">
        <f>IFERROR(__xludf.DUMMYFUNCTION("""COMPUTED_VALUE"""),423.08)</f>
        <v>423.08</v>
      </c>
    </row>
    <row r="840">
      <c r="A840" s="2">
        <f>IFERROR(__xludf.DUMMYFUNCTION("""COMPUTED_VALUE"""),2000.0)</f>
        <v>2000</v>
      </c>
      <c r="B840" s="2">
        <f>IFERROR(__xludf.DUMMYFUNCTION("""COMPUTED_VALUE"""),184059.0)</f>
        <v>184059</v>
      </c>
      <c r="C840" s="2">
        <f>IFERROR(__xludf.DUMMYFUNCTION("""COMPUTED_VALUE"""),2026.0)</f>
        <v>2026</v>
      </c>
      <c r="D840" s="2">
        <f>IFERROR(__xludf.DUMMYFUNCTION("""COMPUTED_VALUE"""),46222.0)</f>
        <v>46222</v>
      </c>
      <c r="E840" s="2" t="str">
        <f>IFERROR(__xludf.DUMMYFUNCTION("""COMPUTED_VALUE"""),"VF")</f>
        <v>VF</v>
      </c>
      <c r="F840" s="2">
        <f>IFERROR(__xludf.DUMMYFUNCTION("""COMPUTED_VALUE"""),1.0)</f>
        <v>1</v>
      </c>
      <c r="G840" s="2" t="str">
        <f>IFERROR(__xludf.DUMMYFUNCTION("""COMPUTED_VALUE"""),"PR059")</f>
        <v>PR059</v>
      </c>
      <c r="H840" s="2" t="str">
        <f>IFERROR(__xludf.DUMMYFUNCTION("""COMPUTED_VALUE"""),"VD025")</f>
        <v>VD025</v>
      </c>
      <c r="I840" s="2">
        <f>IFERROR(__xludf.DUMMYFUNCTION("""COMPUTED_VALUE"""),12.0)</f>
        <v>12</v>
      </c>
      <c r="J840" s="2">
        <f>IFERROR(__xludf.DUMMYFUNCTION("""COMPUTED_VALUE"""),2289.6)</f>
        <v>2289.6</v>
      </c>
      <c r="K840" s="2">
        <f>IFERROR(__xludf.DUMMYFUNCTION("""COMPUTED_VALUE"""),2289.6)</f>
        <v>2289.6</v>
      </c>
    </row>
    <row r="841">
      <c r="A841" s="2">
        <f>IFERROR(__xludf.DUMMYFUNCTION("""COMPUTED_VALUE"""),1000.0)</f>
        <v>1000</v>
      </c>
      <c r="B841" s="2">
        <f>IFERROR(__xludf.DUMMYFUNCTION("""COMPUTED_VALUE"""),184060.0)</f>
        <v>184060</v>
      </c>
      <c r="C841" s="2">
        <f>IFERROR(__xludf.DUMMYFUNCTION("""COMPUTED_VALUE"""),2026.0)</f>
        <v>2026</v>
      </c>
      <c r="D841" s="2">
        <f>IFERROR(__xludf.DUMMYFUNCTION("""COMPUTED_VALUE"""),46222.0)</f>
        <v>46222</v>
      </c>
      <c r="E841" s="2" t="str">
        <f>IFERROR(__xludf.DUMMYFUNCTION("""COMPUTED_VALUE"""),"VF")</f>
        <v>VF</v>
      </c>
      <c r="F841" s="2">
        <f>IFERROR(__xludf.DUMMYFUNCTION("""COMPUTED_VALUE"""),1.0)</f>
        <v>1</v>
      </c>
      <c r="G841" s="2" t="str">
        <f>IFERROR(__xludf.DUMMYFUNCTION("""COMPUTED_VALUE"""),"PR039")</f>
        <v>PR039</v>
      </c>
      <c r="H841" s="2" t="str">
        <f>IFERROR(__xludf.DUMMYFUNCTION("""COMPUTED_VALUE"""),"VD036")</f>
        <v>VD036</v>
      </c>
      <c r="I841" s="2">
        <f>IFERROR(__xludf.DUMMYFUNCTION("""COMPUTED_VALUE"""),8.0)</f>
        <v>8</v>
      </c>
      <c r="J841" s="2">
        <f>IFERROR(__xludf.DUMMYFUNCTION("""COMPUTED_VALUE"""),1203.04)</f>
        <v>1203.04</v>
      </c>
      <c r="K841" s="2">
        <f>IFERROR(__xludf.DUMMYFUNCTION("""COMPUTED_VALUE"""),1203.04)</f>
        <v>1203.04</v>
      </c>
    </row>
    <row r="842">
      <c r="A842" s="2">
        <f>IFERROR(__xludf.DUMMYFUNCTION("""COMPUTED_VALUE"""),2000.0)</f>
        <v>2000</v>
      </c>
      <c r="B842" s="2">
        <f>IFERROR(__xludf.DUMMYFUNCTION("""COMPUTED_VALUE"""),184060.0)</f>
        <v>184060</v>
      </c>
      <c r="C842" s="2">
        <f>IFERROR(__xludf.DUMMYFUNCTION("""COMPUTED_VALUE"""),2026.0)</f>
        <v>2026</v>
      </c>
      <c r="D842" s="2">
        <f>IFERROR(__xludf.DUMMYFUNCTION("""COMPUTED_VALUE"""),46221.0)</f>
        <v>46221</v>
      </c>
      <c r="E842" s="2" t="str">
        <f>IFERROR(__xludf.DUMMYFUNCTION("""COMPUTED_VALUE"""),"VF")</f>
        <v>VF</v>
      </c>
      <c r="F842" s="2">
        <f>IFERROR(__xludf.DUMMYFUNCTION("""COMPUTED_VALUE"""),2.0)</f>
        <v>2</v>
      </c>
      <c r="G842" s="2" t="str">
        <f>IFERROR(__xludf.DUMMYFUNCTION("""COMPUTED_VALUE"""),"PR026")</f>
        <v>PR026</v>
      </c>
      <c r="H842" s="2" t="str">
        <f>IFERROR(__xludf.DUMMYFUNCTION("""COMPUTED_VALUE"""),"VD026")</f>
        <v>VD026</v>
      </c>
      <c r="I842" s="2">
        <f>IFERROR(__xludf.DUMMYFUNCTION("""COMPUTED_VALUE"""),9.0)</f>
        <v>9</v>
      </c>
      <c r="J842" s="2">
        <f>IFERROR(__xludf.DUMMYFUNCTION("""COMPUTED_VALUE"""),3212.08)</f>
        <v>3212.08</v>
      </c>
      <c r="K842" s="2">
        <f>IFERROR(__xludf.DUMMYFUNCTION("""COMPUTED_VALUE"""),3212.08)</f>
        <v>3212.08</v>
      </c>
    </row>
    <row r="843">
      <c r="A843" s="2">
        <f>IFERROR(__xludf.DUMMYFUNCTION("""COMPUTED_VALUE"""),2000.0)</f>
        <v>2000</v>
      </c>
      <c r="B843" s="2">
        <f>IFERROR(__xludf.DUMMYFUNCTION("""COMPUTED_VALUE"""),184061.0)</f>
        <v>184061</v>
      </c>
      <c r="C843" s="2">
        <f>IFERROR(__xludf.DUMMYFUNCTION("""COMPUTED_VALUE"""),2026.0)</f>
        <v>2026</v>
      </c>
      <c r="D843" s="2">
        <f>IFERROR(__xludf.DUMMYFUNCTION("""COMPUTED_VALUE"""),46221.0)</f>
        <v>46221</v>
      </c>
      <c r="E843" s="2" t="str">
        <f>IFERROR(__xludf.DUMMYFUNCTION("""COMPUTED_VALUE"""),"VF")</f>
        <v>VF</v>
      </c>
      <c r="F843" s="2">
        <f>IFERROR(__xludf.DUMMYFUNCTION("""COMPUTED_VALUE"""),1.0)</f>
        <v>1</v>
      </c>
      <c r="G843" s="2" t="str">
        <f>IFERROR(__xludf.DUMMYFUNCTION("""COMPUTED_VALUE"""),"PR057")</f>
        <v>PR057</v>
      </c>
      <c r="H843" s="2" t="str">
        <f>IFERROR(__xludf.DUMMYFUNCTION("""COMPUTED_VALUE"""),"VD032")</f>
        <v>VD032</v>
      </c>
      <c r="I843" s="2">
        <f>IFERROR(__xludf.DUMMYFUNCTION("""COMPUTED_VALUE"""),8.0)</f>
        <v>8</v>
      </c>
      <c r="J843" s="2">
        <f>IFERROR(__xludf.DUMMYFUNCTION("""COMPUTED_VALUE"""),726.39)</f>
        <v>726.39</v>
      </c>
      <c r="K843" s="2">
        <f>IFERROR(__xludf.DUMMYFUNCTION("""COMPUTED_VALUE"""),726.39)</f>
        <v>726.39</v>
      </c>
    </row>
    <row r="844">
      <c r="A844" s="2">
        <f>IFERROR(__xludf.DUMMYFUNCTION("""COMPUTED_VALUE"""),1000.0)</f>
        <v>1000</v>
      </c>
      <c r="B844" s="2">
        <f>IFERROR(__xludf.DUMMYFUNCTION("""COMPUTED_VALUE"""),184062.0)</f>
        <v>184062</v>
      </c>
      <c r="C844" s="2">
        <f>IFERROR(__xludf.DUMMYFUNCTION("""COMPUTED_VALUE"""),2026.0)</f>
        <v>2026</v>
      </c>
      <c r="D844" s="2">
        <f>IFERROR(__xludf.DUMMYFUNCTION("""COMPUTED_VALUE"""),46220.0)</f>
        <v>46220</v>
      </c>
      <c r="E844" s="2" t="str">
        <f>IFERROR(__xludf.DUMMYFUNCTION("""COMPUTED_VALUE"""),"VF")</f>
        <v>VF</v>
      </c>
      <c r="F844" s="2">
        <f>IFERROR(__xludf.DUMMYFUNCTION("""COMPUTED_VALUE"""),1.0)</f>
        <v>1</v>
      </c>
      <c r="G844" s="2" t="str">
        <f>IFERROR(__xludf.DUMMYFUNCTION("""COMPUTED_VALUE"""),"PR003")</f>
        <v>PR003</v>
      </c>
      <c r="H844" s="2" t="str">
        <f>IFERROR(__xludf.DUMMYFUNCTION("""COMPUTED_VALUE"""),"VD037")</f>
        <v>VD037</v>
      </c>
      <c r="I844" s="2">
        <f>IFERROR(__xludf.DUMMYFUNCTION("""COMPUTED_VALUE"""),20.0)</f>
        <v>20</v>
      </c>
      <c r="J844" s="2">
        <f>IFERROR(__xludf.DUMMYFUNCTION("""COMPUTED_VALUE"""),1418.0)</f>
        <v>1418</v>
      </c>
      <c r="K844" s="2">
        <f>IFERROR(__xludf.DUMMYFUNCTION("""COMPUTED_VALUE"""),1418.0)</f>
        <v>1418</v>
      </c>
    </row>
    <row r="845">
      <c r="A845" s="2">
        <f>IFERROR(__xludf.DUMMYFUNCTION("""COMPUTED_VALUE"""),1000.0)</f>
        <v>1000</v>
      </c>
      <c r="B845" s="2">
        <f>IFERROR(__xludf.DUMMYFUNCTION("""COMPUTED_VALUE"""),184062.0)</f>
        <v>184062</v>
      </c>
      <c r="C845" s="2">
        <f>IFERROR(__xludf.DUMMYFUNCTION("""COMPUTED_VALUE"""),2026.0)</f>
        <v>2026</v>
      </c>
      <c r="D845" s="2">
        <f>IFERROR(__xludf.DUMMYFUNCTION("""COMPUTED_VALUE"""),46220.0)</f>
        <v>46220</v>
      </c>
      <c r="E845" s="2" t="str">
        <f>IFERROR(__xludf.DUMMYFUNCTION("""COMPUTED_VALUE"""),"VF")</f>
        <v>VF</v>
      </c>
      <c r="F845" s="2">
        <f>IFERROR(__xludf.DUMMYFUNCTION("""COMPUTED_VALUE"""),2.0)</f>
        <v>2</v>
      </c>
      <c r="G845" s="2" t="str">
        <f>IFERROR(__xludf.DUMMYFUNCTION("""COMPUTED_VALUE"""),"PR050")</f>
        <v>PR050</v>
      </c>
      <c r="H845" s="2" t="str">
        <f>IFERROR(__xludf.DUMMYFUNCTION("""COMPUTED_VALUE"""),"VD032")</f>
        <v>VD032</v>
      </c>
      <c r="I845" s="2">
        <f>IFERROR(__xludf.DUMMYFUNCTION("""COMPUTED_VALUE"""),2.0)</f>
        <v>2</v>
      </c>
      <c r="J845" s="2">
        <f>IFERROR(__xludf.DUMMYFUNCTION("""COMPUTED_VALUE"""),71.06)</f>
        <v>71.06</v>
      </c>
      <c r="K845" s="2">
        <f>IFERROR(__xludf.DUMMYFUNCTION("""COMPUTED_VALUE"""),71.06)</f>
        <v>71.06</v>
      </c>
    </row>
    <row r="846">
      <c r="A846" s="2">
        <f>IFERROR(__xludf.DUMMYFUNCTION("""COMPUTED_VALUE"""),1000.0)</f>
        <v>1000</v>
      </c>
      <c r="B846" s="2">
        <f>IFERROR(__xludf.DUMMYFUNCTION("""COMPUTED_VALUE"""),184063.0)</f>
        <v>184063</v>
      </c>
      <c r="C846" s="2">
        <f>IFERROR(__xludf.DUMMYFUNCTION("""COMPUTED_VALUE"""),2026.0)</f>
        <v>2026</v>
      </c>
      <c r="D846" s="2">
        <f>IFERROR(__xludf.DUMMYFUNCTION("""COMPUTED_VALUE"""),46220.0)</f>
        <v>46220</v>
      </c>
      <c r="E846" s="2" t="str">
        <f>IFERROR(__xludf.DUMMYFUNCTION("""COMPUTED_VALUE"""),"VF")</f>
        <v>VF</v>
      </c>
      <c r="F846" s="2">
        <f>IFERROR(__xludf.DUMMYFUNCTION("""COMPUTED_VALUE"""),1.0)</f>
        <v>1</v>
      </c>
      <c r="G846" s="2" t="str">
        <f>IFERROR(__xludf.DUMMYFUNCTION("""COMPUTED_VALUE"""),"PR027")</f>
        <v>PR027</v>
      </c>
      <c r="H846" s="2" t="str">
        <f>IFERROR(__xludf.DUMMYFUNCTION("""COMPUTED_VALUE"""),"VD022")</f>
        <v>VD022</v>
      </c>
      <c r="I846" s="2">
        <f>IFERROR(__xludf.DUMMYFUNCTION("""COMPUTED_VALUE"""),6.0)</f>
        <v>6</v>
      </c>
      <c r="J846" s="2">
        <f>IFERROR(__xludf.DUMMYFUNCTION("""COMPUTED_VALUE"""),727.2)</f>
        <v>727.2</v>
      </c>
      <c r="K846" s="2">
        <f>IFERROR(__xludf.DUMMYFUNCTION("""COMPUTED_VALUE"""),727.2)</f>
        <v>727.2</v>
      </c>
    </row>
    <row r="847">
      <c r="A847" s="2">
        <f>IFERROR(__xludf.DUMMYFUNCTION("""COMPUTED_VALUE"""),2000.0)</f>
        <v>2000</v>
      </c>
      <c r="B847" s="2">
        <f>IFERROR(__xludf.DUMMYFUNCTION("""COMPUTED_VALUE"""),184064.0)</f>
        <v>184064</v>
      </c>
      <c r="C847" s="2">
        <f>IFERROR(__xludf.DUMMYFUNCTION("""COMPUTED_VALUE"""),2026.0)</f>
        <v>2026</v>
      </c>
      <c r="D847" s="2">
        <f>IFERROR(__xludf.DUMMYFUNCTION("""COMPUTED_VALUE"""),46219.0)</f>
        <v>46219</v>
      </c>
      <c r="E847" s="2" t="str">
        <f>IFERROR(__xludf.DUMMYFUNCTION("""COMPUTED_VALUE"""),"VF")</f>
        <v>VF</v>
      </c>
      <c r="F847" s="2">
        <f>IFERROR(__xludf.DUMMYFUNCTION("""COMPUTED_VALUE"""),1.0)</f>
        <v>1</v>
      </c>
      <c r="G847" s="2" t="str">
        <f>IFERROR(__xludf.DUMMYFUNCTION("""COMPUTED_VALUE"""),"PR018")</f>
        <v>PR018</v>
      </c>
      <c r="H847" s="2" t="str">
        <f>IFERROR(__xludf.DUMMYFUNCTION("""COMPUTED_VALUE"""),"VD018")</f>
        <v>VD018</v>
      </c>
      <c r="I847" s="2">
        <f>IFERROR(__xludf.DUMMYFUNCTION("""COMPUTED_VALUE"""),8.0)</f>
        <v>8</v>
      </c>
      <c r="J847" s="2">
        <f>IFERROR(__xludf.DUMMYFUNCTION("""COMPUTED_VALUE"""),271.1)</f>
        <v>271.1</v>
      </c>
      <c r="K847" s="2">
        <f>IFERROR(__xludf.DUMMYFUNCTION("""COMPUTED_VALUE"""),271.1)</f>
        <v>271.1</v>
      </c>
    </row>
    <row r="848">
      <c r="A848" s="2">
        <f>IFERROR(__xludf.DUMMYFUNCTION("""COMPUTED_VALUE"""),1000.0)</f>
        <v>1000</v>
      </c>
      <c r="B848" s="2">
        <f>IFERROR(__xludf.DUMMYFUNCTION("""COMPUTED_VALUE"""),184064.0)</f>
        <v>184064</v>
      </c>
      <c r="C848" s="2">
        <f>IFERROR(__xludf.DUMMYFUNCTION("""COMPUTED_VALUE"""),2026.0)</f>
        <v>2026</v>
      </c>
      <c r="D848" s="2">
        <f>IFERROR(__xludf.DUMMYFUNCTION("""COMPUTED_VALUE"""),46219.0)</f>
        <v>46219</v>
      </c>
      <c r="E848" s="2" t="str">
        <f>IFERROR(__xludf.DUMMYFUNCTION("""COMPUTED_VALUE"""),"VF")</f>
        <v>VF</v>
      </c>
      <c r="F848" s="2">
        <f>IFERROR(__xludf.DUMMYFUNCTION("""COMPUTED_VALUE"""),2.0)</f>
        <v>2</v>
      </c>
      <c r="G848" s="2" t="str">
        <f>IFERROR(__xludf.DUMMYFUNCTION("""COMPUTED_VALUE"""),"PR038")</f>
        <v>PR038</v>
      </c>
      <c r="H848" s="2" t="str">
        <f>IFERROR(__xludf.DUMMYFUNCTION("""COMPUTED_VALUE"""),"VD024")</f>
        <v>VD024</v>
      </c>
      <c r="I848" s="2">
        <f>IFERROR(__xludf.DUMMYFUNCTION("""COMPUTED_VALUE"""),3.0)</f>
        <v>3</v>
      </c>
      <c r="J848" s="2">
        <f>IFERROR(__xludf.DUMMYFUNCTION("""COMPUTED_VALUE"""),437.27)</f>
        <v>437.27</v>
      </c>
      <c r="K848" s="2">
        <f>IFERROR(__xludf.DUMMYFUNCTION("""COMPUTED_VALUE"""),437.27)</f>
        <v>437.27</v>
      </c>
    </row>
    <row r="849">
      <c r="A849" s="2">
        <f>IFERROR(__xludf.DUMMYFUNCTION("""COMPUTED_VALUE"""),1000.0)</f>
        <v>1000</v>
      </c>
      <c r="B849" s="2">
        <f>IFERROR(__xludf.DUMMYFUNCTION("""COMPUTED_VALUE"""),184065.0)</f>
        <v>184065</v>
      </c>
      <c r="C849" s="2">
        <f>IFERROR(__xludf.DUMMYFUNCTION("""COMPUTED_VALUE"""),2026.0)</f>
        <v>2026</v>
      </c>
      <c r="D849" s="2">
        <f>IFERROR(__xludf.DUMMYFUNCTION("""COMPUTED_VALUE"""),46219.0)</f>
        <v>46219</v>
      </c>
      <c r="E849" s="2" t="str">
        <f>IFERROR(__xludf.DUMMYFUNCTION("""COMPUTED_VALUE"""),"VF")</f>
        <v>VF</v>
      </c>
      <c r="F849" s="2">
        <f>IFERROR(__xludf.DUMMYFUNCTION("""COMPUTED_VALUE"""),1.0)</f>
        <v>1</v>
      </c>
      <c r="G849" s="2" t="str">
        <f>IFERROR(__xludf.DUMMYFUNCTION("""COMPUTED_VALUE"""),"PR046")</f>
        <v>PR046</v>
      </c>
      <c r="H849" s="2" t="str">
        <f>IFERROR(__xludf.DUMMYFUNCTION("""COMPUTED_VALUE"""),"VD012")</f>
        <v>VD012</v>
      </c>
      <c r="I849" s="2">
        <f>IFERROR(__xludf.DUMMYFUNCTION("""COMPUTED_VALUE"""),12.0)</f>
        <v>12</v>
      </c>
      <c r="J849" s="2">
        <f>IFERROR(__xludf.DUMMYFUNCTION("""COMPUTED_VALUE"""),3617.95)</f>
        <v>3617.95</v>
      </c>
      <c r="K849" s="2">
        <f>IFERROR(__xludf.DUMMYFUNCTION("""COMPUTED_VALUE"""),3617.95)</f>
        <v>3617.95</v>
      </c>
    </row>
    <row r="850">
      <c r="A850" s="2">
        <f>IFERROR(__xludf.DUMMYFUNCTION("""COMPUTED_VALUE"""),1000.0)</f>
        <v>1000</v>
      </c>
      <c r="B850" s="2">
        <f>IFERROR(__xludf.DUMMYFUNCTION("""COMPUTED_VALUE"""),184066.0)</f>
        <v>184066</v>
      </c>
      <c r="C850" s="2">
        <f>IFERROR(__xludf.DUMMYFUNCTION("""COMPUTED_VALUE"""),2026.0)</f>
        <v>2026</v>
      </c>
      <c r="D850" s="2">
        <f>IFERROR(__xludf.DUMMYFUNCTION("""COMPUTED_VALUE"""),46219.0)</f>
        <v>46219</v>
      </c>
      <c r="E850" s="2" t="str">
        <f>IFERROR(__xludf.DUMMYFUNCTION("""COMPUTED_VALUE"""),"VF")</f>
        <v>VF</v>
      </c>
      <c r="F850" s="2">
        <f>IFERROR(__xludf.DUMMYFUNCTION("""COMPUTED_VALUE"""),1.0)</f>
        <v>1</v>
      </c>
      <c r="G850" s="2" t="str">
        <f>IFERROR(__xludf.DUMMYFUNCTION("""COMPUTED_VALUE"""),"PR008")</f>
        <v>PR008</v>
      </c>
      <c r="H850" s="2" t="str">
        <f>IFERROR(__xludf.DUMMYFUNCTION("""COMPUTED_VALUE"""),"VD023")</f>
        <v>VD023</v>
      </c>
      <c r="I850" s="2">
        <f>IFERROR(__xludf.DUMMYFUNCTION("""COMPUTED_VALUE"""),4.0)</f>
        <v>4</v>
      </c>
      <c r="J850" s="2">
        <f>IFERROR(__xludf.DUMMYFUNCTION("""COMPUTED_VALUE"""),391.96)</f>
        <v>391.96</v>
      </c>
      <c r="K850" s="2">
        <f>IFERROR(__xludf.DUMMYFUNCTION("""COMPUTED_VALUE"""),391.96)</f>
        <v>391.96</v>
      </c>
    </row>
    <row r="851">
      <c r="A851" s="2">
        <f>IFERROR(__xludf.DUMMYFUNCTION("""COMPUTED_VALUE"""),2000.0)</f>
        <v>2000</v>
      </c>
      <c r="B851" s="2">
        <f>IFERROR(__xludf.DUMMYFUNCTION("""COMPUTED_VALUE"""),184067.0)</f>
        <v>184067</v>
      </c>
      <c r="C851" s="2">
        <f>IFERROR(__xludf.DUMMYFUNCTION("""COMPUTED_VALUE"""),2026.0)</f>
        <v>2026</v>
      </c>
      <c r="D851" s="2">
        <f>IFERROR(__xludf.DUMMYFUNCTION("""COMPUTED_VALUE"""),46219.0)</f>
        <v>46219</v>
      </c>
      <c r="E851" s="2" t="str">
        <f>IFERROR(__xludf.DUMMYFUNCTION("""COMPUTED_VALUE"""),"VF")</f>
        <v>VF</v>
      </c>
      <c r="F851" s="2">
        <f>IFERROR(__xludf.DUMMYFUNCTION("""COMPUTED_VALUE"""),1.0)</f>
        <v>1</v>
      </c>
      <c r="G851" s="2" t="str">
        <f>IFERROR(__xludf.DUMMYFUNCTION("""COMPUTED_VALUE"""),"PR022")</f>
        <v>PR022</v>
      </c>
      <c r="H851" s="2" t="str">
        <f>IFERROR(__xludf.DUMMYFUNCTION("""COMPUTED_VALUE"""),"VD018")</f>
        <v>VD018</v>
      </c>
      <c r="I851" s="2">
        <f>IFERROR(__xludf.DUMMYFUNCTION("""COMPUTED_VALUE"""),18.0)</f>
        <v>18</v>
      </c>
      <c r="J851" s="2">
        <f>IFERROR(__xludf.DUMMYFUNCTION("""COMPUTED_VALUE"""),5778.0)</f>
        <v>5778</v>
      </c>
      <c r="K851" s="2">
        <f>IFERROR(__xludf.DUMMYFUNCTION("""COMPUTED_VALUE"""),5778.0)</f>
        <v>5778</v>
      </c>
    </row>
    <row r="852">
      <c r="A852" s="2">
        <f>IFERROR(__xludf.DUMMYFUNCTION("""COMPUTED_VALUE"""),1000.0)</f>
        <v>1000</v>
      </c>
      <c r="B852" s="2">
        <f>IFERROR(__xludf.DUMMYFUNCTION("""COMPUTED_VALUE"""),184068.0)</f>
        <v>184068</v>
      </c>
      <c r="C852" s="2">
        <f>IFERROR(__xludf.DUMMYFUNCTION("""COMPUTED_VALUE"""),2026.0)</f>
        <v>2026</v>
      </c>
      <c r="D852" s="2">
        <f>IFERROR(__xludf.DUMMYFUNCTION("""COMPUTED_VALUE"""),46219.0)</f>
        <v>46219</v>
      </c>
      <c r="E852" s="2" t="str">
        <f>IFERROR(__xludf.DUMMYFUNCTION("""COMPUTED_VALUE"""),"VF")</f>
        <v>VF</v>
      </c>
      <c r="F852" s="2">
        <f>IFERROR(__xludf.DUMMYFUNCTION("""COMPUTED_VALUE"""),1.0)</f>
        <v>1</v>
      </c>
      <c r="G852" s="2" t="str">
        <f>IFERROR(__xludf.DUMMYFUNCTION("""COMPUTED_VALUE"""),"PR038")</f>
        <v>PR038</v>
      </c>
      <c r="H852" s="2" t="str">
        <f>IFERROR(__xludf.DUMMYFUNCTION("""COMPUTED_VALUE"""),"VD020")</f>
        <v>VD020</v>
      </c>
      <c r="I852" s="2">
        <f>IFERROR(__xludf.DUMMYFUNCTION("""COMPUTED_VALUE"""),18.0)</f>
        <v>18</v>
      </c>
      <c r="J852" s="2">
        <f>IFERROR(__xludf.DUMMYFUNCTION("""COMPUTED_VALUE"""),2726.53)</f>
        <v>2726.53</v>
      </c>
      <c r="K852" s="2">
        <f>IFERROR(__xludf.DUMMYFUNCTION("""COMPUTED_VALUE"""),2726.53)</f>
        <v>2726.53</v>
      </c>
    </row>
    <row r="853">
      <c r="A853" s="2">
        <f>IFERROR(__xludf.DUMMYFUNCTION("""COMPUTED_VALUE"""),1000.0)</f>
        <v>1000</v>
      </c>
      <c r="B853" s="2">
        <f>IFERROR(__xludf.DUMMYFUNCTION("""COMPUTED_VALUE"""),184068.0)</f>
        <v>184068</v>
      </c>
      <c r="C853" s="2">
        <f>IFERROR(__xludf.DUMMYFUNCTION("""COMPUTED_VALUE"""),2026.0)</f>
        <v>2026</v>
      </c>
      <c r="D853" s="2">
        <f>IFERROR(__xludf.DUMMYFUNCTION("""COMPUTED_VALUE"""),46219.0)</f>
        <v>46219</v>
      </c>
      <c r="E853" s="2" t="str">
        <f>IFERROR(__xludf.DUMMYFUNCTION("""COMPUTED_VALUE"""),"VF")</f>
        <v>VF</v>
      </c>
      <c r="F853" s="2">
        <f>IFERROR(__xludf.DUMMYFUNCTION("""COMPUTED_VALUE"""),2.0)</f>
        <v>2</v>
      </c>
      <c r="G853" s="2" t="str">
        <f>IFERROR(__xludf.DUMMYFUNCTION("""COMPUTED_VALUE"""),"PR045")</f>
        <v>PR045</v>
      </c>
      <c r="H853" s="2" t="str">
        <f>IFERROR(__xludf.DUMMYFUNCTION("""COMPUTED_VALUE"""),"VD039")</f>
        <v>VD039</v>
      </c>
      <c r="I853" s="2">
        <f>IFERROR(__xludf.DUMMYFUNCTION("""COMPUTED_VALUE"""),6.0)</f>
        <v>6</v>
      </c>
      <c r="J853" s="2">
        <f>IFERROR(__xludf.DUMMYFUNCTION("""COMPUTED_VALUE"""),465.45)</f>
        <v>465.45</v>
      </c>
      <c r="K853" s="2">
        <f>IFERROR(__xludf.DUMMYFUNCTION("""COMPUTED_VALUE"""),465.45)</f>
        <v>465.45</v>
      </c>
    </row>
    <row r="854">
      <c r="A854" s="2">
        <f>IFERROR(__xludf.DUMMYFUNCTION("""COMPUTED_VALUE"""),1000.0)</f>
        <v>1000</v>
      </c>
      <c r="B854" s="2">
        <f>IFERROR(__xludf.DUMMYFUNCTION("""COMPUTED_VALUE"""),184069.0)</f>
        <v>184069</v>
      </c>
      <c r="C854" s="2">
        <f>IFERROR(__xludf.DUMMYFUNCTION("""COMPUTED_VALUE"""),2026.0)</f>
        <v>2026</v>
      </c>
      <c r="D854" s="2">
        <f>IFERROR(__xludf.DUMMYFUNCTION("""COMPUTED_VALUE"""),46219.0)</f>
        <v>46219</v>
      </c>
      <c r="E854" s="2" t="str">
        <f>IFERROR(__xludf.DUMMYFUNCTION("""COMPUTED_VALUE"""),"VF")</f>
        <v>VF</v>
      </c>
      <c r="F854" s="2">
        <f>IFERROR(__xludf.DUMMYFUNCTION("""COMPUTED_VALUE"""),1.0)</f>
        <v>1</v>
      </c>
      <c r="G854" s="2" t="str">
        <f>IFERROR(__xludf.DUMMYFUNCTION("""COMPUTED_VALUE"""),"PR005")</f>
        <v>PR005</v>
      </c>
      <c r="H854" s="2" t="str">
        <f>IFERROR(__xludf.DUMMYFUNCTION("""COMPUTED_VALUE"""),"VD048")</f>
        <v>VD048</v>
      </c>
      <c r="I854" s="2">
        <f>IFERROR(__xludf.DUMMYFUNCTION("""COMPUTED_VALUE"""),9.0)</f>
        <v>9</v>
      </c>
      <c r="J854" s="2">
        <f>IFERROR(__xludf.DUMMYFUNCTION("""COMPUTED_VALUE"""),2456.06)</f>
        <v>2456.06</v>
      </c>
      <c r="K854" s="2">
        <f>IFERROR(__xludf.DUMMYFUNCTION("""COMPUTED_VALUE"""),2456.06)</f>
        <v>2456.06</v>
      </c>
    </row>
    <row r="855">
      <c r="A855" s="2">
        <f>IFERROR(__xludf.DUMMYFUNCTION("""COMPUTED_VALUE"""),1000.0)</f>
        <v>1000</v>
      </c>
      <c r="B855" s="2">
        <f>IFERROR(__xludf.DUMMYFUNCTION("""COMPUTED_VALUE"""),184070.0)</f>
        <v>184070</v>
      </c>
      <c r="C855" s="2">
        <f>IFERROR(__xludf.DUMMYFUNCTION("""COMPUTED_VALUE"""),2026.0)</f>
        <v>2026</v>
      </c>
      <c r="D855" s="2">
        <f>IFERROR(__xludf.DUMMYFUNCTION("""COMPUTED_VALUE"""),46218.0)</f>
        <v>46218</v>
      </c>
      <c r="E855" s="2" t="str">
        <f>IFERROR(__xludf.DUMMYFUNCTION("""COMPUTED_VALUE"""),"VF")</f>
        <v>VF</v>
      </c>
      <c r="F855" s="2">
        <f>IFERROR(__xludf.DUMMYFUNCTION("""COMPUTED_VALUE"""),1.0)</f>
        <v>1</v>
      </c>
      <c r="G855" s="2" t="str">
        <f>IFERROR(__xludf.DUMMYFUNCTION("""COMPUTED_VALUE"""),"PR009")</f>
        <v>PR009</v>
      </c>
      <c r="H855" s="2" t="str">
        <f>IFERROR(__xludf.DUMMYFUNCTION("""COMPUTED_VALUE"""),"VD048")</f>
        <v>VD048</v>
      </c>
      <c r="I855" s="2">
        <f>IFERROR(__xludf.DUMMYFUNCTION("""COMPUTED_VALUE"""),5.0)</f>
        <v>5</v>
      </c>
      <c r="J855" s="2">
        <f>IFERROR(__xludf.DUMMYFUNCTION("""COMPUTED_VALUE"""),469.15)</f>
        <v>469.15</v>
      </c>
      <c r="K855" s="2">
        <f>IFERROR(__xludf.DUMMYFUNCTION("""COMPUTED_VALUE"""),469.15)</f>
        <v>469.15</v>
      </c>
    </row>
    <row r="856">
      <c r="A856" s="2">
        <f>IFERROR(__xludf.DUMMYFUNCTION("""COMPUTED_VALUE"""),1000.0)</f>
        <v>1000</v>
      </c>
      <c r="B856" s="2">
        <f>IFERROR(__xludf.DUMMYFUNCTION("""COMPUTED_VALUE"""),184071.0)</f>
        <v>184071</v>
      </c>
      <c r="C856" s="2">
        <f>IFERROR(__xludf.DUMMYFUNCTION("""COMPUTED_VALUE"""),2026.0)</f>
        <v>2026</v>
      </c>
      <c r="D856" s="2">
        <f>IFERROR(__xludf.DUMMYFUNCTION("""COMPUTED_VALUE"""),46218.0)</f>
        <v>46218</v>
      </c>
      <c r="E856" s="2" t="str">
        <f>IFERROR(__xludf.DUMMYFUNCTION("""COMPUTED_VALUE"""),"VF")</f>
        <v>VF</v>
      </c>
      <c r="F856" s="2">
        <f>IFERROR(__xludf.DUMMYFUNCTION("""COMPUTED_VALUE"""),1.0)</f>
        <v>1</v>
      </c>
      <c r="G856" s="2" t="str">
        <f>IFERROR(__xludf.DUMMYFUNCTION("""COMPUTED_VALUE"""),"PR025")</f>
        <v>PR025</v>
      </c>
      <c r="H856" s="2" t="str">
        <f>IFERROR(__xludf.DUMMYFUNCTION("""COMPUTED_VALUE"""),"VD016")</f>
        <v>VD016</v>
      </c>
      <c r="I856" s="2">
        <f>IFERROR(__xludf.DUMMYFUNCTION("""COMPUTED_VALUE"""),1.0)</f>
        <v>1</v>
      </c>
      <c r="J856" s="2">
        <f>IFERROR(__xludf.DUMMYFUNCTION("""COMPUTED_VALUE"""),311.9)</f>
        <v>311.9</v>
      </c>
      <c r="K856" s="2">
        <f>IFERROR(__xludf.DUMMYFUNCTION("""COMPUTED_VALUE"""),311.9)</f>
        <v>311.9</v>
      </c>
    </row>
    <row r="857">
      <c r="A857" s="2">
        <f>IFERROR(__xludf.DUMMYFUNCTION("""COMPUTED_VALUE"""),1000.0)</f>
        <v>1000</v>
      </c>
      <c r="B857" s="2">
        <f>IFERROR(__xludf.DUMMYFUNCTION("""COMPUTED_VALUE"""),184072.0)</f>
        <v>184072</v>
      </c>
      <c r="C857" s="2">
        <f>IFERROR(__xludf.DUMMYFUNCTION("""COMPUTED_VALUE"""),2026.0)</f>
        <v>2026</v>
      </c>
      <c r="D857" s="2">
        <f>IFERROR(__xludf.DUMMYFUNCTION("""COMPUTED_VALUE"""),46218.0)</f>
        <v>46218</v>
      </c>
      <c r="E857" s="2" t="str">
        <f>IFERROR(__xludf.DUMMYFUNCTION("""COMPUTED_VALUE"""),"VF")</f>
        <v>VF</v>
      </c>
      <c r="F857" s="2">
        <f>IFERROR(__xludf.DUMMYFUNCTION("""COMPUTED_VALUE"""),1.0)</f>
        <v>1</v>
      </c>
      <c r="G857" s="2" t="str">
        <f>IFERROR(__xludf.DUMMYFUNCTION("""COMPUTED_VALUE"""),"PR037")</f>
        <v>PR037</v>
      </c>
      <c r="H857" s="2" t="str">
        <f>IFERROR(__xludf.DUMMYFUNCTION("""COMPUTED_VALUE"""),"VD045")</f>
        <v>VD045</v>
      </c>
      <c r="I857" s="2">
        <f>IFERROR(__xludf.DUMMYFUNCTION("""COMPUTED_VALUE"""),7.0)</f>
        <v>7</v>
      </c>
      <c r="J857" s="2">
        <f>IFERROR(__xludf.DUMMYFUNCTION("""COMPUTED_VALUE"""),1078.0)</f>
        <v>1078</v>
      </c>
      <c r="K857" s="2">
        <f>IFERROR(__xludf.DUMMYFUNCTION("""COMPUTED_VALUE"""),1078.0)</f>
        <v>1078</v>
      </c>
    </row>
    <row r="858">
      <c r="A858" s="2">
        <f>IFERROR(__xludf.DUMMYFUNCTION("""COMPUTED_VALUE"""),1000.0)</f>
        <v>1000</v>
      </c>
      <c r="B858" s="2">
        <f>IFERROR(__xludf.DUMMYFUNCTION("""COMPUTED_VALUE"""),184073.0)</f>
        <v>184073</v>
      </c>
      <c r="C858" s="2">
        <f>IFERROR(__xludf.DUMMYFUNCTION("""COMPUTED_VALUE"""),2026.0)</f>
        <v>2026</v>
      </c>
      <c r="D858" s="2">
        <f>IFERROR(__xludf.DUMMYFUNCTION("""COMPUTED_VALUE"""),46218.0)</f>
        <v>46218</v>
      </c>
      <c r="E858" s="2" t="str">
        <f>IFERROR(__xludf.DUMMYFUNCTION("""COMPUTED_VALUE"""),"VF")</f>
        <v>VF</v>
      </c>
      <c r="F858" s="2">
        <f>IFERROR(__xludf.DUMMYFUNCTION("""COMPUTED_VALUE"""),1.0)</f>
        <v>1</v>
      </c>
      <c r="G858" s="2" t="str">
        <f>IFERROR(__xludf.DUMMYFUNCTION("""COMPUTED_VALUE"""),"PR035")</f>
        <v>PR035</v>
      </c>
      <c r="H858" s="2" t="str">
        <f>IFERROR(__xludf.DUMMYFUNCTION("""COMPUTED_VALUE"""),"VD040")</f>
        <v>VD040</v>
      </c>
      <c r="I858" s="2">
        <f>IFERROR(__xludf.DUMMYFUNCTION("""COMPUTED_VALUE"""),6.0)</f>
        <v>6</v>
      </c>
      <c r="J858" s="2">
        <f>IFERROR(__xludf.DUMMYFUNCTION("""COMPUTED_VALUE"""),559.37)</f>
        <v>559.37</v>
      </c>
      <c r="K858" s="2">
        <f>IFERROR(__xludf.DUMMYFUNCTION("""COMPUTED_VALUE"""),559.37)</f>
        <v>559.37</v>
      </c>
    </row>
    <row r="859">
      <c r="A859" s="2">
        <f>IFERROR(__xludf.DUMMYFUNCTION("""COMPUTED_VALUE"""),1000.0)</f>
        <v>1000</v>
      </c>
      <c r="B859" s="2">
        <f>IFERROR(__xludf.DUMMYFUNCTION("""COMPUTED_VALUE"""),184074.0)</f>
        <v>184074</v>
      </c>
      <c r="C859" s="2">
        <f>IFERROR(__xludf.DUMMYFUNCTION("""COMPUTED_VALUE"""),2026.0)</f>
        <v>2026</v>
      </c>
      <c r="D859" s="2">
        <f>IFERROR(__xludf.DUMMYFUNCTION("""COMPUTED_VALUE"""),46218.0)</f>
        <v>46218</v>
      </c>
      <c r="E859" s="2" t="str">
        <f>IFERROR(__xludf.DUMMYFUNCTION("""COMPUTED_VALUE"""),"VF")</f>
        <v>VF</v>
      </c>
      <c r="F859" s="2">
        <f>IFERROR(__xludf.DUMMYFUNCTION("""COMPUTED_VALUE"""),1.0)</f>
        <v>1</v>
      </c>
      <c r="G859" s="2" t="str">
        <f>IFERROR(__xludf.DUMMYFUNCTION("""COMPUTED_VALUE"""),"PR047")</f>
        <v>PR047</v>
      </c>
      <c r="H859" s="2" t="str">
        <f>IFERROR(__xludf.DUMMYFUNCTION("""COMPUTED_VALUE"""),"VD035")</f>
        <v>VD035</v>
      </c>
      <c r="I859" s="2">
        <f>IFERROR(__xludf.DUMMYFUNCTION("""COMPUTED_VALUE"""),6.0)</f>
        <v>6</v>
      </c>
      <c r="J859" s="2">
        <f>IFERROR(__xludf.DUMMYFUNCTION("""COMPUTED_VALUE"""),1913.34)</f>
        <v>1913.34</v>
      </c>
      <c r="K859" s="2">
        <f>IFERROR(__xludf.DUMMYFUNCTION("""COMPUTED_VALUE"""),1913.34)</f>
        <v>1913.34</v>
      </c>
    </row>
    <row r="860">
      <c r="A860" s="2">
        <f>IFERROR(__xludf.DUMMYFUNCTION("""COMPUTED_VALUE"""),1000.0)</f>
        <v>1000</v>
      </c>
      <c r="B860" s="2">
        <f>IFERROR(__xludf.DUMMYFUNCTION("""COMPUTED_VALUE"""),184075.0)</f>
        <v>184075</v>
      </c>
      <c r="C860" s="2">
        <f>IFERROR(__xludf.DUMMYFUNCTION("""COMPUTED_VALUE"""),2026.0)</f>
        <v>2026</v>
      </c>
      <c r="D860" s="2">
        <f>IFERROR(__xludf.DUMMYFUNCTION("""COMPUTED_VALUE"""),46218.0)</f>
        <v>46218</v>
      </c>
      <c r="E860" s="2" t="str">
        <f>IFERROR(__xludf.DUMMYFUNCTION("""COMPUTED_VALUE"""),"VF")</f>
        <v>VF</v>
      </c>
      <c r="F860" s="2">
        <f>IFERROR(__xludf.DUMMYFUNCTION("""COMPUTED_VALUE"""),1.0)</f>
        <v>1</v>
      </c>
      <c r="G860" s="2" t="str">
        <f>IFERROR(__xludf.DUMMYFUNCTION("""COMPUTED_VALUE"""),"PR021")</f>
        <v>PR021</v>
      </c>
      <c r="H860" s="2" t="str">
        <f>IFERROR(__xludf.DUMMYFUNCTION("""COMPUTED_VALUE"""),"VD046")</f>
        <v>VD046</v>
      </c>
      <c r="I860" s="2">
        <f>IFERROR(__xludf.DUMMYFUNCTION("""COMPUTED_VALUE"""),1.0)</f>
        <v>1</v>
      </c>
      <c r="J860" s="2">
        <f>IFERROR(__xludf.DUMMYFUNCTION("""COMPUTED_VALUE"""),318.05)</f>
        <v>318.05</v>
      </c>
      <c r="K860" s="2">
        <f>IFERROR(__xludf.DUMMYFUNCTION("""COMPUTED_VALUE"""),318.05)</f>
        <v>318.05</v>
      </c>
    </row>
    <row r="861">
      <c r="A861" s="2">
        <f>IFERROR(__xludf.DUMMYFUNCTION("""COMPUTED_VALUE"""),1000.0)</f>
        <v>1000</v>
      </c>
      <c r="B861" s="2">
        <f>IFERROR(__xludf.DUMMYFUNCTION("""COMPUTED_VALUE"""),184076.0)</f>
        <v>184076</v>
      </c>
      <c r="C861" s="2">
        <f>IFERROR(__xludf.DUMMYFUNCTION("""COMPUTED_VALUE"""),2026.0)</f>
        <v>2026</v>
      </c>
      <c r="D861" s="2">
        <f>IFERROR(__xludf.DUMMYFUNCTION("""COMPUTED_VALUE"""),46218.0)</f>
        <v>46218</v>
      </c>
      <c r="E861" s="2" t="str">
        <f>IFERROR(__xludf.DUMMYFUNCTION("""COMPUTED_VALUE"""),"VF")</f>
        <v>VF</v>
      </c>
      <c r="F861" s="2">
        <f>IFERROR(__xludf.DUMMYFUNCTION("""COMPUTED_VALUE"""),1.0)</f>
        <v>1</v>
      </c>
      <c r="G861" s="2" t="str">
        <f>IFERROR(__xludf.DUMMYFUNCTION("""COMPUTED_VALUE"""),"PR019")</f>
        <v>PR019</v>
      </c>
      <c r="H861" s="2" t="str">
        <f>IFERROR(__xludf.DUMMYFUNCTION("""COMPUTED_VALUE"""),"VD019")</f>
        <v>VD019</v>
      </c>
      <c r="I861" s="2">
        <f>IFERROR(__xludf.DUMMYFUNCTION("""COMPUTED_VALUE"""),12.0)</f>
        <v>12</v>
      </c>
      <c r="J861" s="2">
        <f>IFERROR(__xludf.DUMMYFUNCTION("""COMPUTED_VALUE"""),652.69)</f>
        <v>652.69</v>
      </c>
      <c r="K861" s="2">
        <f>IFERROR(__xludf.DUMMYFUNCTION("""COMPUTED_VALUE"""),652.69)</f>
        <v>652.69</v>
      </c>
    </row>
    <row r="862">
      <c r="A862" s="2">
        <f>IFERROR(__xludf.DUMMYFUNCTION("""COMPUTED_VALUE"""),1000.0)</f>
        <v>1000</v>
      </c>
      <c r="B862" s="2">
        <f>IFERROR(__xludf.DUMMYFUNCTION("""COMPUTED_VALUE"""),184077.0)</f>
        <v>184077</v>
      </c>
      <c r="C862" s="2">
        <f>IFERROR(__xludf.DUMMYFUNCTION("""COMPUTED_VALUE"""),2026.0)</f>
        <v>2026</v>
      </c>
      <c r="D862" s="2">
        <f>IFERROR(__xludf.DUMMYFUNCTION("""COMPUTED_VALUE"""),46218.0)</f>
        <v>46218</v>
      </c>
      <c r="E862" s="2" t="str">
        <f>IFERROR(__xludf.DUMMYFUNCTION("""COMPUTED_VALUE"""),"VF")</f>
        <v>VF</v>
      </c>
      <c r="F862" s="2">
        <f>IFERROR(__xludf.DUMMYFUNCTION("""COMPUTED_VALUE"""),1.0)</f>
        <v>1</v>
      </c>
      <c r="G862" s="2" t="str">
        <f>IFERROR(__xludf.DUMMYFUNCTION("""COMPUTED_VALUE"""),"PR053")</f>
        <v>PR053</v>
      </c>
      <c r="H862" s="2" t="str">
        <f>IFERROR(__xludf.DUMMYFUNCTION("""COMPUTED_VALUE"""),"VD041")</f>
        <v>VD041</v>
      </c>
      <c r="I862" s="2">
        <f>IFERROR(__xludf.DUMMYFUNCTION("""COMPUTED_VALUE"""),8.0)</f>
        <v>8</v>
      </c>
      <c r="J862" s="2">
        <f>IFERROR(__xludf.DUMMYFUNCTION("""COMPUTED_VALUE"""),411.18)</f>
        <v>411.18</v>
      </c>
      <c r="K862" s="2">
        <f>IFERROR(__xludf.DUMMYFUNCTION("""COMPUTED_VALUE"""),411.18)</f>
        <v>411.18</v>
      </c>
    </row>
    <row r="863">
      <c r="A863" s="2">
        <f>IFERROR(__xludf.DUMMYFUNCTION("""COMPUTED_VALUE"""),1000.0)</f>
        <v>1000</v>
      </c>
      <c r="B863" s="2">
        <f>IFERROR(__xludf.DUMMYFUNCTION("""COMPUTED_VALUE"""),184078.0)</f>
        <v>184078</v>
      </c>
      <c r="C863" s="2">
        <f>IFERROR(__xludf.DUMMYFUNCTION("""COMPUTED_VALUE"""),2026.0)</f>
        <v>2026</v>
      </c>
      <c r="D863" s="2">
        <f>IFERROR(__xludf.DUMMYFUNCTION("""COMPUTED_VALUE"""),46218.0)</f>
        <v>46218</v>
      </c>
      <c r="E863" s="2" t="str">
        <f>IFERROR(__xludf.DUMMYFUNCTION("""COMPUTED_VALUE"""),"VF")</f>
        <v>VF</v>
      </c>
      <c r="F863" s="2">
        <f>IFERROR(__xludf.DUMMYFUNCTION("""COMPUTED_VALUE"""),1.0)</f>
        <v>1</v>
      </c>
      <c r="G863" s="2" t="str">
        <f>IFERROR(__xludf.DUMMYFUNCTION("""COMPUTED_VALUE"""),"PR051")</f>
        <v>PR051</v>
      </c>
      <c r="H863" s="2" t="str">
        <f>IFERROR(__xludf.DUMMYFUNCTION("""COMPUTED_VALUE"""),"VD023")</f>
        <v>VD023</v>
      </c>
      <c r="I863" s="2">
        <f>IFERROR(__xludf.DUMMYFUNCTION("""COMPUTED_VALUE"""),7.0)</f>
        <v>7</v>
      </c>
      <c r="J863" s="2">
        <f>IFERROR(__xludf.DUMMYFUNCTION("""COMPUTED_VALUE"""),244.12)</f>
        <v>244.12</v>
      </c>
      <c r="K863" s="2">
        <f>IFERROR(__xludf.DUMMYFUNCTION("""COMPUTED_VALUE"""),244.12)</f>
        <v>244.12</v>
      </c>
    </row>
    <row r="864">
      <c r="A864" s="2">
        <f>IFERROR(__xludf.DUMMYFUNCTION("""COMPUTED_VALUE"""),1000.0)</f>
        <v>1000</v>
      </c>
      <c r="B864" s="2">
        <f>IFERROR(__xludf.DUMMYFUNCTION("""COMPUTED_VALUE"""),184079.0)</f>
        <v>184079</v>
      </c>
      <c r="C864" s="2">
        <f>IFERROR(__xludf.DUMMYFUNCTION("""COMPUTED_VALUE"""),2026.0)</f>
        <v>2026</v>
      </c>
      <c r="D864" s="2">
        <f>IFERROR(__xludf.DUMMYFUNCTION("""COMPUTED_VALUE"""),46218.0)</f>
        <v>46218</v>
      </c>
      <c r="E864" s="2" t="str">
        <f>IFERROR(__xludf.DUMMYFUNCTION("""COMPUTED_VALUE"""),"VF")</f>
        <v>VF</v>
      </c>
      <c r="F864" s="2">
        <f>IFERROR(__xludf.DUMMYFUNCTION("""COMPUTED_VALUE"""),1.0)</f>
        <v>1</v>
      </c>
      <c r="G864" s="2" t="str">
        <f>IFERROR(__xludf.DUMMYFUNCTION("""COMPUTED_VALUE"""),"PR047")</f>
        <v>PR047</v>
      </c>
      <c r="H864" s="2" t="str">
        <f>IFERROR(__xludf.DUMMYFUNCTION("""COMPUTED_VALUE"""),"VD021")</f>
        <v>VD021</v>
      </c>
      <c r="I864" s="2">
        <f>IFERROR(__xludf.DUMMYFUNCTION("""COMPUTED_VALUE"""),2.0)</f>
        <v>2</v>
      </c>
      <c r="J864" s="2">
        <f>IFERROR(__xludf.DUMMYFUNCTION("""COMPUTED_VALUE"""),597.19)</f>
        <v>597.19</v>
      </c>
      <c r="K864" s="2">
        <f>IFERROR(__xludf.DUMMYFUNCTION("""COMPUTED_VALUE"""),597.19)</f>
        <v>597.19</v>
      </c>
    </row>
    <row r="865">
      <c r="A865" s="2">
        <f>IFERROR(__xludf.DUMMYFUNCTION("""COMPUTED_VALUE"""),1000.0)</f>
        <v>1000</v>
      </c>
      <c r="B865" s="2">
        <f>IFERROR(__xludf.DUMMYFUNCTION("""COMPUTED_VALUE"""),184080.0)</f>
        <v>184080</v>
      </c>
      <c r="C865" s="2">
        <f>IFERROR(__xludf.DUMMYFUNCTION("""COMPUTED_VALUE"""),2026.0)</f>
        <v>2026</v>
      </c>
      <c r="D865" s="2">
        <f>IFERROR(__xludf.DUMMYFUNCTION("""COMPUTED_VALUE"""),46218.0)</f>
        <v>46218</v>
      </c>
      <c r="E865" s="2" t="str">
        <f>IFERROR(__xludf.DUMMYFUNCTION("""COMPUTED_VALUE"""),"VF")</f>
        <v>VF</v>
      </c>
      <c r="F865" s="2">
        <f>IFERROR(__xludf.DUMMYFUNCTION("""COMPUTED_VALUE"""),1.0)</f>
        <v>1</v>
      </c>
      <c r="G865" s="2" t="str">
        <f>IFERROR(__xludf.DUMMYFUNCTION("""COMPUTED_VALUE"""),"PR048")</f>
        <v>PR048</v>
      </c>
      <c r="H865" s="2" t="str">
        <f>IFERROR(__xludf.DUMMYFUNCTION("""COMPUTED_VALUE"""),"VD045")</f>
        <v>VD045</v>
      </c>
      <c r="I865" s="2">
        <f>IFERROR(__xludf.DUMMYFUNCTION("""COMPUTED_VALUE"""),4.0)</f>
        <v>4</v>
      </c>
      <c r="J865" s="2">
        <f>IFERROR(__xludf.DUMMYFUNCTION("""COMPUTED_VALUE"""),1275.56)</f>
        <v>1275.56</v>
      </c>
      <c r="K865" s="2">
        <f>IFERROR(__xludf.DUMMYFUNCTION("""COMPUTED_VALUE"""),1275.56)</f>
        <v>1275.56</v>
      </c>
    </row>
    <row r="866">
      <c r="A866" s="2">
        <f>IFERROR(__xludf.DUMMYFUNCTION("""COMPUTED_VALUE"""),1000.0)</f>
        <v>1000</v>
      </c>
      <c r="B866" s="2">
        <f>IFERROR(__xludf.DUMMYFUNCTION("""COMPUTED_VALUE"""),184081.0)</f>
        <v>184081</v>
      </c>
      <c r="C866" s="2">
        <f>IFERROR(__xludf.DUMMYFUNCTION("""COMPUTED_VALUE"""),2026.0)</f>
        <v>2026</v>
      </c>
      <c r="D866" s="2">
        <f>IFERROR(__xludf.DUMMYFUNCTION("""COMPUTED_VALUE"""),46218.0)</f>
        <v>46218</v>
      </c>
      <c r="E866" s="2" t="str">
        <f>IFERROR(__xludf.DUMMYFUNCTION("""COMPUTED_VALUE"""),"VF")</f>
        <v>VF</v>
      </c>
      <c r="F866" s="2">
        <f>IFERROR(__xludf.DUMMYFUNCTION("""COMPUTED_VALUE"""),1.0)</f>
        <v>1</v>
      </c>
      <c r="G866" s="2" t="str">
        <f>IFERROR(__xludf.DUMMYFUNCTION("""COMPUTED_VALUE"""),"PR014")</f>
        <v>PR014</v>
      </c>
      <c r="H866" s="2" t="str">
        <f>IFERROR(__xludf.DUMMYFUNCTION("""COMPUTED_VALUE"""),"VD049")</f>
        <v>VD049</v>
      </c>
      <c r="I866" s="2">
        <f>IFERROR(__xludf.DUMMYFUNCTION("""COMPUTED_VALUE"""),6.0)</f>
        <v>6</v>
      </c>
      <c r="J866" s="2">
        <f>IFERROR(__xludf.DUMMYFUNCTION("""COMPUTED_VALUE"""),246.58)</f>
        <v>246.58</v>
      </c>
      <c r="K866" s="2">
        <f>IFERROR(__xludf.DUMMYFUNCTION("""COMPUTED_VALUE"""),246.58)</f>
        <v>246.58</v>
      </c>
    </row>
    <row r="867">
      <c r="A867" s="2">
        <f>IFERROR(__xludf.DUMMYFUNCTION("""COMPUTED_VALUE"""),1000.0)</f>
        <v>1000</v>
      </c>
      <c r="B867" s="2">
        <f>IFERROR(__xludf.DUMMYFUNCTION("""COMPUTED_VALUE"""),184082.0)</f>
        <v>184082</v>
      </c>
      <c r="C867" s="2">
        <f>IFERROR(__xludf.DUMMYFUNCTION("""COMPUTED_VALUE"""),2026.0)</f>
        <v>2026</v>
      </c>
      <c r="D867" s="2">
        <f>IFERROR(__xludf.DUMMYFUNCTION("""COMPUTED_VALUE"""),46217.0)</f>
        <v>46217</v>
      </c>
      <c r="E867" s="2" t="str">
        <f>IFERROR(__xludf.DUMMYFUNCTION("""COMPUTED_VALUE"""),"VF")</f>
        <v>VF</v>
      </c>
      <c r="F867" s="2">
        <f>IFERROR(__xludf.DUMMYFUNCTION("""COMPUTED_VALUE"""),1.0)</f>
        <v>1</v>
      </c>
      <c r="G867" s="2" t="str">
        <f>IFERROR(__xludf.DUMMYFUNCTION("""COMPUTED_VALUE"""),"PR050")</f>
        <v>PR050</v>
      </c>
      <c r="H867" s="2" t="str">
        <f>IFERROR(__xludf.DUMMYFUNCTION("""COMPUTED_VALUE"""),"VD019")</f>
        <v>VD019</v>
      </c>
      <c r="I867" s="2">
        <f>IFERROR(__xludf.DUMMYFUNCTION("""COMPUTED_VALUE"""),2.0)</f>
        <v>2</v>
      </c>
      <c r="J867" s="2">
        <f>IFERROR(__xludf.DUMMYFUNCTION("""COMPUTED_VALUE"""),68.43)</f>
        <v>68.43</v>
      </c>
      <c r="K867" s="2">
        <f>IFERROR(__xludf.DUMMYFUNCTION("""COMPUTED_VALUE"""),68.43)</f>
        <v>68.43</v>
      </c>
    </row>
    <row r="868">
      <c r="A868" s="2">
        <f>IFERROR(__xludf.DUMMYFUNCTION("""COMPUTED_VALUE"""),2000.0)</f>
        <v>2000</v>
      </c>
      <c r="B868" s="2">
        <f>IFERROR(__xludf.DUMMYFUNCTION("""COMPUTED_VALUE"""),184083.0)</f>
        <v>184083</v>
      </c>
      <c r="C868" s="2">
        <f>IFERROR(__xludf.DUMMYFUNCTION("""COMPUTED_VALUE"""),2026.0)</f>
        <v>2026</v>
      </c>
      <c r="D868" s="2">
        <f>IFERROR(__xludf.DUMMYFUNCTION("""COMPUTED_VALUE"""),46217.0)</f>
        <v>46217</v>
      </c>
      <c r="E868" s="2" t="str">
        <f>IFERROR(__xludf.DUMMYFUNCTION("""COMPUTED_VALUE"""),"VF")</f>
        <v>VF</v>
      </c>
      <c r="F868" s="2">
        <f>IFERROR(__xludf.DUMMYFUNCTION("""COMPUTED_VALUE"""),1.0)</f>
        <v>1</v>
      </c>
      <c r="G868" s="2" t="str">
        <f>IFERROR(__xludf.DUMMYFUNCTION("""COMPUTED_VALUE"""),"PR008")</f>
        <v>PR008</v>
      </c>
      <c r="H868" s="2" t="str">
        <f>IFERROR(__xludf.DUMMYFUNCTION("""COMPUTED_VALUE"""),"VD038")</f>
        <v>VD038</v>
      </c>
      <c r="I868" s="2">
        <f>IFERROR(__xludf.DUMMYFUNCTION("""COMPUTED_VALUE"""),8.0)</f>
        <v>8</v>
      </c>
      <c r="J868" s="2">
        <f>IFERROR(__xludf.DUMMYFUNCTION("""COMPUTED_VALUE"""),733.58)</f>
        <v>733.58</v>
      </c>
      <c r="K868" s="2">
        <f>IFERROR(__xludf.DUMMYFUNCTION("""COMPUTED_VALUE"""),733.58)</f>
        <v>733.58</v>
      </c>
    </row>
    <row r="869">
      <c r="A869" s="2">
        <f>IFERROR(__xludf.DUMMYFUNCTION("""COMPUTED_VALUE"""),1000.0)</f>
        <v>1000</v>
      </c>
      <c r="B869" s="2">
        <f>IFERROR(__xludf.DUMMYFUNCTION("""COMPUTED_VALUE"""),184084.0)</f>
        <v>184084</v>
      </c>
      <c r="C869" s="2">
        <f>IFERROR(__xludf.DUMMYFUNCTION("""COMPUTED_VALUE"""),2026.0)</f>
        <v>2026</v>
      </c>
      <c r="D869" s="2">
        <f>IFERROR(__xludf.DUMMYFUNCTION("""COMPUTED_VALUE"""),46217.0)</f>
        <v>46217</v>
      </c>
      <c r="E869" s="2" t="str">
        <f>IFERROR(__xludf.DUMMYFUNCTION("""COMPUTED_VALUE"""),"VF")</f>
        <v>VF</v>
      </c>
      <c r="F869" s="2">
        <f>IFERROR(__xludf.DUMMYFUNCTION("""COMPUTED_VALUE"""),1.0)</f>
        <v>1</v>
      </c>
      <c r="G869" s="2" t="str">
        <f>IFERROR(__xludf.DUMMYFUNCTION("""COMPUTED_VALUE"""),"PR018")</f>
        <v>PR018</v>
      </c>
      <c r="H869" s="2" t="str">
        <f>IFERROR(__xludf.DUMMYFUNCTION("""COMPUTED_VALUE"""),"VD022")</f>
        <v>VD022</v>
      </c>
      <c r="I869" s="2">
        <f>IFERROR(__xludf.DUMMYFUNCTION("""COMPUTED_VALUE"""),20.0)</f>
        <v>20</v>
      </c>
      <c r="J869" s="2">
        <f>IFERROR(__xludf.DUMMYFUNCTION("""COMPUTED_VALUE"""),677.74)</f>
        <v>677.74</v>
      </c>
      <c r="K869" s="2">
        <f>IFERROR(__xludf.DUMMYFUNCTION("""COMPUTED_VALUE"""),677.74)</f>
        <v>677.74</v>
      </c>
    </row>
    <row r="870">
      <c r="A870" s="2">
        <f>IFERROR(__xludf.DUMMYFUNCTION("""COMPUTED_VALUE"""),1000.0)</f>
        <v>1000</v>
      </c>
      <c r="B870" s="2">
        <f>IFERROR(__xludf.DUMMYFUNCTION("""COMPUTED_VALUE"""),184085.0)</f>
        <v>184085</v>
      </c>
      <c r="C870" s="2">
        <f>IFERROR(__xludf.DUMMYFUNCTION("""COMPUTED_VALUE"""),2026.0)</f>
        <v>2026</v>
      </c>
      <c r="D870" s="2">
        <f>IFERROR(__xludf.DUMMYFUNCTION("""COMPUTED_VALUE"""),46217.0)</f>
        <v>46217</v>
      </c>
      <c r="E870" s="2" t="str">
        <f>IFERROR(__xludf.DUMMYFUNCTION("""COMPUTED_VALUE"""),"VF")</f>
        <v>VF</v>
      </c>
      <c r="F870" s="2">
        <f>IFERROR(__xludf.DUMMYFUNCTION("""COMPUTED_VALUE"""),1.0)</f>
        <v>1</v>
      </c>
      <c r="G870" s="2" t="str">
        <f>IFERROR(__xludf.DUMMYFUNCTION("""COMPUTED_VALUE"""),"PR043")</f>
        <v>PR043</v>
      </c>
      <c r="H870" s="2" t="str">
        <f>IFERROR(__xludf.DUMMYFUNCTION("""COMPUTED_VALUE"""),"VD025")</f>
        <v>VD025</v>
      </c>
      <c r="I870" s="2">
        <f>IFERROR(__xludf.DUMMYFUNCTION("""COMPUTED_VALUE"""),4.0)</f>
        <v>4</v>
      </c>
      <c r="J870" s="2">
        <f>IFERROR(__xludf.DUMMYFUNCTION("""COMPUTED_VALUE"""),307.4)</f>
        <v>307.4</v>
      </c>
      <c r="K870" s="2">
        <f>IFERROR(__xludf.DUMMYFUNCTION("""COMPUTED_VALUE"""),307.4)</f>
        <v>307.4</v>
      </c>
    </row>
    <row r="871">
      <c r="A871" s="2">
        <f>IFERROR(__xludf.DUMMYFUNCTION("""COMPUTED_VALUE"""),1000.0)</f>
        <v>1000</v>
      </c>
      <c r="B871" s="2">
        <f>IFERROR(__xludf.DUMMYFUNCTION("""COMPUTED_VALUE"""),184086.0)</f>
        <v>184086</v>
      </c>
      <c r="C871" s="2">
        <f>IFERROR(__xludf.DUMMYFUNCTION("""COMPUTED_VALUE"""),2026.0)</f>
        <v>2026</v>
      </c>
      <c r="D871" s="2">
        <f>IFERROR(__xludf.DUMMYFUNCTION("""COMPUTED_VALUE"""),46217.0)</f>
        <v>46217</v>
      </c>
      <c r="E871" s="2" t="str">
        <f>IFERROR(__xludf.DUMMYFUNCTION("""COMPUTED_VALUE"""),"VF")</f>
        <v>VF</v>
      </c>
      <c r="F871" s="2">
        <f>IFERROR(__xludf.DUMMYFUNCTION("""COMPUTED_VALUE"""),1.0)</f>
        <v>1</v>
      </c>
      <c r="G871" s="2" t="str">
        <f>IFERROR(__xludf.DUMMYFUNCTION("""COMPUTED_VALUE"""),"PR010")</f>
        <v>PR010</v>
      </c>
      <c r="H871" s="2" t="str">
        <f>IFERROR(__xludf.DUMMYFUNCTION("""COMPUTED_VALUE"""),"VD026")</f>
        <v>VD026</v>
      </c>
      <c r="I871" s="2">
        <f>IFERROR(__xludf.DUMMYFUNCTION("""COMPUTED_VALUE"""),5.0)</f>
        <v>5</v>
      </c>
      <c r="J871" s="2">
        <f>IFERROR(__xludf.DUMMYFUNCTION("""COMPUTED_VALUE"""),244.71)</f>
        <v>244.71</v>
      </c>
      <c r="K871" s="2">
        <f>IFERROR(__xludf.DUMMYFUNCTION("""COMPUTED_VALUE"""),244.71)</f>
        <v>244.71</v>
      </c>
    </row>
    <row r="872">
      <c r="A872" s="2">
        <f>IFERROR(__xludf.DUMMYFUNCTION("""COMPUTED_VALUE"""),1000.0)</f>
        <v>1000</v>
      </c>
      <c r="B872" s="2">
        <f>IFERROR(__xludf.DUMMYFUNCTION("""COMPUTED_VALUE"""),184087.0)</f>
        <v>184087</v>
      </c>
      <c r="C872" s="2">
        <f>IFERROR(__xludf.DUMMYFUNCTION("""COMPUTED_VALUE"""),2026.0)</f>
        <v>2026</v>
      </c>
      <c r="D872" s="2">
        <f>IFERROR(__xludf.DUMMYFUNCTION("""COMPUTED_VALUE"""),46217.0)</f>
        <v>46217</v>
      </c>
      <c r="E872" s="2" t="str">
        <f>IFERROR(__xludf.DUMMYFUNCTION("""COMPUTED_VALUE"""),"VF")</f>
        <v>VF</v>
      </c>
      <c r="F872" s="2">
        <f>IFERROR(__xludf.DUMMYFUNCTION("""COMPUTED_VALUE"""),1.0)</f>
        <v>1</v>
      </c>
      <c r="G872" s="2" t="str">
        <f>IFERROR(__xludf.DUMMYFUNCTION("""COMPUTED_VALUE"""),"PR032")</f>
        <v>PR032</v>
      </c>
      <c r="H872" s="2" t="str">
        <f>IFERROR(__xludf.DUMMYFUNCTION("""COMPUTED_VALUE"""),"VD015")</f>
        <v>VD015</v>
      </c>
      <c r="I872" s="2">
        <f>IFERROR(__xludf.DUMMYFUNCTION("""COMPUTED_VALUE"""),20.0)</f>
        <v>20</v>
      </c>
      <c r="J872" s="2">
        <f>IFERROR(__xludf.DUMMYFUNCTION("""COMPUTED_VALUE"""),5300.0)</f>
        <v>5300</v>
      </c>
      <c r="K872" s="2">
        <f>IFERROR(__xludf.DUMMYFUNCTION("""COMPUTED_VALUE"""),5300.0)</f>
        <v>5300</v>
      </c>
    </row>
    <row r="873">
      <c r="A873" s="2">
        <f>IFERROR(__xludf.DUMMYFUNCTION("""COMPUTED_VALUE"""),1000.0)</f>
        <v>1000</v>
      </c>
      <c r="B873" s="2">
        <f>IFERROR(__xludf.DUMMYFUNCTION("""COMPUTED_VALUE"""),184088.0)</f>
        <v>184088</v>
      </c>
      <c r="C873" s="2">
        <f>IFERROR(__xludf.DUMMYFUNCTION("""COMPUTED_VALUE"""),2026.0)</f>
        <v>2026</v>
      </c>
      <c r="D873" s="2">
        <f>IFERROR(__xludf.DUMMYFUNCTION("""COMPUTED_VALUE"""),46217.0)</f>
        <v>46217</v>
      </c>
      <c r="E873" s="2" t="str">
        <f>IFERROR(__xludf.DUMMYFUNCTION("""COMPUTED_VALUE"""),"VF")</f>
        <v>VF</v>
      </c>
      <c r="F873" s="2">
        <f>IFERROR(__xludf.DUMMYFUNCTION("""COMPUTED_VALUE"""),1.0)</f>
        <v>1</v>
      </c>
      <c r="G873" s="2" t="str">
        <f>IFERROR(__xludf.DUMMYFUNCTION("""COMPUTED_VALUE"""),"PR003")</f>
        <v>PR003</v>
      </c>
      <c r="H873" s="2" t="str">
        <f>IFERROR(__xludf.DUMMYFUNCTION("""COMPUTED_VALUE"""),"VD049")</f>
        <v>VD049</v>
      </c>
      <c r="I873" s="2">
        <f>IFERROR(__xludf.DUMMYFUNCTION("""COMPUTED_VALUE"""),3.0)</f>
        <v>3</v>
      </c>
      <c r="J873" s="2">
        <f>IFERROR(__xludf.DUMMYFUNCTION("""COMPUTED_VALUE"""),223.34)</f>
        <v>223.34</v>
      </c>
      <c r="K873" s="2">
        <f>IFERROR(__xludf.DUMMYFUNCTION("""COMPUTED_VALUE"""),223.34)</f>
        <v>223.34</v>
      </c>
    </row>
    <row r="874">
      <c r="A874" s="2">
        <f>IFERROR(__xludf.DUMMYFUNCTION("""COMPUTED_VALUE"""),1000.0)</f>
        <v>1000</v>
      </c>
      <c r="B874" s="2">
        <f>IFERROR(__xludf.DUMMYFUNCTION("""COMPUTED_VALUE"""),184089.0)</f>
        <v>184089</v>
      </c>
      <c r="C874" s="2">
        <f>IFERROR(__xludf.DUMMYFUNCTION("""COMPUTED_VALUE"""),2026.0)</f>
        <v>2026</v>
      </c>
      <c r="D874" s="2">
        <f>IFERROR(__xludf.DUMMYFUNCTION("""COMPUTED_VALUE"""),46217.0)</f>
        <v>46217</v>
      </c>
      <c r="E874" s="2" t="str">
        <f>IFERROR(__xludf.DUMMYFUNCTION("""COMPUTED_VALUE"""),"VF")</f>
        <v>VF</v>
      </c>
      <c r="F874" s="2">
        <f>IFERROR(__xludf.DUMMYFUNCTION("""COMPUTED_VALUE"""),1.0)</f>
        <v>1</v>
      </c>
      <c r="G874" s="2" t="str">
        <f>IFERROR(__xludf.DUMMYFUNCTION("""COMPUTED_VALUE"""),"PR019")</f>
        <v>PR019</v>
      </c>
      <c r="H874" s="2" t="str">
        <f>IFERROR(__xludf.DUMMYFUNCTION("""COMPUTED_VALUE"""),"VD022")</f>
        <v>VD022</v>
      </c>
      <c r="I874" s="2">
        <f>IFERROR(__xludf.DUMMYFUNCTION("""COMPUTED_VALUE"""),14.0)</f>
        <v>14</v>
      </c>
      <c r="J874" s="2">
        <f>IFERROR(__xludf.DUMMYFUNCTION("""COMPUTED_VALUE"""),705.59)</f>
        <v>705.59</v>
      </c>
      <c r="K874" s="2">
        <f>IFERROR(__xludf.DUMMYFUNCTION("""COMPUTED_VALUE"""),705.59)</f>
        <v>705.59</v>
      </c>
    </row>
    <row r="875">
      <c r="A875" s="2">
        <f>IFERROR(__xludf.DUMMYFUNCTION("""COMPUTED_VALUE"""),1000.0)</f>
        <v>1000</v>
      </c>
      <c r="B875" s="2">
        <f>IFERROR(__xludf.DUMMYFUNCTION("""COMPUTED_VALUE"""),184090.0)</f>
        <v>184090</v>
      </c>
      <c r="C875" s="2">
        <f>IFERROR(__xludf.DUMMYFUNCTION("""COMPUTED_VALUE"""),2026.0)</f>
        <v>2026</v>
      </c>
      <c r="D875" s="2">
        <f>IFERROR(__xludf.DUMMYFUNCTION("""COMPUTED_VALUE"""),46217.0)</f>
        <v>46217</v>
      </c>
      <c r="E875" s="2" t="str">
        <f>IFERROR(__xludf.DUMMYFUNCTION("""COMPUTED_VALUE"""),"VF")</f>
        <v>VF</v>
      </c>
      <c r="F875" s="2">
        <f>IFERROR(__xludf.DUMMYFUNCTION("""COMPUTED_VALUE"""),1.0)</f>
        <v>1</v>
      </c>
      <c r="G875" s="2" t="str">
        <f>IFERROR(__xludf.DUMMYFUNCTION("""COMPUTED_VALUE"""),"PR048")</f>
        <v>PR048</v>
      </c>
      <c r="H875" s="2" t="str">
        <f>IFERROR(__xludf.DUMMYFUNCTION("""COMPUTED_VALUE"""),"VD026")</f>
        <v>VD026</v>
      </c>
      <c r="I875" s="2">
        <f>IFERROR(__xludf.DUMMYFUNCTION("""COMPUTED_VALUE"""),8.0)</f>
        <v>8</v>
      </c>
      <c r="J875" s="2">
        <f>IFERROR(__xludf.DUMMYFUNCTION("""COMPUTED_VALUE"""),2342.39)</f>
        <v>2342.39</v>
      </c>
      <c r="K875" s="2">
        <f>IFERROR(__xludf.DUMMYFUNCTION("""COMPUTED_VALUE"""),2342.39)</f>
        <v>2342.39</v>
      </c>
    </row>
    <row r="876">
      <c r="A876" s="2">
        <f>IFERROR(__xludf.DUMMYFUNCTION("""COMPUTED_VALUE"""),1000.0)</f>
        <v>1000</v>
      </c>
      <c r="B876" s="2">
        <f>IFERROR(__xludf.DUMMYFUNCTION("""COMPUTED_VALUE"""),184091.0)</f>
        <v>184091</v>
      </c>
      <c r="C876" s="2">
        <f>IFERROR(__xludf.DUMMYFUNCTION("""COMPUTED_VALUE"""),2026.0)</f>
        <v>2026</v>
      </c>
      <c r="D876" s="2">
        <f>IFERROR(__xludf.DUMMYFUNCTION("""COMPUTED_VALUE"""),46217.0)</f>
        <v>46217</v>
      </c>
      <c r="E876" s="2" t="str">
        <f>IFERROR(__xludf.DUMMYFUNCTION("""COMPUTED_VALUE"""),"VF")</f>
        <v>VF</v>
      </c>
      <c r="F876" s="2">
        <f>IFERROR(__xludf.DUMMYFUNCTION("""COMPUTED_VALUE"""),1.0)</f>
        <v>1</v>
      </c>
      <c r="G876" s="2" t="str">
        <f>IFERROR(__xludf.DUMMYFUNCTION("""COMPUTED_VALUE"""),"PR032")</f>
        <v>PR032</v>
      </c>
      <c r="H876" s="2" t="str">
        <f>IFERROR(__xludf.DUMMYFUNCTION("""COMPUTED_VALUE"""),"VD013")</f>
        <v>VD013</v>
      </c>
      <c r="I876" s="2">
        <f>IFERROR(__xludf.DUMMYFUNCTION("""COMPUTED_VALUE"""),10.0)</f>
        <v>10</v>
      </c>
      <c r="J876" s="2">
        <f>IFERROR(__xludf.DUMMYFUNCTION("""COMPUTED_VALUE"""),2575.0)</f>
        <v>2575</v>
      </c>
      <c r="K876" s="2">
        <f>IFERROR(__xludf.DUMMYFUNCTION("""COMPUTED_VALUE"""),2575.0)</f>
        <v>2575</v>
      </c>
    </row>
    <row r="877">
      <c r="A877" s="2">
        <f>IFERROR(__xludf.DUMMYFUNCTION("""COMPUTED_VALUE"""),1000.0)</f>
        <v>1000</v>
      </c>
      <c r="B877" s="2">
        <f>IFERROR(__xludf.DUMMYFUNCTION("""COMPUTED_VALUE"""),184092.0)</f>
        <v>184092</v>
      </c>
      <c r="C877" s="2">
        <f>IFERROR(__xludf.DUMMYFUNCTION("""COMPUTED_VALUE"""),2026.0)</f>
        <v>2026</v>
      </c>
      <c r="D877" s="2">
        <f>IFERROR(__xludf.DUMMYFUNCTION("""COMPUTED_VALUE"""),46217.0)</f>
        <v>46217</v>
      </c>
      <c r="E877" s="2" t="str">
        <f>IFERROR(__xludf.DUMMYFUNCTION("""COMPUTED_VALUE"""),"VF")</f>
        <v>VF</v>
      </c>
      <c r="F877" s="2">
        <f>IFERROR(__xludf.DUMMYFUNCTION("""COMPUTED_VALUE"""),1.0)</f>
        <v>1</v>
      </c>
      <c r="G877" s="2" t="str">
        <f>IFERROR(__xludf.DUMMYFUNCTION("""COMPUTED_VALUE"""),"PR058")</f>
        <v>PR058</v>
      </c>
      <c r="H877" s="2" t="str">
        <f>IFERROR(__xludf.DUMMYFUNCTION("""COMPUTED_VALUE"""),"VD041")</f>
        <v>VD041</v>
      </c>
      <c r="I877" s="2">
        <f>IFERROR(__xludf.DUMMYFUNCTION("""COMPUTED_VALUE"""),10.0)</f>
        <v>10</v>
      </c>
      <c r="J877" s="2">
        <f>IFERROR(__xludf.DUMMYFUNCTION("""COMPUTED_VALUE"""),1926.0)</f>
        <v>1926</v>
      </c>
      <c r="K877" s="2">
        <f>IFERROR(__xludf.DUMMYFUNCTION("""COMPUTED_VALUE"""),1926.0)</f>
        <v>1926</v>
      </c>
    </row>
    <row r="878">
      <c r="A878" s="2">
        <f>IFERROR(__xludf.DUMMYFUNCTION("""COMPUTED_VALUE"""),1000.0)</f>
        <v>1000</v>
      </c>
      <c r="B878" s="2">
        <f>IFERROR(__xludf.DUMMYFUNCTION("""COMPUTED_VALUE"""),184093.0)</f>
        <v>184093</v>
      </c>
      <c r="C878" s="2">
        <f>IFERROR(__xludf.DUMMYFUNCTION("""COMPUTED_VALUE"""),2026.0)</f>
        <v>2026</v>
      </c>
      <c r="D878" s="2">
        <f>IFERROR(__xludf.DUMMYFUNCTION("""COMPUTED_VALUE"""),46217.0)</f>
        <v>46217</v>
      </c>
      <c r="E878" s="2" t="str">
        <f>IFERROR(__xludf.DUMMYFUNCTION("""COMPUTED_VALUE"""),"VF")</f>
        <v>VF</v>
      </c>
      <c r="F878" s="2">
        <f>IFERROR(__xludf.DUMMYFUNCTION("""COMPUTED_VALUE"""),1.0)</f>
        <v>1</v>
      </c>
      <c r="G878" s="2" t="str">
        <f>IFERROR(__xludf.DUMMYFUNCTION("""COMPUTED_VALUE"""),"PR019")</f>
        <v>PR019</v>
      </c>
      <c r="H878" s="2" t="str">
        <f>IFERROR(__xludf.DUMMYFUNCTION("""COMPUTED_VALUE"""),"VD027")</f>
        <v>VD027</v>
      </c>
      <c r="I878" s="2">
        <f>IFERROR(__xludf.DUMMYFUNCTION("""COMPUTED_VALUE"""),8.0)</f>
        <v>8</v>
      </c>
      <c r="J878" s="2">
        <f>IFERROR(__xludf.DUMMYFUNCTION("""COMPUTED_VALUE"""),411.18)</f>
        <v>411.18</v>
      </c>
      <c r="K878" s="2">
        <f>IFERROR(__xludf.DUMMYFUNCTION("""COMPUTED_VALUE"""),411.18)</f>
        <v>411.18</v>
      </c>
    </row>
    <row r="879">
      <c r="A879" s="2">
        <f>IFERROR(__xludf.DUMMYFUNCTION("""COMPUTED_VALUE"""),1000.0)</f>
        <v>1000</v>
      </c>
      <c r="B879" s="2">
        <f>IFERROR(__xludf.DUMMYFUNCTION("""COMPUTED_VALUE"""),184093.0)</f>
        <v>184093</v>
      </c>
      <c r="C879" s="2">
        <f>IFERROR(__xludf.DUMMYFUNCTION("""COMPUTED_VALUE"""),2026.0)</f>
        <v>2026</v>
      </c>
      <c r="D879" s="2">
        <f>IFERROR(__xludf.DUMMYFUNCTION("""COMPUTED_VALUE"""),46217.0)</f>
        <v>46217</v>
      </c>
      <c r="E879" s="2" t="str">
        <f>IFERROR(__xludf.DUMMYFUNCTION("""COMPUTED_VALUE"""),"VF")</f>
        <v>VF</v>
      </c>
      <c r="F879" s="2">
        <f>IFERROR(__xludf.DUMMYFUNCTION("""COMPUTED_VALUE"""),2.0)</f>
        <v>2</v>
      </c>
      <c r="G879" s="2" t="str">
        <f>IFERROR(__xludf.DUMMYFUNCTION("""COMPUTED_VALUE"""),"PR004")</f>
        <v>PR004</v>
      </c>
      <c r="H879" s="2" t="str">
        <f>IFERROR(__xludf.DUMMYFUNCTION("""COMPUTED_VALUE"""),"VD020")</f>
        <v>VD020</v>
      </c>
      <c r="I879" s="2">
        <f>IFERROR(__xludf.DUMMYFUNCTION("""COMPUTED_VALUE"""),10.0)</f>
        <v>10</v>
      </c>
      <c r="J879" s="2">
        <f>IFERROR(__xludf.DUMMYFUNCTION("""COMPUTED_VALUE"""),1479.0)</f>
        <v>1479</v>
      </c>
      <c r="K879" s="2">
        <f>IFERROR(__xludf.DUMMYFUNCTION("""COMPUTED_VALUE"""),1479.0)</f>
        <v>1479</v>
      </c>
    </row>
    <row r="880">
      <c r="A880" s="2">
        <f>IFERROR(__xludf.DUMMYFUNCTION("""COMPUTED_VALUE"""),1000.0)</f>
        <v>1000</v>
      </c>
      <c r="B880" s="2">
        <f>IFERROR(__xludf.DUMMYFUNCTION("""COMPUTED_VALUE"""),184094.0)</f>
        <v>184094</v>
      </c>
      <c r="C880" s="2">
        <f>IFERROR(__xludf.DUMMYFUNCTION("""COMPUTED_VALUE"""),2026.0)</f>
        <v>2026</v>
      </c>
      <c r="D880" s="2">
        <f>IFERROR(__xludf.DUMMYFUNCTION("""COMPUTED_VALUE"""),46216.0)</f>
        <v>46216</v>
      </c>
      <c r="E880" s="2" t="str">
        <f>IFERROR(__xludf.DUMMYFUNCTION("""COMPUTED_VALUE"""),"VF")</f>
        <v>VF</v>
      </c>
      <c r="F880" s="2">
        <f>IFERROR(__xludf.DUMMYFUNCTION("""COMPUTED_VALUE"""),1.0)</f>
        <v>1</v>
      </c>
      <c r="G880" s="2" t="str">
        <f>IFERROR(__xludf.DUMMYFUNCTION("""COMPUTED_VALUE"""),"PR043")</f>
        <v>PR043</v>
      </c>
      <c r="H880" s="2" t="str">
        <f>IFERROR(__xludf.DUMMYFUNCTION("""COMPUTED_VALUE"""),"VD030")</f>
        <v>VD030</v>
      </c>
      <c r="I880" s="2">
        <f>IFERROR(__xludf.DUMMYFUNCTION("""COMPUTED_VALUE"""),4.0)</f>
        <v>4</v>
      </c>
      <c r="J880" s="2">
        <f>IFERROR(__xludf.DUMMYFUNCTION("""COMPUTED_VALUE"""),310.3)</f>
        <v>310.3</v>
      </c>
      <c r="K880" s="2">
        <f>IFERROR(__xludf.DUMMYFUNCTION("""COMPUTED_VALUE"""),310.3)</f>
        <v>310.3</v>
      </c>
    </row>
    <row r="881">
      <c r="A881" s="2">
        <f>IFERROR(__xludf.DUMMYFUNCTION("""COMPUTED_VALUE"""),1000.0)</f>
        <v>1000</v>
      </c>
      <c r="B881" s="2">
        <f>IFERROR(__xludf.DUMMYFUNCTION("""COMPUTED_VALUE"""),184095.0)</f>
        <v>184095</v>
      </c>
      <c r="C881" s="2">
        <f>IFERROR(__xludf.DUMMYFUNCTION("""COMPUTED_VALUE"""),2026.0)</f>
        <v>2026</v>
      </c>
      <c r="D881" s="2">
        <f>IFERROR(__xludf.DUMMYFUNCTION("""COMPUTED_VALUE"""),46216.0)</f>
        <v>46216</v>
      </c>
      <c r="E881" s="2" t="str">
        <f>IFERROR(__xludf.DUMMYFUNCTION("""COMPUTED_VALUE"""),"VF")</f>
        <v>VF</v>
      </c>
      <c r="F881" s="2">
        <f>IFERROR(__xludf.DUMMYFUNCTION("""COMPUTED_VALUE"""),1.0)</f>
        <v>1</v>
      </c>
      <c r="G881" s="2" t="str">
        <f>IFERROR(__xludf.DUMMYFUNCTION("""COMPUTED_VALUE"""),"PR031")</f>
        <v>PR031</v>
      </c>
      <c r="H881" s="2" t="str">
        <f>IFERROR(__xludf.DUMMYFUNCTION("""COMPUTED_VALUE"""),"VD020")</f>
        <v>VD020</v>
      </c>
      <c r="I881" s="2">
        <f>IFERROR(__xludf.DUMMYFUNCTION("""COMPUTED_VALUE"""),10.0)</f>
        <v>10</v>
      </c>
      <c r="J881" s="2">
        <f>IFERROR(__xludf.DUMMYFUNCTION("""COMPUTED_VALUE"""),2548.0)</f>
        <v>2548</v>
      </c>
      <c r="K881" s="2">
        <f>IFERROR(__xludf.DUMMYFUNCTION("""COMPUTED_VALUE"""),2548.0)</f>
        <v>2548</v>
      </c>
    </row>
    <row r="882">
      <c r="A882" s="2">
        <f>IFERROR(__xludf.DUMMYFUNCTION("""COMPUTED_VALUE"""),2000.0)</f>
        <v>2000</v>
      </c>
      <c r="B882" s="2">
        <f>IFERROR(__xludf.DUMMYFUNCTION("""COMPUTED_VALUE"""),184095.0)</f>
        <v>184095</v>
      </c>
      <c r="C882" s="2">
        <f>IFERROR(__xludf.DUMMYFUNCTION("""COMPUTED_VALUE"""),2026.0)</f>
        <v>2026</v>
      </c>
      <c r="D882" s="2">
        <f>IFERROR(__xludf.DUMMYFUNCTION("""COMPUTED_VALUE"""),46216.0)</f>
        <v>46216</v>
      </c>
      <c r="E882" s="2" t="str">
        <f>IFERROR(__xludf.DUMMYFUNCTION("""COMPUTED_VALUE"""),"VF")</f>
        <v>VF</v>
      </c>
      <c r="F882" s="2">
        <f>IFERROR(__xludf.DUMMYFUNCTION("""COMPUTED_VALUE"""),2.0)</f>
        <v>2</v>
      </c>
      <c r="G882" s="2" t="str">
        <f>IFERROR(__xludf.DUMMYFUNCTION("""COMPUTED_VALUE"""),"PR026")</f>
        <v>PR026</v>
      </c>
      <c r="H882" s="2" t="str">
        <f>IFERROR(__xludf.DUMMYFUNCTION("""COMPUTED_VALUE"""),"VD023")</f>
        <v>VD023</v>
      </c>
      <c r="I882" s="2">
        <f>IFERROR(__xludf.DUMMYFUNCTION("""COMPUTED_VALUE"""),2.0)</f>
        <v>2</v>
      </c>
      <c r="J882" s="2">
        <f>IFERROR(__xludf.DUMMYFUNCTION("""COMPUTED_VALUE"""),741.79)</f>
        <v>741.79</v>
      </c>
      <c r="K882" s="2">
        <f>IFERROR(__xludf.DUMMYFUNCTION("""COMPUTED_VALUE"""),741.79)</f>
        <v>741.79</v>
      </c>
    </row>
    <row r="883">
      <c r="A883" s="2">
        <f>IFERROR(__xludf.DUMMYFUNCTION("""COMPUTED_VALUE"""),1000.0)</f>
        <v>1000</v>
      </c>
      <c r="B883" s="2">
        <f>IFERROR(__xludf.DUMMYFUNCTION("""COMPUTED_VALUE"""),184096.0)</f>
        <v>184096</v>
      </c>
      <c r="C883" s="2">
        <f>IFERROR(__xludf.DUMMYFUNCTION("""COMPUTED_VALUE"""),2026.0)</f>
        <v>2026</v>
      </c>
      <c r="D883" s="2">
        <f>IFERROR(__xludf.DUMMYFUNCTION("""COMPUTED_VALUE"""),46215.0)</f>
        <v>46215</v>
      </c>
      <c r="E883" s="2" t="str">
        <f>IFERROR(__xludf.DUMMYFUNCTION("""COMPUTED_VALUE"""),"VF")</f>
        <v>VF</v>
      </c>
      <c r="F883" s="2">
        <f>IFERROR(__xludf.DUMMYFUNCTION("""COMPUTED_VALUE"""),1.0)</f>
        <v>1</v>
      </c>
      <c r="G883" s="2" t="str">
        <f>IFERROR(__xludf.DUMMYFUNCTION("""COMPUTED_VALUE"""),"PR041")</f>
        <v>PR041</v>
      </c>
      <c r="H883" s="2" t="str">
        <f>IFERROR(__xludf.DUMMYFUNCTION("""COMPUTED_VALUE"""),"VD032")</f>
        <v>VD032</v>
      </c>
      <c r="I883" s="2">
        <f>IFERROR(__xludf.DUMMYFUNCTION("""COMPUTED_VALUE"""),18.0)</f>
        <v>18</v>
      </c>
      <c r="J883" s="2">
        <f>IFERROR(__xludf.DUMMYFUNCTION("""COMPUTED_VALUE"""),1067.26)</f>
        <v>1067.26</v>
      </c>
      <c r="K883" s="2">
        <f>IFERROR(__xludf.DUMMYFUNCTION("""COMPUTED_VALUE"""),1067.26)</f>
        <v>1067.26</v>
      </c>
    </row>
    <row r="884">
      <c r="A884" s="2">
        <f>IFERROR(__xludf.DUMMYFUNCTION("""COMPUTED_VALUE"""),1000.0)</f>
        <v>1000</v>
      </c>
      <c r="B884" s="2">
        <f>IFERROR(__xludf.DUMMYFUNCTION("""COMPUTED_VALUE"""),184096.0)</f>
        <v>184096</v>
      </c>
      <c r="C884" s="2">
        <f>IFERROR(__xludf.DUMMYFUNCTION("""COMPUTED_VALUE"""),2026.0)</f>
        <v>2026</v>
      </c>
      <c r="D884" s="2">
        <f>IFERROR(__xludf.DUMMYFUNCTION("""COMPUTED_VALUE"""),46215.0)</f>
        <v>46215</v>
      </c>
      <c r="E884" s="2" t="str">
        <f>IFERROR(__xludf.DUMMYFUNCTION("""COMPUTED_VALUE"""),"VF")</f>
        <v>VF</v>
      </c>
      <c r="F884" s="2">
        <f>IFERROR(__xludf.DUMMYFUNCTION("""COMPUTED_VALUE"""),2.0)</f>
        <v>2</v>
      </c>
      <c r="G884" s="2" t="str">
        <f>IFERROR(__xludf.DUMMYFUNCTION("""COMPUTED_VALUE"""),"PR047")</f>
        <v>PR047</v>
      </c>
      <c r="H884" s="2" t="str">
        <f>IFERROR(__xludf.DUMMYFUNCTION("""COMPUTED_VALUE"""),"VD026")</f>
        <v>VD026</v>
      </c>
      <c r="I884" s="2">
        <f>IFERROR(__xludf.DUMMYFUNCTION("""COMPUTED_VALUE"""),6.0)</f>
        <v>6</v>
      </c>
      <c r="J884" s="2">
        <f>IFERROR(__xludf.DUMMYFUNCTION("""COMPUTED_VALUE"""),1843.76)</f>
        <v>1843.76</v>
      </c>
      <c r="K884" s="2">
        <f>IFERROR(__xludf.DUMMYFUNCTION("""COMPUTED_VALUE"""),1843.76)</f>
        <v>1843.76</v>
      </c>
    </row>
    <row r="885">
      <c r="A885" s="2">
        <f>IFERROR(__xludf.DUMMYFUNCTION("""COMPUTED_VALUE"""),1000.0)</f>
        <v>1000</v>
      </c>
      <c r="B885" s="2">
        <f>IFERROR(__xludf.DUMMYFUNCTION("""COMPUTED_VALUE"""),184097.0)</f>
        <v>184097</v>
      </c>
      <c r="C885" s="2">
        <f>IFERROR(__xludf.DUMMYFUNCTION("""COMPUTED_VALUE"""),2026.0)</f>
        <v>2026</v>
      </c>
      <c r="D885" s="2">
        <f>IFERROR(__xludf.DUMMYFUNCTION("""COMPUTED_VALUE"""),46215.0)</f>
        <v>46215</v>
      </c>
      <c r="E885" s="2" t="str">
        <f>IFERROR(__xludf.DUMMYFUNCTION("""COMPUTED_VALUE"""),"VF")</f>
        <v>VF</v>
      </c>
      <c r="F885" s="2">
        <f>IFERROR(__xludf.DUMMYFUNCTION("""COMPUTED_VALUE"""),1.0)</f>
        <v>1</v>
      </c>
      <c r="G885" s="2" t="str">
        <f>IFERROR(__xludf.DUMMYFUNCTION("""COMPUTED_VALUE"""),"PR029")</f>
        <v>PR029</v>
      </c>
      <c r="H885" s="2" t="str">
        <f>IFERROR(__xludf.DUMMYFUNCTION("""COMPUTED_VALUE"""),"VD023")</f>
        <v>VD023</v>
      </c>
      <c r="I885" s="2">
        <f>IFERROR(__xludf.DUMMYFUNCTION("""COMPUTED_VALUE"""),2.0)</f>
        <v>2</v>
      </c>
      <c r="J885" s="2">
        <f>IFERROR(__xludf.DUMMYFUNCTION("""COMPUTED_VALUE"""),545.7)</f>
        <v>545.7</v>
      </c>
      <c r="K885" s="2">
        <f>IFERROR(__xludf.DUMMYFUNCTION("""COMPUTED_VALUE"""),545.7)</f>
        <v>545.7</v>
      </c>
    </row>
    <row r="886">
      <c r="A886" s="2">
        <f>IFERROR(__xludf.DUMMYFUNCTION("""COMPUTED_VALUE"""),1000.0)</f>
        <v>1000</v>
      </c>
      <c r="B886" s="2">
        <f>IFERROR(__xludf.DUMMYFUNCTION("""COMPUTED_VALUE"""),184098.0)</f>
        <v>184098</v>
      </c>
      <c r="C886" s="2">
        <f>IFERROR(__xludf.DUMMYFUNCTION("""COMPUTED_VALUE"""),2026.0)</f>
        <v>2026</v>
      </c>
      <c r="D886" s="2">
        <f>IFERROR(__xludf.DUMMYFUNCTION("""COMPUTED_VALUE"""),46215.0)</f>
        <v>46215</v>
      </c>
      <c r="E886" s="2" t="str">
        <f>IFERROR(__xludf.DUMMYFUNCTION("""COMPUTED_VALUE"""),"VF")</f>
        <v>VF</v>
      </c>
      <c r="F886" s="2">
        <f>IFERROR(__xludf.DUMMYFUNCTION("""COMPUTED_VALUE"""),1.0)</f>
        <v>1</v>
      </c>
      <c r="G886" s="2" t="str">
        <f>IFERROR(__xludf.DUMMYFUNCTION("""COMPUTED_VALUE"""),"PR018")</f>
        <v>PR018</v>
      </c>
      <c r="H886" s="2" t="str">
        <f>IFERROR(__xludf.DUMMYFUNCTION("""COMPUTED_VALUE"""),"VD040")</f>
        <v>VD040</v>
      </c>
      <c r="I886" s="2">
        <f>IFERROR(__xludf.DUMMYFUNCTION("""COMPUTED_VALUE"""),18.0)</f>
        <v>18</v>
      </c>
      <c r="J886" s="2">
        <f>IFERROR(__xludf.DUMMYFUNCTION("""COMPUTED_VALUE"""),639.58)</f>
        <v>639.58</v>
      </c>
      <c r="K886" s="2">
        <f>IFERROR(__xludf.DUMMYFUNCTION("""COMPUTED_VALUE"""),639.58)</f>
        <v>639.58</v>
      </c>
    </row>
    <row r="887">
      <c r="A887" s="2">
        <f>IFERROR(__xludf.DUMMYFUNCTION("""COMPUTED_VALUE"""),1000.0)</f>
        <v>1000</v>
      </c>
      <c r="B887" s="2">
        <f>IFERROR(__xludf.DUMMYFUNCTION("""COMPUTED_VALUE"""),184099.0)</f>
        <v>184099</v>
      </c>
      <c r="C887" s="2">
        <f>IFERROR(__xludf.DUMMYFUNCTION("""COMPUTED_VALUE"""),2026.0)</f>
        <v>2026</v>
      </c>
      <c r="D887" s="2">
        <f>IFERROR(__xludf.DUMMYFUNCTION("""COMPUTED_VALUE"""),46214.0)</f>
        <v>46214</v>
      </c>
      <c r="E887" s="2" t="str">
        <f>IFERROR(__xludf.DUMMYFUNCTION("""COMPUTED_VALUE"""),"VF")</f>
        <v>VF</v>
      </c>
      <c r="F887" s="2">
        <f>IFERROR(__xludf.DUMMYFUNCTION("""COMPUTED_VALUE"""),1.0)</f>
        <v>1</v>
      </c>
      <c r="G887" s="2" t="str">
        <f>IFERROR(__xludf.DUMMYFUNCTION("""COMPUTED_VALUE"""),"PR025")</f>
        <v>PR025</v>
      </c>
      <c r="H887" s="2" t="str">
        <f>IFERROR(__xludf.DUMMYFUNCTION("""COMPUTED_VALUE"""),"VD038")</f>
        <v>VD038</v>
      </c>
      <c r="I887" s="2">
        <f>IFERROR(__xludf.DUMMYFUNCTION("""COMPUTED_VALUE"""),8.0)</f>
        <v>8</v>
      </c>
      <c r="J887" s="2">
        <f>IFERROR(__xludf.DUMMYFUNCTION("""COMPUTED_VALUE"""),2399.2)</f>
        <v>2399.2</v>
      </c>
      <c r="K887" s="2">
        <f>IFERROR(__xludf.DUMMYFUNCTION("""COMPUTED_VALUE"""),2399.2)</f>
        <v>2399.2</v>
      </c>
    </row>
    <row r="888">
      <c r="A888" s="2">
        <f>IFERROR(__xludf.DUMMYFUNCTION("""COMPUTED_VALUE"""),1000.0)</f>
        <v>1000</v>
      </c>
      <c r="B888" s="2">
        <f>IFERROR(__xludf.DUMMYFUNCTION("""COMPUTED_VALUE"""),184100.0)</f>
        <v>184100</v>
      </c>
      <c r="C888" s="2">
        <f>IFERROR(__xludf.DUMMYFUNCTION("""COMPUTED_VALUE"""),2026.0)</f>
        <v>2026</v>
      </c>
      <c r="D888" s="2">
        <f>IFERROR(__xludf.DUMMYFUNCTION("""COMPUTED_VALUE"""),46214.0)</f>
        <v>46214</v>
      </c>
      <c r="E888" s="2" t="str">
        <f>IFERROR(__xludf.DUMMYFUNCTION("""COMPUTED_VALUE"""),"VF")</f>
        <v>VF</v>
      </c>
      <c r="F888" s="2">
        <f>IFERROR(__xludf.DUMMYFUNCTION("""COMPUTED_VALUE"""),1.0)</f>
        <v>1</v>
      </c>
      <c r="G888" s="2" t="str">
        <f>IFERROR(__xludf.DUMMYFUNCTION("""COMPUTED_VALUE"""),"PR012")</f>
        <v>PR012</v>
      </c>
      <c r="H888" s="2" t="str">
        <f>IFERROR(__xludf.DUMMYFUNCTION("""COMPUTED_VALUE"""),"VD035")</f>
        <v>VD035</v>
      </c>
      <c r="I888" s="2">
        <f>IFERROR(__xludf.DUMMYFUNCTION("""COMPUTED_VALUE"""),9.0)</f>
        <v>9</v>
      </c>
      <c r="J888" s="2">
        <f>IFERROR(__xludf.DUMMYFUNCTION("""COMPUTED_VALUE"""),479.71)</f>
        <v>479.71</v>
      </c>
      <c r="K888" s="2">
        <f>IFERROR(__xludf.DUMMYFUNCTION("""COMPUTED_VALUE"""),479.71)</f>
        <v>479.71</v>
      </c>
    </row>
    <row r="889">
      <c r="A889" s="2">
        <f>IFERROR(__xludf.DUMMYFUNCTION("""COMPUTED_VALUE"""),1000.0)</f>
        <v>1000</v>
      </c>
      <c r="B889" s="2">
        <f>IFERROR(__xludf.DUMMYFUNCTION("""COMPUTED_VALUE"""),184101.0)</f>
        <v>184101</v>
      </c>
      <c r="C889" s="2">
        <f>IFERROR(__xludf.DUMMYFUNCTION("""COMPUTED_VALUE"""),2026.0)</f>
        <v>2026</v>
      </c>
      <c r="D889" s="2">
        <f>IFERROR(__xludf.DUMMYFUNCTION("""COMPUTED_VALUE"""),46214.0)</f>
        <v>46214</v>
      </c>
      <c r="E889" s="2" t="str">
        <f>IFERROR(__xludf.DUMMYFUNCTION("""COMPUTED_VALUE"""),"VF")</f>
        <v>VF</v>
      </c>
      <c r="F889" s="2">
        <f>IFERROR(__xludf.DUMMYFUNCTION("""COMPUTED_VALUE"""),1.0)</f>
        <v>1</v>
      </c>
      <c r="G889" s="2" t="str">
        <f>IFERROR(__xludf.DUMMYFUNCTION("""COMPUTED_VALUE"""),"PR059")</f>
        <v>PR059</v>
      </c>
      <c r="H889" s="2" t="str">
        <f>IFERROR(__xludf.DUMMYFUNCTION("""COMPUTED_VALUE"""),"VD019")</f>
        <v>VD019</v>
      </c>
      <c r="I889" s="2">
        <f>IFERROR(__xludf.DUMMYFUNCTION("""COMPUTED_VALUE"""),3.0)</f>
        <v>3</v>
      </c>
      <c r="J889" s="2">
        <f>IFERROR(__xludf.DUMMYFUNCTION("""COMPUTED_VALUE"""),561.6)</f>
        <v>561.6</v>
      </c>
      <c r="K889" s="2">
        <f>IFERROR(__xludf.DUMMYFUNCTION("""COMPUTED_VALUE"""),561.6)</f>
        <v>561.6</v>
      </c>
    </row>
    <row r="890">
      <c r="A890" s="2">
        <f>IFERROR(__xludf.DUMMYFUNCTION("""COMPUTED_VALUE"""),1000.0)</f>
        <v>1000</v>
      </c>
      <c r="B890" s="2">
        <f>IFERROR(__xludf.DUMMYFUNCTION("""COMPUTED_VALUE"""),184102.0)</f>
        <v>184102</v>
      </c>
      <c r="C890" s="2">
        <f>IFERROR(__xludf.DUMMYFUNCTION("""COMPUTED_VALUE"""),2026.0)</f>
        <v>2026</v>
      </c>
      <c r="D890" s="2">
        <f>IFERROR(__xludf.DUMMYFUNCTION("""COMPUTED_VALUE"""),46214.0)</f>
        <v>46214</v>
      </c>
      <c r="E890" s="2" t="str">
        <f>IFERROR(__xludf.DUMMYFUNCTION("""COMPUTED_VALUE"""),"VF")</f>
        <v>VF</v>
      </c>
      <c r="F890" s="2">
        <f>IFERROR(__xludf.DUMMYFUNCTION("""COMPUTED_VALUE"""),1.0)</f>
        <v>1</v>
      </c>
      <c r="G890" s="2" t="str">
        <f>IFERROR(__xludf.DUMMYFUNCTION("""COMPUTED_VALUE"""),"PR021")</f>
        <v>PR021</v>
      </c>
      <c r="H890" s="2" t="str">
        <f>IFERROR(__xludf.DUMMYFUNCTION("""COMPUTED_VALUE"""),"VD014")</f>
        <v>VD014</v>
      </c>
      <c r="I890" s="2">
        <f>IFERROR(__xludf.DUMMYFUNCTION("""COMPUTED_VALUE"""),1.0)</f>
        <v>1</v>
      </c>
      <c r="J890" s="2">
        <f>IFERROR(__xludf.DUMMYFUNCTION("""COMPUTED_VALUE"""),330.16)</f>
        <v>330.16</v>
      </c>
      <c r="K890" s="2">
        <f>IFERROR(__xludf.DUMMYFUNCTION("""COMPUTED_VALUE"""),330.16)</f>
        <v>330.16</v>
      </c>
    </row>
    <row r="891">
      <c r="A891" s="2">
        <f>IFERROR(__xludf.DUMMYFUNCTION("""COMPUTED_VALUE"""),2000.0)</f>
        <v>2000</v>
      </c>
      <c r="B891" s="2">
        <f>IFERROR(__xludf.DUMMYFUNCTION("""COMPUTED_VALUE"""),184102.0)</f>
        <v>184102</v>
      </c>
      <c r="C891" s="2">
        <f>IFERROR(__xludf.DUMMYFUNCTION("""COMPUTED_VALUE"""),2026.0)</f>
        <v>2026</v>
      </c>
      <c r="D891" s="2">
        <f>IFERROR(__xludf.DUMMYFUNCTION("""COMPUTED_VALUE"""),46214.0)</f>
        <v>46214</v>
      </c>
      <c r="E891" s="2" t="str">
        <f>IFERROR(__xludf.DUMMYFUNCTION("""COMPUTED_VALUE"""),"VF")</f>
        <v>VF</v>
      </c>
      <c r="F891" s="2">
        <f>IFERROR(__xludf.DUMMYFUNCTION("""COMPUTED_VALUE"""),2.0)</f>
        <v>2</v>
      </c>
      <c r="G891" s="2" t="str">
        <f>IFERROR(__xludf.DUMMYFUNCTION("""COMPUTED_VALUE"""),"PR045")</f>
        <v>PR045</v>
      </c>
      <c r="H891" s="2" t="str">
        <f>IFERROR(__xludf.DUMMYFUNCTION("""COMPUTED_VALUE"""),"VD043")</f>
        <v>VD043</v>
      </c>
      <c r="I891" s="2">
        <f>IFERROR(__xludf.DUMMYFUNCTION("""COMPUTED_VALUE"""),10.0)</f>
        <v>10</v>
      </c>
      <c r="J891" s="2">
        <f>IFERROR(__xludf.DUMMYFUNCTION("""COMPUTED_VALUE"""),732.25)</f>
        <v>732.25</v>
      </c>
      <c r="K891" s="2">
        <f>IFERROR(__xludf.DUMMYFUNCTION("""COMPUTED_VALUE"""),732.25)</f>
        <v>732.25</v>
      </c>
    </row>
    <row r="892">
      <c r="A892" s="2">
        <f>IFERROR(__xludf.DUMMYFUNCTION("""COMPUTED_VALUE"""),2000.0)</f>
        <v>2000</v>
      </c>
      <c r="B892" s="2">
        <f>IFERROR(__xludf.DUMMYFUNCTION("""COMPUTED_VALUE"""),184103.0)</f>
        <v>184103</v>
      </c>
      <c r="C892" s="2">
        <f>IFERROR(__xludf.DUMMYFUNCTION("""COMPUTED_VALUE"""),2026.0)</f>
        <v>2026</v>
      </c>
      <c r="D892" s="2">
        <f>IFERROR(__xludf.DUMMYFUNCTION("""COMPUTED_VALUE"""),46213.0)</f>
        <v>46213</v>
      </c>
      <c r="E892" s="2" t="str">
        <f>IFERROR(__xludf.DUMMYFUNCTION("""COMPUTED_VALUE"""),"VF")</f>
        <v>VF</v>
      </c>
      <c r="F892" s="2">
        <f>IFERROR(__xludf.DUMMYFUNCTION("""COMPUTED_VALUE"""),1.0)</f>
        <v>1</v>
      </c>
      <c r="G892" s="2" t="str">
        <f>IFERROR(__xludf.DUMMYFUNCTION("""COMPUTED_VALUE"""),"PR045")</f>
        <v>PR045</v>
      </c>
      <c r="H892" s="2" t="str">
        <f>IFERROR(__xludf.DUMMYFUNCTION("""COMPUTED_VALUE"""),"VD044")</f>
        <v>VD044</v>
      </c>
      <c r="I892" s="2">
        <f>IFERROR(__xludf.DUMMYFUNCTION("""COMPUTED_VALUE"""),5.0)</f>
        <v>5</v>
      </c>
      <c r="J892" s="2">
        <f>IFERROR(__xludf.DUMMYFUNCTION("""COMPUTED_VALUE"""),373.38)</f>
        <v>373.38</v>
      </c>
      <c r="K892" s="2">
        <f>IFERROR(__xludf.DUMMYFUNCTION("""COMPUTED_VALUE"""),373.38)</f>
        <v>373.38</v>
      </c>
    </row>
    <row r="893">
      <c r="A893" s="2">
        <f>IFERROR(__xludf.DUMMYFUNCTION("""COMPUTED_VALUE"""),1000.0)</f>
        <v>1000</v>
      </c>
      <c r="B893" s="2">
        <f>IFERROR(__xludf.DUMMYFUNCTION("""COMPUTED_VALUE"""),184104.0)</f>
        <v>184104</v>
      </c>
      <c r="C893" s="2">
        <f>IFERROR(__xludf.DUMMYFUNCTION("""COMPUTED_VALUE"""),2026.0)</f>
        <v>2026</v>
      </c>
      <c r="D893" s="2">
        <f>IFERROR(__xludf.DUMMYFUNCTION("""COMPUTED_VALUE"""),46213.0)</f>
        <v>46213</v>
      </c>
      <c r="E893" s="2" t="str">
        <f>IFERROR(__xludf.DUMMYFUNCTION("""COMPUTED_VALUE"""),"VF")</f>
        <v>VF</v>
      </c>
      <c r="F893" s="2">
        <f>IFERROR(__xludf.DUMMYFUNCTION("""COMPUTED_VALUE"""),1.0)</f>
        <v>1</v>
      </c>
      <c r="G893" s="2" t="str">
        <f>IFERROR(__xludf.DUMMYFUNCTION("""COMPUTED_VALUE"""),"PR048")</f>
        <v>PR048</v>
      </c>
      <c r="H893" s="2" t="str">
        <f>IFERROR(__xludf.DUMMYFUNCTION("""COMPUTED_VALUE"""),"VD018")</f>
        <v>VD018</v>
      </c>
      <c r="I893" s="2">
        <f>IFERROR(__xludf.DUMMYFUNCTION("""COMPUTED_VALUE"""),7.0)</f>
        <v>7</v>
      </c>
      <c r="J893" s="2">
        <f>IFERROR(__xludf.DUMMYFUNCTION("""COMPUTED_VALUE"""),2211.94)</f>
        <v>2211.94</v>
      </c>
      <c r="K893" s="2">
        <f>IFERROR(__xludf.DUMMYFUNCTION("""COMPUTED_VALUE"""),2211.94)</f>
        <v>2211.94</v>
      </c>
    </row>
    <row r="894">
      <c r="A894" s="2">
        <f>IFERROR(__xludf.DUMMYFUNCTION("""COMPUTED_VALUE"""),1000.0)</f>
        <v>1000</v>
      </c>
      <c r="B894" s="2">
        <f>IFERROR(__xludf.DUMMYFUNCTION("""COMPUTED_VALUE"""),184105.0)</f>
        <v>184105</v>
      </c>
      <c r="C894" s="2">
        <f>IFERROR(__xludf.DUMMYFUNCTION("""COMPUTED_VALUE"""),2026.0)</f>
        <v>2026</v>
      </c>
      <c r="D894" s="2">
        <f>IFERROR(__xludf.DUMMYFUNCTION("""COMPUTED_VALUE"""),46213.0)</f>
        <v>46213</v>
      </c>
      <c r="E894" s="2" t="str">
        <f>IFERROR(__xludf.DUMMYFUNCTION("""COMPUTED_VALUE"""),"VF")</f>
        <v>VF</v>
      </c>
      <c r="F894" s="2">
        <f>IFERROR(__xludf.DUMMYFUNCTION("""COMPUTED_VALUE"""),1.0)</f>
        <v>1</v>
      </c>
      <c r="G894" s="2" t="str">
        <f>IFERROR(__xludf.DUMMYFUNCTION("""COMPUTED_VALUE"""),"PR052")</f>
        <v>PR052</v>
      </c>
      <c r="H894" s="2" t="str">
        <f>IFERROR(__xludf.DUMMYFUNCTION("""COMPUTED_VALUE"""),"VD043")</f>
        <v>VD043</v>
      </c>
      <c r="I894" s="2">
        <f>IFERROR(__xludf.DUMMYFUNCTION("""COMPUTED_VALUE"""),5.0)</f>
        <v>5</v>
      </c>
      <c r="J894" s="2">
        <f>IFERROR(__xludf.DUMMYFUNCTION("""COMPUTED_VALUE"""),259.48)</f>
        <v>259.48</v>
      </c>
      <c r="K894" s="2">
        <f>IFERROR(__xludf.DUMMYFUNCTION("""COMPUTED_VALUE"""),259.48)</f>
        <v>259.48</v>
      </c>
    </row>
    <row r="895">
      <c r="A895" s="2">
        <f>IFERROR(__xludf.DUMMYFUNCTION("""COMPUTED_VALUE"""),1000.0)</f>
        <v>1000</v>
      </c>
      <c r="B895" s="2">
        <f>IFERROR(__xludf.DUMMYFUNCTION("""COMPUTED_VALUE"""),184106.0)</f>
        <v>184106</v>
      </c>
      <c r="C895" s="2">
        <f>IFERROR(__xludf.DUMMYFUNCTION("""COMPUTED_VALUE"""),2026.0)</f>
        <v>2026</v>
      </c>
      <c r="D895" s="2">
        <f>IFERROR(__xludf.DUMMYFUNCTION("""COMPUTED_VALUE"""),46213.0)</f>
        <v>46213</v>
      </c>
      <c r="E895" s="2" t="str">
        <f>IFERROR(__xludf.DUMMYFUNCTION("""COMPUTED_VALUE"""),"VF")</f>
        <v>VF</v>
      </c>
      <c r="F895" s="2">
        <f>IFERROR(__xludf.DUMMYFUNCTION("""COMPUTED_VALUE"""),1.0)</f>
        <v>1</v>
      </c>
      <c r="G895" s="2" t="str">
        <f>IFERROR(__xludf.DUMMYFUNCTION("""COMPUTED_VALUE"""),"PR038")</f>
        <v>PR038</v>
      </c>
      <c r="H895" s="2" t="str">
        <f>IFERROR(__xludf.DUMMYFUNCTION("""COMPUTED_VALUE"""),"VD042")</f>
        <v>VD042</v>
      </c>
      <c r="I895" s="2">
        <f>IFERROR(__xludf.DUMMYFUNCTION("""COMPUTED_VALUE"""),20.0)</f>
        <v>20</v>
      </c>
      <c r="J895" s="2">
        <f>IFERROR(__xludf.DUMMYFUNCTION("""COMPUTED_VALUE"""),3143.8)</f>
        <v>3143.8</v>
      </c>
      <c r="K895" s="2">
        <f>IFERROR(__xludf.DUMMYFUNCTION("""COMPUTED_VALUE"""),3143.8)</f>
        <v>3143.8</v>
      </c>
    </row>
    <row r="896">
      <c r="A896" s="2">
        <f>IFERROR(__xludf.DUMMYFUNCTION("""COMPUTED_VALUE"""),1000.0)</f>
        <v>1000</v>
      </c>
      <c r="B896" s="2">
        <f>IFERROR(__xludf.DUMMYFUNCTION("""COMPUTED_VALUE"""),184107.0)</f>
        <v>184107</v>
      </c>
      <c r="C896" s="2">
        <f>IFERROR(__xludf.DUMMYFUNCTION("""COMPUTED_VALUE"""),2026.0)</f>
        <v>2026</v>
      </c>
      <c r="D896" s="2">
        <f>IFERROR(__xludf.DUMMYFUNCTION("""COMPUTED_VALUE"""),46213.0)</f>
        <v>46213</v>
      </c>
      <c r="E896" s="2" t="str">
        <f>IFERROR(__xludf.DUMMYFUNCTION("""COMPUTED_VALUE"""),"VF")</f>
        <v>VF</v>
      </c>
      <c r="F896" s="2">
        <f>IFERROR(__xludf.DUMMYFUNCTION("""COMPUTED_VALUE"""),1.0)</f>
        <v>1</v>
      </c>
      <c r="G896" s="2" t="str">
        <f>IFERROR(__xludf.DUMMYFUNCTION("""COMPUTED_VALUE"""),"PR032")</f>
        <v>PR032</v>
      </c>
      <c r="H896" s="2" t="str">
        <f>IFERROR(__xludf.DUMMYFUNCTION("""COMPUTED_VALUE"""),"VD046")</f>
        <v>VD046</v>
      </c>
      <c r="I896" s="2">
        <f>IFERROR(__xludf.DUMMYFUNCTION("""COMPUTED_VALUE"""),5.0)</f>
        <v>5</v>
      </c>
      <c r="J896" s="2">
        <f>IFERROR(__xludf.DUMMYFUNCTION("""COMPUTED_VALUE"""),1375.0)</f>
        <v>1375</v>
      </c>
      <c r="K896" s="2">
        <f>IFERROR(__xludf.DUMMYFUNCTION("""COMPUTED_VALUE"""),1375.0)</f>
        <v>1375</v>
      </c>
    </row>
    <row r="897">
      <c r="A897" s="2">
        <f>IFERROR(__xludf.DUMMYFUNCTION("""COMPUTED_VALUE"""),1000.0)</f>
        <v>1000</v>
      </c>
      <c r="B897" s="2">
        <f>IFERROR(__xludf.DUMMYFUNCTION("""COMPUTED_VALUE"""),184107.0)</f>
        <v>184107</v>
      </c>
      <c r="C897" s="2">
        <f>IFERROR(__xludf.DUMMYFUNCTION("""COMPUTED_VALUE"""),2026.0)</f>
        <v>2026</v>
      </c>
      <c r="D897" s="2">
        <f>IFERROR(__xludf.DUMMYFUNCTION("""COMPUTED_VALUE"""),46213.0)</f>
        <v>46213</v>
      </c>
      <c r="E897" s="2" t="str">
        <f>IFERROR(__xludf.DUMMYFUNCTION("""COMPUTED_VALUE"""),"VF")</f>
        <v>VF</v>
      </c>
      <c r="F897" s="2">
        <f>IFERROR(__xludf.DUMMYFUNCTION("""COMPUTED_VALUE"""),2.0)</f>
        <v>2</v>
      </c>
      <c r="G897" s="2" t="str">
        <f>IFERROR(__xludf.DUMMYFUNCTION("""COMPUTED_VALUE"""),"PR046")</f>
        <v>PR046</v>
      </c>
      <c r="H897" s="2" t="str">
        <f>IFERROR(__xludf.DUMMYFUNCTION("""COMPUTED_VALUE"""),"VD018")</f>
        <v>VD018</v>
      </c>
      <c r="I897" s="2">
        <f>IFERROR(__xludf.DUMMYFUNCTION("""COMPUTED_VALUE"""),5.0)</f>
        <v>5</v>
      </c>
      <c r="J897" s="2">
        <f>IFERROR(__xludf.DUMMYFUNCTION("""COMPUTED_VALUE"""),1449.5)</f>
        <v>1449.5</v>
      </c>
      <c r="K897" s="2">
        <f>IFERROR(__xludf.DUMMYFUNCTION("""COMPUTED_VALUE"""),1449.5)</f>
        <v>1449.5</v>
      </c>
    </row>
    <row r="898">
      <c r="A898" s="2">
        <f>IFERROR(__xludf.DUMMYFUNCTION("""COMPUTED_VALUE"""),1000.0)</f>
        <v>1000</v>
      </c>
      <c r="B898" s="2">
        <f>IFERROR(__xludf.DUMMYFUNCTION("""COMPUTED_VALUE"""),184108.0)</f>
        <v>184108</v>
      </c>
      <c r="C898" s="2">
        <f>IFERROR(__xludf.DUMMYFUNCTION("""COMPUTED_VALUE"""),2026.0)</f>
        <v>2026</v>
      </c>
      <c r="D898" s="2">
        <f>IFERROR(__xludf.DUMMYFUNCTION("""COMPUTED_VALUE"""),46213.0)</f>
        <v>46213</v>
      </c>
      <c r="E898" s="2" t="str">
        <f>IFERROR(__xludf.DUMMYFUNCTION("""COMPUTED_VALUE"""),"VF")</f>
        <v>VF</v>
      </c>
      <c r="F898" s="2">
        <f>IFERROR(__xludf.DUMMYFUNCTION("""COMPUTED_VALUE"""),1.0)</f>
        <v>1</v>
      </c>
      <c r="G898" s="2" t="str">
        <f>IFERROR(__xludf.DUMMYFUNCTION("""COMPUTED_VALUE"""),"PR056")</f>
        <v>PR056</v>
      </c>
      <c r="H898" s="2" t="str">
        <f>IFERROR(__xludf.DUMMYFUNCTION("""COMPUTED_VALUE"""),"VD029")</f>
        <v>VD029</v>
      </c>
      <c r="I898" s="2">
        <f>IFERROR(__xludf.DUMMYFUNCTION("""COMPUTED_VALUE"""),1.0)</f>
        <v>1</v>
      </c>
      <c r="J898" s="2">
        <f>IFERROR(__xludf.DUMMYFUNCTION("""COMPUTED_VALUE"""),96.19)</f>
        <v>96.19</v>
      </c>
      <c r="K898" s="2">
        <f>IFERROR(__xludf.DUMMYFUNCTION("""COMPUTED_VALUE"""),96.19)</f>
        <v>96.19</v>
      </c>
    </row>
    <row r="899">
      <c r="A899" s="2">
        <f>IFERROR(__xludf.DUMMYFUNCTION("""COMPUTED_VALUE"""),1000.0)</f>
        <v>1000</v>
      </c>
      <c r="B899" s="2">
        <f>IFERROR(__xludf.DUMMYFUNCTION("""COMPUTED_VALUE"""),184109.0)</f>
        <v>184109</v>
      </c>
      <c r="C899" s="2">
        <f>IFERROR(__xludf.DUMMYFUNCTION("""COMPUTED_VALUE"""),2026.0)</f>
        <v>2026</v>
      </c>
      <c r="D899" s="2">
        <f>IFERROR(__xludf.DUMMYFUNCTION("""COMPUTED_VALUE"""),46213.0)</f>
        <v>46213</v>
      </c>
      <c r="E899" s="2" t="str">
        <f>IFERROR(__xludf.DUMMYFUNCTION("""COMPUTED_VALUE"""),"VF")</f>
        <v>VF</v>
      </c>
      <c r="F899" s="2">
        <f>IFERROR(__xludf.DUMMYFUNCTION("""COMPUTED_VALUE"""),1.0)</f>
        <v>1</v>
      </c>
      <c r="G899" s="2" t="str">
        <f>IFERROR(__xludf.DUMMYFUNCTION("""COMPUTED_VALUE"""),"PR018")</f>
        <v>PR018</v>
      </c>
      <c r="H899" s="2" t="str">
        <f>IFERROR(__xludf.DUMMYFUNCTION("""COMPUTED_VALUE"""),"VD042")</f>
        <v>VD042</v>
      </c>
      <c r="I899" s="2">
        <f>IFERROR(__xludf.DUMMYFUNCTION("""COMPUTED_VALUE"""),8.0)</f>
        <v>8</v>
      </c>
      <c r="J899" s="2">
        <f>IFERROR(__xludf.DUMMYFUNCTION("""COMPUTED_VALUE"""),289.52)</f>
        <v>289.52</v>
      </c>
      <c r="K899" s="2">
        <f>IFERROR(__xludf.DUMMYFUNCTION("""COMPUTED_VALUE"""),289.52)</f>
        <v>289.52</v>
      </c>
    </row>
    <row r="900">
      <c r="A900" s="2">
        <f>IFERROR(__xludf.DUMMYFUNCTION("""COMPUTED_VALUE"""),1000.0)</f>
        <v>1000</v>
      </c>
      <c r="B900" s="2">
        <f>IFERROR(__xludf.DUMMYFUNCTION("""COMPUTED_VALUE"""),184110.0)</f>
        <v>184110</v>
      </c>
      <c r="C900" s="2">
        <f>IFERROR(__xludf.DUMMYFUNCTION("""COMPUTED_VALUE"""),2026.0)</f>
        <v>2026</v>
      </c>
      <c r="D900" s="2">
        <f>IFERROR(__xludf.DUMMYFUNCTION("""COMPUTED_VALUE"""),46213.0)</f>
        <v>46213</v>
      </c>
      <c r="E900" s="2" t="str">
        <f>IFERROR(__xludf.DUMMYFUNCTION("""COMPUTED_VALUE"""),"VF")</f>
        <v>VF</v>
      </c>
      <c r="F900" s="2">
        <f>IFERROR(__xludf.DUMMYFUNCTION("""COMPUTED_VALUE"""),1.0)</f>
        <v>1</v>
      </c>
      <c r="G900" s="2" t="str">
        <f>IFERROR(__xludf.DUMMYFUNCTION("""COMPUTED_VALUE"""),"PR020")</f>
        <v>PR020</v>
      </c>
      <c r="H900" s="2" t="str">
        <f>IFERROR(__xludf.DUMMYFUNCTION("""COMPUTED_VALUE"""),"VD024")</f>
        <v>VD024</v>
      </c>
      <c r="I900" s="2">
        <f>IFERROR(__xludf.DUMMYFUNCTION("""COMPUTED_VALUE"""),18.0)</f>
        <v>18</v>
      </c>
      <c r="J900" s="2">
        <f>IFERROR(__xludf.DUMMYFUNCTION("""COMPUTED_VALUE"""),5452.18)</f>
        <v>5452.18</v>
      </c>
      <c r="K900" s="2">
        <f>IFERROR(__xludf.DUMMYFUNCTION("""COMPUTED_VALUE"""),5452.18)</f>
        <v>5452.18</v>
      </c>
    </row>
    <row r="901">
      <c r="A901" s="2">
        <f>IFERROR(__xludf.DUMMYFUNCTION("""COMPUTED_VALUE"""),1000.0)</f>
        <v>1000</v>
      </c>
      <c r="B901" s="2">
        <f>IFERROR(__xludf.DUMMYFUNCTION("""COMPUTED_VALUE"""),184111.0)</f>
        <v>184111</v>
      </c>
      <c r="C901" s="2">
        <f>IFERROR(__xludf.DUMMYFUNCTION("""COMPUTED_VALUE"""),2026.0)</f>
        <v>2026</v>
      </c>
      <c r="D901" s="2">
        <f>IFERROR(__xludf.DUMMYFUNCTION("""COMPUTED_VALUE"""),46213.0)</f>
        <v>46213</v>
      </c>
      <c r="E901" s="2" t="str">
        <f>IFERROR(__xludf.DUMMYFUNCTION("""COMPUTED_VALUE"""),"VF")</f>
        <v>VF</v>
      </c>
      <c r="F901" s="2">
        <f>IFERROR(__xludf.DUMMYFUNCTION("""COMPUTED_VALUE"""),1.0)</f>
        <v>1</v>
      </c>
      <c r="G901" s="2" t="str">
        <f>IFERROR(__xludf.DUMMYFUNCTION("""COMPUTED_VALUE"""),"PR011")</f>
        <v>PR011</v>
      </c>
      <c r="H901" s="2" t="str">
        <f>IFERROR(__xludf.DUMMYFUNCTION("""COMPUTED_VALUE"""),"VD013")</f>
        <v>VD013</v>
      </c>
      <c r="I901" s="2">
        <f>IFERROR(__xludf.DUMMYFUNCTION("""COMPUTED_VALUE"""),2.0)</f>
        <v>2</v>
      </c>
      <c r="J901" s="2">
        <f>IFERROR(__xludf.DUMMYFUNCTION("""COMPUTED_VALUE"""),96.61)</f>
        <v>96.61</v>
      </c>
      <c r="K901" s="2">
        <f>IFERROR(__xludf.DUMMYFUNCTION("""COMPUTED_VALUE"""),96.61)</f>
        <v>96.61</v>
      </c>
    </row>
    <row r="902">
      <c r="A902" s="2">
        <f>IFERROR(__xludf.DUMMYFUNCTION("""COMPUTED_VALUE"""),1000.0)</f>
        <v>1000</v>
      </c>
      <c r="B902" s="2">
        <f>IFERROR(__xludf.DUMMYFUNCTION("""COMPUTED_VALUE"""),184112.0)</f>
        <v>184112</v>
      </c>
      <c r="C902" s="2">
        <f>IFERROR(__xludf.DUMMYFUNCTION("""COMPUTED_VALUE"""),2026.0)</f>
        <v>2026</v>
      </c>
      <c r="D902" s="2">
        <f>IFERROR(__xludf.DUMMYFUNCTION("""COMPUTED_VALUE"""),46212.0)</f>
        <v>46212</v>
      </c>
      <c r="E902" s="2" t="str">
        <f>IFERROR(__xludf.DUMMYFUNCTION("""COMPUTED_VALUE"""),"VF")</f>
        <v>VF</v>
      </c>
      <c r="F902" s="2">
        <f>IFERROR(__xludf.DUMMYFUNCTION("""COMPUTED_VALUE"""),1.0)</f>
        <v>1</v>
      </c>
      <c r="G902" s="2" t="str">
        <f>IFERROR(__xludf.DUMMYFUNCTION("""COMPUTED_VALUE"""),"PR025")</f>
        <v>PR025</v>
      </c>
      <c r="H902" s="2" t="str">
        <f>IFERROR(__xludf.DUMMYFUNCTION("""COMPUTED_VALUE"""),"VD047")</f>
        <v>VD047</v>
      </c>
      <c r="I902" s="2">
        <f>IFERROR(__xludf.DUMMYFUNCTION("""COMPUTED_VALUE"""),2.0)</f>
        <v>2</v>
      </c>
      <c r="J902" s="2">
        <f>IFERROR(__xludf.DUMMYFUNCTION("""COMPUTED_VALUE"""),635.79)</f>
        <v>635.79</v>
      </c>
      <c r="K902" s="2">
        <f>IFERROR(__xludf.DUMMYFUNCTION("""COMPUTED_VALUE"""),635.79)</f>
        <v>635.79</v>
      </c>
    </row>
    <row r="903">
      <c r="A903" s="2">
        <f>IFERROR(__xludf.DUMMYFUNCTION("""COMPUTED_VALUE"""),1000.0)</f>
        <v>1000</v>
      </c>
      <c r="B903" s="2">
        <f>IFERROR(__xludf.DUMMYFUNCTION("""COMPUTED_VALUE"""),184113.0)</f>
        <v>184113</v>
      </c>
      <c r="C903" s="2">
        <f>IFERROR(__xludf.DUMMYFUNCTION("""COMPUTED_VALUE"""),2026.0)</f>
        <v>2026</v>
      </c>
      <c r="D903" s="2">
        <f>IFERROR(__xludf.DUMMYFUNCTION("""COMPUTED_VALUE"""),46212.0)</f>
        <v>46212</v>
      </c>
      <c r="E903" s="2" t="str">
        <f>IFERROR(__xludf.DUMMYFUNCTION("""COMPUTED_VALUE"""),"VF")</f>
        <v>VF</v>
      </c>
      <c r="F903" s="2">
        <f>IFERROR(__xludf.DUMMYFUNCTION("""COMPUTED_VALUE"""),1.0)</f>
        <v>1</v>
      </c>
      <c r="G903" s="2" t="str">
        <f>IFERROR(__xludf.DUMMYFUNCTION("""COMPUTED_VALUE"""),"PR044")</f>
        <v>PR044</v>
      </c>
      <c r="H903" s="2" t="str">
        <f>IFERROR(__xludf.DUMMYFUNCTION("""COMPUTED_VALUE"""),"VD020")</f>
        <v>VD020</v>
      </c>
      <c r="I903" s="2">
        <f>IFERROR(__xludf.DUMMYFUNCTION("""COMPUTED_VALUE"""),9.0)</f>
        <v>9</v>
      </c>
      <c r="J903" s="2">
        <f>IFERROR(__xludf.DUMMYFUNCTION("""COMPUTED_VALUE"""),652.5)</f>
        <v>652.5</v>
      </c>
      <c r="K903" s="2">
        <f>IFERROR(__xludf.DUMMYFUNCTION("""COMPUTED_VALUE"""),652.5)</f>
        <v>652.5</v>
      </c>
    </row>
    <row r="904">
      <c r="A904" s="2">
        <f>IFERROR(__xludf.DUMMYFUNCTION("""COMPUTED_VALUE"""),1000.0)</f>
        <v>1000</v>
      </c>
      <c r="B904" s="2">
        <f>IFERROR(__xludf.DUMMYFUNCTION("""COMPUTED_VALUE"""),184114.0)</f>
        <v>184114</v>
      </c>
      <c r="C904" s="2">
        <f>IFERROR(__xludf.DUMMYFUNCTION("""COMPUTED_VALUE"""),2026.0)</f>
        <v>2026</v>
      </c>
      <c r="D904" s="2">
        <f>IFERROR(__xludf.DUMMYFUNCTION("""COMPUTED_VALUE"""),46211.0)</f>
        <v>46211</v>
      </c>
      <c r="E904" s="2" t="str">
        <f>IFERROR(__xludf.DUMMYFUNCTION("""COMPUTED_VALUE"""),"VF")</f>
        <v>VF</v>
      </c>
      <c r="F904" s="2">
        <f>IFERROR(__xludf.DUMMYFUNCTION("""COMPUTED_VALUE"""),1.0)</f>
        <v>1</v>
      </c>
      <c r="G904" s="2" t="str">
        <f>IFERROR(__xludf.DUMMYFUNCTION("""COMPUTED_VALUE"""),"PR054")</f>
        <v>PR054</v>
      </c>
      <c r="H904" s="2" t="str">
        <f>IFERROR(__xludf.DUMMYFUNCTION("""COMPUTED_VALUE"""),"VD011")</f>
        <v>VD011</v>
      </c>
      <c r="I904" s="2">
        <f>IFERROR(__xludf.DUMMYFUNCTION("""COMPUTED_VALUE"""),2.0)</f>
        <v>2</v>
      </c>
      <c r="J904" s="2">
        <f>IFERROR(__xludf.DUMMYFUNCTION("""COMPUTED_VALUE"""),100.8)</f>
        <v>100.8</v>
      </c>
      <c r="K904" s="2">
        <f>IFERROR(__xludf.DUMMYFUNCTION("""COMPUTED_VALUE"""),100.8)</f>
        <v>100.8</v>
      </c>
    </row>
    <row r="905">
      <c r="A905" s="2">
        <f>IFERROR(__xludf.DUMMYFUNCTION("""COMPUTED_VALUE"""),1000.0)</f>
        <v>1000</v>
      </c>
      <c r="B905" s="2">
        <f>IFERROR(__xludf.DUMMYFUNCTION("""COMPUTED_VALUE"""),184115.0)</f>
        <v>184115</v>
      </c>
      <c r="C905" s="2">
        <f>IFERROR(__xludf.DUMMYFUNCTION("""COMPUTED_VALUE"""),2026.0)</f>
        <v>2026</v>
      </c>
      <c r="D905" s="2">
        <f>IFERROR(__xludf.DUMMYFUNCTION("""COMPUTED_VALUE"""),46211.0)</f>
        <v>46211</v>
      </c>
      <c r="E905" s="2" t="str">
        <f>IFERROR(__xludf.DUMMYFUNCTION("""COMPUTED_VALUE"""),"VF")</f>
        <v>VF</v>
      </c>
      <c r="F905" s="2">
        <f>IFERROR(__xludf.DUMMYFUNCTION("""COMPUTED_VALUE"""),1.0)</f>
        <v>1</v>
      </c>
      <c r="G905" s="2" t="str">
        <f>IFERROR(__xludf.DUMMYFUNCTION("""COMPUTED_VALUE"""),"PR004")</f>
        <v>PR004</v>
      </c>
      <c r="H905" s="2" t="str">
        <f>IFERROR(__xludf.DUMMYFUNCTION("""COMPUTED_VALUE"""),"VD039")</f>
        <v>VD039</v>
      </c>
      <c r="I905" s="2">
        <f>IFERROR(__xludf.DUMMYFUNCTION("""COMPUTED_VALUE"""),14.0)</f>
        <v>14</v>
      </c>
      <c r="J905" s="2">
        <f>IFERROR(__xludf.DUMMYFUNCTION("""COMPUTED_VALUE"""),2212.7)</f>
        <v>2212.7</v>
      </c>
      <c r="K905" s="2">
        <f>IFERROR(__xludf.DUMMYFUNCTION("""COMPUTED_VALUE"""),2212.7)</f>
        <v>2212.7</v>
      </c>
    </row>
    <row r="906">
      <c r="A906" s="2">
        <f>IFERROR(__xludf.DUMMYFUNCTION("""COMPUTED_VALUE"""),1000.0)</f>
        <v>1000</v>
      </c>
      <c r="B906" s="2">
        <f>IFERROR(__xludf.DUMMYFUNCTION("""COMPUTED_VALUE"""),184115.0)</f>
        <v>184115</v>
      </c>
      <c r="C906" s="2">
        <f>IFERROR(__xludf.DUMMYFUNCTION("""COMPUTED_VALUE"""),2026.0)</f>
        <v>2026</v>
      </c>
      <c r="D906" s="2">
        <f>IFERROR(__xludf.DUMMYFUNCTION("""COMPUTED_VALUE"""),46210.0)</f>
        <v>46210</v>
      </c>
      <c r="E906" s="2" t="str">
        <f>IFERROR(__xludf.DUMMYFUNCTION("""COMPUTED_VALUE"""),"VF")</f>
        <v>VF</v>
      </c>
      <c r="F906" s="2">
        <f>IFERROR(__xludf.DUMMYFUNCTION("""COMPUTED_VALUE"""),2.0)</f>
        <v>2</v>
      </c>
      <c r="G906" s="2" t="str">
        <f>IFERROR(__xludf.DUMMYFUNCTION("""COMPUTED_VALUE"""),"PR032")</f>
        <v>PR032</v>
      </c>
      <c r="H906" s="2" t="str">
        <f>IFERROR(__xludf.DUMMYFUNCTION("""COMPUTED_VALUE"""),"VD017")</f>
        <v>VD017</v>
      </c>
      <c r="I906" s="2">
        <f>IFERROR(__xludf.DUMMYFUNCTION("""COMPUTED_VALUE"""),12.0)</f>
        <v>12</v>
      </c>
      <c r="J906" s="2">
        <f>IFERROR(__xludf.DUMMYFUNCTION("""COMPUTED_VALUE"""),3030.0)</f>
        <v>3030</v>
      </c>
      <c r="K906" s="2">
        <f>IFERROR(__xludf.DUMMYFUNCTION("""COMPUTED_VALUE"""),3030.0)</f>
        <v>3030</v>
      </c>
    </row>
    <row r="907">
      <c r="A907" s="2">
        <f>IFERROR(__xludf.DUMMYFUNCTION("""COMPUTED_VALUE"""),1000.0)</f>
        <v>1000</v>
      </c>
      <c r="B907" s="2">
        <f>IFERROR(__xludf.DUMMYFUNCTION("""COMPUTED_VALUE"""),184116.0)</f>
        <v>184116</v>
      </c>
      <c r="C907" s="2">
        <f>IFERROR(__xludf.DUMMYFUNCTION("""COMPUTED_VALUE"""),2026.0)</f>
        <v>2026</v>
      </c>
      <c r="D907" s="2">
        <f>IFERROR(__xludf.DUMMYFUNCTION("""COMPUTED_VALUE"""),46210.0)</f>
        <v>46210</v>
      </c>
      <c r="E907" s="2" t="str">
        <f>IFERROR(__xludf.DUMMYFUNCTION("""COMPUTED_VALUE"""),"VF")</f>
        <v>VF</v>
      </c>
      <c r="F907" s="2">
        <f>IFERROR(__xludf.DUMMYFUNCTION("""COMPUTED_VALUE"""),1.0)</f>
        <v>1</v>
      </c>
      <c r="G907" s="2" t="str">
        <f>IFERROR(__xludf.DUMMYFUNCTION("""COMPUTED_VALUE"""),"PR060")</f>
        <v>PR060</v>
      </c>
      <c r="H907" s="2" t="str">
        <f>IFERROR(__xludf.DUMMYFUNCTION("""COMPUTED_VALUE"""),"VD040")</f>
        <v>VD040</v>
      </c>
      <c r="I907" s="2">
        <f>IFERROR(__xludf.DUMMYFUNCTION("""COMPUTED_VALUE"""),18.0)</f>
        <v>18</v>
      </c>
      <c r="J907" s="2">
        <f>IFERROR(__xludf.DUMMYFUNCTION("""COMPUTED_VALUE"""),3434.4)</f>
        <v>3434.4</v>
      </c>
      <c r="K907" s="2">
        <f>IFERROR(__xludf.DUMMYFUNCTION("""COMPUTED_VALUE"""),3434.4)</f>
        <v>3434.4</v>
      </c>
    </row>
    <row r="908">
      <c r="A908" s="2">
        <f>IFERROR(__xludf.DUMMYFUNCTION("""COMPUTED_VALUE"""),1000.0)</f>
        <v>1000</v>
      </c>
      <c r="B908" s="2">
        <f>IFERROR(__xludf.DUMMYFUNCTION("""COMPUTED_VALUE"""),184116.0)</f>
        <v>184116</v>
      </c>
      <c r="C908" s="2">
        <f>IFERROR(__xludf.DUMMYFUNCTION("""COMPUTED_VALUE"""),2026.0)</f>
        <v>2026</v>
      </c>
      <c r="D908" s="2">
        <f>IFERROR(__xludf.DUMMYFUNCTION("""COMPUTED_VALUE"""),46210.0)</f>
        <v>46210</v>
      </c>
      <c r="E908" s="2" t="str">
        <f>IFERROR(__xludf.DUMMYFUNCTION("""COMPUTED_VALUE"""),"VF")</f>
        <v>VF</v>
      </c>
      <c r="F908" s="2">
        <f>IFERROR(__xludf.DUMMYFUNCTION("""COMPUTED_VALUE"""),2.0)</f>
        <v>2</v>
      </c>
      <c r="G908" s="2" t="str">
        <f>IFERROR(__xludf.DUMMYFUNCTION("""COMPUTED_VALUE"""),"PR041")</f>
        <v>PR041</v>
      </c>
      <c r="H908" s="2" t="str">
        <f>IFERROR(__xludf.DUMMYFUNCTION("""COMPUTED_VALUE"""),"VD018")</f>
        <v>VD018</v>
      </c>
      <c r="I908" s="2">
        <f>IFERROR(__xludf.DUMMYFUNCTION("""COMPUTED_VALUE"""),1.0)</f>
        <v>1</v>
      </c>
      <c r="J908" s="2">
        <f>IFERROR(__xludf.DUMMYFUNCTION("""COMPUTED_VALUE"""),59.29)</f>
        <v>59.29</v>
      </c>
      <c r="K908" s="2">
        <f>IFERROR(__xludf.DUMMYFUNCTION("""COMPUTED_VALUE"""),59.29)</f>
        <v>59.29</v>
      </c>
    </row>
    <row r="909">
      <c r="A909" s="2">
        <f>IFERROR(__xludf.DUMMYFUNCTION("""COMPUTED_VALUE"""),1000.0)</f>
        <v>1000</v>
      </c>
      <c r="B909" s="2">
        <f>IFERROR(__xludf.DUMMYFUNCTION("""COMPUTED_VALUE"""),184116.0)</f>
        <v>184116</v>
      </c>
      <c r="C909" s="2">
        <f>IFERROR(__xludf.DUMMYFUNCTION("""COMPUTED_VALUE"""),2026.0)</f>
        <v>2026</v>
      </c>
      <c r="D909" s="2">
        <f>IFERROR(__xludf.DUMMYFUNCTION("""COMPUTED_VALUE"""),46210.0)</f>
        <v>46210</v>
      </c>
      <c r="E909" s="2" t="str">
        <f>IFERROR(__xludf.DUMMYFUNCTION("""COMPUTED_VALUE"""),"VF")</f>
        <v>VF</v>
      </c>
      <c r="F909" s="2">
        <f>IFERROR(__xludf.DUMMYFUNCTION("""COMPUTED_VALUE"""),3.0)</f>
        <v>3</v>
      </c>
      <c r="G909" s="2" t="str">
        <f>IFERROR(__xludf.DUMMYFUNCTION("""COMPUTED_VALUE"""),"PR029")</f>
        <v>PR029</v>
      </c>
      <c r="H909" s="2" t="str">
        <f>IFERROR(__xludf.DUMMYFUNCTION("""COMPUTED_VALUE"""),"VD029")</f>
        <v>VD029</v>
      </c>
      <c r="I909" s="2">
        <f>IFERROR(__xludf.DUMMYFUNCTION("""COMPUTED_VALUE"""),6.0)</f>
        <v>6</v>
      </c>
      <c r="J909" s="2">
        <f>IFERROR(__xludf.DUMMYFUNCTION("""COMPUTED_VALUE"""),1575.9)</f>
        <v>1575.9</v>
      </c>
      <c r="K909" s="2">
        <f>IFERROR(__xludf.DUMMYFUNCTION("""COMPUTED_VALUE"""),1575.9)</f>
        <v>1575.9</v>
      </c>
    </row>
    <row r="910">
      <c r="A910" s="2">
        <f>IFERROR(__xludf.DUMMYFUNCTION("""COMPUTED_VALUE"""),1000.0)</f>
        <v>1000</v>
      </c>
      <c r="B910" s="2">
        <f>IFERROR(__xludf.DUMMYFUNCTION("""COMPUTED_VALUE"""),184117.0)</f>
        <v>184117</v>
      </c>
      <c r="C910" s="2">
        <f>IFERROR(__xludf.DUMMYFUNCTION("""COMPUTED_VALUE"""),2026.0)</f>
        <v>2026</v>
      </c>
      <c r="D910" s="2">
        <f>IFERROR(__xludf.DUMMYFUNCTION("""COMPUTED_VALUE"""),46210.0)</f>
        <v>46210</v>
      </c>
      <c r="E910" s="2" t="str">
        <f>IFERROR(__xludf.DUMMYFUNCTION("""COMPUTED_VALUE"""),"VF")</f>
        <v>VF</v>
      </c>
      <c r="F910" s="2">
        <f>IFERROR(__xludf.DUMMYFUNCTION("""COMPUTED_VALUE"""),1.0)</f>
        <v>1</v>
      </c>
      <c r="G910" s="2" t="str">
        <f>IFERROR(__xludf.DUMMYFUNCTION("""COMPUTED_VALUE"""),"PR039")</f>
        <v>PR039</v>
      </c>
      <c r="H910" s="2" t="str">
        <f>IFERROR(__xludf.DUMMYFUNCTION("""COMPUTED_VALUE"""),"VD034")</f>
        <v>VD034</v>
      </c>
      <c r="I910" s="2">
        <f>IFERROR(__xludf.DUMMYFUNCTION("""COMPUTED_VALUE"""),16.0)</f>
        <v>16</v>
      </c>
      <c r="J910" s="2">
        <f>IFERROR(__xludf.DUMMYFUNCTION("""COMPUTED_VALUE"""),2336.0)</f>
        <v>2336</v>
      </c>
      <c r="K910" s="2">
        <f>IFERROR(__xludf.DUMMYFUNCTION("""COMPUTED_VALUE"""),2336.0)</f>
        <v>2336</v>
      </c>
    </row>
    <row r="911">
      <c r="A911" s="2">
        <f>IFERROR(__xludf.DUMMYFUNCTION("""COMPUTED_VALUE"""),1000.0)</f>
        <v>1000</v>
      </c>
      <c r="B911" s="2">
        <f>IFERROR(__xludf.DUMMYFUNCTION("""COMPUTED_VALUE"""),184118.0)</f>
        <v>184118</v>
      </c>
      <c r="C911" s="2">
        <f>IFERROR(__xludf.DUMMYFUNCTION("""COMPUTED_VALUE"""),2026.0)</f>
        <v>2026</v>
      </c>
      <c r="D911" s="2">
        <f>IFERROR(__xludf.DUMMYFUNCTION("""COMPUTED_VALUE"""),46209.0)</f>
        <v>46209</v>
      </c>
      <c r="E911" s="2" t="str">
        <f>IFERROR(__xludf.DUMMYFUNCTION("""COMPUTED_VALUE"""),"VF")</f>
        <v>VF</v>
      </c>
      <c r="F911" s="2">
        <f>IFERROR(__xludf.DUMMYFUNCTION("""COMPUTED_VALUE"""),1.0)</f>
        <v>1</v>
      </c>
      <c r="G911" s="2" t="str">
        <f>IFERROR(__xludf.DUMMYFUNCTION("""COMPUTED_VALUE"""),"PR048")</f>
        <v>PR048</v>
      </c>
      <c r="H911" s="2" t="str">
        <f>IFERROR(__xludf.DUMMYFUNCTION("""COMPUTED_VALUE"""),"VD026")</f>
        <v>VD026</v>
      </c>
      <c r="I911" s="2">
        <f>IFERROR(__xludf.DUMMYFUNCTION("""COMPUTED_VALUE"""),6.0)</f>
        <v>6</v>
      </c>
      <c r="J911" s="2">
        <f>IFERROR(__xludf.DUMMYFUNCTION("""COMPUTED_VALUE"""),1774.19)</f>
        <v>1774.19</v>
      </c>
      <c r="K911" s="2">
        <f>IFERROR(__xludf.DUMMYFUNCTION("""COMPUTED_VALUE"""),1774.19)</f>
        <v>1774.19</v>
      </c>
    </row>
    <row r="912">
      <c r="A912" s="2">
        <f>IFERROR(__xludf.DUMMYFUNCTION("""COMPUTED_VALUE"""),1000.0)</f>
        <v>1000</v>
      </c>
      <c r="B912" s="2">
        <f>IFERROR(__xludf.DUMMYFUNCTION("""COMPUTED_VALUE"""),184118.0)</f>
        <v>184118</v>
      </c>
      <c r="C912" s="2">
        <f>IFERROR(__xludf.DUMMYFUNCTION("""COMPUTED_VALUE"""),2026.0)</f>
        <v>2026</v>
      </c>
      <c r="D912" s="2">
        <f>IFERROR(__xludf.DUMMYFUNCTION("""COMPUTED_VALUE"""),46209.0)</f>
        <v>46209</v>
      </c>
      <c r="E912" s="2" t="str">
        <f>IFERROR(__xludf.DUMMYFUNCTION("""COMPUTED_VALUE"""),"VF")</f>
        <v>VF</v>
      </c>
      <c r="F912" s="2">
        <f>IFERROR(__xludf.DUMMYFUNCTION("""COMPUTED_VALUE"""),2.0)</f>
        <v>2</v>
      </c>
      <c r="G912" s="2" t="str">
        <f>IFERROR(__xludf.DUMMYFUNCTION("""COMPUTED_VALUE"""),"PR015")</f>
        <v>PR015</v>
      </c>
      <c r="H912" s="2" t="str">
        <f>IFERROR(__xludf.DUMMYFUNCTION("""COMPUTED_VALUE"""),"VD012")</f>
        <v>VD012</v>
      </c>
      <c r="I912" s="2">
        <f>IFERROR(__xludf.DUMMYFUNCTION("""COMPUTED_VALUE"""),2.0)</f>
        <v>2</v>
      </c>
      <c r="J912" s="2">
        <f>IFERROR(__xludf.DUMMYFUNCTION("""COMPUTED_VALUE"""),85.85)</f>
        <v>85.85</v>
      </c>
      <c r="K912" s="2">
        <f>IFERROR(__xludf.DUMMYFUNCTION("""COMPUTED_VALUE"""),85.85)</f>
        <v>85.85</v>
      </c>
    </row>
    <row r="913">
      <c r="A913" s="2">
        <f>IFERROR(__xludf.DUMMYFUNCTION("""COMPUTED_VALUE"""),1000.0)</f>
        <v>1000</v>
      </c>
      <c r="B913" s="2">
        <f>IFERROR(__xludf.DUMMYFUNCTION("""COMPUTED_VALUE"""),184119.0)</f>
        <v>184119</v>
      </c>
      <c r="C913" s="2">
        <f>IFERROR(__xludf.DUMMYFUNCTION("""COMPUTED_VALUE"""),2026.0)</f>
        <v>2026</v>
      </c>
      <c r="D913" s="2">
        <f>IFERROR(__xludf.DUMMYFUNCTION("""COMPUTED_VALUE"""),46209.0)</f>
        <v>46209</v>
      </c>
      <c r="E913" s="2" t="str">
        <f>IFERROR(__xludf.DUMMYFUNCTION("""COMPUTED_VALUE"""),"VF")</f>
        <v>VF</v>
      </c>
      <c r="F913" s="2">
        <f>IFERROR(__xludf.DUMMYFUNCTION("""COMPUTED_VALUE"""),1.0)</f>
        <v>1</v>
      </c>
      <c r="G913" s="2" t="str">
        <f>IFERROR(__xludf.DUMMYFUNCTION("""COMPUTED_VALUE"""),"PR051")</f>
        <v>PR051</v>
      </c>
      <c r="H913" s="2" t="str">
        <f>IFERROR(__xludf.DUMMYFUNCTION("""COMPUTED_VALUE"""),"VD036")</f>
        <v>VD036</v>
      </c>
      <c r="I913" s="2">
        <f>IFERROR(__xludf.DUMMYFUNCTION("""COMPUTED_VALUE"""),10.0)</f>
        <v>10</v>
      </c>
      <c r="J913" s="2">
        <f>IFERROR(__xludf.DUMMYFUNCTION("""COMPUTED_VALUE"""),348.74)</f>
        <v>348.74</v>
      </c>
      <c r="K913" s="2">
        <f>IFERROR(__xludf.DUMMYFUNCTION("""COMPUTED_VALUE"""),348.74)</f>
        <v>348.74</v>
      </c>
    </row>
    <row r="914">
      <c r="A914" s="2">
        <f>IFERROR(__xludf.DUMMYFUNCTION("""COMPUTED_VALUE"""),2000.0)</f>
        <v>2000</v>
      </c>
      <c r="B914" s="2">
        <f>IFERROR(__xludf.DUMMYFUNCTION("""COMPUTED_VALUE"""),184119.0)</f>
        <v>184119</v>
      </c>
      <c r="C914" s="2">
        <f>IFERROR(__xludf.DUMMYFUNCTION("""COMPUTED_VALUE"""),2026.0)</f>
        <v>2026</v>
      </c>
      <c r="D914" s="2">
        <f>IFERROR(__xludf.DUMMYFUNCTION("""COMPUTED_VALUE"""),46209.0)</f>
        <v>46209</v>
      </c>
      <c r="E914" s="2" t="str">
        <f>IFERROR(__xludf.DUMMYFUNCTION("""COMPUTED_VALUE"""),"VF")</f>
        <v>VF</v>
      </c>
      <c r="F914" s="2">
        <f>IFERROR(__xludf.DUMMYFUNCTION("""COMPUTED_VALUE"""),2.0)</f>
        <v>2</v>
      </c>
      <c r="G914" s="2" t="str">
        <f>IFERROR(__xludf.DUMMYFUNCTION("""COMPUTED_VALUE"""),"PR060")</f>
        <v>PR060</v>
      </c>
      <c r="H914" s="2" t="str">
        <f>IFERROR(__xludf.DUMMYFUNCTION("""COMPUTED_VALUE"""),"VD021")</f>
        <v>VD021</v>
      </c>
      <c r="I914" s="2">
        <f>IFERROR(__xludf.DUMMYFUNCTION("""COMPUTED_VALUE"""),12.0)</f>
        <v>12</v>
      </c>
      <c r="J914" s="2">
        <f>IFERROR(__xludf.DUMMYFUNCTION("""COMPUTED_VALUE"""),2246.4)</f>
        <v>2246.4</v>
      </c>
      <c r="K914" s="2">
        <f>IFERROR(__xludf.DUMMYFUNCTION("""COMPUTED_VALUE"""),2246.4)</f>
        <v>2246.4</v>
      </c>
    </row>
    <row r="915">
      <c r="A915" s="2">
        <f>IFERROR(__xludf.DUMMYFUNCTION("""COMPUTED_VALUE"""),2000.0)</f>
        <v>2000</v>
      </c>
      <c r="B915" s="2">
        <f>IFERROR(__xludf.DUMMYFUNCTION("""COMPUTED_VALUE"""),184120.0)</f>
        <v>184120</v>
      </c>
      <c r="C915" s="2">
        <f>IFERROR(__xludf.DUMMYFUNCTION("""COMPUTED_VALUE"""),2026.0)</f>
        <v>2026</v>
      </c>
      <c r="D915" s="2">
        <f>IFERROR(__xludf.DUMMYFUNCTION("""COMPUTED_VALUE"""),46208.0)</f>
        <v>46208</v>
      </c>
      <c r="E915" s="2" t="str">
        <f>IFERROR(__xludf.DUMMYFUNCTION("""COMPUTED_VALUE"""),"VF")</f>
        <v>VF</v>
      </c>
      <c r="F915" s="2">
        <f>IFERROR(__xludf.DUMMYFUNCTION("""COMPUTED_VALUE"""),1.0)</f>
        <v>1</v>
      </c>
      <c r="G915" s="2" t="str">
        <f>IFERROR(__xludf.DUMMYFUNCTION("""COMPUTED_VALUE"""),"PR053")</f>
        <v>PR053</v>
      </c>
      <c r="H915" s="2" t="str">
        <f>IFERROR(__xludf.DUMMYFUNCTION("""COMPUTED_VALUE"""),"VD047")</f>
        <v>VD047</v>
      </c>
      <c r="I915" s="2">
        <f>IFERROR(__xludf.DUMMYFUNCTION("""COMPUTED_VALUE"""),6.0)</f>
        <v>6</v>
      </c>
      <c r="J915" s="2">
        <f>IFERROR(__xludf.DUMMYFUNCTION("""COMPUTED_VALUE"""),317.36)</f>
        <v>317.36</v>
      </c>
      <c r="K915" s="2">
        <f>IFERROR(__xludf.DUMMYFUNCTION("""COMPUTED_VALUE"""),317.36)</f>
        <v>317.36</v>
      </c>
    </row>
    <row r="916">
      <c r="A916" s="2">
        <f>IFERROR(__xludf.DUMMYFUNCTION("""COMPUTED_VALUE"""),1000.0)</f>
        <v>1000</v>
      </c>
      <c r="B916" s="2">
        <f>IFERROR(__xludf.DUMMYFUNCTION("""COMPUTED_VALUE"""),184120.0)</f>
        <v>184120</v>
      </c>
      <c r="C916" s="2">
        <f>IFERROR(__xludf.DUMMYFUNCTION("""COMPUTED_VALUE"""),2026.0)</f>
        <v>2026</v>
      </c>
      <c r="D916" s="2">
        <f>IFERROR(__xludf.DUMMYFUNCTION("""COMPUTED_VALUE"""),46208.0)</f>
        <v>46208</v>
      </c>
      <c r="E916" s="2" t="str">
        <f>IFERROR(__xludf.DUMMYFUNCTION("""COMPUTED_VALUE"""),"VF")</f>
        <v>VF</v>
      </c>
      <c r="F916" s="2">
        <f>IFERROR(__xludf.DUMMYFUNCTION("""COMPUTED_VALUE"""),2.0)</f>
        <v>2</v>
      </c>
      <c r="G916" s="2" t="str">
        <f>IFERROR(__xludf.DUMMYFUNCTION("""COMPUTED_VALUE"""),"PR051")</f>
        <v>PR051</v>
      </c>
      <c r="H916" s="2" t="str">
        <f>IFERROR(__xludf.DUMMYFUNCTION("""COMPUTED_VALUE"""),"VD016")</f>
        <v>VD016</v>
      </c>
      <c r="I916" s="2">
        <f>IFERROR(__xludf.DUMMYFUNCTION("""COMPUTED_VALUE"""),8.0)</f>
        <v>8</v>
      </c>
      <c r="J916" s="2">
        <f>IFERROR(__xludf.DUMMYFUNCTION("""COMPUTED_VALUE"""),263.2)</f>
        <v>263.2</v>
      </c>
      <c r="K916" s="2">
        <f>IFERROR(__xludf.DUMMYFUNCTION("""COMPUTED_VALUE"""),263.2)</f>
        <v>263.2</v>
      </c>
    </row>
    <row r="917">
      <c r="A917" s="2">
        <f>IFERROR(__xludf.DUMMYFUNCTION("""COMPUTED_VALUE"""),1000.0)</f>
        <v>1000</v>
      </c>
      <c r="B917" s="2">
        <f>IFERROR(__xludf.DUMMYFUNCTION("""COMPUTED_VALUE"""),184120.0)</f>
        <v>184120</v>
      </c>
      <c r="C917" s="2">
        <f>IFERROR(__xludf.DUMMYFUNCTION("""COMPUTED_VALUE"""),2026.0)</f>
        <v>2026</v>
      </c>
      <c r="D917" s="2">
        <f>IFERROR(__xludf.DUMMYFUNCTION("""COMPUTED_VALUE"""),46208.0)</f>
        <v>46208</v>
      </c>
      <c r="E917" s="2" t="str">
        <f>IFERROR(__xludf.DUMMYFUNCTION("""COMPUTED_VALUE"""),"VF")</f>
        <v>VF</v>
      </c>
      <c r="F917" s="2">
        <f>IFERROR(__xludf.DUMMYFUNCTION("""COMPUTED_VALUE"""),3.0)</f>
        <v>3</v>
      </c>
      <c r="G917" s="2" t="str">
        <f>IFERROR(__xludf.DUMMYFUNCTION("""COMPUTED_VALUE"""),"PR035")</f>
        <v>PR035</v>
      </c>
      <c r="H917" s="2" t="str">
        <f>IFERROR(__xludf.DUMMYFUNCTION("""COMPUTED_VALUE"""),"VD016")</f>
        <v>VD016</v>
      </c>
      <c r="I917" s="2">
        <f>IFERROR(__xludf.DUMMYFUNCTION("""COMPUTED_VALUE"""),12.0)</f>
        <v>12</v>
      </c>
      <c r="J917" s="2">
        <f>IFERROR(__xludf.DUMMYFUNCTION("""COMPUTED_VALUE"""),1107.77)</f>
        <v>1107.77</v>
      </c>
      <c r="K917" s="2">
        <f>IFERROR(__xludf.DUMMYFUNCTION("""COMPUTED_VALUE"""),1107.77)</f>
        <v>1107.77</v>
      </c>
    </row>
    <row r="918">
      <c r="A918" s="2">
        <f>IFERROR(__xludf.DUMMYFUNCTION("""COMPUTED_VALUE"""),2000.0)</f>
        <v>2000</v>
      </c>
      <c r="B918" s="2">
        <f>IFERROR(__xludf.DUMMYFUNCTION("""COMPUTED_VALUE"""),184120.0)</f>
        <v>184120</v>
      </c>
      <c r="C918" s="2">
        <f>IFERROR(__xludf.DUMMYFUNCTION("""COMPUTED_VALUE"""),2026.0)</f>
        <v>2026</v>
      </c>
      <c r="D918" s="2">
        <f>IFERROR(__xludf.DUMMYFUNCTION("""COMPUTED_VALUE"""),46207.0)</f>
        <v>46207</v>
      </c>
      <c r="E918" s="2" t="str">
        <f>IFERROR(__xludf.DUMMYFUNCTION("""COMPUTED_VALUE"""),"VF")</f>
        <v>VF</v>
      </c>
      <c r="F918" s="2">
        <f>IFERROR(__xludf.DUMMYFUNCTION("""COMPUTED_VALUE"""),4.0)</f>
        <v>4</v>
      </c>
      <c r="G918" s="2" t="str">
        <f>IFERROR(__xludf.DUMMYFUNCTION("""COMPUTED_VALUE"""),"PR046")</f>
        <v>PR046</v>
      </c>
      <c r="H918" s="2" t="str">
        <f>IFERROR(__xludf.DUMMYFUNCTION("""COMPUTED_VALUE"""),"VD031")</f>
        <v>VD031</v>
      </c>
      <c r="I918" s="2">
        <f>IFERROR(__xludf.DUMMYFUNCTION("""COMPUTED_VALUE"""),14.0)</f>
        <v>14</v>
      </c>
      <c r="J918" s="2">
        <f>IFERROR(__xludf.DUMMYFUNCTION("""COMPUTED_VALUE"""),4099.19)</f>
        <v>4099.19</v>
      </c>
      <c r="K918" s="2">
        <f>IFERROR(__xludf.DUMMYFUNCTION("""COMPUTED_VALUE"""),4099.19)</f>
        <v>4099.19</v>
      </c>
    </row>
    <row r="919">
      <c r="A919" s="2">
        <f>IFERROR(__xludf.DUMMYFUNCTION("""COMPUTED_VALUE"""),2000.0)</f>
        <v>2000</v>
      </c>
      <c r="B919" s="2">
        <f>IFERROR(__xludf.DUMMYFUNCTION("""COMPUTED_VALUE"""),184120.0)</f>
        <v>184120</v>
      </c>
      <c r="C919" s="2">
        <f>IFERROR(__xludf.DUMMYFUNCTION("""COMPUTED_VALUE"""),2026.0)</f>
        <v>2026</v>
      </c>
      <c r="D919" s="2">
        <f>IFERROR(__xludf.DUMMYFUNCTION("""COMPUTED_VALUE"""),46207.0)</f>
        <v>46207</v>
      </c>
      <c r="E919" s="2" t="str">
        <f>IFERROR(__xludf.DUMMYFUNCTION("""COMPUTED_VALUE"""),"VF")</f>
        <v>VF</v>
      </c>
      <c r="F919" s="2">
        <f>IFERROR(__xludf.DUMMYFUNCTION("""COMPUTED_VALUE"""),5.0)</f>
        <v>5</v>
      </c>
      <c r="G919" s="2" t="str">
        <f>IFERROR(__xludf.DUMMYFUNCTION("""COMPUTED_VALUE"""),"PR057")</f>
        <v>PR057</v>
      </c>
      <c r="H919" s="2" t="str">
        <f>IFERROR(__xludf.DUMMYFUNCTION("""COMPUTED_VALUE"""),"VD047")</f>
        <v>VD047</v>
      </c>
      <c r="I919" s="2">
        <f>IFERROR(__xludf.DUMMYFUNCTION("""COMPUTED_VALUE"""),12.0)</f>
        <v>12</v>
      </c>
      <c r="J919" s="2">
        <f>IFERROR(__xludf.DUMMYFUNCTION("""COMPUTED_VALUE"""),1121.95)</f>
        <v>1121.95</v>
      </c>
      <c r="K919" s="2">
        <f>IFERROR(__xludf.DUMMYFUNCTION("""COMPUTED_VALUE"""),1121.95)</f>
        <v>1121.95</v>
      </c>
    </row>
    <row r="920">
      <c r="A920" s="2">
        <f>IFERROR(__xludf.DUMMYFUNCTION("""COMPUTED_VALUE"""),1000.0)</f>
        <v>1000</v>
      </c>
      <c r="B920" s="2">
        <f>IFERROR(__xludf.DUMMYFUNCTION("""COMPUTED_VALUE"""),184121.0)</f>
        <v>184121</v>
      </c>
      <c r="C920" s="2">
        <f>IFERROR(__xludf.DUMMYFUNCTION("""COMPUTED_VALUE"""),2026.0)</f>
        <v>2026</v>
      </c>
      <c r="D920" s="2">
        <f>IFERROR(__xludf.DUMMYFUNCTION("""COMPUTED_VALUE"""),46206.0)</f>
        <v>46206</v>
      </c>
      <c r="E920" s="2" t="str">
        <f>IFERROR(__xludf.DUMMYFUNCTION("""COMPUTED_VALUE"""),"VF")</f>
        <v>VF</v>
      </c>
      <c r="F920" s="2">
        <f>IFERROR(__xludf.DUMMYFUNCTION("""COMPUTED_VALUE"""),1.0)</f>
        <v>1</v>
      </c>
      <c r="G920" s="2" t="str">
        <f>IFERROR(__xludf.DUMMYFUNCTION("""COMPUTED_VALUE"""),"PR050")</f>
        <v>PR050</v>
      </c>
      <c r="H920" s="2" t="str">
        <f>IFERROR(__xludf.DUMMYFUNCTION("""COMPUTED_VALUE"""),"VD031")</f>
        <v>VD031</v>
      </c>
      <c r="I920" s="2">
        <f>IFERROR(__xludf.DUMMYFUNCTION("""COMPUTED_VALUE"""),20.0)</f>
        <v>20</v>
      </c>
      <c r="J920" s="2">
        <f>IFERROR(__xludf.DUMMYFUNCTION("""COMPUTED_VALUE"""),697.48)</f>
        <v>697.48</v>
      </c>
      <c r="K920" s="2">
        <f>IFERROR(__xludf.DUMMYFUNCTION("""COMPUTED_VALUE"""),697.48)</f>
        <v>697.48</v>
      </c>
    </row>
    <row r="921">
      <c r="A921" s="2">
        <f>IFERROR(__xludf.DUMMYFUNCTION("""COMPUTED_VALUE"""),1000.0)</f>
        <v>1000</v>
      </c>
      <c r="B921" s="2">
        <f>IFERROR(__xludf.DUMMYFUNCTION("""COMPUTED_VALUE"""),184121.0)</f>
        <v>184121</v>
      </c>
      <c r="C921" s="2">
        <f>IFERROR(__xludf.DUMMYFUNCTION("""COMPUTED_VALUE"""),2026.0)</f>
        <v>2026</v>
      </c>
      <c r="D921" s="2">
        <f>IFERROR(__xludf.DUMMYFUNCTION("""COMPUTED_VALUE"""),46206.0)</f>
        <v>46206</v>
      </c>
      <c r="E921" s="2" t="str">
        <f>IFERROR(__xludf.DUMMYFUNCTION("""COMPUTED_VALUE"""),"VF")</f>
        <v>VF</v>
      </c>
      <c r="F921" s="2">
        <f>IFERROR(__xludf.DUMMYFUNCTION("""COMPUTED_VALUE"""),2.0)</f>
        <v>2</v>
      </c>
      <c r="G921" s="2" t="str">
        <f>IFERROR(__xludf.DUMMYFUNCTION("""COMPUTED_VALUE"""),"PR012")</f>
        <v>PR012</v>
      </c>
      <c r="H921" s="2" t="str">
        <f>IFERROR(__xludf.DUMMYFUNCTION("""COMPUTED_VALUE"""),"VD020")</f>
        <v>VD020</v>
      </c>
      <c r="I921" s="2">
        <f>IFERROR(__xludf.DUMMYFUNCTION("""COMPUTED_VALUE"""),14.0)</f>
        <v>14</v>
      </c>
      <c r="J921" s="2">
        <f>IFERROR(__xludf.DUMMYFUNCTION("""COMPUTED_VALUE"""),711.98)</f>
        <v>711.98</v>
      </c>
      <c r="K921" s="2">
        <f>IFERROR(__xludf.DUMMYFUNCTION("""COMPUTED_VALUE"""),711.98)</f>
        <v>711.98</v>
      </c>
    </row>
    <row r="922">
      <c r="A922" s="2">
        <f>IFERROR(__xludf.DUMMYFUNCTION("""COMPUTED_VALUE"""),1000.0)</f>
        <v>1000</v>
      </c>
      <c r="B922" s="2">
        <f>IFERROR(__xludf.DUMMYFUNCTION("""COMPUTED_VALUE"""),184121.0)</f>
        <v>184121</v>
      </c>
      <c r="C922" s="2">
        <f>IFERROR(__xludf.DUMMYFUNCTION("""COMPUTED_VALUE"""),2026.0)</f>
        <v>2026</v>
      </c>
      <c r="D922" s="2">
        <f>IFERROR(__xludf.DUMMYFUNCTION("""COMPUTED_VALUE"""),46206.0)</f>
        <v>46206</v>
      </c>
      <c r="E922" s="2" t="str">
        <f>IFERROR(__xludf.DUMMYFUNCTION("""COMPUTED_VALUE"""),"VF")</f>
        <v>VF</v>
      </c>
      <c r="F922" s="2">
        <f>IFERROR(__xludf.DUMMYFUNCTION("""COMPUTED_VALUE"""),3.0)</f>
        <v>3</v>
      </c>
      <c r="G922" s="2" t="str">
        <f>IFERROR(__xludf.DUMMYFUNCTION("""COMPUTED_VALUE"""),"PR011")</f>
        <v>PR011</v>
      </c>
      <c r="H922" s="2" t="str">
        <f>IFERROR(__xludf.DUMMYFUNCTION("""COMPUTED_VALUE"""),"VD038")</f>
        <v>VD038</v>
      </c>
      <c r="I922" s="2">
        <f>IFERROR(__xludf.DUMMYFUNCTION("""COMPUTED_VALUE"""),10.0)</f>
        <v>10</v>
      </c>
      <c r="J922" s="2">
        <f>IFERROR(__xludf.DUMMYFUNCTION("""COMPUTED_VALUE"""),492.45)</f>
        <v>492.45</v>
      </c>
      <c r="K922" s="2">
        <f>IFERROR(__xludf.DUMMYFUNCTION("""COMPUTED_VALUE"""),492.45)</f>
        <v>492.45</v>
      </c>
    </row>
    <row r="923">
      <c r="A923" s="2">
        <f>IFERROR(__xludf.DUMMYFUNCTION("""COMPUTED_VALUE"""),1000.0)</f>
        <v>1000</v>
      </c>
      <c r="B923" s="2">
        <f>IFERROR(__xludf.DUMMYFUNCTION("""COMPUTED_VALUE"""),184122.0)</f>
        <v>184122</v>
      </c>
      <c r="C923" s="2">
        <f>IFERROR(__xludf.DUMMYFUNCTION("""COMPUTED_VALUE"""),2026.0)</f>
        <v>2026</v>
      </c>
      <c r="D923" s="2">
        <f>IFERROR(__xludf.DUMMYFUNCTION("""COMPUTED_VALUE"""),46205.0)</f>
        <v>46205</v>
      </c>
      <c r="E923" s="2" t="str">
        <f>IFERROR(__xludf.DUMMYFUNCTION("""COMPUTED_VALUE"""),"VF")</f>
        <v>VF</v>
      </c>
      <c r="F923" s="2">
        <f>IFERROR(__xludf.DUMMYFUNCTION("""COMPUTED_VALUE"""),1.0)</f>
        <v>1</v>
      </c>
      <c r="G923" s="2" t="str">
        <f>IFERROR(__xludf.DUMMYFUNCTION("""COMPUTED_VALUE"""),"PR024")</f>
        <v>PR024</v>
      </c>
      <c r="H923" s="2" t="str">
        <f>IFERROR(__xludf.DUMMYFUNCTION("""COMPUTED_VALUE"""),"VD041")</f>
        <v>VD041</v>
      </c>
      <c r="I923" s="2">
        <f>IFERROR(__xludf.DUMMYFUNCTION("""COMPUTED_VALUE"""),2.0)</f>
        <v>2</v>
      </c>
      <c r="J923" s="2">
        <f>IFERROR(__xludf.DUMMYFUNCTION("""COMPUTED_VALUE"""),550.99)</f>
        <v>550.99</v>
      </c>
      <c r="K923" s="2">
        <f>IFERROR(__xludf.DUMMYFUNCTION("""COMPUTED_VALUE"""),550.99)</f>
        <v>550.99</v>
      </c>
    </row>
    <row r="924">
      <c r="A924" s="2">
        <f>IFERROR(__xludf.DUMMYFUNCTION("""COMPUTED_VALUE"""),1000.0)</f>
        <v>1000</v>
      </c>
      <c r="B924" s="2">
        <f>IFERROR(__xludf.DUMMYFUNCTION("""COMPUTED_VALUE"""),184123.0)</f>
        <v>184123</v>
      </c>
      <c r="C924" s="2">
        <f>IFERROR(__xludf.DUMMYFUNCTION("""COMPUTED_VALUE"""),2026.0)</f>
        <v>2026</v>
      </c>
      <c r="D924" s="2">
        <f>IFERROR(__xludf.DUMMYFUNCTION("""COMPUTED_VALUE"""),46205.0)</f>
        <v>46205</v>
      </c>
      <c r="E924" s="2" t="str">
        <f>IFERROR(__xludf.DUMMYFUNCTION("""COMPUTED_VALUE"""),"VF")</f>
        <v>VF</v>
      </c>
      <c r="F924" s="2">
        <f>IFERROR(__xludf.DUMMYFUNCTION("""COMPUTED_VALUE"""),1.0)</f>
        <v>1</v>
      </c>
      <c r="G924" s="2" t="str">
        <f>IFERROR(__xludf.DUMMYFUNCTION("""COMPUTED_VALUE"""),"PR049")</f>
        <v>PR049</v>
      </c>
      <c r="H924" s="2" t="str">
        <f>IFERROR(__xludf.DUMMYFUNCTION("""COMPUTED_VALUE"""),"VD017")</f>
        <v>VD017</v>
      </c>
      <c r="I924" s="2">
        <f>IFERROR(__xludf.DUMMYFUNCTION("""COMPUTED_VALUE"""),20.0)</f>
        <v>20</v>
      </c>
      <c r="J924" s="2">
        <f>IFERROR(__xludf.DUMMYFUNCTION("""COMPUTED_VALUE"""),671.16)</f>
        <v>671.16</v>
      </c>
      <c r="K924" s="2">
        <f>IFERROR(__xludf.DUMMYFUNCTION("""COMPUTED_VALUE"""),671.16)</f>
        <v>671.16</v>
      </c>
    </row>
    <row r="925">
      <c r="A925" s="2">
        <f>IFERROR(__xludf.DUMMYFUNCTION("""COMPUTED_VALUE"""),1000.0)</f>
        <v>1000</v>
      </c>
      <c r="B925" s="2">
        <f>IFERROR(__xludf.DUMMYFUNCTION("""COMPUTED_VALUE"""),184124.0)</f>
        <v>184124</v>
      </c>
      <c r="C925" s="2">
        <f>IFERROR(__xludf.DUMMYFUNCTION("""COMPUTED_VALUE"""),2026.0)</f>
        <v>2026</v>
      </c>
      <c r="D925" s="2">
        <f>IFERROR(__xludf.DUMMYFUNCTION("""COMPUTED_VALUE"""),46204.0)</f>
        <v>46204</v>
      </c>
      <c r="E925" s="2" t="str">
        <f>IFERROR(__xludf.DUMMYFUNCTION("""COMPUTED_VALUE"""),"VF")</f>
        <v>VF</v>
      </c>
      <c r="F925" s="2">
        <f>IFERROR(__xludf.DUMMYFUNCTION("""COMPUTED_VALUE"""),1.0)</f>
        <v>1</v>
      </c>
      <c r="G925" s="2" t="str">
        <f>IFERROR(__xludf.DUMMYFUNCTION("""COMPUTED_VALUE"""),"PR050")</f>
        <v>PR050</v>
      </c>
      <c r="H925" s="2" t="str">
        <f>IFERROR(__xludf.DUMMYFUNCTION("""COMPUTED_VALUE"""),"VD011")</f>
        <v>VD011</v>
      </c>
      <c r="I925" s="2">
        <f>IFERROR(__xludf.DUMMYFUNCTION("""COMPUTED_VALUE"""),2.0)</f>
        <v>2</v>
      </c>
      <c r="J925" s="2">
        <f>IFERROR(__xludf.DUMMYFUNCTION("""COMPUTED_VALUE"""),71.06)</f>
        <v>71.06</v>
      </c>
      <c r="K925" s="2">
        <f>IFERROR(__xludf.DUMMYFUNCTION("""COMPUTED_VALUE"""),71.06)</f>
        <v>71.06</v>
      </c>
    </row>
    <row r="926">
      <c r="A926" s="2">
        <f>IFERROR(__xludf.DUMMYFUNCTION("""COMPUTED_VALUE"""),2000.0)</f>
        <v>2000</v>
      </c>
      <c r="B926" s="2">
        <f>IFERROR(__xludf.DUMMYFUNCTION("""COMPUTED_VALUE"""),184124.0)</f>
        <v>184124</v>
      </c>
      <c r="C926" s="2">
        <f>IFERROR(__xludf.DUMMYFUNCTION("""COMPUTED_VALUE"""),2026.0)</f>
        <v>2026</v>
      </c>
      <c r="D926" s="2">
        <f>IFERROR(__xludf.DUMMYFUNCTION("""COMPUTED_VALUE"""),46204.0)</f>
        <v>46204</v>
      </c>
      <c r="E926" s="2" t="str">
        <f>IFERROR(__xludf.DUMMYFUNCTION("""COMPUTED_VALUE"""),"VF")</f>
        <v>VF</v>
      </c>
      <c r="F926" s="2">
        <f>IFERROR(__xludf.DUMMYFUNCTION("""COMPUTED_VALUE"""),2.0)</f>
        <v>2</v>
      </c>
      <c r="G926" s="2" t="str">
        <f>IFERROR(__xludf.DUMMYFUNCTION("""COMPUTED_VALUE"""),"PR008")</f>
        <v>PR008</v>
      </c>
      <c r="H926" s="2" t="str">
        <f>IFERROR(__xludf.DUMMYFUNCTION("""COMPUTED_VALUE"""),"VD046")</f>
        <v>VD046</v>
      </c>
      <c r="I926" s="2">
        <f>IFERROR(__xludf.DUMMYFUNCTION("""COMPUTED_VALUE"""),2.0)</f>
        <v>2</v>
      </c>
      <c r="J926" s="2">
        <f>IFERROR(__xludf.DUMMYFUNCTION("""COMPUTED_VALUE"""),186.99)</f>
        <v>186.99</v>
      </c>
      <c r="K926" s="2">
        <f>IFERROR(__xludf.DUMMYFUNCTION("""COMPUTED_VALUE"""),186.99)</f>
        <v>186.99</v>
      </c>
    </row>
    <row r="927">
      <c r="A927" s="2">
        <f>IFERROR(__xludf.DUMMYFUNCTION("""COMPUTED_VALUE"""),2000.0)</f>
        <v>2000</v>
      </c>
      <c r="B927" s="2">
        <f>IFERROR(__xludf.DUMMYFUNCTION("""COMPUTED_VALUE"""),184124.0)</f>
        <v>184124</v>
      </c>
      <c r="C927" s="2">
        <f>IFERROR(__xludf.DUMMYFUNCTION("""COMPUTED_VALUE"""),2026.0)</f>
        <v>2026</v>
      </c>
      <c r="D927" s="2">
        <f>IFERROR(__xludf.DUMMYFUNCTION("""COMPUTED_VALUE"""),46204.0)</f>
        <v>46204</v>
      </c>
      <c r="E927" s="2" t="str">
        <f>IFERROR(__xludf.DUMMYFUNCTION("""COMPUTED_VALUE"""),"VF")</f>
        <v>VF</v>
      </c>
      <c r="F927" s="2">
        <f>IFERROR(__xludf.DUMMYFUNCTION("""COMPUTED_VALUE"""),3.0)</f>
        <v>3</v>
      </c>
      <c r="G927" s="2" t="str">
        <f>IFERROR(__xludf.DUMMYFUNCTION("""COMPUTED_VALUE"""),"PR024")</f>
        <v>PR024</v>
      </c>
      <c r="H927" s="2" t="str">
        <f>IFERROR(__xludf.DUMMYFUNCTION("""COMPUTED_VALUE"""),"VD039")</f>
        <v>VD039</v>
      </c>
      <c r="I927" s="2">
        <f>IFERROR(__xludf.DUMMYFUNCTION("""COMPUTED_VALUE"""),2.0)</f>
        <v>2</v>
      </c>
      <c r="J927" s="2">
        <f>IFERROR(__xludf.DUMMYFUNCTION("""COMPUTED_VALUE"""),561.38)</f>
        <v>561.38</v>
      </c>
      <c r="K927" s="2">
        <f>IFERROR(__xludf.DUMMYFUNCTION("""COMPUTED_VALUE"""),561.38)</f>
        <v>561.38</v>
      </c>
    </row>
    <row r="928">
      <c r="A928" s="2">
        <f>IFERROR(__xludf.DUMMYFUNCTION("""COMPUTED_VALUE"""),1000.0)</f>
        <v>1000</v>
      </c>
      <c r="B928" s="2">
        <f>IFERROR(__xludf.DUMMYFUNCTION("""COMPUTED_VALUE"""),184125.0)</f>
        <v>184125</v>
      </c>
      <c r="C928" s="2">
        <f>IFERROR(__xludf.DUMMYFUNCTION("""COMPUTED_VALUE"""),2026.0)</f>
        <v>2026</v>
      </c>
      <c r="D928" s="2">
        <f>IFERROR(__xludf.DUMMYFUNCTION("""COMPUTED_VALUE"""),46203.0)</f>
        <v>46203</v>
      </c>
      <c r="E928" s="2" t="str">
        <f>IFERROR(__xludf.DUMMYFUNCTION("""COMPUTED_VALUE"""),"VF")</f>
        <v>VF</v>
      </c>
      <c r="F928" s="2">
        <f>IFERROR(__xludf.DUMMYFUNCTION("""COMPUTED_VALUE"""),1.0)</f>
        <v>1</v>
      </c>
      <c r="G928" s="2" t="str">
        <f>IFERROR(__xludf.DUMMYFUNCTION("""COMPUTED_VALUE"""),"PR016")</f>
        <v>PR016</v>
      </c>
      <c r="H928" s="2" t="str">
        <f>IFERROR(__xludf.DUMMYFUNCTION("""COMPUTED_VALUE"""),"VD028")</f>
        <v>VD028</v>
      </c>
      <c r="I928" s="2">
        <f>IFERROR(__xludf.DUMMYFUNCTION("""COMPUTED_VALUE"""),5.0)</f>
        <v>5</v>
      </c>
      <c r="J928" s="2">
        <f>IFERROR(__xludf.DUMMYFUNCTION("""COMPUTED_VALUE"""),132.09)</f>
        <v>132.09</v>
      </c>
      <c r="K928" s="2">
        <f>IFERROR(__xludf.DUMMYFUNCTION("""COMPUTED_VALUE"""),132.09)</f>
        <v>132.09</v>
      </c>
    </row>
    <row r="929">
      <c r="A929" s="2">
        <f>IFERROR(__xludf.DUMMYFUNCTION("""COMPUTED_VALUE"""),1000.0)</f>
        <v>1000</v>
      </c>
      <c r="B929" s="2">
        <f>IFERROR(__xludf.DUMMYFUNCTION("""COMPUTED_VALUE"""),184125.0)</f>
        <v>184125</v>
      </c>
      <c r="C929" s="2">
        <f>IFERROR(__xludf.DUMMYFUNCTION("""COMPUTED_VALUE"""),2026.0)</f>
        <v>2026</v>
      </c>
      <c r="D929" s="2">
        <f>IFERROR(__xludf.DUMMYFUNCTION("""COMPUTED_VALUE"""),46203.0)</f>
        <v>46203</v>
      </c>
      <c r="E929" s="2" t="str">
        <f>IFERROR(__xludf.DUMMYFUNCTION("""COMPUTED_VALUE"""),"VF")</f>
        <v>VF</v>
      </c>
      <c r="F929" s="2">
        <f>IFERROR(__xludf.DUMMYFUNCTION("""COMPUTED_VALUE"""),2.0)</f>
        <v>2</v>
      </c>
      <c r="G929" s="2" t="str">
        <f>IFERROR(__xludf.DUMMYFUNCTION("""COMPUTED_VALUE"""),"PR025")</f>
        <v>PR025</v>
      </c>
      <c r="H929" s="2" t="str">
        <f>IFERROR(__xludf.DUMMYFUNCTION("""COMPUTED_VALUE"""),"VD047")</f>
        <v>VD047</v>
      </c>
      <c r="I929" s="2">
        <f>IFERROR(__xludf.DUMMYFUNCTION("""COMPUTED_VALUE"""),20.0)</f>
        <v>20</v>
      </c>
      <c r="J929" s="2">
        <f>IFERROR(__xludf.DUMMYFUNCTION("""COMPUTED_VALUE"""),6297.9)</f>
        <v>6297.9</v>
      </c>
      <c r="K929" s="2">
        <f>IFERROR(__xludf.DUMMYFUNCTION("""COMPUTED_VALUE"""),6297.9)</f>
        <v>6297.9</v>
      </c>
    </row>
    <row r="930">
      <c r="A930" s="2">
        <f>IFERROR(__xludf.DUMMYFUNCTION("""COMPUTED_VALUE"""),2000.0)</f>
        <v>2000</v>
      </c>
      <c r="B930" s="2">
        <f>IFERROR(__xludf.DUMMYFUNCTION("""COMPUTED_VALUE"""),184126.0)</f>
        <v>184126</v>
      </c>
      <c r="C930" s="2">
        <f>IFERROR(__xludf.DUMMYFUNCTION("""COMPUTED_VALUE"""),2026.0)</f>
        <v>2026</v>
      </c>
      <c r="D930" s="2">
        <f>IFERROR(__xludf.DUMMYFUNCTION("""COMPUTED_VALUE"""),46203.0)</f>
        <v>46203</v>
      </c>
      <c r="E930" s="2" t="str">
        <f>IFERROR(__xludf.DUMMYFUNCTION("""COMPUTED_VALUE"""),"VF")</f>
        <v>VF</v>
      </c>
      <c r="F930" s="2">
        <f>IFERROR(__xludf.DUMMYFUNCTION("""COMPUTED_VALUE"""),1.0)</f>
        <v>1</v>
      </c>
      <c r="G930" s="2" t="str">
        <f>IFERROR(__xludf.DUMMYFUNCTION("""COMPUTED_VALUE"""),"PR055")</f>
        <v>PR055</v>
      </c>
      <c r="H930" s="2" t="str">
        <f>IFERROR(__xludf.DUMMYFUNCTION("""COMPUTED_VALUE"""),"VD047")</f>
        <v>VD047</v>
      </c>
      <c r="I930" s="2">
        <f>IFERROR(__xludf.DUMMYFUNCTION("""COMPUTED_VALUE"""),8.0)</f>
        <v>8</v>
      </c>
      <c r="J930" s="2">
        <f>IFERROR(__xludf.DUMMYFUNCTION("""COMPUTED_VALUE"""),783.93)</f>
        <v>783.93</v>
      </c>
      <c r="K930" s="2">
        <f>IFERROR(__xludf.DUMMYFUNCTION("""COMPUTED_VALUE"""),783.93)</f>
        <v>783.93</v>
      </c>
    </row>
    <row r="931">
      <c r="A931" s="2">
        <f>IFERROR(__xludf.DUMMYFUNCTION("""COMPUTED_VALUE"""),1000.0)</f>
        <v>1000</v>
      </c>
      <c r="B931" s="2">
        <f>IFERROR(__xludf.DUMMYFUNCTION("""COMPUTED_VALUE"""),184126.0)</f>
        <v>184126</v>
      </c>
      <c r="C931" s="2">
        <f>IFERROR(__xludf.DUMMYFUNCTION("""COMPUTED_VALUE"""),2026.0)</f>
        <v>2026</v>
      </c>
      <c r="D931" s="2">
        <f>IFERROR(__xludf.DUMMYFUNCTION("""COMPUTED_VALUE"""),46203.0)</f>
        <v>46203</v>
      </c>
      <c r="E931" s="2" t="str">
        <f>IFERROR(__xludf.DUMMYFUNCTION("""COMPUTED_VALUE"""),"VF")</f>
        <v>VF</v>
      </c>
      <c r="F931" s="2">
        <f>IFERROR(__xludf.DUMMYFUNCTION("""COMPUTED_VALUE"""),2.0)</f>
        <v>2</v>
      </c>
      <c r="G931" s="2" t="str">
        <f>IFERROR(__xludf.DUMMYFUNCTION("""COMPUTED_VALUE"""),"PR047")</f>
        <v>PR047</v>
      </c>
      <c r="H931" s="2" t="str">
        <f>IFERROR(__xludf.DUMMYFUNCTION("""COMPUTED_VALUE"""),"VD025")</f>
        <v>VD025</v>
      </c>
      <c r="I931" s="2">
        <f>IFERROR(__xludf.DUMMYFUNCTION("""COMPUTED_VALUE"""),7.0)</f>
        <v>7</v>
      </c>
      <c r="J931" s="2">
        <f>IFERROR(__xludf.DUMMYFUNCTION("""COMPUTED_VALUE"""),2110.47)</f>
        <v>2110.47</v>
      </c>
      <c r="K931" s="2">
        <f>IFERROR(__xludf.DUMMYFUNCTION("""COMPUTED_VALUE"""),2110.47)</f>
        <v>2110.47</v>
      </c>
    </row>
    <row r="932">
      <c r="A932" s="2">
        <f>IFERROR(__xludf.DUMMYFUNCTION("""COMPUTED_VALUE"""),1000.0)</f>
        <v>1000</v>
      </c>
      <c r="B932" s="2">
        <f>IFERROR(__xludf.DUMMYFUNCTION("""COMPUTED_VALUE"""),184127.0)</f>
        <v>184127</v>
      </c>
      <c r="C932" s="2">
        <f>IFERROR(__xludf.DUMMYFUNCTION("""COMPUTED_VALUE"""),2026.0)</f>
        <v>2026</v>
      </c>
      <c r="D932" s="2">
        <f>IFERROR(__xludf.DUMMYFUNCTION("""COMPUTED_VALUE"""),46203.0)</f>
        <v>46203</v>
      </c>
      <c r="E932" s="2" t="str">
        <f>IFERROR(__xludf.DUMMYFUNCTION("""COMPUTED_VALUE"""),"VF")</f>
        <v>VF</v>
      </c>
      <c r="F932" s="2">
        <f>IFERROR(__xludf.DUMMYFUNCTION("""COMPUTED_VALUE"""),1.0)</f>
        <v>1</v>
      </c>
      <c r="G932" s="2" t="str">
        <f>IFERROR(__xludf.DUMMYFUNCTION("""COMPUTED_VALUE"""),"PR001")</f>
        <v>PR001</v>
      </c>
      <c r="H932" s="2" t="str">
        <f>IFERROR(__xludf.DUMMYFUNCTION("""COMPUTED_VALUE"""),"VD012")</f>
        <v>VD012</v>
      </c>
      <c r="I932" s="2">
        <f>IFERROR(__xludf.DUMMYFUNCTION("""COMPUTED_VALUE"""),12.0)</f>
        <v>12</v>
      </c>
      <c r="J932" s="2">
        <f>IFERROR(__xludf.DUMMYFUNCTION("""COMPUTED_VALUE"""),846.16)</f>
        <v>846.16</v>
      </c>
      <c r="K932" s="2">
        <f>IFERROR(__xludf.DUMMYFUNCTION("""COMPUTED_VALUE"""),846.16)</f>
        <v>846.16</v>
      </c>
    </row>
    <row r="933">
      <c r="A933" s="2">
        <f>IFERROR(__xludf.DUMMYFUNCTION("""COMPUTED_VALUE"""),1000.0)</f>
        <v>1000</v>
      </c>
      <c r="B933" s="2">
        <f>IFERROR(__xludf.DUMMYFUNCTION("""COMPUTED_VALUE"""),184128.0)</f>
        <v>184128</v>
      </c>
      <c r="C933" s="2">
        <f>IFERROR(__xludf.DUMMYFUNCTION("""COMPUTED_VALUE"""),2026.0)</f>
        <v>2026</v>
      </c>
      <c r="D933" s="2">
        <f>IFERROR(__xludf.DUMMYFUNCTION("""COMPUTED_VALUE"""),46203.0)</f>
        <v>46203</v>
      </c>
      <c r="E933" s="2" t="str">
        <f>IFERROR(__xludf.DUMMYFUNCTION("""COMPUTED_VALUE"""),"VF")</f>
        <v>VF</v>
      </c>
      <c r="F933" s="2">
        <f>IFERROR(__xludf.DUMMYFUNCTION("""COMPUTED_VALUE"""),1.0)</f>
        <v>1</v>
      </c>
      <c r="G933" s="2" t="str">
        <f>IFERROR(__xludf.DUMMYFUNCTION("""COMPUTED_VALUE"""),"PR017")</f>
        <v>PR017</v>
      </c>
      <c r="H933" s="2" t="str">
        <f>IFERROR(__xludf.DUMMYFUNCTION("""COMPUTED_VALUE"""),"VD032")</f>
        <v>VD032</v>
      </c>
      <c r="I933" s="2">
        <f>IFERROR(__xludf.DUMMYFUNCTION("""COMPUTED_VALUE"""),18.0)</f>
        <v>18</v>
      </c>
      <c r="J933" s="2">
        <f>IFERROR(__xludf.DUMMYFUNCTION("""COMPUTED_VALUE"""),559.73)</f>
        <v>559.73</v>
      </c>
      <c r="K933" s="2">
        <f>IFERROR(__xludf.DUMMYFUNCTION("""COMPUTED_VALUE"""),559.73)</f>
        <v>559.73</v>
      </c>
    </row>
    <row r="934">
      <c r="A934" s="2">
        <f>IFERROR(__xludf.DUMMYFUNCTION("""COMPUTED_VALUE"""),1000.0)</f>
        <v>1000</v>
      </c>
      <c r="B934" s="2">
        <f>IFERROR(__xludf.DUMMYFUNCTION("""COMPUTED_VALUE"""),184129.0)</f>
        <v>184129</v>
      </c>
      <c r="C934" s="2">
        <f>IFERROR(__xludf.DUMMYFUNCTION("""COMPUTED_VALUE"""),2026.0)</f>
        <v>2026</v>
      </c>
      <c r="D934" s="2">
        <f>IFERROR(__xludf.DUMMYFUNCTION("""COMPUTED_VALUE"""),46203.0)</f>
        <v>46203</v>
      </c>
      <c r="E934" s="2" t="str">
        <f>IFERROR(__xludf.DUMMYFUNCTION("""COMPUTED_VALUE"""),"VF")</f>
        <v>VF</v>
      </c>
      <c r="F934" s="2">
        <f>IFERROR(__xludf.DUMMYFUNCTION("""COMPUTED_VALUE"""),1.0)</f>
        <v>1</v>
      </c>
      <c r="G934" s="2" t="str">
        <f>IFERROR(__xludf.DUMMYFUNCTION("""COMPUTED_VALUE"""),"PR031")</f>
        <v>PR031</v>
      </c>
      <c r="H934" s="2" t="str">
        <f>IFERROR(__xludf.DUMMYFUNCTION("""COMPUTED_VALUE"""),"VD039")</f>
        <v>VD039</v>
      </c>
      <c r="I934" s="2">
        <f>IFERROR(__xludf.DUMMYFUNCTION("""COMPUTED_VALUE"""),2.0)</f>
        <v>2</v>
      </c>
      <c r="J934" s="2">
        <f>IFERROR(__xludf.DUMMYFUNCTION("""COMPUTED_VALUE"""),529.2)</f>
        <v>529.2</v>
      </c>
      <c r="K934" s="2">
        <f>IFERROR(__xludf.DUMMYFUNCTION("""COMPUTED_VALUE"""),529.2)</f>
        <v>529.2</v>
      </c>
    </row>
    <row r="935">
      <c r="A935" s="2">
        <f>IFERROR(__xludf.DUMMYFUNCTION("""COMPUTED_VALUE"""),1000.0)</f>
        <v>1000</v>
      </c>
      <c r="B935" s="2">
        <f>IFERROR(__xludf.DUMMYFUNCTION("""COMPUTED_VALUE"""),184130.0)</f>
        <v>184130</v>
      </c>
      <c r="C935" s="2">
        <f>IFERROR(__xludf.DUMMYFUNCTION("""COMPUTED_VALUE"""),2026.0)</f>
        <v>2026</v>
      </c>
      <c r="D935" s="2">
        <f>IFERROR(__xludf.DUMMYFUNCTION("""COMPUTED_VALUE"""),46203.0)</f>
        <v>46203</v>
      </c>
      <c r="E935" s="2" t="str">
        <f>IFERROR(__xludf.DUMMYFUNCTION("""COMPUTED_VALUE"""),"VF")</f>
        <v>VF</v>
      </c>
      <c r="F935" s="2">
        <f>IFERROR(__xludf.DUMMYFUNCTION("""COMPUTED_VALUE"""),1.0)</f>
        <v>1</v>
      </c>
      <c r="G935" s="2" t="str">
        <f>IFERROR(__xludf.DUMMYFUNCTION("""COMPUTED_VALUE"""),"PR059")</f>
        <v>PR059</v>
      </c>
      <c r="H935" s="2" t="str">
        <f>IFERROR(__xludf.DUMMYFUNCTION("""COMPUTED_VALUE"""),"VD024")</f>
        <v>VD024</v>
      </c>
      <c r="I935" s="2">
        <f>IFERROR(__xludf.DUMMYFUNCTION("""COMPUTED_VALUE"""),14.0)</f>
        <v>14</v>
      </c>
      <c r="J935" s="2">
        <f>IFERROR(__xludf.DUMMYFUNCTION("""COMPUTED_VALUE"""),2570.4)</f>
        <v>2570.4</v>
      </c>
      <c r="K935" s="2">
        <f>IFERROR(__xludf.DUMMYFUNCTION("""COMPUTED_VALUE"""),2570.4)</f>
        <v>2570.4</v>
      </c>
    </row>
    <row r="936">
      <c r="A936" s="2">
        <f>IFERROR(__xludf.DUMMYFUNCTION("""COMPUTED_VALUE"""),1000.0)</f>
        <v>1000</v>
      </c>
      <c r="B936" s="2">
        <f>IFERROR(__xludf.DUMMYFUNCTION("""COMPUTED_VALUE"""),184131.0)</f>
        <v>184131</v>
      </c>
      <c r="C936" s="2">
        <f>IFERROR(__xludf.DUMMYFUNCTION("""COMPUTED_VALUE"""),2026.0)</f>
        <v>2026</v>
      </c>
      <c r="D936" s="2">
        <f>IFERROR(__xludf.DUMMYFUNCTION("""COMPUTED_VALUE"""),46203.0)</f>
        <v>46203</v>
      </c>
      <c r="E936" s="2" t="str">
        <f>IFERROR(__xludf.DUMMYFUNCTION("""COMPUTED_VALUE"""),"VF")</f>
        <v>VF</v>
      </c>
      <c r="F936" s="2">
        <f>IFERROR(__xludf.DUMMYFUNCTION("""COMPUTED_VALUE"""),1.0)</f>
        <v>1</v>
      </c>
      <c r="G936" s="2" t="str">
        <f>IFERROR(__xludf.DUMMYFUNCTION("""COMPUTED_VALUE"""),"PR008")</f>
        <v>PR008</v>
      </c>
      <c r="H936" s="2" t="str">
        <f>IFERROR(__xludf.DUMMYFUNCTION("""COMPUTED_VALUE"""),"VD046")</f>
        <v>VD046</v>
      </c>
      <c r="I936" s="2">
        <f>IFERROR(__xludf.DUMMYFUNCTION("""COMPUTED_VALUE"""),8.0)</f>
        <v>8</v>
      </c>
      <c r="J936" s="2">
        <f>IFERROR(__xludf.DUMMYFUNCTION("""COMPUTED_VALUE"""),776.74)</f>
        <v>776.74</v>
      </c>
      <c r="K936" s="2">
        <f>IFERROR(__xludf.DUMMYFUNCTION("""COMPUTED_VALUE"""),776.74)</f>
        <v>776.74</v>
      </c>
    </row>
    <row r="937">
      <c r="A937" s="2">
        <f>IFERROR(__xludf.DUMMYFUNCTION("""COMPUTED_VALUE"""),1000.0)</f>
        <v>1000</v>
      </c>
      <c r="B937" s="2">
        <f>IFERROR(__xludf.DUMMYFUNCTION("""COMPUTED_VALUE"""),184131.0)</f>
        <v>184131</v>
      </c>
      <c r="C937" s="2">
        <f>IFERROR(__xludf.DUMMYFUNCTION("""COMPUTED_VALUE"""),2026.0)</f>
        <v>2026</v>
      </c>
      <c r="D937" s="2">
        <f>IFERROR(__xludf.DUMMYFUNCTION("""COMPUTED_VALUE"""),46203.0)</f>
        <v>46203</v>
      </c>
      <c r="E937" s="2" t="str">
        <f>IFERROR(__xludf.DUMMYFUNCTION("""COMPUTED_VALUE"""),"VF")</f>
        <v>VF</v>
      </c>
      <c r="F937" s="2">
        <f>IFERROR(__xludf.DUMMYFUNCTION("""COMPUTED_VALUE"""),2.0)</f>
        <v>2</v>
      </c>
      <c r="G937" s="2" t="str">
        <f>IFERROR(__xludf.DUMMYFUNCTION("""COMPUTED_VALUE"""),"PR044")</f>
        <v>PR044</v>
      </c>
      <c r="H937" s="2" t="str">
        <f>IFERROR(__xludf.DUMMYFUNCTION("""COMPUTED_VALUE"""),"VD037")</f>
        <v>VD037</v>
      </c>
      <c r="I937" s="2">
        <f>IFERROR(__xludf.DUMMYFUNCTION("""COMPUTED_VALUE"""),8.0)</f>
        <v>8</v>
      </c>
      <c r="J937" s="2">
        <f>IFERROR(__xludf.DUMMYFUNCTION("""COMPUTED_VALUE"""),585.8)</f>
        <v>585.8</v>
      </c>
      <c r="K937" s="2">
        <f>IFERROR(__xludf.DUMMYFUNCTION("""COMPUTED_VALUE"""),585.8)</f>
        <v>585.8</v>
      </c>
    </row>
    <row r="938">
      <c r="A938" s="2">
        <f>IFERROR(__xludf.DUMMYFUNCTION("""COMPUTED_VALUE"""),1000.0)</f>
        <v>1000</v>
      </c>
      <c r="B938" s="2">
        <f>IFERROR(__xludf.DUMMYFUNCTION("""COMPUTED_VALUE"""),184131.0)</f>
        <v>184131</v>
      </c>
      <c r="C938" s="2">
        <f>IFERROR(__xludf.DUMMYFUNCTION("""COMPUTED_VALUE"""),2026.0)</f>
        <v>2026</v>
      </c>
      <c r="D938" s="2">
        <f>IFERROR(__xludf.DUMMYFUNCTION("""COMPUTED_VALUE"""),46202.0)</f>
        <v>46202</v>
      </c>
      <c r="E938" s="2" t="str">
        <f>IFERROR(__xludf.DUMMYFUNCTION("""COMPUTED_VALUE"""),"VF")</f>
        <v>VF</v>
      </c>
      <c r="F938" s="2">
        <f>IFERROR(__xludf.DUMMYFUNCTION("""COMPUTED_VALUE"""),3.0)</f>
        <v>3</v>
      </c>
      <c r="G938" s="2" t="str">
        <f>IFERROR(__xludf.DUMMYFUNCTION("""COMPUTED_VALUE"""),"PR034")</f>
        <v>PR034</v>
      </c>
      <c r="H938" s="2" t="str">
        <f>IFERROR(__xludf.DUMMYFUNCTION("""COMPUTED_VALUE"""),"VD020")</f>
        <v>VD020</v>
      </c>
      <c r="I938" s="2">
        <f>IFERROR(__xludf.DUMMYFUNCTION("""COMPUTED_VALUE"""),2.0)</f>
        <v>2</v>
      </c>
      <c r="J938" s="2">
        <f>IFERROR(__xludf.DUMMYFUNCTION("""COMPUTED_VALUE"""),183.4)</f>
        <v>183.4</v>
      </c>
      <c r="K938" s="2">
        <f>IFERROR(__xludf.DUMMYFUNCTION("""COMPUTED_VALUE"""),183.4)</f>
        <v>183.4</v>
      </c>
    </row>
    <row r="939">
      <c r="A939" s="2">
        <f>IFERROR(__xludf.DUMMYFUNCTION("""COMPUTED_VALUE"""),1000.0)</f>
        <v>1000</v>
      </c>
      <c r="B939" s="2">
        <f>IFERROR(__xludf.DUMMYFUNCTION("""COMPUTED_VALUE"""),184131.0)</f>
        <v>184131</v>
      </c>
      <c r="C939" s="2">
        <f>IFERROR(__xludf.DUMMYFUNCTION("""COMPUTED_VALUE"""),2026.0)</f>
        <v>2026</v>
      </c>
      <c r="D939" s="2">
        <f>IFERROR(__xludf.DUMMYFUNCTION("""COMPUTED_VALUE"""),46202.0)</f>
        <v>46202</v>
      </c>
      <c r="E939" s="2" t="str">
        <f>IFERROR(__xludf.DUMMYFUNCTION("""COMPUTED_VALUE"""),"VF")</f>
        <v>VF</v>
      </c>
      <c r="F939" s="2">
        <f>IFERROR(__xludf.DUMMYFUNCTION("""COMPUTED_VALUE"""),4.0)</f>
        <v>4</v>
      </c>
      <c r="G939" s="2" t="str">
        <f>IFERROR(__xludf.DUMMYFUNCTION("""COMPUTED_VALUE"""),"PR020")</f>
        <v>PR020</v>
      </c>
      <c r="H939" s="2" t="str">
        <f>IFERROR(__xludf.DUMMYFUNCTION("""COMPUTED_VALUE"""),"VD014")</f>
        <v>VD014</v>
      </c>
      <c r="I939" s="2">
        <f>IFERROR(__xludf.DUMMYFUNCTION("""COMPUTED_VALUE"""),8.0)</f>
        <v>8</v>
      </c>
      <c r="J939" s="2">
        <f>IFERROR(__xludf.DUMMYFUNCTION("""COMPUTED_VALUE"""),2639.12)</f>
        <v>2639.12</v>
      </c>
      <c r="K939" s="2">
        <f>IFERROR(__xludf.DUMMYFUNCTION("""COMPUTED_VALUE"""),2639.12)</f>
        <v>2639.12</v>
      </c>
    </row>
    <row r="940">
      <c r="A940" s="2">
        <f>IFERROR(__xludf.DUMMYFUNCTION("""COMPUTED_VALUE"""),1000.0)</f>
        <v>1000</v>
      </c>
      <c r="B940" s="2">
        <f>IFERROR(__xludf.DUMMYFUNCTION("""COMPUTED_VALUE"""),184132.0)</f>
        <v>184132</v>
      </c>
      <c r="C940" s="2">
        <f>IFERROR(__xludf.DUMMYFUNCTION("""COMPUTED_VALUE"""),2026.0)</f>
        <v>2026</v>
      </c>
      <c r="D940" s="2">
        <f>IFERROR(__xludf.DUMMYFUNCTION("""COMPUTED_VALUE"""),46201.0)</f>
        <v>46201</v>
      </c>
      <c r="E940" s="2" t="str">
        <f>IFERROR(__xludf.DUMMYFUNCTION("""COMPUTED_VALUE"""),"VF")</f>
        <v>VF</v>
      </c>
      <c r="F940" s="2">
        <f>IFERROR(__xludf.DUMMYFUNCTION("""COMPUTED_VALUE"""),1.0)</f>
        <v>1</v>
      </c>
      <c r="G940" s="2" t="str">
        <f>IFERROR(__xludf.DUMMYFUNCTION("""COMPUTED_VALUE"""),"PR056")</f>
        <v>PR056</v>
      </c>
      <c r="H940" s="2" t="str">
        <f>IFERROR(__xludf.DUMMYFUNCTION("""COMPUTED_VALUE"""),"VD013")</f>
        <v>VD013</v>
      </c>
      <c r="I940" s="2">
        <f>IFERROR(__xludf.DUMMYFUNCTION("""COMPUTED_VALUE"""),16.0)</f>
        <v>16</v>
      </c>
      <c r="J940" s="2">
        <f>IFERROR(__xludf.DUMMYFUNCTION("""COMPUTED_VALUE"""),1438.4)</f>
        <v>1438.4</v>
      </c>
      <c r="K940" s="2">
        <f>IFERROR(__xludf.DUMMYFUNCTION("""COMPUTED_VALUE"""),1438.4)</f>
        <v>1438.4</v>
      </c>
    </row>
    <row r="941">
      <c r="A941" s="2">
        <f>IFERROR(__xludf.DUMMYFUNCTION("""COMPUTED_VALUE"""),1000.0)</f>
        <v>1000</v>
      </c>
      <c r="B941" s="2">
        <f>IFERROR(__xludf.DUMMYFUNCTION("""COMPUTED_VALUE"""),184132.0)</f>
        <v>184132</v>
      </c>
      <c r="C941" s="2">
        <f>IFERROR(__xludf.DUMMYFUNCTION("""COMPUTED_VALUE"""),2026.0)</f>
        <v>2026</v>
      </c>
      <c r="D941" s="2">
        <f>IFERROR(__xludf.DUMMYFUNCTION("""COMPUTED_VALUE"""),46201.0)</f>
        <v>46201</v>
      </c>
      <c r="E941" s="2" t="str">
        <f>IFERROR(__xludf.DUMMYFUNCTION("""COMPUTED_VALUE"""),"VF")</f>
        <v>VF</v>
      </c>
      <c r="F941" s="2">
        <f>IFERROR(__xludf.DUMMYFUNCTION("""COMPUTED_VALUE"""),2.0)</f>
        <v>2</v>
      </c>
      <c r="G941" s="2" t="str">
        <f>IFERROR(__xludf.DUMMYFUNCTION("""COMPUTED_VALUE"""),"PR057")</f>
        <v>PR057</v>
      </c>
      <c r="H941" s="2" t="str">
        <f>IFERROR(__xludf.DUMMYFUNCTION("""COMPUTED_VALUE"""),"VD018")</f>
        <v>VD018</v>
      </c>
      <c r="I941" s="2">
        <f>IFERROR(__xludf.DUMMYFUNCTION("""COMPUTED_VALUE"""),14.0)</f>
        <v>14</v>
      </c>
      <c r="J941" s="2">
        <f>IFERROR(__xludf.DUMMYFUNCTION("""COMPUTED_VALUE"""),1346.7)</f>
        <v>1346.7</v>
      </c>
      <c r="K941" s="2">
        <f>IFERROR(__xludf.DUMMYFUNCTION("""COMPUTED_VALUE"""),1346.7)</f>
        <v>1346.7</v>
      </c>
    </row>
    <row r="942">
      <c r="A942" s="2">
        <f>IFERROR(__xludf.DUMMYFUNCTION("""COMPUTED_VALUE"""),1000.0)</f>
        <v>1000</v>
      </c>
      <c r="B942" s="2">
        <f>IFERROR(__xludf.DUMMYFUNCTION("""COMPUTED_VALUE"""),184132.0)</f>
        <v>184132</v>
      </c>
      <c r="C942" s="2">
        <f>IFERROR(__xludf.DUMMYFUNCTION("""COMPUTED_VALUE"""),2026.0)</f>
        <v>2026</v>
      </c>
      <c r="D942" s="2">
        <f>IFERROR(__xludf.DUMMYFUNCTION("""COMPUTED_VALUE"""),46201.0)</f>
        <v>46201</v>
      </c>
      <c r="E942" s="2" t="str">
        <f>IFERROR(__xludf.DUMMYFUNCTION("""COMPUTED_VALUE"""),"VF")</f>
        <v>VF</v>
      </c>
      <c r="F942" s="2">
        <f>IFERROR(__xludf.DUMMYFUNCTION("""COMPUTED_VALUE"""),3.0)</f>
        <v>3</v>
      </c>
      <c r="G942" s="2" t="str">
        <f>IFERROR(__xludf.DUMMYFUNCTION("""COMPUTED_VALUE"""),"PR038")</f>
        <v>PR038</v>
      </c>
      <c r="H942" s="2" t="str">
        <f>IFERROR(__xludf.DUMMYFUNCTION("""COMPUTED_VALUE"""),"VD031")</f>
        <v>VD031</v>
      </c>
      <c r="I942" s="2">
        <f>IFERROR(__xludf.DUMMYFUNCTION("""COMPUTED_VALUE"""),14.0)</f>
        <v>14</v>
      </c>
      <c r="J942" s="2">
        <f>IFERROR(__xludf.DUMMYFUNCTION("""COMPUTED_VALUE"""),2180.65)</f>
        <v>2180.65</v>
      </c>
      <c r="K942" s="2">
        <f>IFERROR(__xludf.DUMMYFUNCTION("""COMPUTED_VALUE"""),2180.65)</f>
        <v>2180.65</v>
      </c>
    </row>
    <row r="943">
      <c r="A943" s="2">
        <f>IFERROR(__xludf.DUMMYFUNCTION("""COMPUTED_VALUE"""),1000.0)</f>
        <v>1000</v>
      </c>
      <c r="B943" s="2">
        <f>IFERROR(__xludf.DUMMYFUNCTION("""COMPUTED_VALUE"""),184133.0)</f>
        <v>184133</v>
      </c>
      <c r="C943" s="2">
        <f>IFERROR(__xludf.DUMMYFUNCTION("""COMPUTED_VALUE"""),2026.0)</f>
        <v>2026</v>
      </c>
      <c r="D943" s="2">
        <f>IFERROR(__xludf.DUMMYFUNCTION("""COMPUTED_VALUE"""),46201.0)</f>
        <v>46201</v>
      </c>
      <c r="E943" s="2" t="str">
        <f>IFERROR(__xludf.DUMMYFUNCTION("""COMPUTED_VALUE"""),"VF")</f>
        <v>VF</v>
      </c>
      <c r="F943" s="2">
        <f>IFERROR(__xludf.DUMMYFUNCTION("""COMPUTED_VALUE"""),1.0)</f>
        <v>1</v>
      </c>
      <c r="G943" s="2" t="str">
        <f>IFERROR(__xludf.DUMMYFUNCTION("""COMPUTED_VALUE"""),"PR033")</f>
        <v>PR033</v>
      </c>
      <c r="H943" s="2" t="str">
        <f>IFERROR(__xludf.DUMMYFUNCTION("""COMPUTED_VALUE"""),"VD041")</f>
        <v>VD041</v>
      </c>
      <c r="I943" s="2">
        <f>IFERROR(__xludf.DUMMYFUNCTION("""COMPUTED_VALUE"""),2.0)</f>
        <v>2</v>
      </c>
      <c r="J943" s="2">
        <f>IFERROR(__xludf.DUMMYFUNCTION("""COMPUTED_VALUE"""),535.39)</f>
        <v>535.39</v>
      </c>
      <c r="K943" s="2">
        <f>IFERROR(__xludf.DUMMYFUNCTION("""COMPUTED_VALUE"""),535.39)</f>
        <v>535.39</v>
      </c>
    </row>
    <row r="944">
      <c r="A944" s="2">
        <f>IFERROR(__xludf.DUMMYFUNCTION("""COMPUTED_VALUE"""),1000.0)</f>
        <v>1000</v>
      </c>
      <c r="B944" s="2">
        <f>IFERROR(__xludf.DUMMYFUNCTION("""COMPUTED_VALUE"""),184134.0)</f>
        <v>184134</v>
      </c>
      <c r="C944" s="2">
        <f>IFERROR(__xludf.DUMMYFUNCTION("""COMPUTED_VALUE"""),2026.0)</f>
        <v>2026</v>
      </c>
      <c r="D944" s="2">
        <f>IFERROR(__xludf.DUMMYFUNCTION("""COMPUTED_VALUE"""),46200.0)</f>
        <v>46200</v>
      </c>
      <c r="E944" s="2" t="str">
        <f>IFERROR(__xludf.DUMMYFUNCTION("""COMPUTED_VALUE"""),"VF")</f>
        <v>VF</v>
      </c>
      <c r="F944" s="2">
        <f>IFERROR(__xludf.DUMMYFUNCTION("""COMPUTED_VALUE"""),1.0)</f>
        <v>1</v>
      </c>
      <c r="G944" s="2" t="str">
        <f>IFERROR(__xludf.DUMMYFUNCTION("""COMPUTED_VALUE"""),"PR008")</f>
        <v>PR008</v>
      </c>
      <c r="H944" s="2" t="str">
        <f>IFERROR(__xludf.DUMMYFUNCTION("""COMPUTED_VALUE"""),"VD019")</f>
        <v>VD019</v>
      </c>
      <c r="I944" s="2">
        <f>IFERROR(__xludf.DUMMYFUNCTION("""COMPUTED_VALUE"""),10.0)</f>
        <v>10</v>
      </c>
      <c r="J944" s="2">
        <f>IFERROR(__xludf.DUMMYFUNCTION("""COMPUTED_VALUE"""),934.96)</f>
        <v>934.96</v>
      </c>
      <c r="K944" s="2">
        <f>IFERROR(__xludf.DUMMYFUNCTION("""COMPUTED_VALUE"""),934.96)</f>
        <v>934.96</v>
      </c>
    </row>
    <row r="945">
      <c r="A945" s="2">
        <f>IFERROR(__xludf.DUMMYFUNCTION("""COMPUTED_VALUE"""),2000.0)</f>
        <v>2000</v>
      </c>
      <c r="B945" s="2">
        <f>IFERROR(__xludf.DUMMYFUNCTION("""COMPUTED_VALUE"""),184135.0)</f>
        <v>184135</v>
      </c>
      <c r="C945" s="2">
        <f>IFERROR(__xludf.DUMMYFUNCTION("""COMPUTED_VALUE"""),2026.0)</f>
        <v>2026</v>
      </c>
      <c r="D945" s="2">
        <f>IFERROR(__xludf.DUMMYFUNCTION("""COMPUTED_VALUE"""),46200.0)</f>
        <v>46200</v>
      </c>
      <c r="E945" s="2" t="str">
        <f>IFERROR(__xludf.DUMMYFUNCTION("""COMPUTED_VALUE"""),"VF")</f>
        <v>VF</v>
      </c>
      <c r="F945" s="2">
        <f>IFERROR(__xludf.DUMMYFUNCTION("""COMPUTED_VALUE"""),1.0)</f>
        <v>1</v>
      </c>
      <c r="G945" s="2" t="str">
        <f>IFERROR(__xludf.DUMMYFUNCTION("""COMPUTED_VALUE"""),"PR051")</f>
        <v>PR051</v>
      </c>
      <c r="H945" s="2" t="str">
        <f>IFERROR(__xludf.DUMMYFUNCTION("""COMPUTED_VALUE"""),"VD037")</f>
        <v>VD037</v>
      </c>
      <c r="I945" s="2">
        <f>IFERROR(__xludf.DUMMYFUNCTION("""COMPUTED_VALUE"""),4.0)</f>
        <v>4</v>
      </c>
      <c r="J945" s="2">
        <f>IFERROR(__xludf.DUMMYFUNCTION("""COMPUTED_VALUE"""),135.55)</f>
        <v>135.55</v>
      </c>
      <c r="K945" s="2">
        <f>IFERROR(__xludf.DUMMYFUNCTION("""COMPUTED_VALUE"""),135.55)</f>
        <v>135.55</v>
      </c>
    </row>
    <row r="946">
      <c r="A946" s="2">
        <f>IFERROR(__xludf.DUMMYFUNCTION("""COMPUTED_VALUE"""),2000.0)</f>
        <v>2000</v>
      </c>
      <c r="B946" s="2">
        <f>IFERROR(__xludf.DUMMYFUNCTION("""COMPUTED_VALUE"""),184136.0)</f>
        <v>184136</v>
      </c>
      <c r="C946" s="2">
        <f>IFERROR(__xludf.DUMMYFUNCTION("""COMPUTED_VALUE"""),2026.0)</f>
        <v>2026</v>
      </c>
      <c r="D946" s="2">
        <f>IFERROR(__xludf.DUMMYFUNCTION("""COMPUTED_VALUE"""),46199.0)</f>
        <v>46199</v>
      </c>
      <c r="E946" s="2" t="str">
        <f>IFERROR(__xludf.DUMMYFUNCTION("""COMPUTED_VALUE"""),"VF")</f>
        <v>VF</v>
      </c>
      <c r="F946" s="2">
        <f>IFERROR(__xludf.DUMMYFUNCTION("""COMPUTED_VALUE"""),1.0)</f>
        <v>1</v>
      </c>
      <c r="G946" s="2" t="str">
        <f>IFERROR(__xludf.DUMMYFUNCTION("""COMPUTED_VALUE"""),"PR038")</f>
        <v>PR038</v>
      </c>
      <c r="H946" s="2" t="str">
        <f>IFERROR(__xludf.DUMMYFUNCTION("""COMPUTED_VALUE"""),"VD022")</f>
        <v>VD022</v>
      </c>
      <c r="I946" s="2">
        <f>IFERROR(__xludf.DUMMYFUNCTION("""COMPUTED_VALUE"""),7.0)</f>
        <v>7</v>
      </c>
      <c r="J946" s="2">
        <f>IFERROR(__xludf.DUMMYFUNCTION("""COMPUTED_VALUE"""),1100.33)</f>
        <v>1100.33</v>
      </c>
      <c r="K946" s="2">
        <f>IFERROR(__xludf.DUMMYFUNCTION("""COMPUTED_VALUE"""),1100.33)</f>
        <v>1100.33</v>
      </c>
    </row>
    <row r="947">
      <c r="A947" s="2">
        <f>IFERROR(__xludf.DUMMYFUNCTION("""COMPUTED_VALUE"""),1000.0)</f>
        <v>1000</v>
      </c>
      <c r="B947" s="2">
        <f>IFERROR(__xludf.DUMMYFUNCTION("""COMPUTED_VALUE"""),184137.0)</f>
        <v>184137</v>
      </c>
      <c r="C947" s="2">
        <f>IFERROR(__xludf.DUMMYFUNCTION("""COMPUTED_VALUE"""),2026.0)</f>
        <v>2026</v>
      </c>
      <c r="D947" s="2">
        <f>IFERROR(__xludf.DUMMYFUNCTION("""COMPUTED_VALUE"""),46199.0)</f>
        <v>46199</v>
      </c>
      <c r="E947" s="2" t="str">
        <f>IFERROR(__xludf.DUMMYFUNCTION("""COMPUTED_VALUE"""),"VF")</f>
        <v>VF</v>
      </c>
      <c r="F947" s="2">
        <f>IFERROR(__xludf.DUMMYFUNCTION("""COMPUTED_VALUE"""),1.0)</f>
        <v>1</v>
      </c>
      <c r="G947" s="2" t="str">
        <f>IFERROR(__xludf.DUMMYFUNCTION("""COMPUTED_VALUE"""),"PR009")</f>
        <v>PR009</v>
      </c>
      <c r="H947" s="2" t="str">
        <f>IFERROR(__xludf.DUMMYFUNCTION("""COMPUTED_VALUE"""),"VD013")</f>
        <v>VD013</v>
      </c>
      <c r="I947" s="2">
        <f>IFERROR(__xludf.DUMMYFUNCTION("""COMPUTED_VALUE"""),2.0)</f>
        <v>2</v>
      </c>
      <c r="J947" s="2">
        <f>IFERROR(__xludf.DUMMYFUNCTION("""COMPUTED_VALUE"""),195.09)</f>
        <v>195.09</v>
      </c>
      <c r="K947" s="2">
        <f>IFERROR(__xludf.DUMMYFUNCTION("""COMPUTED_VALUE"""),195.09)</f>
        <v>195.09</v>
      </c>
    </row>
    <row r="948">
      <c r="A948" s="2">
        <f>IFERROR(__xludf.DUMMYFUNCTION("""COMPUTED_VALUE"""),1000.0)</f>
        <v>1000</v>
      </c>
      <c r="B948" s="2">
        <f>IFERROR(__xludf.DUMMYFUNCTION("""COMPUTED_VALUE"""),184137.0)</f>
        <v>184137</v>
      </c>
      <c r="C948" s="2">
        <f>IFERROR(__xludf.DUMMYFUNCTION("""COMPUTED_VALUE"""),2026.0)</f>
        <v>2026</v>
      </c>
      <c r="D948" s="2">
        <f>IFERROR(__xludf.DUMMYFUNCTION("""COMPUTED_VALUE"""),46198.0)</f>
        <v>46198</v>
      </c>
      <c r="E948" s="2" t="str">
        <f>IFERROR(__xludf.DUMMYFUNCTION("""COMPUTED_VALUE"""),"VF")</f>
        <v>VF</v>
      </c>
      <c r="F948" s="2">
        <f>IFERROR(__xludf.DUMMYFUNCTION("""COMPUTED_VALUE"""),2.0)</f>
        <v>2</v>
      </c>
      <c r="G948" s="2" t="str">
        <f>IFERROR(__xludf.DUMMYFUNCTION("""COMPUTED_VALUE"""),"PR017")</f>
        <v>PR017</v>
      </c>
      <c r="H948" s="2" t="str">
        <f>IFERROR(__xludf.DUMMYFUNCTION("""COMPUTED_VALUE"""),"VD022")</f>
        <v>VD022</v>
      </c>
      <c r="I948" s="2">
        <f>IFERROR(__xludf.DUMMYFUNCTION("""COMPUTED_VALUE"""),8.0)</f>
        <v>8</v>
      </c>
      <c r="J948" s="2">
        <f>IFERROR(__xludf.DUMMYFUNCTION("""COMPUTED_VALUE"""),263.12)</f>
        <v>263.12</v>
      </c>
      <c r="K948" s="2">
        <f>IFERROR(__xludf.DUMMYFUNCTION("""COMPUTED_VALUE"""),263.12)</f>
        <v>263.12</v>
      </c>
    </row>
    <row r="949">
      <c r="A949" s="2">
        <f>IFERROR(__xludf.DUMMYFUNCTION("""COMPUTED_VALUE"""),1000.0)</f>
        <v>1000</v>
      </c>
      <c r="B949" s="2">
        <f>IFERROR(__xludf.DUMMYFUNCTION("""COMPUTED_VALUE"""),184138.0)</f>
        <v>184138</v>
      </c>
      <c r="C949" s="2">
        <f>IFERROR(__xludf.DUMMYFUNCTION("""COMPUTED_VALUE"""),2026.0)</f>
        <v>2026</v>
      </c>
      <c r="D949" s="2">
        <f>IFERROR(__xludf.DUMMYFUNCTION("""COMPUTED_VALUE"""),46198.0)</f>
        <v>46198</v>
      </c>
      <c r="E949" s="2" t="str">
        <f>IFERROR(__xludf.DUMMYFUNCTION("""COMPUTED_VALUE"""),"VF")</f>
        <v>VF</v>
      </c>
      <c r="F949" s="2">
        <f>IFERROR(__xludf.DUMMYFUNCTION("""COMPUTED_VALUE"""),1.0)</f>
        <v>1</v>
      </c>
      <c r="G949" s="2" t="str">
        <f>IFERROR(__xludf.DUMMYFUNCTION("""COMPUTED_VALUE"""),"PR036")</f>
        <v>PR036</v>
      </c>
      <c r="H949" s="2" t="str">
        <f>IFERROR(__xludf.DUMMYFUNCTION("""COMPUTED_VALUE"""),"VD048")</f>
        <v>VD048</v>
      </c>
      <c r="I949" s="2">
        <f>IFERROR(__xludf.DUMMYFUNCTION("""COMPUTED_VALUE"""),14.0)</f>
        <v>14</v>
      </c>
      <c r="J949" s="2">
        <f>IFERROR(__xludf.DUMMYFUNCTION("""COMPUTED_VALUE"""),1374.45)</f>
        <v>1374.45</v>
      </c>
      <c r="K949" s="2">
        <f>IFERROR(__xludf.DUMMYFUNCTION("""COMPUTED_VALUE"""),1374.45)</f>
        <v>1374.45</v>
      </c>
    </row>
    <row r="950">
      <c r="A950" s="2">
        <f>IFERROR(__xludf.DUMMYFUNCTION("""COMPUTED_VALUE"""),1000.0)</f>
        <v>1000</v>
      </c>
      <c r="B950" s="2">
        <f>IFERROR(__xludf.DUMMYFUNCTION("""COMPUTED_VALUE"""),184138.0)</f>
        <v>184138</v>
      </c>
      <c r="C950" s="2">
        <f>IFERROR(__xludf.DUMMYFUNCTION("""COMPUTED_VALUE"""),2026.0)</f>
        <v>2026</v>
      </c>
      <c r="D950" s="2">
        <f>IFERROR(__xludf.DUMMYFUNCTION("""COMPUTED_VALUE"""),46198.0)</f>
        <v>46198</v>
      </c>
      <c r="E950" s="2" t="str">
        <f>IFERROR(__xludf.DUMMYFUNCTION("""COMPUTED_VALUE"""),"VF")</f>
        <v>VF</v>
      </c>
      <c r="F950" s="2">
        <f>IFERROR(__xludf.DUMMYFUNCTION("""COMPUTED_VALUE"""),2.0)</f>
        <v>2</v>
      </c>
      <c r="G950" s="2" t="str">
        <f>IFERROR(__xludf.DUMMYFUNCTION("""COMPUTED_VALUE"""),"PR008")</f>
        <v>PR008</v>
      </c>
      <c r="H950" s="2" t="str">
        <f>IFERROR(__xludf.DUMMYFUNCTION("""COMPUTED_VALUE"""),"VD014")</f>
        <v>VD014</v>
      </c>
      <c r="I950" s="2">
        <f>IFERROR(__xludf.DUMMYFUNCTION("""COMPUTED_VALUE"""),8.0)</f>
        <v>8</v>
      </c>
      <c r="J950" s="2">
        <f>IFERROR(__xludf.DUMMYFUNCTION("""COMPUTED_VALUE"""),783.93)</f>
        <v>783.93</v>
      </c>
      <c r="K950" s="2">
        <f>IFERROR(__xludf.DUMMYFUNCTION("""COMPUTED_VALUE"""),783.93)</f>
        <v>783.93</v>
      </c>
    </row>
    <row r="951">
      <c r="A951" s="2">
        <f>IFERROR(__xludf.DUMMYFUNCTION("""COMPUTED_VALUE"""),1000.0)</f>
        <v>1000</v>
      </c>
      <c r="B951" s="2">
        <f>IFERROR(__xludf.DUMMYFUNCTION("""COMPUTED_VALUE"""),184138.0)</f>
        <v>184138</v>
      </c>
      <c r="C951" s="2">
        <f>IFERROR(__xludf.DUMMYFUNCTION("""COMPUTED_VALUE"""),2026.0)</f>
        <v>2026</v>
      </c>
      <c r="D951" s="2">
        <f>IFERROR(__xludf.DUMMYFUNCTION("""COMPUTED_VALUE"""),46197.0)</f>
        <v>46197</v>
      </c>
      <c r="E951" s="2" t="str">
        <f>IFERROR(__xludf.DUMMYFUNCTION("""COMPUTED_VALUE"""),"VF")</f>
        <v>VF</v>
      </c>
      <c r="F951" s="2">
        <f>IFERROR(__xludf.DUMMYFUNCTION("""COMPUTED_VALUE"""),3.0)</f>
        <v>3</v>
      </c>
      <c r="G951" s="2" t="str">
        <f>IFERROR(__xludf.DUMMYFUNCTION("""COMPUTED_VALUE"""),"PR047")</f>
        <v>PR047</v>
      </c>
      <c r="H951" s="2" t="str">
        <f>IFERROR(__xludf.DUMMYFUNCTION("""COMPUTED_VALUE"""),"VD019")</f>
        <v>VD019</v>
      </c>
      <c r="I951" s="2">
        <f>IFERROR(__xludf.DUMMYFUNCTION("""COMPUTED_VALUE"""),5.0)</f>
        <v>5</v>
      </c>
      <c r="J951" s="2">
        <f>IFERROR(__xludf.DUMMYFUNCTION("""COMPUTED_VALUE"""),1550.97)</f>
        <v>1550.97</v>
      </c>
      <c r="K951" s="2">
        <f>IFERROR(__xludf.DUMMYFUNCTION("""COMPUTED_VALUE"""),1550.97)</f>
        <v>1550.97</v>
      </c>
    </row>
    <row r="952">
      <c r="A952" s="2">
        <f>IFERROR(__xludf.DUMMYFUNCTION("""COMPUTED_VALUE"""),2000.0)</f>
        <v>2000</v>
      </c>
      <c r="B952" s="2">
        <f>IFERROR(__xludf.DUMMYFUNCTION("""COMPUTED_VALUE"""),184139.0)</f>
        <v>184139</v>
      </c>
      <c r="C952" s="2">
        <f>IFERROR(__xludf.DUMMYFUNCTION("""COMPUTED_VALUE"""),2026.0)</f>
        <v>2026</v>
      </c>
      <c r="D952" s="2">
        <f>IFERROR(__xludf.DUMMYFUNCTION("""COMPUTED_VALUE"""),46197.0)</f>
        <v>46197</v>
      </c>
      <c r="E952" s="2" t="str">
        <f>IFERROR(__xludf.DUMMYFUNCTION("""COMPUTED_VALUE"""),"VF")</f>
        <v>VF</v>
      </c>
      <c r="F952" s="2">
        <f>IFERROR(__xludf.DUMMYFUNCTION("""COMPUTED_VALUE"""),1.0)</f>
        <v>1</v>
      </c>
      <c r="G952" s="2" t="str">
        <f>IFERROR(__xludf.DUMMYFUNCTION("""COMPUTED_VALUE"""),"PR046")</f>
        <v>PR046</v>
      </c>
      <c r="H952" s="2" t="str">
        <f>IFERROR(__xludf.DUMMYFUNCTION("""COMPUTED_VALUE"""),"VD021")</f>
        <v>VD021</v>
      </c>
      <c r="I952" s="2">
        <f>IFERROR(__xludf.DUMMYFUNCTION("""COMPUTED_VALUE"""),3.0)</f>
        <v>3</v>
      </c>
      <c r="J952" s="2">
        <f>IFERROR(__xludf.DUMMYFUNCTION("""COMPUTED_VALUE"""),930.58)</f>
        <v>930.58</v>
      </c>
      <c r="K952" s="2">
        <f>IFERROR(__xludf.DUMMYFUNCTION("""COMPUTED_VALUE"""),930.58)</f>
        <v>930.58</v>
      </c>
    </row>
    <row r="953">
      <c r="A953" s="2">
        <f>IFERROR(__xludf.DUMMYFUNCTION("""COMPUTED_VALUE"""),1000.0)</f>
        <v>1000</v>
      </c>
      <c r="B953" s="2">
        <f>IFERROR(__xludf.DUMMYFUNCTION("""COMPUTED_VALUE"""),184140.0)</f>
        <v>184140</v>
      </c>
      <c r="C953" s="2">
        <f>IFERROR(__xludf.DUMMYFUNCTION("""COMPUTED_VALUE"""),2026.0)</f>
        <v>2026</v>
      </c>
      <c r="D953" s="2">
        <f>IFERROR(__xludf.DUMMYFUNCTION("""COMPUTED_VALUE"""),46196.0)</f>
        <v>46196</v>
      </c>
      <c r="E953" s="2" t="str">
        <f>IFERROR(__xludf.DUMMYFUNCTION("""COMPUTED_VALUE"""),"VF")</f>
        <v>VF</v>
      </c>
      <c r="F953" s="2">
        <f>IFERROR(__xludf.DUMMYFUNCTION("""COMPUTED_VALUE"""),1.0)</f>
        <v>1</v>
      </c>
      <c r="G953" s="2" t="str">
        <f>IFERROR(__xludf.DUMMYFUNCTION("""COMPUTED_VALUE"""),"PR050")</f>
        <v>PR050</v>
      </c>
      <c r="H953" s="2" t="str">
        <f>IFERROR(__xludf.DUMMYFUNCTION("""COMPUTED_VALUE"""),"VD018")</f>
        <v>VD018</v>
      </c>
      <c r="I953" s="2">
        <f>IFERROR(__xludf.DUMMYFUNCTION("""COMPUTED_VALUE"""),4.0)</f>
        <v>4</v>
      </c>
      <c r="J953" s="2">
        <f>IFERROR(__xludf.DUMMYFUNCTION("""COMPUTED_VALUE"""),144.76)</f>
        <v>144.76</v>
      </c>
      <c r="K953" s="2">
        <f>IFERROR(__xludf.DUMMYFUNCTION("""COMPUTED_VALUE"""),144.76)</f>
        <v>144.76</v>
      </c>
    </row>
    <row r="954">
      <c r="A954" s="2">
        <f>IFERROR(__xludf.DUMMYFUNCTION("""COMPUTED_VALUE"""),1000.0)</f>
        <v>1000</v>
      </c>
      <c r="B954" s="2">
        <f>IFERROR(__xludf.DUMMYFUNCTION("""COMPUTED_VALUE"""),184141.0)</f>
        <v>184141</v>
      </c>
      <c r="C954" s="2">
        <f>IFERROR(__xludf.DUMMYFUNCTION("""COMPUTED_VALUE"""),2026.0)</f>
        <v>2026</v>
      </c>
      <c r="D954" s="2">
        <f>IFERROR(__xludf.DUMMYFUNCTION("""COMPUTED_VALUE"""),46196.0)</f>
        <v>46196</v>
      </c>
      <c r="E954" s="2" t="str">
        <f>IFERROR(__xludf.DUMMYFUNCTION("""COMPUTED_VALUE"""),"VF")</f>
        <v>VF</v>
      </c>
      <c r="F954" s="2">
        <f>IFERROR(__xludf.DUMMYFUNCTION("""COMPUTED_VALUE"""),1.0)</f>
        <v>1</v>
      </c>
      <c r="G954" s="2" t="str">
        <f>IFERROR(__xludf.DUMMYFUNCTION("""COMPUTED_VALUE"""),"PR038")</f>
        <v>PR038</v>
      </c>
      <c r="H954" s="2" t="str">
        <f>IFERROR(__xludf.DUMMYFUNCTION("""COMPUTED_VALUE"""),"VD034")</f>
        <v>VD034</v>
      </c>
      <c r="I954" s="2">
        <f>IFERROR(__xludf.DUMMYFUNCTION("""COMPUTED_VALUE"""),1.0)</f>
        <v>1</v>
      </c>
      <c r="J954" s="2">
        <f>IFERROR(__xludf.DUMMYFUNCTION("""COMPUTED_VALUE"""),148.62)</f>
        <v>148.62</v>
      </c>
      <c r="K954" s="2">
        <f>IFERROR(__xludf.DUMMYFUNCTION("""COMPUTED_VALUE"""),148.62)</f>
        <v>148.62</v>
      </c>
    </row>
    <row r="955">
      <c r="A955" s="2">
        <f>IFERROR(__xludf.DUMMYFUNCTION("""COMPUTED_VALUE"""),1000.0)</f>
        <v>1000</v>
      </c>
      <c r="B955" s="2">
        <f>IFERROR(__xludf.DUMMYFUNCTION("""COMPUTED_VALUE"""),184142.0)</f>
        <v>184142</v>
      </c>
      <c r="C955" s="2">
        <f>IFERROR(__xludf.DUMMYFUNCTION("""COMPUTED_VALUE"""),2026.0)</f>
        <v>2026</v>
      </c>
      <c r="D955" s="2">
        <f>IFERROR(__xludf.DUMMYFUNCTION("""COMPUTED_VALUE"""),46196.0)</f>
        <v>46196</v>
      </c>
      <c r="E955" s="2" t="str">
        <f>IFERROR(__xludf.DUMMYFUNCTION("""COMPUTED_VALUE"""),"VF")</f>
        <v>VF</v>
      </c>
      <c r="F955" s="2">
        <f>IFERROR(__xludf.DUMMYFUNCTION("""COMPUTED_VALUE"""),1.0)</f>
        <v>1</v>
      </c>
      <c r="G955" s="2" t="str">
        <f>IFERROR(__xludf.DUMMYFUNCTION("""COMPUTED_VALUE"""),"PR046")</f>
        <v>PR046</v>
      </c>
      <c r="H955" s="2" t="str">
        <f>IFERROR(__xludf.DUMMYFUNCTION("""COMPUTED_VALUE"""),"VD018")</f>
        <v>VD018</v>
      </c>
      <c r="I955" s="2">
        <f>IFERROR(__xludf.DUMMYFUNCTION("""COMPUTED_VALUE"""),3.0)</f>
        <v>3</v>
      </c>
      <c r="J955" s="2">
        <f>IFERROR(__xludf.DUMMYFUNCTION("""COMPUTED_VALUE"""),947.97)</f>
        <v>947.97</v>
      </c>
      <c r="K955" s="2">
        <f>IFERROR(__xludf.DUMMYFUNCTION("""COMPUTED_VALUE"""),947.97)</f>
        <v>947.97</v>
      </c>
    </row>
    <row r="956">
      <c r="A956" s="2">
        <f>IFERROR(__xludf.DUMMYFUNCTION("""COMPUTED_VALUE"""),1000.0)</f>
        <v>1000</v>
      </c>
      <c r="B956" s="2">
        <f>IFERROR(__xludf.DUMMYFUNCTION("""COMPUTED_VALUE"""),184142.0)</f>
        <v>184142</v>
      </c>
      <c r="C956" s="2">
        <f>IFERROR(__xludf.DUMMYFUNCTION("""COMPUTED_VALUE"""),2026.0)</f>
        <v>2026</v>
      </c>
      <c r="D956" s="2">
        <f>IFERROR(__xludf.DUMMYFUNCTION("""COMPUTED_VALUE"""),46196.0)</f>
        <v>46196</v>
      </c>
      <c r="E956" s="2" t="str">
        <f>IFERROR(__xludf.DUMMYFUNCTION("""COMPUTED_VALUE"""),"VF")</f>
        <v>VF</v>
      </c>
      <c r="F956" s="2">
        <f>IFERROR(__xludf.DUMMYFUNCTION("""COMPUTED_VALUE"""),2.0)</f>
        <v>2</v>
      </c>
      <c r="G956" s="2" t="str">
        <f>IFERROR(__xludf.DUMMYFUNCTION("""COMPUTED_VALUE"""),"PR004")</f>
        <v>PR004</v>
      </c>
      <c r="H956" s="2" t="str">
        <f>IFERROR(__xludf.DUMMYFUNCTION("""COMPUTED_VALUE"""),"VD026")</f>
        <v>VD026</v>
      </c>
      <c r="I956" s="2">
        <f>IFERROR(__xludf.DUMMYFUNCTION("""COMPUTED_VALUE"""),2.0)</f>
        <v>2</v>
      </c>
      <c r="J956" s="2">
        <f>IFERROR(__xludf.DUMMYFUNCTION("""COMPUTED_VALUE"""),301.6)</f>
        <v>301.6</v>
      </c>
      <c r="K956" s="2">
        <f>IFERROR(__xludf.DUMMYFUNCTION("""COMPUTED_VALUE"""),301.6)</f>
        <v>301.6</v>
      </c>
    </row>
    <row r="957">
      <c r="A957" s="2">
        <f>IFERROR(__xludf.DUMMYFUNCTION("""COMPUTED_VALUE"""),1000.0)</f>
        <v>1000</v>
      </c>
      <c r="B957" s="2">
        <f>IFERROR(__xludf.DUMMYFUNCTION("""COMPUTED_VALUE"""),184143.0)</f>
        <v>184143</v>
      </c>
      <c r="C957" s="2">
        <f>IFERROR(__xludf.DUMMYFUNCTION("""COMPUTED_VALUE"""),2026.0)</f>
        <v>2026</v>
      </c>
      <c r="D957" s="2">
        <f>IFERROR(__xludf.DUMMYFUNCTION("""COMPUTED_VALUE"""),46196.0)</f>
        <v>46196</v>
      </c>
      <c r="E957" s="2" t="str">
        <f>IFERROR(__xludf.DUMMYFUNCTION("""COMPUTED_VALUE"""),"VF")</f>
        <v>VF</v>
      </c>
      <c r="F957" s="2">
        <f>IFERROR(__xludf.DUMMYFUNCTION("""COMPUTED_VALUE"""),1.0)</f>
        <v>1</v>
      </c>
      <c r="G957" s="2" t="str">
        <f>IFERROR(__xludf.DUMMYFUNCTION("""COMPUTED_VALUE"""),"PR030")</f>
        <v>PR030</v>
      </c>
      <c r="H957" s="2" t="str">
        <f>IFERROR(__xludf.DUMMYFUNCTION("""COMPUTED_VALUE"""),"VD012")</f>
        <v>VD012</v>
      </c>
      <c r="I957" s="2">
        <f>IFERROR(__xludf.DUMMYFUNCTION("""COMPUTED_VALUE"""),9.0)</f>
        <v>9</v>
      </c>
      <c r="J957" s="2">
        <f>IFERROR(__xludf.DUMMYFUNCTION("""COMPUTED_VALUE"""),2339.1)</f>
        <v>2339.1</v>
      </c>
      <c r="K957" s="2">
        <f>IFERROR(__xludf.DUMMYFUNCTION("""COMPUTED_VALUE"""),2339.1)</f>
        <v>2339.1</v>
      </c>
    </row>
    <row r="958">
      <c r="A958" s="2">
        <f>IFERROR(__xludf.DUMMYFUNCTION("""COMPUTED_VALUE"""),1000.0)</f>
        <v>1000</v>
      </c>
      <c r="B958" s="2">
        <f>IFERROR(__xludf.DUMMYFUNCTION("""COMPUTED_VALUE"""),184143.0)</f>
        <v>184143</v>
      </c>
      <c r="C958" s="2">
        <f>IFERROR(__xludf.DUMMYFUNCTION("""COMPUTED_VALUE"""),2026.0)</f>
        <v>2026</v>
      </c>
      <c r="D958" s="2">
        <f>IFERROR(__xludf.DUMMYFUNCTION("""COMPUTED_VALUE"""),46196.0)</f>
        <v>46196</v>
      </c>
      <c r="E958" s="2" t="str">
        <f>IFERROR(__xludf.DUMMYFUNCTION("""COMPUTED_VALUE"""),"VF")</f>
        <v>VF</v>
      </c>
      <c r="F958" s="2">
        <f>IFERROR(__xludf.DUMMYFUNCTION("""COMPUTED_VALUE"""),2.0)</f>
        <v>2</v>
      </c>
      <c r="G958" s="2" t="str">
        <f>IFERROR(__xludf.DUMMYFUNCTION("""COMPUTED_VALUE"""),"PR019")</f>
        <v>PR019</v>
      </c>
      <c r="H958" s="2" t="str">
        <f>IFERROR(__xludf.DUMMYFUNCTION("""COMPUTED_VALUE"""),"VD027")</f>
        <v>VD027</v>
      </c>
      <c r="I958" s="2">
        <f>IFERROR(__xludf.DUMMYFUNCTION("""COMPUTED_VALUE"""),1.0)</f>
        <v>1</v>
      </c>
      <c r="J958" s="2">
        <f>IFERROR(__xludf.DUMMYFUNCTION("""COMPUTED_VALUE"""),49.9)</f>
        <v>49.9</v>
      </c>
      <c r="K958" s="2">
        <f>IFERROR(__xludf.DUMMYFUNCTION("""COMPUTED_VALUE"""),49.9)</f>
        <v>49.9</v>
      </c>
    </row>
    <row r="959">
      <c r="A959" s="2">
        <f>IFERROR(__xludf.DUMMYFUNCTION("""COMPUTED_VALUE"""),1000.0)</f>
        <v>1000</v>
      </c>
      <c r="B959" s="2">
        <f>IFERROR(__xludf.DUMMYFUNCTION("""COMPUTED_VALUE"""),184144.0)</f>
        <v>184144</v>
      </c>
      <c r="C959" s="2">
        <f>IFERROR(__xludf.DUMMYFUNCTION("""COMPUTED_VALUE"""),2026.0)</f>
        <v>2026</v>
      </c>
      <c r="D959" s="2">
        <f>IFERROR(__xludf.DUMMYFUNCTION("""COMPUTED_VALUE"""),46196.0)</f>
        <v>46196</v>
      </c>
      <c r="E959" s="2" t="str">
        <f>IFERROR(__xludf.DUMMYFUNCTION("""COMPUTED_VALUE"""),"VF")</f>
        <v>VF</v>
      </c>
      <c r="F959" s="2">
        <f>IFERROR(__xludf.DUMMYFUNCTION("""COMPUTED_VALUE"""),1.0)</f>
        <v>1</v>
      </c>
      <c r="G959" s="2" t="str">
        <f>IFERROR(__xludf.DUMMYFUNCTION("""COMPUTED_VALUE"""),"PR019")</f>
        <v>PR019</v>
      </c>
      <c r="H959" s="2" t="str">
        <f>IFERROR(__xludf.DUMMYFUNCTION("""COMPUTED_VALUE"""),"VD019")</f>
        <v>VD019</v>
      </c>
      <c r="I959" s="2">
        <f>IFERROR(__xludf.DUMMYFUNCTION("""COMPUTED_VALUE"""),20.0)</f>
        <v>20</v>
      </c>
      <c r="J959" s="2">
        <f>IFERROR(__xludf.DUMMYFUNCTION("""COMPUTED_VALUE"""),1027.94)</f>
        <v>1027.94</v>
      </c>
      <c r="K959" s="2">
        <f>IFERROR(__xludf.DUMMYFUNCTION("""COMPUTED_VALUE"""),1027.94)</f>
        <v>1027.94</v>
      </c>
    </row>
    <row r="960">
      <c r="A960" s="2">
        <f>IFERROR(__xludf.DUMMYFUNCTION("""COMPUTED_VALUE"""),1000.0)</f>
        <v>1000</v>
      </c>
      <c r="B960" s="2">
        <f>IFERROR(__xludf.DUMMYFUNCTION("""COMPUTED_VALUE"""),184145.0)</f>
        <v>184145</v>
      </c>
      <c r="C960" s="2">
        <f>IFERROR(__xludf.DUMMYFUNCTION("""COMPUTED_VALUE"""),2026.0)</f>
        <v>2026</v>
      </c>
      <c r="D960" s="2">
        <f>IFERROR(__xludf.DUMMYFUNCTION("""COMPUTED_VALUE"""),46196.0)</f>
        <v>46196</v>
      </c>
      <c r="E960" s="2" t="str">
        <f>IFERROR(__xludf.DUMMYFUNCTION("""COMPUTED_VALUE"""),"VF")</f>
        <v>VF</v>
      </c>
      <c r="F960" s="2">
        <f>IFERROR(__xludf.DUMMYFUNCTION("""COMPUTED_VALUE"""),1.0)</f>
        <v>1</v>
      </c>
      <c r="G960" s="2" t="str">
        <f>IFERROR(__xludf.DUMMYFUNCTION("""COMPUTED_VALUE"""),"PR020")</f>
        <v>PR020</v>
      </c>
      <c r="H960" s="2" t="str">
        <f>IFERROR(__xludf.DUMMYFUNCTION("""COMPUTED_VALUE"""),"VD038")</f>
        <v>VD038</v>
      </c>
      <c r="I960" s="2">
        <f>IFERROR(__xludf.DUMMYFUNCTION("""COMPUTED_VALUE"""),7.0)</f>
        <v>7</v>
      </c>
      <c r="J960" s="2">
        <f>IFERROR(__xludf.DUMMYFUNCTION("""COMPUTED_VALUE"""),2225.26)</f>
        <v>2225.26</v>
      </c>
      <c r="K960" s="2">
        <f>IFERROR(__xludf.DUMMYFUNCTION("""COMPUTED_VALUE"""),2225.26)</f>
        <v>2225.26</v>
      </c>
    </row>
    <row r="961">
      <c r="A961" s="2">
        <f>IFERROR(__xludf.DUMMYFUNCTION("""COMPUTED_VALUE"""),1000.0)</f>
        <v>1000</v>
      </c>
      <c r="B961" s="2">
        <f>IFERROR(__xludf.DUMMYFUNCTION("""COMPUTED_VALUE"""),184146.0)</f>
        <v>184146</v>
      </c>
      <c r="C961" s="2">
        <f>IFERROR(__xludf.DUMMYFUNCTION("""COMPUTED_VALUE"""),2026.0)</f>
        <v>2026</v>
      </c>
      <c r="D961" s="2">
        <f>IFERROR(__xludf.DUMMYFUNCTION("""COMPUTED_VALUE"""),46196.0)</f>
        <v>46196</v>
      </c>
      <c r="E961" s="2" t="str">
        <f>IFERROR(__xludf.DUMMYFUNCTION("""COMPUTED_VALUE"""),"VF")</f>
        <v>VF</v>
      </c>
      <c r="F961" s="2">
        <f>IFERROR(__xludf.DUMMYFUNCTION("""COMPUTED_VALUE"""),1.0)</f>
        <v>1</v>
      </c>
      <c r="G961" s="2" t="str">
        <f>IFERROR(__xludf.DUMMYFUNCTION("""COMPUTED_VALUE"""),"PR041")</f>
        <v>PR041</v>
      </c>
      <c r="H961" s="2" t="str">
        <f>IFERROR(__xludf.DUMMYFUNCTION("""COMPUTED_VALUE"""),"VD023")</f>
        <v>VD023</v>
      </c>
      <c r="I961" s="2">
        <f>IFERROR(__xludf.DUMMYFUNCTION("""COMPUTED_VALUE"""),16.0)</f>
        <v>16</v>
      </c>
      <c r="J961" s="2">
        <f>IFERROR(__xludf.DUMMYFUNCTION("""COMPUTED_VALUE"""),887.18)</f>
        <v>887.18</v>
      </c>
      <c r="K961" s="2">
        <f>IFERROR(__xludf.DUMMYFUNCTION("""COMPUTED_VALUE"""),887.18)</f>
        <v>887.18</v>
      </c>
    </row>
    <row r="962">
      <c r="A962" s="2">
        <f>IFERROR(__xludf.DUMMYFUNCTION("""COMPUTED_VALUE"""),2000.0)</f>
        <v>2000</v>
      </c>
      <c r="B962" s="2">
        <f>IFERROR(__xludf.DUMMYFUNCTION("""COMPUTED_VALUE"""),184147.0)</f>
        <v>184147</v>
      </c>
      <c r="C962" s="2">
        <f>IFERROR(__xludf.DUMMYFUNCTION("""COMPUTED_VALUE"""),2026.0)</f>
        <v>2026</v>
      </c>
      <c r="D962" s="2">
        <f>IFERROR(__xludf.DUMMYFUNCTION("""COMPUTED_VALUE"""),46196.0)</f>
        <v>46196</v>
      </c>
      <c r="E962" s="2" t="str">
        <f>IFERROR(__xludf.DUMMYFUNCTION("""COMPUTED_VALUE"""),"VF")</f>
        <v>VF</v>
      </c>
      <c r="F962" s="2">
        <f>IFERROR(__xludf.DUMMYFUNCTION("""COMPUTED_VALUE"""),1.0)</f>
        <v>1</v>
      </c>
      <c r="G962" s="2" t="str">
        <f>IFERROR(__xludf.DUMMYFUNCTION("""COMPUTED_VALUE"""),"PR004")</f>
        <v>PR004</v>
      </c>
      <c r="H962" s="2" t="str">
        <f>IFERROR(__xludf.DUMMYFUNCTION("""COMPUTED_VALUE"""),"VD039")</f>
        <v>VD039</v>
      </c>
      <c r="I962" s="2">
        <f>IFERROR(__xludf.DUMMYFUNCTION("""COMPUTED_VALUE"""),8.0)</f>
        <v>8</v>
      </c>
      <c r="J962" s="2">
        <f>IFERROR(__xludf.DUMMYFUNCTION("""COMPUTED_VALUE"""),1160.0)</f>
        <v>1160</v>
      </c>
      <c r="K962" s="2">
        <f>IFERROR(__xludf.DUMMYFUNCTION("""COMPUTED_VALUE"""),1160.0)</f>
        <v>1160</v>
      </c>
    </row>
    <row r="963">
      <c r="A963" s="2">
        <f>IFERROR(__xludf.DUMMYFUNCTION("""COMPUTED_VALUE"""),1000.0)</f>
        <v>1000</v>
      </c>
      <c r="B963" s="2">
        <f>IFERROR(__xludf.DUMMYFUNCTION("""COMPUTED_VALUE"""),184147.0)</f>
        <v>184147</v>
      </c>
      <c r="C963" s="2">
        <f>IFERROR(__xludf.DUMMYFUNCTION("""COMPUTED_VALUE"""),2026.0)</f>
        <v>2026</v>
      </c>
      <c r="D963" s="2">
        <f>IFERROR(__xludf.DUMMYFUNCTION("""COMPUTED_VALUE"""),46196.0)</f>
        <v>46196</v>
      </c>
      <c r="E963" s="2" t="str">
        <f>IFERROR(__xludf.DUMMYFUNCTION("""COMPUTED_VALUE"""),"VF")</f>
        <v>VF</v>
      </c>
      <c r="F963" s="2">
        <f>IFERROR(__xludf.DUMMYFUNCTION("""COMPUTED_VALUE"""),2.0)</f>
        <v>2</v>
      </c>
      <c r="G963" s="2" t="str">
        <f>IFERROR(__xludf.DUMMYFUNCTION("""COMPUTED_VALUE"""),"PR028")</f>
        <v>PR028</v>
      </c>
      <c r="H963" s="2" t="str">
        <f>IFERROR(__xludf.DUMMYFUNCTION("""COMPUTED_VALUE"""),"VD038")</f>
        <v>VD038</v>
      </c>
      <c r="I963" s="2">
        <f>IFERROR(__xludf.DUMMYFUNCTION("""COMPUTED_VALUE"""),6.0)</f>
        <v>6</v>
      </c>
      <c r="J963" s="2">
        <f>IFERROR(__xludf.DUMMYFUNCTION("""COMPUTED_VALUE"""),1544.38)</f>
        <v>1544.38</v>
      </c>
      <c r="K963" s="2">
        <f>IFERROR(__xludf.DUMMYFUNCTION("""COMPUTED_VALUE"""),1544.38)</f>
        <v>1544.38</v>
      </c>
    </row>
    <row r="964">
      <c r="A964" s="2">
        <f>IFERROR(__xludf.DUMMYFUNCTION("""COMPUTED_VALUE"""),1000.0)</f>
        <v>1000</v>
      </c>
      <c r="B964" s="2">
        <f>IFERROR(__xludf.DUMMYFUNCTION("""COMPUTED_VALUE"""),184148.0)</f>
        <v>184148</v>
      </c>
      <c r="C964" s="2">
        <f>IFERROR(__xludf.DUMMYFUNCTION("""COMPUTED_VALUE"""),2026.0)</f>
        <v>2026</v>
      </c>
      <c r="D964" s="2">
        <f>IFERROR(__xludf.DUMMYFUNCTION("""COMPUTED_VALUE"""),46195.0)</f>
        <v>46195</v>
      </c>
      <c r="E964" s="2" t="str">
        <f>IFERROR(__xludf.DUMMYFUNCTION("""COMPUTED_VALUE"""),"VF")</f>
        <v>VF</v>
      </c>
      <c r="F964" s="2">
        <f>IFERROR(__xludf.DUMMYFUNCTION("""COMPUTED_VALUE"""),1.0)</f>
        <v>1</v>
      </c>
      <c r="G964" s="2" t="str">
        <f>IFERROR(__xludf.DUMMYFUNCTION("""COMPUTED_VALUE"""),"PR023")</f>
        <v>PR023</v>
      </c>
      <c r="H964" s="2" t="str">
        <f>IFERROR(__xludf.DUMMYFUNCTION("""COMPUTED_VALUE"""),"VD012")</f>
        <v>VD012</v>
      </c>
      <c r="I964" s="2">
        <f>IFERROR(__xludf.DUMMYFUNCTION("""COMPUTED_VALUE"""),10.0)</f>
        <v>10</v>
      </c>
      <c r="J964" s="2">
        <f>IFERROR(__xludf.DUMMYFUNCTION("""COMPUTED_VALUE"""),2673.93)</f>
        <v>2673.93</v>
      </c>
      <c r="K964" s="2">
        <f>IFERROR(__xludf.DUMMYFUNCTION("""COMPUTED_VALUE"""),2673.93)</f>
        <v>2673.93</v>
      </c>
    </row>
    <row r="965">
      <c r="A965" s="2">
        <f>IFERROR(__xludf.DUMMYFUNCTION("""COMPUTED_VALUE"""),1000.0)</f>
        <v>1000</v>
      </c>
      <c r="B965" s="2">
        <f>IFERROR(__xludf.DUMMYFUNCTION("""COMPUTED_VALUE"""),184149.0)</f>
        <v>184149</v>
      </c>
      <c r="C965" s="2">
        <f>IFERROR(__xludf.DUMMYFUNCTION("""COMPUTED_VALUE"""),2026.0)</f>
        <v>2026</v>
      </c>
      <c r="D965" s="2">
        <f>IFERROR(__xludf.DUMMYFUNCTION("""COMPUTED_VALUE"""),46195.0)</f>
        <v>46195</v>
      </c>
      <c r="E965" s="2" t="str">
        <f>IFERROR(__xludf.DUMMYFUNCTION("""COMPUTED_VALUE"""),"VF")</f>
        <v>VF</v>
      </c>
      <c r="F965" s="2">
        <f>IFERROR(__xludf.DUMMYFUNCTION("""COMPUTED_VALUE"""),1.0)</f>
        <v>1</v>
      </c>
      <c r="G965" s="2" t="str">
        <f>IFERROR(__xludf.DUMMYFUNCTION("""COMPUTED_VALUE"""),"PR033")</f>
        <v>PR033</v>
      </c>
      <c r="H965" s="2" t="str">
        <f>IFERROR(__xludf.DUMMYFUNCTION("""COMPUTED_VALUE"""),"VD015")</f>
        <v>VD015</v>
      </c>
      <c r="I965" s="2">
        <f>IFERROR(__xludf.DUMMYFUNCTION("""COMPUTED_VALUE"""),7.0)</f>
        <v>7</v>
      </c>
      <c r="J965" s="2">
        <f>IFERROR(__xludf.DUMMYFUNCTION("""COMPUTED_VALUE"""),1910.27)</f>
        <v>1910.27</v>
      </c>
      <c r="K965" s="2">
        <f>IFERROR(__xludf.DUMMYFUNCTION("""COMPUTED_VALUE"""),1910.27)</f>
        <v>1910.27</v>
      </c>
    </row>
    <row r="966">
      <c r="A966" s="2">
        <f>IFERROR(__xludf.DUMMYFUNCTION("""COMPUTED_VALUE"""),1000.0)</f>
        <v>1000</v>
      </c>
      <c r="B966" s="2">
        <f>IFERROR(__xludf.DUMMYFUNCTION("""COMPUTED_VALUE"""),184150.0)</f>
        <v>184150</v>
      </c>
      <c r="C966" s="2">
        <f>IFERROR(__xludf.DUMMYFUNCTION("""COMPUTED_VALUE"""),2026.0)</f>
        <v>2026</v>
      </c>
      <c r="D966" s="2">
        <f>IFERROR(__xludf.DUMMYFUNCTION("""COMPUTED_VALUE"""),46195.0)</f>
        <v>46195</v>
      </c>
      <c r="E966" s="2" t="str">
        <f>IFERROR(__xludf.DUMMYFUNCTION("""COMPUTED_VALUE"""),"VF")</f>
        <v>VF</v>
      </c>
      <c r="F966" s="2">
        <f>IFERROR(__xludf.DUMMYFUNCTION("""COMPUTED_VALUE"""),1.0)</f>
        <v>1</v>
      </c>
      <c r="G966" s="2" t="str">
        <f>IFERROR(__xludf.DUMMYFUNCTION("""COMPUTED_VALUE"""),"PR014")</f>
        <v>PR014</v>
      </c>
      <c r="H966" s="2" t="str">
        <f>IFERROR(__xludf.DUMMYFUNCTION("""COMPUTED_VALUE"""),"VD028")</f>
        <v>VD028</v>
      </c>
      <c r="I966" s="2">
        <f>IFERROR(__xludf.DUMMYFUNCTION("""COMPUTED_VALUE"""),10.0)</f>
        <v>10</v>
      </c>
      <c r="J966" s="2">
        <f>IFERROR(__xludf.DUMMYFUNCTION("""COMPUTED_VALUE"""),430.92)</f>
        <v>430.92</v>
      </c>
      <c r="K966" s="2">
        <f>IFERROR(__xludf.DUMMYFUNCTION("""COMPUTED_VALUE"""),430.92)</f>
        <v>430.92</v>
      </c>
    </row>
    <row r="967">
      <c r="A967" s="2">
        <f>IFERROR(__xludf.DUMMYFUNCTION("""COMPUTED_VALUE"""),2000.0)</f>
        <v>2000</v>
      </c>
      <c r="B967" s="2">
        <f>IFERROR(__xludf.DUMMYFUNCTION("""COMPUTED_VALUE"""),184151.0)</f>
        <v>184151</v>
      </c>
      <c r="C967" s="2">
        <f>IFERROR(__xludf.DUMMYFUNCTION("""COMPUTED_VALUE"""),2026.0)</f>
        <v>2026</v>
      </c>
      <c r="D967" s="2">
        <f>IFERROR(__xludf.DUMMYFUNCTION("""COMPUTED_VALUE"""),46194.0)</f>
        <v>46194</v>
      </c>
      <c r="E967" s="2" t="str">
        <f>IFERROR(__xludf.DUMMYFUNCTION("""COMPUTED_VALUE"""),"VF")</f>
        <v>VF</v>
      </c>
      <c r="F967" s="2">
        <f>IFERROR(__xludf.DUMMYFUNCTION("""COMPUTED_VALUE"""),1.0)</f>
        <v>1</v>
      </c>
      <c r="G967" s="2" t="str">
        <f>IFERROR(__xludf.DUMMYFUNCTION("""COMPUTED_VALUE"""),"PR003")</f>
        <v>PR003</v>
      </c>
      <c r="H967" s="2" t="str">
        <f>IFERROR(__xludf.DUMMYFUNCTION("""COMPUTED_VALUE"""),"VD043")</f>
        <v>VD043</v>
      </c>
      <c r="I967" s="2">
        <f>IFERROR(__xludf.DUMMYFUNCTION("""COMPUTED_VALUE"""),12.0)</f>
        <v>12</v>
      </c>
      <c r="J967" s="2">
        <f>IFERROR(__xludf.DUMMYFUNCTION("""COMPUTED_VALUE"""),893.34)</f>
        <v>893.34</v>
      </c>
      <c r="K967" s="2">
        <f>IFERROR(__xludf.DUMMYFUNCTION("""COMPUTED_VALUE"""),893.34)</f>
        <v>893.34</v>
      </c>
    </row>
    <row r="968">
      <c r="A968" s="2">
        <f>IFERROR(__xludf.DUMMYFUNCTION("""COMPUTED_VALUE"""),1000.0)</f>
        <v>1000</v>
      </c>
      <c r="B968" s="2">
        <f>IFERROR(__xludf.DUMMYFUNCTION("""COMPUTED_VALUE"""),184151.0)</f>
        <v>184151</v>
      </c>
      <c r="C968" s="2">
        <f>IFERROR(__xludf.DUMMYFUNCTION("""COMPUTED_VALUE"""),2026.0)</f>
        <v>2026</v>
      </c>
      <c r="D968" s="2">
        <f>IFERROR(__xludf.DUMMYFUNCTION("""COMPUTED_VALUE"""),46194.0)</f>
        <v>46194</v>
      </c>
      <c r="E968" s="2" t="str">
        <f>IFERROR(__xludf.DUMMYFUNCTION("""COMPUTED_VALUE"""),"VF")</f>
        <v>VF</v>
      </c>
      <c r="F968" s="2">
        <f>IFERROR(__xludf.DUMMYFUNCTION("""COMPUTED_VALUE"""),2.0)</f>
        <v>2</v>
      </c>
      <c r="G968" s="2" t="str">
        <f>IFERROR(__xludf.DUMMYFUNCTION("""COMPUTED_VALUE"""),"PR037")</f>
        <v>PR037</v>
      </c>
      <c r="H968" s="2" t="str">
        <f>IFERROR(__xludf.DUMMYFUNCTION("""COMPUTED_VALUE"""),"VD047")</f>
        <v>VD047</v>
      </c>
      <c r="I968" s="2">
        <f>IFERROR(__xludf.DUMMYFUNCTION("""COMPUTED_VALUE"""),16.0)</f>
        <v>16</v>
      </c>
      <c r="J968" s="2">
        <f>IFERROR(__xludf.DUMMYFUNCTION("""COMPUTED_VALUE"""),2307.2)</f>
        <v>2307.2</v>
      </c>
      <c r="K968" s="2">
        <f>IFERROR(__xludf.DUMMYFUNCTION("""COMPUTED_VALUE"""),2307.2)</f>
        <v>2307.2</v>
      </c>
    </row>
    <row r="969">
      <c r="A969" s="2">
        <f>IFERROR(__xludf.DUMMYFUNCTION("""COMPUTED_VALUE"""),1000.0)</f>
        <v>1000</v>
      </c>
      <c r="B969" s="2">
        <f>IFERROR(__xludf.DUMMYFUNCTION("""COMPUTED_VALUE"""),184152.0)</f>
        <v>184152</v>
      </c>
      <c r="C969" s="2">
        <f>IFERROR(__xludf.DUMMYFUNCTION("""COMPUTED_VALUE"""),2026.0)</f>
        <v>2026</v>
      </c>
      <c r="D969" s="2">
        <f>IFERROR(__xludf.DUMMYFUNCTION("""COMPUTED_VALUE"""),46194.0)</f>
        <v>46194</v>
      </c>
      <c r="E969" s="2" t="str">
        <f>IFERROR(__xludf.DUMMYFUNCTION("""COMPUTED_VALUE"""),"VF")</f>
        <v>VF</v>
      </c>
      <c r="F969" s="2">
        <f>IFERROR(__xludf.DUMMYFUNCTION("""COMPUTED_VALUE"""),1.0)</f>
        <v>1</v>
      </c>
      <c r="G969" s="2" t="str">
        <f>IFERROR(__xludf.DUMMYFUNCTION("""COMPUTED_VALUE"""),"PR010")</f>
        <v>PR010</v>
      </c>
      <c r="H969" s="2" t="str">
        <f>IFERROR(__xludf.DUMMYFUNCTION("""COMPUTED_VALUE"""),"VD048")</f>
        <v>VD048</v>
      </c>
      <c r="I969" s="2">
        <f>IFERROR(__xludf.DUMMYFUNCTION("""COMPUTED_VALUE"""),20.0)</f>
        <v>20</v>
      </c>
      <c r="J969" s="2">
        <f>IFERROR(__xludf.DUMMYFUNCTION("""COMPUTED_VALUE"""),915.96)</f>
        <v>915.96</v>
      </c>
      <c r="K969" s="2">
        <f>IFERROR(__xludf.DUMMYFUNCTION("""COMPUTED_VALUE"""),915.96)</f>
        <v>915.96</v>
      </c>
    </row>
    <row r="970">
      <c r="A970" s="2">
        <f>IFERROR(__xludf.DUMMYFUNCTION("""COMPUTED_VALUE"""),1000.0)</f>
        <v>1000</v>
      </c>
      <c r="B970" s="2">
        <f>IFERROR(__xludf.DUMMYFUNCTION("""COMPUTED_VALUE"""),184153.0)</f>
        <v>184153</v>
      </c>
      <c r="C970" s="2">
        <f>IFERROR(__xludf.DUMMYFUNCTION("""COMPUTED_VALUE"""),2026.0)</f>
        <v>2026</v>
      </c>
      <c r="D970" s="2">
        <f>IFERROR(__xludf.DUMMYFUNCTION("""COMPUTED_VALUE"""),46194.0)</f>
        <v>46194</v>
      </c>
      <c r="E970" s="2" t="str">
        <f>IFERROR(__xludf.DUMMYFUNCTION("""COMPUTED_VALUE"""),"VF")</f>
        <v>VF</v>
      </c>
      <c r="F970" s="2">
        <f>IFERROR(__xludf.DUMMYFUNCTION("""COMPUTED_VALUE"""),1.0)</f>
        <v>1</v>
      </c>
      <c r="G970" s="2" t="str">
        <f>IFERROR(__xludf.DUMMYFUNCTION("""COMPUTED_VALUE"""),"PR023")</f>
        <v>PR023</v>
      </c>
      <c r="H970" s="2" t="str">
        <f>IFERROR(__xludf.DUMMYFUNCTION("""COMPUTED_VALUE"""),"VD034")</f>
        <v>VD034</v>
      </c>
      <c r="I970" s="2">
        <f>IFERROR(__xludf.DUMMYFUNCTION("""COMPUTED_VALUE"""),4.0)</f>
        <v>4</v>
      </c>
      <c r="J970" s="2">
        <f>IFERROR(__xludf.DUMMYFUNCTION("""COMPUTED_VALUE"""),1059.58)</f>
        <v>1059.58</v>
      </c>
      <c r="K970" s="2">
        <f>IFERROR(__xludf.DUMMYFUNCTION("""COMPUTED_VALUE"""),1059.58)</f>
        <v>1059.58</v>
      </c>
    </row>
    <row r="971">
      <c r="A971" s="2">
        <f>IFERROR(__xludf.DUMMYFUNCTION("""COMPUTED_VALUE"""),1000.0)</f>
        <v>1000</v>
      </c>
      <c r="B971" s="2">
        <f>IFERROR(__xludf.DUMMYFUNCTION("""COMPUTED_VALUE"""),184154.0)</f>
        <v>184154</v>
      </c>
      <c r="C971" s="2">
        <f>IFERROR(__xludf.DUMMYFUNCTION("""COMPUTED_VALUE"""),2026.0)</f>
        <v>2026</v>
      </c>
      <c r="D971" s="2">
        <f>IFERROR(__xludf.DUMMYFUNCTION("""COMPUTED_VALUE"""),46194.0)</f>
        <v>46194</v>
      </c>
      <c r="E971" s="2" t="str">
        <f>IFERROR(__xludf.DUMMYFUNCTION("""COMPUTED_VALUE"""),"VF")</f>
        <v>VF</v>
      </c>
      <c r="F971" s="2">
        <f>IFERROR(__xludf.DUMMYFUNCTION("""COMPUTED_VALUE"""),1.0)</f>
        <v>1</v>
      </c>
      <c r="G971" s="2" t="str">
        <f>IFERROR(__xludf.DUMMYFUNCTION("""COMPUTED_VALUE"""),"PR038")</f>
        <v>PR038</v>
      </c>
      <c r="H971" s="2" t="str">
        <f>IFERROR(__xludf.DUMMYFUNCTION("""COMPUTED_VALUE"""),"VD024")</f>
        <v>VD024</v>
      </c>
      <c r="I971" s="2">
        <f>IFERROR(__xludf.DUMMYFUNCTION("""COMPUTED_VALUE"""),1.0)</f>
        <v>1</v>
      </c>
      <c r="J971" s="2">
        <f>IFERROR(__xludf.DUMMYFUNCTION("""COMPUTED_VALUE"""),142.9)</f>
        <v>142.9</v>
      </c>
      <c r="K971" s="2">
        <f>IFERROR(__xludf.DUMMYFUNCTION("""COMPUTED_VALUE"""),142.9)</f>
        <v>142.9</v>
      </c>
    </row>
    <row r="972">
      <c r="A972" s="2">
        <f>IFERROR(__xludf.DUMMYFUNCTION("""COMPUTED_VALUE"""),1000.0)</f>
        <v>1000</v>
      </c>
      <c r="B972" s="2">
        <f>IFERROR(__xludf.DUMMYFUNCTION("""COMPUTED_VALUE"""),184155.0)</f>
        <v>184155</v>
      </c>
      <c r="C972" s="2">
        <f>IFERROR(__xludf.DUMMYFUNCTION("""COMPUTED_VALUE"""),2026.0)</f>
        <v>2026</v>
      </c>
      <c r="D972" s="2">
        <f>IFERROR(__xludf.DUMMYFUNCTION("""COMPUTED_VALUE"""),46193.0)</f>
        <v>46193</v>
      </c>
      <c r="E972" s="2" t="str">
        <f>IFERROR(__xludf.DUMMYFUNCTION("""COMPUTED_VALUE"""),"VF")</f>
        <v>VF</v>
      </c>
      <c r="F972" s="2">
        <f>IFERROR(__xludf.DUMMYFUNCTION("""COMPUTED_VALUE"""),1.0)</f>
        <v>1</v>
      </c>
      <c r="G972" s="2" t="str">
        <f>IFERROR(__xludf.DUMMYFUNCTION("""COMPUTED_VALUE"""),"PR021")</f>
        <v>PR021</v>
      </c>
      <c r="H972" s="2" t="str">
        <f>IFERROR(__xludf.DUMMYFUNCTION("""COMPUTED_VALUE"""),"VD018")</f>
        <v>VD018</v>
      </c>
      <c r="I972" s="2">
        <f>IFERROR(__xludf.DUMMYFUNCTION("""COMPUTED_VALUE"""),4.0)</f>
        <v>4</v>
      </c>
      <c r="J972" s="2">
        <f>IFERROR(__xludf.DUMMYFUNCTION("""COMPUTED_VALUE"""),1211.6)</f>
        <v>1211.6</v>
      </c>
      <c r="K972" s="2">
        <f>IFERROR(__xludf.DUMMYFUNCTION("""COMPUTED_VALUE"""),1211.6)</f>
        <v>1211.6</v>
      </c>
    </row>
    <row r="973">
      <c r="A973" s="2">
        <f>IFERROR(__xludf.DUMMYFUNCTION("""COMPUTED_VALUE"""),1000.0)</f>
        <v>1000</v>
      </c>
      <c r="B973" s="2">
        <f>IFERROR(__xludf.DUMMYFUNCTION("""COMPUTED_VALUE"""),184156.0)</f>
        <v>184156</v>
      </c>
      <c r="C973" s="2">
        <f>IFERROR(__xludf.DUMMYFUNCTION("""COMPUTED_VALUE"""),2026.0)</f>
        <v>2026</v>
      </c>
      <c r="D973" s="2">
        <f>IFERROR(__xludf.DUMMYFUNCTION("""COMPUTED_VALUE"""),46193.0)</f>
        <v>46193</v>
      </c>
      <c r="E973" s="2" t="str">
        <f>IFERROR(__xludf.DUMMYFUNCTION("""COMPUTED_VALUE"""),"VF")</f>
        <v>VF</v>
      </c>
      <c r="F973" s="2">
        <f>IFERROR(__xludf.DUMMYFUNCTION("""COMPUTED_VALUE"""),1.0)</f>
        <v>1</v>
      </c>
      <c r="G973" s="2" t="str">
        <f>IFERROR(__xludf.DUMMYFUNCTION("""COMPUTED_VALUE"""),"PR022")</f>
        <v>PR022</v>
      </c>
      <c r="H973" s="2" t="str">
        <f>IFERROR(__xludf.DUMMYFUNCTION("""COMPUTED_VALUE"""),"VD045")</f>
        <v>VD045</v>
      </c>
      <c r="I973" s="2">
        <f>IFERROR(__xludf.DUMMYFUNCTION("""COMPUTED_VALUE"""),20.0)</f>
        <v>20</v>
      </c>
      <c r="J973" s="2">
        <f>IFERROR(__xludf.DUMMYFUNCTION("""COMPUTED_VALUE"""),6000.0)</f>
        <v>6000</v>
      </c>
      <c r="K973" s="2">
        <f>IFERROR(__xludf.DUMMYFUNCTION("""COMPUTED_VALUE"""),6000.0)</f>
        <v>6000</v>
      </c>
    </row>
    <row r="974">
      <c r="A974" s="2">
        <f>IFERROR(__xludf.DUMMYFUNCTION("""COMPUTED_VALUE"""),1000.0)</f>
        <v>1000</v>
      </c>
      <c r="B974" s="2">
        <f>IFERROR(__xludf.DUMMYFUNCTION("""COMPUTED_VALUE"""),184156.0)</f>
        <v>184156</v>
      </c>
      <c r="C974" s="2">
        <f>IFERROR(__xludf.DUMMYFUNCTION("""COMPUTED_VALUE"""),2026.0)</f>
        <v>2026</v>
      </c>
      <c r="D974" s="2">
        <f>IFERROR(__xludf.DUMMYFUNCTION("""COMPUTED_VALUE"""),46192.0)</f>
        <v>46192</v>
      </c>
      <c r="E974" s="2" t="str">
        <f>IFERROR(__xludf.DUMMYFUNCTION("""COMPUTED_VALUE"""),"VF")</f>
        <v>VF</v>
      </c>
      <c r="F974" s="2">
        <f>IFERROR(__xludf.DUMMYFUNCTION("""COMPUTED_VALUE"""),2.0)</f>
        <v>2</v>
      </c>
      <c r="G974" s="2" t="str">
        <f>IFERROR(__xludf.DUMMYFUNCTION("""COMPUTED_VALUE"""),"PR002")</f>
        <v>PR002</v>
      </c>
      <c r="H974" s="2" t="str">
        <f>IFERROR(__xludf.DUMMYFUNCTION("""COMPUTED_VALUE"""),"VD023")</f>
        <v>VD023</v>
      </c>
      <c r="I974" s="2">
        <f>IFERROR(__xludf.DUMMYFUNCTION("""COMPUTED_VALUE"""),3.0)</f>
        <v>3</v>
      </c>
      <c r="J974" s="2">
        <f>IFERROR(__xludf.DUMMYFUNCTION("""COMPUTED_VALUE"""),220.19)</f>
        <v>220.19</v>
      </c>
      <c r="K974" s="2">
        <f>IFERROR(__xludf.DUMMYFUNCTION("""COMPUTED_VALUE"""),220.19)</f>
        <v>220.19</v>
      </c>
    </row>
    <row r="975">
      <c r="A975" s="2">
        <f>IFERROR(__xludf.DUMMYFUNCTION("""COMPUTED_VALUE"""),1000.0)</f>
        <v>1000</v>
      </c>
      <c r="B975" s="2">
        <f>IFERROR(__xludf.DUMMYFUNCTION("""COMPUTED_VALUE"""),184157.0)</f>
        <v>184157</v>
      </c>
      <c r="C975" s="2">
        <f>IFERROR(__xludf.DUMMYFUNCTION("""COMPUTED_VALUE"""),2026.0)</f>
        <v>2026</v>
      </c>
      <c r="D975" s="2">
        <f>IFERROR(__xludf.DUMMYFUNCTION("""COMPUTED_VALUE"""),46192.0)</f>
        <v>46192</v>
      </c>
      <c r="E975" s="2" t="str">
        <f>IFERROR(__xludf.DUMMYFUNCTION("""COMPUTED_VALUE"""),"VF")</f>
        <v>VF</v>
      </c>
      <c r="F975" s="2">
        <f>IFERROR(__xludf.DUMMYFUNCTION("""COMPUTED_VALUE"""),1.0)</f>
        <v>1</v>
      </c>
      <c r="G975" s="2" t="str">
        <f>IFERROR(__xludf.DUMMYFUNCTION("""COMPUTED_VALUE"""),"PR035")</f>
        <v>PR035</v>
      </c>
      <c r="H975" s="2" t="str">
        <f>IFERROR(__xludf.DUMMYFUNCTION("""COMPUTED_VALUE"""),"VD010")</f>
        <v>VD010</v>
      </c>
      <c r="I975" s="2">
        <f>IFERROR(__xludf.DUMMYFUNCTION("""COMPUTED_VALUE"""),6.0)</f>
        <v>6</v>
      </c>
      <c r="J975" s="2">
        <f>IFERROR(__xludf.DUMMYFUNCTION("""COMPUTED_VALUE"""),559.37)</f>
        <v>559.37</v>
      </c>
      <c r="K975" s="2">
        <f>IFERROR(__xludf.DUMMYFUNCTION("""COMPUTED_VALUE"""),559.37)</f>
        <v>559.37</v>
      </c>
    </row>
    <row r="976">
      <c r="A976" s="2">
        <f>IFERROR(__xludf.DUMMYFUNCTION("""COMPUTED_VALUE"""),2000.0)</f>
        <v>2000</v>
      </c>
      <c r="B976" s="2">
        <f>IFERROR(__xludf.DUMMYFUNCTION("""COMPUTED_VALUE"""),184158.0)</f>
        <v>184158</v>
      </c>
      <c r="C976" s="2">
        <f>IFERROR(__xludf.DUMMYFUNCTION("""COMPUTED_VALUE"""),2026.0)</f>
        <v>2026</v>
      </c>
      <c r="D976" s="2">
        <f>IFERROR(__xludf.DUMMYFUNCTION("""COMPUTED_VALUE"""),46192.0)</f>
        <v>46192</v>
      </c>
      <c r="E976" s="2" t="str">
        <f>IFERROR(__xludf.DUMMYFUNCTION("""COMPUTED_VALUE"""),"VF")</f>
        <v>VF</v>
      </c>
      <c r="F976" s="2">
        <f>IFERROR(__xludf.DUMMYFUNCTION("""COMPUTED_VALUE"""),1.0)</f>
        <v>1</v>
      </c>
      <c r="G976" s="2" t="str">
        <f>IFERROR(__xludf.DUMMYFUNCTION("""COMPUTED_VALUE"""),"PR045")</f>
        <v>PR045</v>
      </c>
      <c r="H976" s="2" t="str">
        <f>IFERROR(__xludf.DUMMYFUNCTION("""COMPUTED_VALUE"""),"VD031")</f>
        <v>VD031</v>
      </c>
      <c r="I976" s="2">
        <f>IFERROR(__xludf.DUMMYFUNCTION("""COMPUTED_VALUE"""),2.0)</f>
        <v>2</v>
      </c>
      <c r="J976" s="2">
        <f>IFERROR(__xludf.DUMMYFUNCTION("""COMPUTED_VALUE"""),146.45)</f>
        <v>146.45</v>
      </c>
      <c r="K976" s="2">
        <f>IFERROR(__xludf.DUMMYFUNCTION("""COMPUTED_VALUE"""),146.45)</f>
        <v>146.45</v>
      </c>
    </row>
    <row r="977">
      <c r="A977" s="2">
        <f>IFERROR(__xludf.DUMMYFUNCTION("""COMPUTED_VALUE"""),1000.0)</f>
        <v>1000</v>
      </c>
      <c r="B977" s="2">
        <f>IFERROR(__xludf.DUMMYFUNCTION("""COMPUTED_VALUE"""),184158.0)</f>
        <v>184158</v>
      </c>
      <c r="C977" s="2">
        <f>IFERROR(__xludf.DUMMYFUNCTION("""COMPUTED_VALUE"""),2026.0)</f>
        <v>2026</v>
      </c>
      <c r="D977" s="2">
        <f>IFERROR(__xludf.DUMMYFUNCTION("""COMPUTED_VALUE"""),46191.0)</f>
        <v>46191</v>
      </c>
      <c r="E977" s="2" t="str">
        <f>IFERROR(__xludf.DUMMYFUNCTION("""COMPUTED_VALUE"""),"VF")</f>
        <v>VF</v>
      </c>
      <c r="F977" s="2">
        <f>IFERROR(__xludf.DUMMYFUNCTION("""COMPUTED_VALUE"""),2.0)</f>
        <v>2</v>
      </c>
      <c r="G977" s="2" t="str">
        <f>IFERROR(__xludf.DUMMYFUNCTION("""COMPUTED_VALUE"""),"PR011")</f>
        <v>PR011</v>
      </c>
      <c r="H977" s="2" t="str">
        <f>IFERROR(__xludf.DUMMYFUNCTION("""COMPUTED_VALUE"""),"VD040")</f>
        <v>VD040</v>
      </c>
      <c r="I977" s="2">
        <f>IFERROR(__xludf.DUMMYFUNCTION("""COMPUTED_VALUE"""),4.0)</f>
        <v>4</v>
      </c>
      <c r="J977" s="2">
        <f>IFERROR(__xludf.DUMMYFUNCTION("""COMPUTED_VALUE"""),202.61)</f>
        <v>202.61</v>
      </c>
      <c r="K977" s="2">
        <f>IFERROR(__xludf.DUMMYFUNCTION("""COMPUTED_VALUE"""),202.61)</f>
        <v>202.61</v>
      </c>
    </row>
    <row r="978">
      <c r="A978" s="2">
        <f>IFERROR(__xludf.DUMMYFUNCTION("""COMPUTED_VALUE"""),2000.0)</f>
        <v>2000</v>
      </c>
      <c r="B978" s="2">
        <f>IFERROR(__xludf.DUMMYFUNCTION("""COMPUTED_VALUE"""),184159.0)</f>
        <v>184159</v>
      </c>
      <c r="C978" s="2">
        <f>IFERROR(__xludf.DUMMYFUNCTION("""COMPUTED_VALUE"""),2026.0)</f>
        <v>2026</v>
      </c>
      <c r="D978" s="2">
        <f>IFERROR(__xludf.DUMMYFUNCTION("""COMPUTED_VALUE"""),46191.0)</f>
        <v>46191</v>
      </c>
      <c r="E978" s="2" t="str">
        <f>IFERROR(__xludf.DUMMYFUNCTION("""COMPUTED_VALUE"""),"VF")</f>
        <v>VF</v>
      </c>
      <c r="F978" s="2">
        <f>IFERROR(__xludf.DUMMYFUNCTION("""COMPUTED_VALUE"""),1.0)</f>
        <v>1</v>
      </c>
      <c r="G978" s="2" t="str">
        <f>IFERROR(__xludf.DUMMYFUNCTION("""COMPUTED_VALUE"""),"PR028")</f>
        <v>PR028</v>
      </c>
      <c r="H978" s="2" t="str">
        <f>IFERROR(__xludf.DUMMYFUNCTION("""COMPUTED_VALUE"""),"VD010")</f>
        <v>VD010</v>
      </c>
      <c r="I978" s="2">
        <f>IFERROR(__xludf.DUMMYFUNCTION("""COMPUTED_VALUE"""),10.0)</f>
        <v>10</v>
      </c>
      <c r="J978" s="2">
        <f>IFERROR(__xludf.DUMMYFUNCTION("""COMPUTED_VALUE"""),2673.93)</f>
        <v>2673.93</v>
      </c>
      <c r="K978" s="2">
        <f>IFERROR(__xludf.DUMMYFUNCTION("""COMPUTED_VALUE"""),2673.93)</f>
        <v>2673.93</v>
      </c>
    </row>
    <row r="979">
      <c r="A979" s="2">
        <f>IFERROR(__xludf.DUMMYFUNCTION("""COMPUTED_VALUE"""),1000.0)</f>
        <v>1000</v>
      </c>
      <c r="B979" s="2">
        <f>IFERROR(__xludf.DUMMYFUNCTION("""COMPUTED_VALUE"""),184160.0)</f>
        <v>184160</v>
      </c>
      <c r="C979" s="2">
        <f>IFERROR(__xludf.DUMMYFUNCTION("""COMPUTED_VALUE"""),2026.0)</f>
        <v>2026</v>
      </c>
      <c r="D979" s="2">
        <f>IFERROR(__xludf.DUMMYFUNCTION("""COMPUTED_VALUE"""),46190.0)</f>
        <v>46190</v>
      </c>
      <c r="E979" s="2" t="str">
        <f>IFERROR(__xludf.DUMMYFUNCTION("""COMPUTED_VALUE"""),"VF")</f>
        <v>VF</v>
      </c>
      <c r="F979" s="2">
        <f>IFERROR(__xludf.DUMMYFUNCTION("""COMPUTED_VALUE"""),1.0)</f>
        <v>1</v>
      </c>
      <c r="G979" s="2" t="str">
        <f>IFERROR(__xludf.DUMMYFUNCTION("""COMPUTED_VALUE"""),"PR007")</f>
        <v>PR007</v>
      </c>
      <c r="H979" s="2" t="str">
        <f>IFERROR(__xludf.DUMMYFUNCTION("""COMPUTED_VALUE"""),"VD017")</f>
        <v>VD017</v>
      </c>
      <c r="I979" s="2">
        <f>IFERROR(__xludf.DUMMYFUNCTION("""COMPUTED_VALUE"""),14.0)</f>
        <v>14</v>
      </c>
      <c r="J979" s="2">
        <f>IFERROR(__xludf.DUMMYFUNCTION("""COMPUTED_VALUE"""),1274.76)</f>
        <v>1274.76</v>
      </c>
      <c r="K979" s="2">
        <f>IFERROR(__xludf.DUMMYFUNCTION("""COMPUTED_VALUE"""),1274.76)</f>
        <v>1274.76</v>
      </c>
    </row>
    <row r="980">
      <c r="A980" s="2">
        <f>IFERROR(__xludf.DUMMYFUNCTION("""COMPUTED_VALUE"""),2000.0)</f>
        <v>2000</v>
      </c>
      <c r="B980" s="2">
        <f>IFERROR(__xludf.DUMMYFUNCTION("""COMPUTED_VALUE"""),184160.0)</f>
        <v>184160</v>
      </c>
      <c r="C980" s="2">
        <f>IFERROR(__xludf.DUMMYFUNCTION("""COMPUTED_VALUE"""),2026.0)</f>
        <v>2026</v>
      </c>
      <c r="D980" s="2">
        <f>IFERROR(__xludf.DUMMYFUNCTION("""COMPUTED_VALUE"""),46190.0)</f>
        <v>46190</v>
      </c>
      <c r="E980" s="2" t="str">
        <f>IFERROR(__xludf.DUMMYFUNCTION("""COMPUTED_VALUE"""),"VF")</f>
        <v>VF</v>
      </c>
      <c r="F980" s="2">
        <f>IFERROR(__xludf.DUMMYFUNCTION("""COMPUTED_VALUE"""),2.0)</f>
        <v>2</v>
      </c>
      <c r="G980" s="2" t="str">
        <f>IFERROR(__xludf.DUMMYFUNCTION("""COMPUTED_VALUE"""),"PR052")</f>
        <v>PR052</v>
      </c>
      <c r="H980" s="2" t="str">
        <f>IFERROR(__xludf.DUMMYFUNCTION("""COMPUTED_VALUE"""),"VD029")</f>
        <v>VD029</v>
      </c>
      <c r="I980" s="2">
        <f>IFERROR(__xludf.DUMMYFUNCTION("""COMPUTED_VALUE"""),6.0)</f>
        <v>6</v>
      </c>
      <c r="J980" s="2">
        <f>IFERROR(__xludf.DUMMYFUNCTION("""COMPUTED_VALUE"""),326.35)</f>
        <v>326.35</v>
      </c>
      <c r="K980" s="2">
        <f>IFERROR(__xludf.DUMMYFUNCTION("""COMPUTED_VALUE"""),326.35)</f>
        <v>326.35</v>
      </c>
    </row>
    <row r="981">
      <c r="A981" s="2">
        <f>IFERROR(__xludf.DUMMYFUNCTION("""COMPUTED_VALUE"""),1000.0)</f>
        <v>1000</v>
      </c>
      <c r="B981" s="2">
        <f>IFERROR(__xludf.DUMMYFUNCTION("""COMPUTED_VALUE"""),184160.0)</f>
        <v>184160</v>
      </c>
      <c r="C981" s="2">
        <f>IFERROR(__xludf.DUMMYFUNCTION("""COMPUTED_VALUE"""),2026.0)</f>
        <v>2026</v>
      </c>
      <c r="D981" s="2">
        <f>IFERROR(__xludf.DUMMYFUNCTION("""COMPUTED_VALUE"""),46189.0)</f>
        <v>46189</v>
      </c>
      <c r="E981" s="2" t="str">
        <f>IFERROR(__xludf.DUMMYFUNCTION("""COMPUTED_VALUE"""),"VF")</f>
        <v>VF</v>
      </c>
      <c r="F981" s="2">
        <f>IFERROR(__xludf.DUMMYFUNCTION("""COMPUTED_VALUE"""),3.0)</f>
        <v>3</v>
      </c>
      <c r="G981" s="2" t="str">
        <f>IFERROR(__xludf.DUMMYFUNCTION("""COMPUTED_VALUE"""),"PR046")</f>
        <v>PR046</v>
      </c>
      <c r="H981" s="2" t="str">
        <f>IFERROR(__xludf.DUMMYFUNCTION("""COMPUTED_VALUE"""),"VD022")</f>
        <v>VD022</v>
      </c>
      <c r="I981" s="2">
        <f>IFERROR(__xludf.DUMMYFUNCTION("""COMPUTED_VALUE"""),4.0)</f>
        <v>4</v>
      </c>
      <c r="J981" s="2">
        <f>IFERROR(__xludf.DUMMYFUNCTION("""COMPUTED_VALUE"""),1263.96)</f>
        <v>1263.96</v>
      </c>
      <c r="K981" s="2">
        <f>IFERROR(__xludf.DUMMYFUNCTION("""COMPUTED_VALUE"""),1263.96)</f>
        <v>1263.96</v>
      </c>
    </row>
    <row r="982">
      <c r="A982" s="2">
        <f>IFERROR(__xludf.DUMMYFUNCTION("""COMPUTED_VALUE"""),1000.0)</f>
        <v>1000</v>
      </c>
      <c r="B982" s="2">
        <f>IFERROR(__xludf.DUMMYFUNCTION("""COMPUTED_VALUE"""),184160.0)</f>
        <v>184160</v>
      </c>
      <c r="C982" s="2">
        <f>IFERROR(__xludf.DUMMYFUNCTION("""COMPUTED_VALUE"""),2026.0)</f>
        <v>2026</v>
      </c>
      <c r="D982" s="2">
        <f>IFERROR(__xludf.DUMMYFUNCTION("""COMPUTED_VALUE"""),46189.0)</f>
        <v>46189</v>
      </c>
      <c r="E982" s="2" t="str">
        <f>IFERROR(__xludf.DUMMYFUNCTION("""COMPUTED_VALUE"""),"VF")</f>
        <v>VF</v>
      </c>
      <c r="F982" s="2">
        <f>IFERROR(__xludf.DUMMYFUNCTION("""COMPUTED_VALUE"""),4.0)</f>
        <v>4</v>
      </c>
      <c r="G982" s="2" t="str">
        <f>IFERROR(__xludf.DUMMYFUNCTION("""COMPUTED_VALUE"""),"PR008")</f>
        <v>PR008</v>
      </c>
      <c r="H982" s="2" t="str">
        <f>IFERROR(__xludf.DUMMYFUNCTION("""COMPUTED_VALUE"""),"VD038")</f>
        <v>VD038</v>
      </c>
      <c r="I982" s="2">
        <f>IFERROR(__xludf.DUMMYFUNCTION("""COMPUTED_VALUE"""),8.0)</f>
        <v>8</v>
      </c>
      <c r="J982" s="2">
        <f>IFERROR(__xludf.DUMMYFUNCTION("""COMPUTED_VALUE"""),769.54)</f>
        <v>769.54</v>
      </c>
      <c r="K982" s="2">
        <f>IFERROR(__xludf.DUMMYFUNCTION("""COMPUTED_VALUE"""),769.54)</f>
        <v>769.54</v>
      </c>
    </row>
    <row r="983">
      <c r="A983" s="2">
        <f>IFERROR(__xludf.DUMMYFUNCTION("""COMPUTED_VALUE"""),1000.0)</f>
        <v>1000</v>
      </c>
      <c r="B983" s="2">
        <f>IFERROR(__xludf.DUMMYFUNCTION("""COMPUTED_VALUE"""),184161.0)</f>
        <v>184161</v>
      </c>
      <c r="C983" s="2">
        <f>IFERROR(__xludf.DUMMYFUNCTION("""COMPUTED_VALUE"""),2026.0)</f>
        <v>2026</v>
      </c>
      <c r="D983" s="2">
        <f>IFERROR(__xludf.DUMMYFUNCTION("""COMPUTED_VALUE"""),46189.0)</f>
        <v>46189</v>
      </c>
      <c r="E983" s="2" t="str">
        <f>IFERROR(__xludf.DUMMYFUNCTION("""COMPUTED_VALUE"""),"VF")</f>
        <v>VF</v>
      </c>
      <c r="F983" s="2">
        <f>IFERROR(__xludf.DUMMYFUNCTION("""COMPUTED_VALUE"""),1.0)</f>
        <v>1</v>
      </c>
      <c r="G983" s="2" t="str">
        <f>IFERROR(__xludf.DUMMYFUNCTION("""COMPUTED_VALUE"""),"PR039")</f>
        <v>PR039</v>
      </c>
      <c r="H983" s="2" t="str">
        <f>IFERROR(__xludf.DUMMYFUNCTION("""COMPUTED_VALUE"""),"VD038")</f>
        <v>VD038</v>
      </c>
      <c r="I983" s="2">
        <f>IFERROR(__xludf.DUMMYFUNCTION("""COMPUTED_VALUE"""),1.0)</f>
        <v>1</v>
      </c>
      <c r="J983" s="2">
        <f>IFERROR(__xludf.DUMMYFUNCTION("""COMPUTED_VALUE"""),146.0)</f>
        <v>146</v>
      </c>
      <c r="K983" s="2">
        <f>IFERROR(__xludf.DUMMYFUNCTION("""COMPUTED_VALUE"""),146.0)</f>
        <v>146</v>
      </c>
    </row>
    <row r="984">
      <c r="A984" s="2">
        <f>IFERROR(__xludf.DUMMYFUNCTION("""COMPUTED_VALUE"""),2000.0)</f>
        <v>2000</v>
      </c>
      <c r="B984" s="2">
        <f>IFERROR(__xludf.DUMMYFUNCTION("""COMPUTED_VALUE"""),184162.0)</f>
        <v>184162</v>
      </c>
      <c r="C984" s="2">
        <f>IFERROR(__xludf.DUMMYFUNCTION("""COMPUTED_VALUE"""),2026.0)</f>
        <v>2026</v>
      </c>
      <c r="D984" s="2">
        <f>IFERROR(__xludf.DUMMYFUNCTION("""COMPUTED_VALUE"""),46188.0)</f>
        <v>46188</v>
      </c>
      <c r="E984" s="2" t="str">
        <f>IFERROR(__xludf.DUMMYFUNCTION("""COMPUTED_VALUE"""),"VF")</f>
        <v>VF</v>
      </c>
      <c r="F984" s="2">
        <f>IFERROR(__xludf.DUMMYFUNCTION("""COMPUTED_VALUE"""),1.0)</f>
        <v>1</v>
      </c>
      <c r="G984" s="2" t="str">
        <f>IFERROR(__xludf.DUMMYFUNCTION("""COMPUTED_VALUE"""),"PR038")</f>
        <v>PR038</v>
      </c>
      <c r="H984" s="2" t="str">
        <f>IFERROR(__xludf.DUMMYFUNCTION("""COMPUTED_VALUE"""),"VD012")</f>
        <v>VD012</v>
      </c>
      <c r="I984" s="2">
        <f>IFERROR(__xludf.DUMMYFUNCTION("""COMPUTED_VALUE"""),4.0)</f>
        <v>4</v>
      </c>
      <c r="J984" s="2">
        <f>IFERROR(__xludf.DUMMYFUNCTION("""COMPUTED_VALUE"""),577.32)</f>
        <v>577.32</v>
      </c>
      <c r="K984" s="2">
        <f>IFERROR(__xludf.DUMMYFUNCTION("""COMPUTED_VALUE"""),577.32)</f>
        <v>577.32</v>
      </c>
    </row>
    <row r="985">
      <c r="A985" s="2">
        <f>IFERROR(__xludf.DUMMYFUNCTION("""COMPUTED_VALUE"""),1000.0)</f>
        <v>1000</v>
      </c>
      <c r="B985" s="2">
        <f>IFERROR(__xludf.DUMMYFUNCTION("""COMPUTED_VALUE"""),184163.0)</f>
        <v>184163</v>
      </c>
      <c r="C985" s="2">
        <f>IFERROR(__xludf.DUMMYFUNCTION("""COMPUTED_VALUE"""),2026.0)</f>
        <v>2026</v>
      </c>
      <c r="D985" s="2">
        <f>IFERROR(__xludf.DUMMYFUNCTION("""COMPUTED_VALUE"""),46188.0)</f>
        <v>46188</v>
      </c>
      <c r="E985" s="2" t="str">
        <f>IFERROR(__xludf.DUMMYFUNCTION("""COMPUTED_VALUE"""),"VF")</f>
        <v>VF</v>
      </c>
      <c r="F985" s="2">
        <f>IFERROR(__xludf.DUMMYFUNCTION("""COMPUTED_VALUE"""),1.0)</f>
        <v>1</v>
      </c>
      <c r="G985" s="2" t="str">
        <f>IFERROR(__xludf.DUMMYFUNCTION("""COMPUTED_VALUE"""),"PR030")</f>
        <v>PR030</v>
      </c>
      <c r="H985" s="2" t="str">
        <f>IFERROR(__xludf.DUMMYFUNCTION("""COMPUTED_VALUE"""),"VD035")</f>
        <v>VD035</v>
      </c>
      <c r="I985" s="2">
        <f>IFERROR(__xludf.DUMMYFUNCTION("""COMPUTED_VALUE"""),2.0)</f>
        <v>2</v>
      </c>
      <c r="J985" s="2">
        <f>IFERROR(__xludf.DUMMYFUNCTION("""COMPUTED_VALUE"""),571.78)</f>
        <v>571.78</v>
      </c>
      <c r="K985" s="2">
        <f>IFERROR(__xludf.DUMMYFUNCTION("""COMPUTED_VALUE"""),571.78)</f>
        <v>571.78</v>
      </c>
    </row>
    <row r="986">
      <c r="A986" s="2">
        <f>IFERROR(__xludf.DUMMYFUNCTION("""COMPUTED_VALUE"""),1000.0)</f>
        <v>1000</v>
      </c>
      <c r="B986" s="2">
        <f>IFERROR(__xludf.DUMMYFUNCTION("""COMPUTED_VALUE"""),184164.0)</f>
        <v>184164</v>
      </c>
      <c r="C986" s="2">
        <f>IFERROR(__xludf.DUMMYFUNCTION("""COMPUTED_VALUE"""),2026.0)</f>
        <v>2026</v>
      </c>
      <c r="D986" s="2">
        <f>IFERROR(__xludf.DUMMYFUNCTION("""COMPUTED_VALUE"""),46188.0)</f>
        <v>46188</v>
      </c>
      <c r="E986" s="2" t="str">
        <f>IFERROR(__xludf.DUMMYFUNCTION("""COMPUTED_VALUE"""),"VF")</f>
        <v>VF</v>
      </c>
      <c r="F986" s="2">
        <f>IFERROR(__xludf.DUMMYFUNCTION("""COMPUTED_VALUE"""),1.0)</f>
        <v>1</v>
      </c>
      <c r="G986" s="2" t="str">
        <f>IFERROR(__xludf.DUMMYFUNCTION("""COMPUTED_VALUE"""),"PR015")</f>
        <v>PR015</v>
      </c>
      <c r="H986" s="2" t="str">
        <f>IFERROR(__xludf.DUMMYFUNCTION("""COMPUTED_VALUE"""),"VD013")</f>
        <v>VD013</v>
      </c>
      <c r="I986" s="2">
        <f>IFERROR(__xludf.DUMMYFUNCTION("""COMPUTED_VALUE"""),20.0)</f>
        <v>20</v>
      </c>
      <c r="J986" s="2">
        <f>IFERROR(__xludf.DUMMYFUNCTION("""COMPUTED_VALUE"""),901.0)</f>
        <v>901</v>
      </c>
      <c r="K986" s="2">
        <f>IFERROR(__xludf.DUMMYFUNCTION("""COMPUTED_VALUE"""),901.0)</f>
        <v>901</v>
      </c>
    </row>
    <row r="987">
      <c r="A987" s="2">
        <f>IFERROR(__xludf.DUMMYFUNCTION("""COMPUTED_VALUE"""),1000.0)</f>
        <v>1000</v>
      </c>
      <c r="B987" s="2">
        <f>IFERROR(__xludf.DUMMYFUNCTION("""COMPUTED_VALUE"""),184165.0)</f>
        <v>184165</v>
      </c>
      <c r="C987" s="2">
        <f>IFERROR(__xludf.DUMMYFUNCTION("""COMPUTED_VALUE"""),2026.0)</f>
        <v>2026</v>
      </c>
      <c r="D987" s="2">
        <f>IFERROR(__xludf.DUMMYFUNCTION("""COMPUTED_VALUE"""),46187.0)</f>
        <v>46187</v>
      </c>
      <c r="E987" s="2" t="str">
        <f>IFERROR(__xludf.DUMMYFUNCTION("""COMPUTED_VALUE"""),"VF")</f>
        <v>VF</v>
      </c>
      <c r="F987" s="2">
        <f>IFERROR(__xludf.DUMMYFUNCTION("""COMPUTED_VALUE"""),1.0)</f>
        <v>1</v>
      </c>
      <c r="G987" s="2" t="str">
        <f>IFERROR(__xludf.DUMMYFUNCTION("""COMPUTED_VALUE"""),"PR025")</f>
        <v>PR025</v>
      </c>
      <c r="H987" s="2" t="str">
        <f>IFERROR(__xludf.DUMMYFUNCTION("""COMPUTED_VALUE"""),"VD021")</f>
        <v>VD021</v>
      </c>
      <c r="I987" s="2">
        <f>IFERROR(__xludf.DUMMYFUNCTION("""COMPUTED_VALUE"""),12.0)</f>
        <v>12</v>
      </c>
      <c r="J987" s="2">
        <f>IFERROR(__xludf.DUMMYFUNCTION("""COMPUTED_VALUE"""),3850.72)</f>
        <v>3850.72</v>
      </c>
      <c r="K987" s="2">
        <f>IFERROR(__xludf.DUMMYFUNCTION("""COMPUTED_VALUE"""),3850.72)</f>
        <v>3850.72</v>
      </c>
    </row>
    <row r="988">
      <c r="A988" s="2">
        <f>IFERROR(__xludf.DUMMYFUNCTION("""COMPUTED_VALUE"""),1000.0)</f>
        <v>1000</v>
      </c>
      <c r="B988" s="2">
        <f>IFERROR(__xludf.DUMMYFUNCTION("""COMPUTED_VALUE"""),184166.0)</f>
        <v>184166</v>
      </c>
      <c r="C988" s="2">
        <f>IFERROR(__xludf.DUMMYFUNCTION("""COMPUTED_VALUE"""),2026.0)</f>
        <v>2026</v>
      </c>
      <c r="D988" s="2">
        <f>IFERROR(__xludf.DUMMYFUNCTION("""COMPUTED_VALUE"""),46187.0)</f>
        <v>46187</v>
      </c>
      <c r="E988" s="2" t="str">
        <f>IFERROR(__xludf.DUMMYFUNCTION("""COMPUTED_VALUE"""),"VF")</f>
        <v>VF</v>
      </c>
      <c r="F988" s="2">
        <f>IFERROR(__xludf.DUMMYFUNCTION("""COMPUTED_VALUE"""),1.0)</f>
        <v>1</v>
      </c>
      <c r="G988" s="2" t="str">
        <f>IFERROR(__xludf.DUMMYFUNCTION("""COMPUTED_VALUE"""),"PR016")</f>
        <v>PR016</v>
      </c>
      <c r="H988" s="2" t="str">
        <f>IFERROR(__xludf.DUMMYFUNCTION("""COMPUTED_VALUE"""),"VD023")</f>
        <v>VD023</v>
      </c>
      <c r="I988" s="2">
        <f>IFERROR(__xludf.DUMMYFUNCTION("""COMPUTED_VALUE"""),14.0)</f>
        <v>14</v>
      </c>
      <c r="J988" s="2">
        <f>IFERROR(__xludf.DUMMYFUNCTION("""COMPUTED_VALUE"""),398.86)</f>
        <v>398.86</v>
      </c>
      <c r="K988" s="2">
        <f>IFERROR(__xludf.DUMMYFUNCTION("""COMPUTED_VALUE"""),398.86)</f>
        <v>398.86</v>
      </c>
    </row>
    <row r="989">
      <c r="A989" s="2">
        <f>IFERROR(__xludf.DUMMYFUNCTION("""COMPUTED_VALUE"""),1000.0)</f>
        <v>1000</v>
      </c>
      <c r="B989" s="2">
        <f>IFERROR(__xludf.DUMMYFUNCTION("""COMPUTED_VALUE"""),184167.0)</f>
        <v>184167</v>
      </c>
      <c r="C989" s="2">
        <f>IFERROR(__xludf.DUMMYFUNCTION("""COMPUTED_VALUE"""),2026.0)</f>
        <v>2026</v>
      </c>
      <c r="D989" s="2">
        <f>IFERROR(__xludf.DUMMYFUNCTION("""COMPUTED_VALUE"""),46187.0)</f>
        <v>46187</v>
      </c>
      <c r="E989" s="2" t="str">
        <f>IFERROR(__xludf.DUMMYFUNCTION("""COMPUTED_VALUE"""),"VF")</f>
        <v>VF</v>
      </c>
      <c r="F989" s="2">
        <f>IFERROR(__xludf.DUMMYFUNCTION("""COMPUTED_VALUE"""),1.0)</f>
        <v>1</v>
      </c>
      <c r="G989" s="2" t="str">
        <f>IFERROR(__xludf.DUMMYFUNCTION("""COMPUTED_VALUE"""),"PR048")</f>
        <v>PR048</v>
      </c>
      <c r="H989" s="2" t="str">
        <f>IFERROR(__xludf.DUMMYFUNCTION("""COMPUTED_VALUE"""),"VD038")</f>
        <v>VD038</v>
      </c>
      <c r="I989" s="2">
        <f>IFERROR(__xludf.DUMMYFUNCTION("""COMPUTED_VALUE"""),2.0)</f>
        <v>2</v>
      </c>
      <c r="J989" s="2">
        <f>IFERROR(__xludf.DUMMYFUNCTION("""COMPUTED_VALUE"""),620.39)</f>
        <v>620.39</v>
      </c>
      <c r="K989" s="2">
        <f>IFERROR(__xludf.DUMMYFUNCTION("""COMPUTED_VALUE"""),620.39)</f>
        <v>620.39</v>
      </c>
    </row>
    <row r="990">
      <c r="A990" s="2">
        <f>IFERROR(__xludf.DUMMYFUNCTION("""COMPUTED_VALUE"""),1000.0)</f>
        <v>1000</v>
      </c>
      <c r="B990" s="2">
        <f>IFERROR(__xludf.DUMMYFUNCTION("""COMPUTED_VALUE"""),184168.0)</f>
        <v>184168</v>
      </c>
      <c r="C990" s="2">
        <f>IFERROR(__xludf.DUMMYFUNCTION("""COMPUTED_VALUE"""),2026.0)</f>
        <v>2026</v>
      </c>
      <c r="D990" s="2">
        <f>IFERROR(__xludf.DUMMYFUNCTION("""COMPUTED_VALUE"""),46186.0)</f>
        <v>46186</v>
      </c>
      <c r="E990" s="2" t="str">
        <f>IFERROR(__xludf.DUMMYFUNCTION("""COMPUTED_VALUE"""),"VF")</f>
        <v>VF</v>
      </c>
      <c r="F990" s="2">
        <f>IFERROR(__xludf.DUMMYFUNCTION("""COMPUTED_VALUE"""),1.0)</f>
        <v>1</v>
      </c>
      <c r="G990" s="2" t="str">
        <f>IFERROR(__xludf.DUMMYFUNCTION("""COMPUTED_VALUE"""),"PR051")</f>
        <v>PR051</v>
      </c>
      <c r="H990" s="2" t="str">
        <f>IFERROR(__xludf.DUMMYFUNCTION("""COMPUTED_VALUE"""),"VD010")</f>
        <v>VD010</v>
      </c>
      <c r="I990" s="2">
        <f>IFERROR(__xludf.DUMMYFUNCTION("""COMPUTED_VALUE"""),10.0)</f>
        <v>10</v>
      </c>
      <c r="J990" s="2">
        <f>IFERROR(__xludf.DUMMYFUNCTION("""COMPUTED_VALUE"""),342.16)</f>
        <v>342.16</v>
      </c>
      <c r="K990" s="2">
        <f>IFERROR(__xludf.DUMMYFUNCTION("""COMPUTED_VALUE"""),342.16)</f>
        <v>342.16</v>
      </c>
    </row>
    <row r="991">
      <c r="A991" s="2">
        <f>IFERROR(__xludf.DUMMYFUNCTION("""COMPUTED_VALUE"""),1000.0)</f>
        <v>1000</v>
      </c>
      <c r="B991" s="2">
        <f>IFERROR(__xludf.DUMMYFUNCTION("""COMPUTED_VALUE"""),184169.0)</f>
        <v>184169</v>
      </c>
      <c r="C991" s="2">
        <f>IFERROR(__xludf.DUMMYFUNCTION("""COMPUTED_VALUE"""),2026.0)</f>
        <v>2026</v>
      </c>
      <c r="D991" s="2">
        <f>IFERROR(__xludf.DUMMYFUNCTION("""COMPUTED_VALUE"""),46186.0)</f>
        <v>46186</v>
      </c>
      <c r="E991" s="2" t="str">
        <f>IFERROR(__xludf.DUMMYFUNCTION("""COMPUTED_VALUE"""),"VF")</f>
        <v>VF</v>
      </c>
      <c r="F991" s="2">
        <f>IFERROR(__xludf.DUMMYFUNCTION("""COMPUTED_VALUE"""),1.0)</f>
        <v>1</v>
      </c>
      <c r="G991" s="2" t="str">
        <f>IFERROR(__xludf.DUMMYFUNCTION("""COMPUTED_VALUE"""),"PR060")</f>
        <v>PR060</v>
      </c>
      <c r="H991" s="2" t="str">
        <f>IFERROR(__xludf.DUMMYFUNCTION("""COMPUTED_VALUE"""),"VD025")</f>
        <v>VD025</v>
      </c>
      <c r="I991" s="2">
        <f>IFERROR(__xludf.DUMMYFUNCTION("""COMPUTED_VALUE"""),7.0)</f>
        <v>7</v>
      </c>
      <c r="J991" s="2">
        <f>IFERROR(__xludf.DUMMYFUNCTION("""COMPUTED_VALUE"""),1335.6)</f>
        <v>1335.6</v>
      </c>
      <c r="K991" s="2">
        <f>IFERROR(__xludf.DUMMYFUNCTION("""COMPUTED_VALUE"""),1335.6)</f>
        <v>1335.6</v>
      </c>
    </row>
    <row r="992">
      <c r="A992" s="2">
        <f>IFERROR(__xludf.DUMMYFUNCTION("""COMPUTED_VALUE"""),2000.0)</f>
        <v>2000</v>
      </c>
      <c r="B992" s="2">
        <f>IFERROR(__xludf.DUMMYFUNCTION("""COMPUTED_VALUE"""),184170.0)</f>
        <v>184170</v>
      </c>
      <c r="C992" s="2">
        <f>IFERROR(__xludf.DUMMYFUNCTION("""COMPUTED_VALUE"""),2026.0)</f>
        <v>2026</v>
      </c>
      <c r="D992" s="2">
        <f>IFERROR(__xludf.DUMMYFUNCTION("""COMPUTED_VALUE"""),46185.0)</f>
        <v>46185</v>
      </c>
      <c r="E992" s="2" t="str">
        <f>IFERROR(__xludf.DUMMYFUNCTION("""COMPUTED_VALUE"""),"VF")</f>
        <v>VF</v>
      </c>
      <c r="F992" s="2">
        <f>IFERROR(__xludf.DUMMYFUNCTION("""COMPUTED_VALUE"""),1.0)</f>
        <v>1</v>
      </c>
      <c r="G992" s="2" t="str">
        <f>IFERROR(__xludf.DUMMYFUNCTION("""COMPUTED_VALUE"""),"PR056")</f>
        <v>PR056</v>
      </c>
      <c r="H992" s="2" t="str">
        <f>IFERROR(__xludf.DUMMYFUNCTION("""COMPUTED_VALUE"""),"VD035")</f>
        <v>VD035</v>
      </c>
      <c r="I992" s="2">
        <f>IFERROR(__xludf.DUMMYFUNCTION("""COMPUTED_VALUE"""),4.0)</f>
        <v>4</v>
      </c>
      <c r="J992" s="2">
        <f>IFERROR(__xludf.DUMMYFUNCTION("""COMPUTED_VALUE"""),370.39)</f>
        <v>370.39</v>
      </c>
      <c r="K992" s="2">
        <f>IFERROR(__xludf.DUMMYFUNCTION("""COMPUTED_VALUE"""),370.39)</f>
        <v>370.39</v>
      </c>
    </row>
    <row r="993">
      <c r="A993" s="2">
        <f>IFERROR(__xludf.DUMMYFUNCTION("""COMPUTED_VALUE"""),1000.0)</f>
        <v>1000</v>
      </c>
      <c r="B993" s="2">
        <f>IFERROR(__xludf.DUMMYFUNCTION("""COMPUTED_VALUE"""),184170.0)</f>
        <v>184170</v>
      </c>
      <c r="C993" s="2">
        <f>IFERROR(__xludf.DUMMYFUNCTION("""COMPUTED_VALUE"""),2026.0)</f>
        <v>2026</v>
      </c>
      <c r="D993" s="2">
        <f>IFERROR(__xludf.DUMMYFUNCTION("""COMPUTED_VALUE"""),46185.0)</f>
        <v>46185</v>
      </c>
      <c r="E993" s="2" t="str">
        <f>IFERROR(__xludf.DUMMYFUNCTION("""COMPUTED_VALUE"""),"VF")</f>
        <v>VF</v>
      </c>
      <c r="F993" s="2">
        <f>IFERROR(__xludf.DUMMYFUNCTION("""COMPUTED_VALUE"""),2.0)</f>
        <v>2</v>
      </c>
      <c r="G993" s="2" t="str">
        <f>IFERROR(__xludf.DUMMYFUNCTION("""COMPUTED_VALUE"""),"PR033")</f>
        <v>PR033</v>
      </c>
      <c r="H993" s="2" t="str">
        <f>IFERROR(__xludf.DUMMYFUNCTION("""COMPUTED_VALUE"""),"VD036")</f>
        <v>VD036</v>
      </c>
      <c r="I993" s="2">
        <f>IFERROR(__xludf.DUMMYFUNCTION("""COMPUTED_VALUE"""),1.0)</f>
        <v>1</v>
      </c>
      <c r="J993" s="2">
        <f>IFERROR(__xludf.DUMMYFUNCTION("""COMPUTED_VALUE"""),262.5)</f>
        <v>262.5</v>
      </c>
      <c r="K993" s="2">
        <f>IFERROR(__xludf.DUMMYFUNCTION("""COMPUTED_VALUE"""),262.5)</f>
        <v>262.5</v>
      </c>
    </row>
    <row r="994">
      <c r="A994" s="2">
        <f>IFERROR(__xludf.DUMMYFUNCTION("""COMPUTED_VALUE"""),1000.0)</f>
        <v>1000</v>
      </c>
      <c r="B994" s="2">
        <f>IFERROR(__xludf.DUMMYFUNCTION("""COMPUTED_VALUE"""),184171.0)</f>
        <v>184171</v>
      </c>
      <c r="C994" s="2">
        <f>IFERROR(__xludf.DUMMYFUNCTION("""COMPUTED_VALUE"""),2026.0)</f>
        <v>2026</v>
      </c>
      <c r="D994" s="2">
        <f>IFERROR(__xludf.DUMMYFUNCTION("""COMPUTED_VALUE"""),46185.0)</f>
        <v>46185</v>
      </c>
      <c r="E994" s="2" t="str">
        <f>IFERROR(__xludf.DUMMYFUNCTION("""COMPUTED_VALUE"""),"VF")</f>
        <v>VF</v>
      </c>
      <c r="F994" s="2">
        <f>IFERROR(__xludf.DUMMYFUNCTION("""COMPUTED_VALUE"""),1.0)</f>
        <v>1</v>
      </c>
      <c r="G994" s="2" t="str">
        <f>IFERROR(__xludf.DUMMYFUNCTION("""COMPUTED_VALUE"""),"PR040")</f>
        <v>PR040</v>
      </c>
      <c r="H994" s="2" t="str">
        <f>IFERROR(__xludf.DUMMYFUNCTION("""COMPUTED_VALUE"""),"VD036")</f>
        <v>VD036</v>
      </c>
      <c r="I994" s="2">
        <f>IFERROR(__xludf.DUMMYFUNCTION("""COMPUTED_VALUE"""),8.0)</f>
        <v>8</v>
      </c>
      <c r="J994" s="2">
        <f>IFERROR(__xludf.DUMMYFUNCTION("""COMPUTED_VALUE"""),576.8)</f>
        <v>576.8</v>
      </c>
      <c r="K994" s="2">
        <f>IFERROR(__xludf.DUMMYFUNCTION("""COMPUTED_VALUE"""),576.8)</f>
        <v>576.8</v>
      </c>
    </row>
    <row r="995">
      <c r="A995" s="2">
        <f>IFERROR(__xludf.DUMMYFUNCTION("""COMPUTED_VALUE"""),1000.0)</f>
        <v>1000</v>
      </c>
      <c r="B995" s="2">
        <f>IFERROR(__xludf.DUMMYFUNCTION("""COMPUTED_VALUE"""),184172.0)</f>
        <v>184172</v>
      </c>
      <c r="C995" s="2">
        <f>IFERROR(__xludf.DUMMYFUNCTION("""COMPUTED_VALUE"""),2026.0)</f>
        <v>2026</v>
      </c>
      <c r="D995" s="2">
        <f>IFERROR(__xludf.DUMMYFUNCTION("""COMPUTED_VALUE"""),46185.0)</f>
        <v>46185</v>
      </c>
      <c r="E995" s="2" t="str">
        <f>IFERROR(__xludf.DUMMYFUNCTION("""COMPUTED_VALUE"""),"VF")</f>
        <v>VF</v>
      </c>
      <c r="F995" s="2">
        <f>IFERROR(__xludf.DUMMYFUNCTION("""COMPUTED_VALUE"""),1.0)</f>
        <v>1</v>
      </c>
      <c r="G995" s="2" t="str">
        <f>IFERROR(__xludf.DUMMYFUNCTION("""COMPUTED_VALUE"""),"PR045")</f>
        <v>PR045</v>
      </c>
      <c r="H995" s="2" t="str">
        <f>IFERROR(__xludf.DUMMYFUNCTION("""COMPUTED_VALUE"""),"VD020")</f>
        <v>VD020</v>
      </c>
      <c r="I995" s="2">
        <f>IFERROR(__xludf.DUMMYFUNCTION("""COMPUTED_VALUE"""),6.0)</f>
        <v>6</v>
      </c>
      <c r="J995" s="2">
        <f>IFERROR(__xludf.DUMMYFUNCTION("""COMPUTED_VALUE"""),435.0)</f>
        <v>435</v>
      </c>
      <c r="K995" s="2">
        <f>IFERROR(__xludf.DUMMYFUNCTION("""COMPUTED_VALUE"""),435.0)</f>
        <v>435</v>
      </c>
    </row>
    <row r="996">
      <c r="A996" s="2">
        <f>IFERROR(__xludf.DUMMYFUNCTION("""COMPUTED_VALUE"""),2000.0)</f>
        <v>2000</v>
      </c>
      <c r="B996" s="2">
        <f>IFERROR(__xludf.DUMMYFUNCTION("""COMPUTED_VALUE"""),184173.0)</f>
        <v>184173</v>
      </c>
      <c r="C996" s="2">
        <f>IFERROR(__xludf.DUMMYFUNCTION("""COMPUTED_VALUE"""),2026.0)</f>
        <v>2026</v>
      </c>
      <c r="D996" s="2">
        <f>IFERROR(__xludf.DUMMYFUNCTION("""COMPUTED_VALUE"""),46185.0)</f>
        <v>46185</v>
      </c>
      <c r="E996" s="2" t="str">
        <f>IFERROR(__xludf.DUMMYFUNCTION("""COMPUTED_VALUE"""),"VF")</f>
        <v>VF</v>
      </c>
      <c r="F996" s="2">
        <f>IFERROR(__xludf.DUMMYFUNCTION("""COMPUTED_VALUE"""),1.0)</f>
        <v>1</v>
      </c>
      <c r="G996" s="2" t="str">
        <f>IFERROR(__xludf.DUMMYFUNCTION("""COMPUTED_VALUE"""),"PR017")</f>
        <v>PR017</v>
      </c>
      <c r="H996" s="2" t="str">
        <f>IFERROR(__xludf.DUMMYFUNCTION("""COMPUTED_VALUE"""),"VD022")</f>
        <v>VD022</v>
      </c>
      <c r="I996" s="2">
        <f>IFERROR(__xludf.DUMMYFUNCTION("""COMPUTED_VALUE"""),10.0)</f>
        <v>10</v>
      </c>
      <c r="J996" s="2">
        <f>IFERROR(__xludf.DUMMYFUNCTION("""COMPUTED_VALUE"""),325.91)</f>
        <v>325.91</v>
      </c>
      <c r="K996" s="2">
        <f>IFERROR(__xludf.DUMMYFUNCTION("""COMPUTED_VALUE"""),325.91)</f>
        <v>325.91</v>
      </c>
    </row>
    <row r="997">
      <c r="A997" s="2">
        <f>IFERROR(__xludf.DUMMYFUNCTION("""COMPUTED_VALUE"""),2000.0)</f>
        <v>2000</v>
      </c>
      <c r="B997" s="2">
        <f>IFERROR(__xludf.DUMMYFUNCTION("""COMPUTED_VALUE"""),184174.0)</f>
        <v>184174</v>
      </c>
      <c r="C997" s="2">
        <f>IFERROR(__xludf.DUMMYFUNCTION("""COMPUTED_VALUE"""),2026.0)</f>
        <v>2026</v>
      </c>
      <c r="D997" s="2">
        <f>IFERROR(__xludf.DUMMYFUNCTION("""COMPUTED_VALUE"""),46185.0)</f>
        <v>46185</v>
      </c>
      <c r="E997" s="2" t="str">
        <f>IFERROR(__xludf.DUMMYFUNCTION("""COMPUTED_VALUE"""),"VF")</f>
        <v>VF</v>
      </c>
      <c r="F997" s="2">
        <f>IFERROR(__xludf.DUMMYFUNCTION("""COMPUTED_VALUE"""),1.0)</f>
        <v>1</v>
      </c>
      <c r="G997" s="2" t="str">
        <f>IFERROR(__xludf.DUMMYFUNCTION("""COMPUTED_VALUE"""),"PR033")</f>
        <v>PR033</v>
      </c>
      <c r="H997" s="2" t="str">
        <f>IFERROR(__xludf.DUMMYFUNCTION("""COMPUTED_VALUE"""),"VD036")</f>
        <v>VD036</v>
      </c>
      <c r="I997" s="2">
        <f>IFERROR(__xludf.DUMMYFUNCTION("""COMPUTED_VALUE"""),10.0)</f>
        <v>10</v>
      </c>
      <c r="J997" s="2">
        <f>IFERROR(__xludf.DUMMYFUNCTION("""COMPUTED_VALUE"""),2780.93)</f>
        <v>2780.93</v>
      </c>
      <c r="K997" s="2">
        <f>IFERROR(__xludf.DUMMYFUNCTION("""COMPUTED_VALUE"""),2780.93)</f>
        <v>2780.93</v>
      </c>
    </row>
    <row r="998">
      <c r="A998" s="2">
        <f>IFERROR(__xludf.DUMMYFUNCTION("""COMPUTED_VALUE"""),1000.0)</f>
        <v>1000</v>
      </c>
      <c r="B998" s="2">
        <f>IFERROR(__xludf.DUMMYFUNCTION("""COMPUTED_VALUE"""),184175.0)</f>
        <v>184175</v>
      </c>
      <c r="C998" s="2">
        <f>IFERROR(__xludf.DUMMYFUNCTION("""COMPUTED_VALUE"""),2026.0)</f>
        <v>2026</v>
      </c>
      <c r="D998" s="2">
        <f>IFERROR(__xludf.DUMMYFUNCTION("""COMPUTED_VALUE"""),46185.0)</f>
        <v>46185</v>
      </c>
      <c r="E998" s="2" t="str">
        <f>IFERROR(__xludf.DUMMYFUNCTION("""COMPUTED_VALUE"""),"VF")</f>
        <v>VF</v>
      </c>
      <c r="F998" s="2">
        <f>IFERROR(__xludf.DUMMYFUNCTION("""COMPUTED_VALUE"""),1.0)</f>
        <v>1</v>
      </c>
      <c r="G998" s="2" t="str">
        <f>IFERROR(__xludf.DUMMYFUNCTION("""COMPUTED_VALUE"""),"PR017")</f>
        <v>PR017</v>
      </c>
      <c r="H998" s="2" t="str">
        <f>IFERROR(__xludf.DUMMYFUNCTION("""COMPUTED_VALUE"""),"VD025")</f>
        <v>VD025</v>
      </c>
      <c r="I998" s="2">
        <f>IFERROR(__xludf.DUMMYFUNCTION("""COMPUTED_VALUE"""),1.0)</f>
        <v>1</v>
      </c>
      <c r="J998" s="2">
        <f>IFERROR(__xludf.DUMMYFUNCTION("""COMPUTED_VALUE"""),30.2)</f>
        <v>30.2</v>
      </c>
      <c r="K998" s="2">
        <f>IFERROR(__xludf.DUMMYFUNCTION("""COMPUTED_VALUE"""),30.2)</f>
        <v>30.2</v>
      </c>
    </row>
    <row r="999">
      <c r="A999" s="2">
        <f>IFERROR(__xludf.DUMMYFUNCTION("""COMPUTED_VALUE"""),1000.0)</f>
        <v>1000</v>
      </c>
      <c r="B999" s="2">
        <f>IFERROR(__xludf.DUMMYFUNCTION("""COMPUTED_VALUE"""),184176.0)</f>
        <v>184176</v>
      </c>
      <c r="C999" s="2">
        <f>IFERROR(__xludf.DUMMYFUNCTION("""COMPUTED_VALUE"""),2026.0)</f>
        <v>2026</v>
      </c>
      <c r="D999" s="2">
        <f>IFERROR(__xludf.DUMMYFUNCTION("""COMPUTED_VALUE"""),46185.0)</f>
        <v>46185</v>
      </c>
      <c r="E999" s="2" t="str">
        <f>IFERROR(__xludf.DUMMYFUNCTION("""COMPUTED_VALUE"""),"VF")</f>
        <v>VF</v>
      </c>
      <c r="F999" s="2">
        <f>IFERROR(__xludf.DUMMYFUNCTION("""COMPUTED_VALUE"""),1.0)</f>
        <v>1</v>
      </c>
      <c r="G999" s="2" t="str">
        <f>IFERROR(__xludf.DUMMYFUNCTION("""COMPUTED_VALUE"""),"PR055")</f>
        <v>PR055</v>
      </c>
      <c r="H999" s="2" t="str">
        <f>IFERROR(__xludf.DUMMYFUNCTION("""COMPUTED_VALUE"""),"VD037")</f>
        <v>VD037</v>
      </c>
      <c r="I999" s="2">
        <f>IFERROR(__xludf.DUMMYFUNCTION("""COMPUTED_VALUE"""),3.0)</f>
        <v>3</v>
      </c>
      <c r="J999" s="2">
        <f>IFERROR(__xludf.DUMMYFUNCTION("""COMPUTED_VALUE"""),296.67)</f>
        <v>296.67</v>
      </c>
      <c r="K999" s="2">
        <f>IFERROR(__xludf.DUMMYFUNCTION("""COMPUTED_VALUE"""),296.67)</f>
        <v>296.67</v>
      </c>
    </row>
    <row r="1000">
      <c r="A1000" s="2">
        <f>IFERROR(__xludf.DUMMYFUNCTION("""COMPUTED_VALUE"""),1000.0)</f>
        <v>1000</v>
      </c>
      <c r="B1000" s="2">
        <f>IFERROR(__xludf.DUMMYFUNCTION("""COMPUTED_VALUE"""),184177.0)</f>
        <v>184177</v>
      </c>
      <c r="C1000" s="2">
        <f>IFERROR(__xludf.DUMMYFUNCTION("""COMPUTED_VALUE"""),2026.0)</f>
        <v>2026</v>
      </c>
      <c r="D1000" s="2">
        <f>IFERROR(__xludf.DUMMYFUNCTION("""COMPUTED_VALUE"""),46185.0)</f>
        <v>46185</v>
      </c>
      <c r="E1000" s="2" t="str">
        <f>IFERROR(__xludf.DUMMYFUNCTION("""COMPUTED_VALUE"""),"VF")</f>
        <v>VF</v>
      </c>
      <c r="F1000" s="2">
        <f>IFERROR(__xludf.DUMMYFUNCTION("""COMPUTED_VALUE"""),1.0)</f>
        <v>1</v>
      </c>
      <c r="G1000" s="2" t="str">
        <f>IFERROR(__xludf.DUMMYFUNCTION("""COMPUTED_VALUE"""),"PR019")</f>
        <v>PR019</v>
      </c>
      <c r="H1000" s="2" t="str">
        <f>IFERROR(__xludf.DUMMYFUNCTION("""COMPUTED_VALUE"""),"VD027")</f>
        <v>VD027</v>
      </c>
      <c r="I1000" s="2">
        <f>IFERROR(__xludf.DUMMYFUNCTION("""COMPUTED_VALUE"""),4.0)</f>
        <v>4</v>
      </c>
      <c r="J1000" s="2">
        <f>IFERROR(__xludf.DUMMYFUNCTION("""COMPUTED_VALUE"""),217.56)</f>
        <v>217.56</v>
      </c>
      <c r="K1000" s="2">
        <f>IFERROR(__xludf.DUMMYFUNCTION("""COMPUTED_VALUE"""),217.56)</f>
        <v>217.56</v>
      </c>
    </row>
    <row r="1001">
      <c r="A1001" s="2">
        <f>IFERROR(__xludf.DUMMYFUNCTION("""COMPUTED_VALUE"""),1000.0)</f>
        <v>1000</v>
      </c>
      <c r="B1001" s="2">
        <f>IFERROR(__xludf.DUMMYFUNCTION("""COMPUTED_VALUE"""),184178.0)</f>
        <v>184178</v>
      </c>
      <c r="C1001" s="2">
        <f>IFERROR(__xludf.DUMMYFUNCTION("""COMPUTED_VALUE"""),2026.0)</f>
        <v>2026</v>
      </c>
      <c r="D1001" s="2">
        <f>IFERROR(__xludf.DUMMYFUNCTION("""COMPUTED_VALUE"""),46184.0)</f>
        <v>46184</v>
      </c>
      <c r="E1001" s="2" t="str">
        <f>IFERROR(__xludf.DUMMYFUNCTION("""COMPUTED_VALUE"""),"VF")</f>
        <v>VF</v>
      </c>
      <c r="F1001" s="2">
        <f>IFERROR(__xludf.DUMMYFUNCTION("""COMPUTED_VALUE"""),1.0)</f>
        <v>1</v>
      </c>
      <c r="G1001" s="2" t="str">
        <f>IFERROR(__xludf.DUMMYFUNCTION("""COMPUTED_VALUE"""),"PR014")</f>
        <v>PR014</v>
      </c>
      <c r="H1001" s="2" t="str">
        <f>IFERROR(__xludf.DUMMYFUNCTION("""COMPUTED_VALUE"""),"VD018")</f>
        <v>VD018</v>
      </c>
      <c r="I1001" s="2">
        <f>IFERROR(__xludf.DUMMYFUNCTION("""COMPUTED_VALUE"""),18.0)</f>
        <v>18</v>
      </c>
      <c r="J1001" s="2">
        <f>IFERROR(__xludf.DUMMYFUNCTION("""COMPUTED_VALUE"""),775.66)</f>
        <v>775.66</v>
      </c>
      <c r="K1001" s="2">
        <f>IFERROR(__xludf.DUMMYFUNCTION("""COMPUTED_VALUE"""),775.66)</f>
        <v>775.66</v>
      </c>
    </row>
    <row r="1002">
      <c r="A1002" s="2">
        <f>IFERROR(__xludf.DUMMYFUNCTION("""COMPUTED_VALUE"""),1000.0)</f>
        <v>1000</v>
      </c>
      <c r="B1002" s="2">
        <f>IFERROR(__xludf.DUMMYFUNCTION("""COMPUTED_VALUE"""),184179.0)</f>
        <v>184179</v>
      </c>
      <c r="C1002" s="2">
        <f>IFERROR(__xludf.DUMMYFUNCTION("""COMPUTED_VALUE"""),2026.0)</f>
        <v>2026</v>
      </c>
      <c r="D1002" s="2">
        <f>IFERROR(__xludf.DUMMYFUNCTION("""COMPUTED_VALUE"""),46184.0)</f>
        <v>46184</v>
      </c>
      <c r="E1002" s="2" t="str">
        <f>IFERROR(__xludf.DUMMYFUNCTION("""COMPUTED_VALUE"""),"VF")</f>
        <v>VF</v>
      </c>
      <c r="F1002" s="2">
        <f>IFERROR(__xludf.DUMMYFUNCTION("""COMPUTED_VALUE"""),1.0)</f>
        <v>1</v>
      </c>
      <c r="G1002" s="2" t="str">
        <f>IFERROR(__xludf.DUMMYFUNCTION("""COMPUTED_VALUE"""),"PR045")</f>
        <v>PR045</v>
      </c>
      <c r="H1002" s="2" t="str">
        <f>IFERROR(__xludf.DUMMYFUNCTION("""COMPUTED_VALUE"""),"VD036")</f>
        <v>VD036</v>
      </c>
      <c r="I1002" s="2">
        <f>IFERROR(__xludf.DUMMYFUNCTION("""COMPUTED_VALUE"""),14.0)</f>
        <v>14</v>
      </c>
      <c r="J1002" s="2">
        <f>IFERROR(__xludf.DUMMYFUNCTION("""COMPUTED_VALUE"""),1025.15)</f>
        <v>1025.15</v>
      </c>
      <c r="K1002" s="2">
        <f>IFERROR(__xludf.DUMMYFUNCTION("""COMPUTED_VALUE"""),1025.15)</f>
        <v>1025.15</v>
      </c>
    </row>
    <row r="1003">
      <c r="A1003" s="2">
        <f>IFERROR(__xludf.DUMMYFUNCTION("""COMPUTED_VALUE"""),1000.0)</f>
        <v>1000</v>
      </c>
      <c r="B1003" s="2">
        <f>IFERROR(__xludf.DUMMYFUNCTION("""COMPUTED_VALUE"""),184180.0)</f>
        <v>184180</v>
      </c>
      <c r="C1003" s="2">
        <f>IFERROR(__xludf.DUMMYFUNCTION("""COMPUTED_VALUE"""),2026.0)</f>
        <v>2026</v>
      </c>
      <c r="D1003" s="2">
        <f>IFERROR(__xludf.DUMMYFUNCTION("""COMPUTED_VALUE"""),46184.0)</f>
        <v>46184</v>
      </c>
      <c r="E1003" s="2" t="str">
        <f>IFERROR(__xludf.DUMMYFUNCTION("""COMPUTED_VALUE"""),"VF")</f>
        <v>VF</v>
      </c>
      <c r="F1003" s="2">
        <f>IFERROR(__xludf.DUMMYFUNCTION("""COMPUTED_VALUE"""),1.0)</f>
        <v>1</v>
      </c>
      <c r="G1003" s="2" t="str">
        <f>IFERROR(__xludf.DUMMYFUNCTION("""COMPUTED_VALUE"""),"PR036")</f>
        <v>PR036</v>
      </c>
      <c r="H1003" s="2" t="str">
        <f>IFERROR(__xludf.DUMMYFUNCTION("""COMPUTED_VALUE"""),"VD034")</f>
        <v>VD034</v>
      </c>
      <c r="I1003" s="2">
        <f>IFERROR(__xludf.DUMMYFUNCTION("""COMPUTED_VALUE"""),8.0)</f>
        <v>8</v>
      </c>
      <c r="J1003" s="2">
        <f>IFERROR(__xludf.DUMMYFUNCTION("""COMPUTED_VALUE"""),770.44)</f>
        <v>770.44</v>
      </c>
      <c r="K1003" s="2">
        <f>IFERROR(__xludf.DUMMYFUNCTION("""COMPUTED_VALUE"""),770.44)</f>
        <v>770.44</v>
      </c>
    </row>
    <row r="1004">
      <c r="A1004" s="2">
        <f>IFERROR(__xludf.DUMMYFUNCTION("""COMPUTED_VALUE"""),1000.0)</f>
        <v>1000</v>
      </c>
      <c r="B1004" s="2">
        <f>IFERROR(__xludf.DUMMYFUNCTION("""COMPUTED_VALUE"""),184181.0)</f>
        <v>184181</v>
      </c>
      <c r="C1004" s="2">
        <f>IFERROR(__xludf.DUMMYFUNCTION("""COMPUTED_VALUE"""),2026.0)</f>
        <v>2026</v>
      </c>
      <c r="D1004" s="2">
        <f>IFERROR(__xludf.DUMMYFUNCTION("""COMPUTED_VALUE"""),46183.0)</f>
        <v>46183</v>
      </c>
      <c r="E1004" s="2" t="str">
        <f>IFERROR(__xludf.DUMMYFUNCTION("""COMPUTED_VALUE"""),"VF")</f>
        <v>VF</v>
      </c>
      <c r="F1004" s="2">
        <f>IFERROR(__xludf.DUMMYFUNCTION("""COMPUTED_VALUE"""),1.0)</f>
        <v>1</v>
      </c>
      <c r="G1004" s="2" t="str">
        <f>IFERROR(__xludf.DUMMYFUNCTION("""COMPUTED_VALUE"""),"PR007")</f>
        <v>PR007</v>
      </c>
      <c r="H1004" s="2" t="str">
        <f>IFERROR(__xludf.DUMMYFUNCTION("""COMPUTED_VALUE"""),"VD013")</f>
        <v>VD013</v>
      </c>
      <c r="I1004" s="2">
        <f>IFERROR(__xludf.DUMMYFUNCTION("""COMPUTED_VALUE"""),3.0)</f>
        <v>3</v>
      </c>
      <c r="J1004" s="2">
        <f>IFERROR(__xludf.DUMMYFUNCTION("""COMPUTED_VALUE"""),278.32)</f>
        <v>278.32</v>
      </c>
      <c r="K1004" s="2">
        <f>IFERROR(__xludf.DUMMYFUNCTION("""COMPUTED_VALUE"""),278.32)</f>
        <v>278.32</v>
      </c>
    </row>
    <row r="1005">
      <c r="A1005" s="2">
        <f>IFERROR(__xludf.DUMMYFUNCTION("""COMPUTED_VALUE"""),1000.0)</f>
        <v>1000</v>
      </c>
      <c r="B1005" s="2">
        <f>IFERROR(__xludf.DUMMYFUNCTION("""COMPUTED_VALUE"""),184182.0)</f>
        <v>184182</v>
      </c>
      <c r="C1005" s="2">
        <f>IFERROR(__xludf.DUMMYFUNCTION("""COMPUTED_VALUE"""),2026.0)</f>
        <v>2026</v>
      </c>
      <c r="D1005" s="2">
        <f>IFERROR(__xludf.DUMMYFUNCTION("""COMPUTED_VALUE"""),46183.0)</f>
        <v>46183</v>
      </c>
      <c r="E1005" s="2" t="str">
        <f>IFERROR(__xludf.DUMMYFUNCTION("""COMPUTED_VALUE"""),"VF")</f>
        <v>VF</v>
      </c>
      <c r="F1005" s="2">
        <f>IFERROR(__xludf.DUMMYFUNCTION("""COMPUTED_VALUE"""),1.0)</f>
        <v>1</v>
      </c>
      <c r="G1005" s="2" t="str">
        <f>IFERROR(__xludf.DUMMYFUNCTION("""COMPUTED_VALUE"""),"PR051")</f>
        <v>PR051</v>
      </c>
      <c r="H1005" s="2" t="str">
        <f>IFERROR(__xludf.DUMMYFUNCTION("""COMPUTED_VALUE"""),"VD028")</f>
        <v>VD028</v>
      </c>
      <c r="I1005" s="2">
        <f>IFERROR(__xludf.DUMMYFUNCTION("""COMPUTED_VALUE"""),7.0)</f>
        <v>7</v>
      </c>
      <c r="J1005" s="2">
        <f>IFERROR(__xludf.DUMMYFUNCTION("""COMPUTED_VALUE"""),230.3)</f>
        <v>230.3</v>
      </c>
      <c r="K1005" s="2">
        <f>IFERROR(__xludf.DUMMYFUNCTION("""COMPUTED_VALUE"""),230.3)</f>
        <v>230.3</v>
      </c>
    </row>
    <row r="1006">
      <c r="A1006" s="2">
        <f>IFERROR(__xludf.DUMMYFUNCTION("""COMPUTED_VALUE"""),1000.0)</f>
        <v>1000</v>
      </c>
      <c r="B1006" s="2">
        <f>IFERROR(__xludf.DUMMYFUNCTION("""COMPUTED_VALUE"""),184183.0)</f>
        <v>184183</v>
      </c>
      <c r="C1006" s="2">
        <f>IFERROR(__xludf.DUMMYFUNCTION("""COMPUTED_VALUE"""),2026.0)</f>
        <v>2026</v>
      </c>
      <c r="D1006" s="2">
        <f>IFERROR(__xludf.DUMMYFUNCTION("""COMPUTED_VALUE"""),46183.0)</f>
        <v>46183</v>
      </c>
      <c r="E1006" s="2" t="str">
        <f>IFERROR(__xludf.DUMMYFUNCTION("""COMPUTED_VALUE"""),"VF")</f>
        <v>VF</v>
      </c>
      <c r="F1006" s="2">
        <f>IFERROR(__xludf.DUMMYFUNCTION("""COMPUTED_VALUE"""),1.0)</f>
        <v>1</v>
      </c>
      <c r="G1006" s="2" t="str">
        <f>IFERROR(__xludf.DUMMYFUNCTION("""COMPUTED_VALUE"""),"PR020")</f>
        <v>PR020</v>
      </c>
      <c r="H1006" s="2" t="str">
        <f>IFERROR(__xludf.DUMMYFUNCTION("""COMPUTED_VALUE"""),"VD013")</f>
        <v>VD013</v>
      </c>
      <c r="I1006" s="2">
        <f>IFERROR(__xludf.DUMMYFUNCTION("""COMPUTED_VALUE"""),20.0)</f>
        <v>20</v>
      </c>
      <c r="J1006" s="2">
        <f>IFERROR(__xludf.DUMMYFUNCTION("""COMPUTED_VALUE"""),6597.8)</f>
        <v>6597.8</v>
      </c>
      <c r="K1006" s="2">
        <f>IFERROR(__xludf.DUMMYFUNCTION("""COMPUTED_VALUE"""),6597.8)</f>
        <v>6597.8</v>
      </c>
    </row>
    <row r="1007">
      <c r="A1007" s="2">
        <f>IFERROR(__xludf.DUMMYFUNCTION("""COMPUTED_VALUE"""),1000.0)</f>
        <v>1000</v>
      </c>
      <c r="B1007" s="2">
        <f>IFERROR(__xludf.DUMMYFUNCTION("""COMPUTED_VALUE"""),184184.0)</f>
        <v>184184</v>
      </c>
      <c r="C1007" s="2">
        <f>IFERROR(__xludf.DUMMYFUNCTION("""COMPUTED_VALUE"""),2026.0)</f>
        <v>2026</v>
      </c>
      <c r="D1007" s="2">
        <f>IFERROR(__xludf.DUMMYFUNCTION("""COMPUTED_VALUE"""),46183.0)</f>
        <v>46183</v>
      </c>
      <c r="E1007" s="2" t="str">
        <f>IFERROR(__xludf.DUMMYFUNCTION("""COMPUTED_VALUE"""),"VF")</f>
        <v>VF</v>
      </c>
      <c r="F1007" s="2">
        <f>IFERROR(__xludf.DUMMYFUNCTION("""COMPUTED_VALUE"""),1.0)</f>
        <v>1</v>
      </c>
      <c r="G1007" s="2" t="str">
        <f>IFERROR(__xludf.DUMMYFUNCTION("""COMPUTED_VALUE"""),"PR021")</f>
        <v>PR021</v>
      </c>
      <c r="H1007" s="2" t="str">
        <f>IFERROR(__xludf.DUMMYFUNCTION("""COMPUTED_VALUE"""),"VD033")</f>
        <v>VD033</v>
      </c>
      <c r="I1007" s="2">
        <f>IFERROR(__xludf.DUMMYFUNCTION("""COMPUTED_VALUE"""),6.0)</f>
        <v>6</v>
      </c>
      <c r="J1007" s="2">
        <f>IFERROR(__xludf.DUMMYFUNCTION("""COMPUTED_VALUE"""),1999.14)</f>
        <v>1999.14</v>
      </c>
      <c r="K1007" s="2">
        <f>IFERROR(__xludf.DUMMYFUNCTION("""COMPUTED_VALUE"""),1999.14)</f>
        <v>1999.14</v>
      </c>
    </row>
    <row r="1008">
      <c r="A1008" s="2">
        <f>IFERROR(__xludf.DUMMYFUNCTION("""COMPUTED_VALUE"""),1000.0)</f>
        <v>1000</v>
      </c>
      <c r="B1008" s="2">
        <f>IFERROR(__xludf.DUMMYFUNCTION("""COMPUTED_VALUE"""),184184.0)</f>
        <v>184184</v>
      </c>
      <c r="C1008" s="2">
        <f>IFERROR(__xludf.DUMMYFUNCTION("""COMPUTED_VALUE"""),2026.0)</f>
        <v>2026</v>
      </c>
      <c r="D1008" s="2">
        <f>IFERROR(__xludf.DUMMYFUNCTION("""COMPUTED_VALUE"""),46182.0)</f>
        <v>46182</v>
      </c>
      <c r="E1008" s="2" t="str">
        <f>IFERROR(__xludf.DUMMYFUNCTION("""COMPUTED_VALUE"""),"VF")</f>
        <v>VF</v>
      </c>
      <c r="F1008" s="2">
        <f>IFERROR(__xludf.DUMMYFUNCTION("""COMPUTED_VALUE"""),2.0)</f>
        <v>2</v>
      </c>
      <c r="G1008" s="2" t="str">
        <f>IFERROR(__xludf.DUMMYFUNCTION("""COMPUTED_VALUE"""),"PR034")</f>
        <v>PR034</v>
      </c>
      <c r="H1008" s="2" t="str">
        <f>IFERROR(__xludf.DUMMYFUNCTION("""COMPUTED_VALUE"""),"VD017")</f>
        <v>VD017</v>
      </c>
      <c r="I1008" s="2">
        <f>IFERROR(__xludf.DUMMYFUNCTION("""COMPUTED_VALUE"""),8.0)</f>
        <v>8</v>
      </c>
      <c r="J1008" s="2">
        <f>IFERROR(__xludf.DUMMYFUNCTION("""COMPUTED_VALUE"""),726.39)</f>
        <v>726.39</v>
      </c>
      <c r="K1008" s="2">
        <f>IFERROR(__xludf.DUMMYFUNCTION("""COMPUTED_VALUE"""),726.39)</f>
        <v>726.39</v>
      </c>
    </row>
    <row r="1009">
      <c r="A1009" s="2">
        <f>IFERROR(__xludf.DUMMYFUNCTION("""COMPUTED_VALUE"""),2000.0)</f>
        <v>2000</v>
      </c>
      <c r="B1009" s="2">
        <f>IFERROR(__xludf.DUMMYFUNCTION("""COMPUTED_VALUE"""),184185.0)</f>
        <v>184185</v>
      </c>
      <c r="C1009" s="2">
        <f>IFERROR(__xludf.DUMMYFUNCTION("""COMPUTED_VALUE"""),2026.0)</f>
        <v>2026</v>
      </c>
      <c r="D1009" s="2">
        <f>IFERROR(__xludf.DUMMYFUNCTION("""COMPUTED_VALUE"""),46182.0)</f>
        <v>46182</v>
      </c>
      <c r="E1009" s="2" t="str">
        <f>IFERROR(__xludf.DUMMYFUNCTION("""COMPUTED_VALUE"""),"VF")</f>
        <v>VF</v>
      </c>
      <c r="F1009" s="2">
        <f>IFERROR(__xludf.DUMMYFUNCTION("""COMPUTED_VALUE"""),1.0)</f>
        <v>1</v>
      </c>
      <c r="G1009" s="2" t="str">
        <f>IFERROR(__xludf.DUMMYFUNCTION("""COMPUTED_VALUE"""),"PR032")</f>
        <v>PR032</v>
      </c>
      <c r="H1009" s="2" t="str">
        <f>IFERROR(__xludf.DUMMYFUNCTION("""COMPUTED_VALUE"""),"VD016")</f>
        <v>VD016</v>
      </c>
      <c r="I1009" s="2">
        <f>IFERROR(__xludf.DUMMYFUNCTION("""COMPUTED_VALUE"""),12.0)</f>
        <v>12</v>
      </c>
      <c r="J1009" s="2">
        <f>IFERROR(__xludf.DUMMYFUNCTION("""COMPUTED_VALUE"""),3150.0)</f>
        <v>3150</v>
      </c>
      <c r="K1009" s="2">
        <f>IFERROR(__xludf.DUMMYFUNCTION("""COMPUTED_VALUE"""),3150.0)</f>
        <v>3150</v>
      </c>
    </row>
    <row r="1010">
      <c r="A1010" s="2">
        <f>IFERROR(__xludf.DUMMYFUNCTION("""COMPUTED_VALUE"""),2000.0)</f>
        <v>2000</v>
      </c>
      <c r="B1010" s="2">
        <f>IFERROR(__xludf.DUMMYFUNCTION("""COMPUTED_VALUE"""),184186.0)</f>
        <v>184186</v>
      </c>
      <c r="C1010" s="2">
        <f>IFERROR(__xludf.DUMMYFUNCTION("""COMPUTED_VALUE"""),2026.0)</f>
        <v>2026</v>
      </c>
      <c r="D1010" s="2">
        <f>IFERROR(__xludf.DUMMYFUNCTION("""COMPUTED_VALUE"""),46182.0)</f>
        <v>46182</v>
      </c>
      <c r="E1010" s="2" t="str">
        <f>IFERROR(__xludf.DUMMYFUNCTION("""COMPUTED_VALUE"""),"VF")</f>
        <v>VF</v>
      </c>
      <c r="F1010" s="2">
        <f>IFERROR(__xludf.DUMMYFUNCTION("""COMPUTED_VALUE"""),1.0)</f>
        <v>1</v>
      </c>
      <c r="G1010" s="2" t="str">
        <f>IFERROR(__xludf.DUMMYFUNCTION("""COMPUTED_VALUE"""),"PR032")</f>
        <v>PR032</v>
      </c>
      <c r="H1010" s="2" t="str">
        <f>IFERROR(__xludf.DUMMYFUNCTION("""COMPUTED_VALUE"""),"VD014")</f>
        <v>VD014</v>
      </c>
      <c r="I1010" s="2">
        <f>IFERROR(__xludf.DUMMYFUNCTION("""COMPUTED_VALUE"""),5.0)</f>
        <v>5</v>
      </c>
      <c r="J1010" s="2">
        <f>IFERROR(__xludf.DUMMYFUNCTION("""COMPUTED_VALUE"""),1325.0)</f>
        <v>1325</v>
      </c>
      <c r="K1010" s="2">
        <f>IFERROR(__xludf.DUMMYFUNCTION("""COMPUTED_VALUE"""),1325.0)</f>
        <v>1325</v>
      </c>
    </row>
    <row r="1011">
      <c r="A1011" s="2">
        <f>IFERROR(__xludf.DUMMYFUNCTION("""COMPUTED_VALUE"""),1000.0)</f>
        <v>1000</v>
      </c>
      <c r="B1011" s="2">
        <f>IFERROR(__xludf.DUMMYFUNCTION("""COMPUTED_VALUE"""),184187.0)</f>
        <v>184187</v>
      </c>
      <c r="C1011" s="2">
        <f>IFERROR(__xludf.DUMMYFUNCTION("""COMPUTED_VALUE"""),2026.0)</f>
        <v>2026</v>
      </c>
      <c r="D1011" s="2">
        <f>IFERROR(__xludf.DUMMYFUNCTION("""COMPUTED_VALUE"""),46181.0)</f>
        <v>46181</v>
      </c>
      <c r="E1011" s="2" t="str">
        <f>IFERROR(__xludf.DUMMYFUNCTION("""COMPUTED_VALUE"""),"VF")</f>
        <v>VF</v>
      </c>
      <c r="F1011" s="2">
        <f>IFERROR(__xludf.DUMMYFUNCTION("""COMPUTED_VALUE"""),1.0)</f>
        <v>1</v>
      </c>
      <c r="G1011" s="2" t="str">
        <f>IFERROR(__xludf.DUMMYFUNCTION("""COMPUTED_VALUE"""),"PR053")</f>
        <v>PR053</v>
      </c>
      <c r="H1011" s="2" t="str">
        <f>IFERROR(__xludf.DUMMYFUNCTION("""COMPUTED_VALUE"""),"VD029")</f>
        <v>VD029</v>
      </c>
      <c r="I1011" s="2">
        <f>IFERROR(__xludf.DUMMYFUNCTION("""COMPUTED_VALUE"""),8.0)</f>
        <v>8</v>
      </c>
      <c r="J1011" s="2">
        <f>IFERROR(__xludf.DUMMYFUNCTION("""COMPUTED_VALUE"""),431.14)</f>
        <v>431.14</v>
      </c>
      <c r="K1011" s="2">
        <f>IFERROR(__xludf.DUMMYFUNCTION("""COMPUTED_VALUE"""),431.14)</f>
        <v>431.14</v>
      </c>
    </row>
    <row r="1012">
      <c r="A1012" s="2">
        <f>IFERROR(__xludf.DUMMYFUNCTION("""COMPUTED_VALUE"""),2000.0)</f>
        <v>2000</v>
      </c>
      <c r="B1012" s="2">
        <f>IFERROR(__xludf.DUMMYFUNCTION("""COMPUTED_VALUE"""),184188.0)</f>
        <v>184188</v>
      </c>
      <c r="C1012" s="2">
        <f>IFERROR(__xludf.DUMMYFUNCTION("""COMPUTED_VALUE"""),2026.0)</f>
        <v>2026</v>
      </c>
      <c r="D1012" s="2">
        <f>IFERROR(__xludf.DUMMYFUNCTION("""COMPUTED_VALUE"""),46181.0)</f>
        <v>46181</v>
      </c>
      <c r="E1012" s="2" t="str">
        <f>IFERROR(__xludf.DUMMYFUNCTION("""COMPUTED_VALUE"""),"VF")</f>
        <v>VF</v>
      </c>
      <c r="F1012" s="2">
        <f>IFERROR(__xludf.DUMMYFUNCTION("""COMPUTED_VALUE"""),1.0)</f>
        <v>1</v>
      </c>
      <c r="G1012" s="2" t="str">
        <f>IFERROR(__xludf.DUMMYFUNCTION("""COMPUTED_VALUE"""),"PR014")</f>
        <v>PR014</v>
      </c>
      <c r="H1012" s="2" t="str">
        <f>IFERROR(__xludf.DUMMYFUNCTION("""COMPUTED_VALUE"""),"VD029")</f>
        <v>VD029</v>
      </c>
      <c r="I1012" s="2">
        <f>IFERROR(__xludf.DUMMYFUNCTION("""COMPUTED_VALUE"""),20.0)</f>
        <v>20</v>
      </c>
      <c r="J1012" s="2">
        <f>IFERROR(__xludf.DUMMYFUNCTION("""COMPUTED_VALUE"""),805.98)</f>
        <v>805.98</v>
      </c>
      <c r="K1012" s="2">
        <f>IFERROR(__xludf.DUMMYFUNCTION("""COMPUTED_VALUE"""),805.98)</f>
        <v>805.98</v>
      </c>
    </row>
    <row r="1013">
      <c r="A1013" s="2">
        <f>IFERROR(__xludf.DUMMYFUNCTION("""COMPUTED_VALUE"""),1000.0)</f>
        <v>1000</v>
      </c>
      <c r="B1013" s="2">
        <f>IFERROR(__xludf.DUMMYFUNCTION("""COMPUTED_VALUE"""),184188.0)</f>
        <v>184188</v>
      </c>
      <c r="C1013" s="2">
        <f>IFERROR(__xludf.DUMMYFUNCTION("""COMPUTED_VALUE"""),2026.0)</f>
        <v>2026</v>
      </c>
      <c r="D1013" s="2">
        <f>IFERROR(__xludf.DUMMYFUNCTION("""COMPUTED_VALUE"""),46181.0)</f>
        <v>46181</v>
      </c>
      <c r="E1013" s="2" t="str">
        <f>IFERROR(__xludf.DUMMYFUNCTION("""COMPUTED_VALUE"""),"VF")</f>
        <v>VF</v>
      </c>
      <c r="F1013" s="2">
        <f>IFERROR(__xludf.DUMMYFUNCTION("""COMPUTED_VALUE"""),2.0)</f>
        <v>2</v>
      </c>
      <c r="G1013" s="2" t="str">
        <f>IFERROR(__xludf.DUMMYFUNCTION("""COMPUTED_VALUE"""),"PR005")</f>
        <v>PR005</v>
      </c>
      <c r="H1013" s="2" t="str">
        <f>IFERROR(__xludf.DUMMYFUNCTION("""COMPUTED_VALUE"""),"VD047")</f>
        <v>VD047</v>
      </c>
      <c r="I1013" s="2">
        <f>IFERROR(__xludf.DUMMYFUNCTION("""COMPUTED_VALUE"""),2.0)</f>
        <v>2</v>
      </c>
      <c r="J1013" s="2">
        <f>IFERROR(__xludf.DUMMYFUNCTION("""COMPUTED_VALUE"""),566.58)</f>
        <v>566.58</v>
      </c>
      <c r="K1013" s="2">
        <f>IFERROR(__xludf.DUMMYFUNCTION("""COMPUTED_VALUE"""),566.58)</f>
        <v>566.58</v>
      </c>
    </row>
    <row r="1014">
      <c r="A1014" s="2">
        <f>IFERROR(__xludf.DUMMYFUNCTION("""COMPUTED_VALUE"""),1000.0)</f>
        <v>1000</v>
      </c>
      <c r="B1014" s="2">
        <f>IFERROR(__xludf.DUMMYFUNCTION("""COMPUTED_VALUE"""),184189.0)</f>
        <v>184189</v>
      </c>
      <c r="C1014" s="2">
        <f>IFERROR(__xludf.DUMMYFUNCTION("""COMPUTED_VALUE"""),2026.0)</f>
        <v>2026</v>
      </c>
      <c r="D1014" s="2">
        <f>IFERROR(__xludf.DUMMYFUNCTION("""COMPUTED_VALUE"""),46181.0)</f>
        <v>46181</v>
      </c>
      <c r="E1014" s="2" t="str">
        <f>IFERROR(__xludf.DUMMYFUNCTION("""COMPUTED_VALUE"""),"VF")</f>
        <v>VF</v>
      </c>
      <c r="F1014" s="2">
        <f>IFERROR(__xludf.DUMMYFUNCTION("""COMPUTED_VALUE"""),1.0)</f>
        <v>1</v>
      </c>
      <c r="G1014" s="2" t="str">
        <f>IFERROR(__xludf.DUMMYFUNCTION("""COMPUTED_VALUE"""),"PR008")</f>
        <v>PR008</v>
      </c>
      <c r="H1014" s="2" t="str">
        <f>IFERROR(__xludf.DUMMYFUNCTION("""COMPUTED_VALUE"""),"VD032")</f>
        <v>VD032</v>
      </c>
      <c r="I1014" s="2">
        <f>IFERROR(__xludf.DUMMYFUNCTION("""COMPUTED_VALUE"""),18.0)</f>
        <v>18</v>
      </c>
      <c r="J1014" s="2">
        <f>IFERROR(__xludf.DUMMYFUNCTION("""COMPUTED_VALUE"""),1715.29)</f>
        <v>1715.29</v>
      </c>
      <c r="K1014" s="2">
        <f>IFERROR(__xludf.DUMMYFUNCTION("""COMPUTED_VALUE"""),1715.29)</f>
        <v>1715.29</v>
      </c>
    </row>
    <row r="1015">
      <c r="A1015" s="2">
        <f>IFERROR(__xludf.DUMMYFUNCTION("""COMPUTED_VALUE"""),1000.0)</f>
        <v>1000</v>
      </c>
      <c r="B1015" s="2">
        <f>IFERROR(__xludf.DUMMYFUNCTION("""COMPUTED_VALUE"""),184190.0)</f>
        <v>184190</v>
      </c>
      <c r="C1015" s="2">
        <f>IFERROR(__xludf.DUMMYFUNCTION("""COMPUTED_VALUE"""),2026.0)</f>
        <v>2026</v>
      </c>
      <c r="D1015" s="2">
        <f>IFERROR(__xludf.DUMMYFUNCTION("""COMPUTED_VALUE"""),46180.0)</f>
        <v>46180</v>
      </c>
      <c r="E1015" s="2" t="str">
        <f>IFERROR(__xludf.DUMMYFUNCTION("""COMPUTED_VALUE"""),"VF")</f>
        <v>VF</v>
      </c>
      <c r="F1015" s="2">
        <f>IFERROR(__xludf.DUMMYFUNCTION("""COMPUTED_VALUE"""),1.0)</f>
        <v>1</v>
      </c>
      <c r="G1015" s="2" t="str">
        <f>IFERROR(__xludf.DUMMYFUNCTION("""COMPUTED_VALUE"""),"PR048")</f>
        <v>PR048</v>
      </c>
      <c r="H1015" s="2" t="str">
        <f>IFERROR(__xludf.DUMMYFUNCTION("""COMPUTED_VALUE"""),"VD044")</f>
        <v>VD044</v>
      </c>
      <c r="I1015" s="2">
        <f>IFERROR(__xludf.DUMMYFUNCTION("""COMPUTED_VALUE"""),18.0)</f>
        <v>18</v>
      </c>
      <c r="J1015" s="2">
        <f>IFERROR(__xludf.DUMMYFUNCTION("""COMPUTED_VALUE"""),5740.02)</f>
        <v>5740.02</v>
      </c>
      <c r="K1015" s="2">
        <f>IFERROR(__xludf.DUMMYFUNCTION("""COMPUTED_VALUE"""),5740.02)</f>
        <v>5740.02</v>
      </c>
    </row>
    <row r="1016">
      <c r="A1016" s="2">
        <f>IFERROR(__xludf.DUMMYFUNCTION("""COMPUTED_VALUE"""),1000.0)</f>
        <v>1000</v>
      </c>
      <c r="B1016" s="2">
        <f>IFERROR(__xludf.DUMMYFUNCTION("""COMPUTED_VALUE"""),184190.0)</f>
        <v>184190</v>
      </c>
      <c r="C1016" s="2">
        <f>IFERROR(__xludf.DUMMYFUNCTION("""COMPUTED_VALUE"""),2026.0)</f>
        <v>2026</v>
      </c>
      <c r="D1016" s="2">
        <f>IFERROR(__xludf.DUMMYFUNCTION("""COMPUTED_VALUE"""),46180.0)</f>
        <v>46180</v>
      </c>
      <c r="E1016" s="2" t="str">
        <f>IFERROR(__xludf.DUMMYFUNCTION("""COMPUTED_VALUE"""),"VF")</f>
        <v>VF</v>
      </c>
      <c r="F1016" s="2">
        <f>IFERROR(__xludf.DUMMYFUNCTION("""COMPUTED_VALUE"""),2.0)</f>
        <v>2</v>
      </c>
      <c r="G1016" s="2" t="str">
        <f>IFERROR(__xludf.DUMMYFUNCTION("""COMPUTED_VALUE"""),"PR011")</f>
        <v>PR011</v>
      </c>
      <c r="H1016" s="2" t="str">
        <f>IFERROR(__xludf.DUMMYFUNCTION("""COMPUTED_VALUE"""),"VD030")</f>
        <v>VD030</v>
      </c>
      <c r="I1016" s="2">
        <f>IFERROR(__xludf.DUMMYFUNCTION("""COMPUTED_VALUE"""),8.0)</f>
        <v>8</v>
      </c>
      <c r="J1016" s="2">
        <f>IFERROR(__xludf.DUMMYFUNCTION("""COMPUTED_VALUE"""),390.21)</f>
        <v>390.21</v>
      </c>
      <c r="K1016" s="2">
        <f>IFERROR(__xludf.DUMMYFUNCTION("""COMPUTED_VALUE"""),390.21)</f>
        <v>390.21</v>
      </c>
    </row>
    <row r="1017">
      <c r="A1017" s="2">
        <f>IFERROR(__xludf.DUMMYFUNCTION("""COMPUTED_VALUE"""),2000.0)</f>
        <v>2000</v>
      </c>
      <c r="B1017" s="2">
        <f>IFERROR(__xludf.DUMMYFUNCTION("""COMPUTED_VALUE"""),184191.0)</f>
        <v>184191</v>
      </c>
      <c r="C1017" s="2">
        <f>IFERROR(__xludf.DUMMYFUNCTION("""COMPUTED_VALUE"""),2026.0)</f>
        <v>2026</v>
      </c>
      <c r="D1017" s="2">
        <f>IFERROR(__xludf.DUMMYFUNCTION("""COMPUTED_VALUE"""),46180.0)</f>
        <v>46180</v>
      </c>
      <c r="E1017" s="2" t="str">
        <f>IFERROR(__xludf.DUMMYFUNCTION("""COMPUTED_VALUE"""),"VF")</f>
        <v>VF</v>
      </c>
      <c r="F1017" s="2">
        <f>IFERROR(__xludf.DUMMYFUNCTION("""COMPUTED_VALUE"""),1.0)</f>
        <v>1</v>
      </c>
      <c r="G1017" s="2" t="str">
        <f>IFERROR(__xludf.DUMMYFUNCTION("""COMPUTED_VALUE"""),"PR057")</f>
        <v>PR057</v>
      </c>
      <c r="H1017" s="2" t="str">
        <f>IFERROR(__xludf.DUMMYFUNCTION("""COMPUTED_VALUE"""),"VD025")</f>
        <v>VD025</v>
      </c>
      <c r="I1017" s="2">
        <f>IFERROR(__xludf.DUMMYFUNCTION("""COMPUTED_VALUE"""),14.0)</f>
        <v>14</v>
      </c>
      <c r="J1017" s="2">
        <f>IFERROR(__xludf.DUMMYFUNCTION("""COMPUTED_VALUE"""),1346.7)</f>
        <v>1346.7</v>
      </c>
      <c r="K1017" s="2">
        <f>IFERROR(__xludf.DUMMYFUNCTION("""COMPUTED_VALUE"""),1346.7)</f>
        <v>1346.7</v>
      </c>
    </row>
    <row r="1018">
      <c r="A1018" s="2">
        <f>IFERROR(__xludf.DUMMYFUNCTION("""COMPUTED_VALUE"""),1000.0)</f>
        <v>1000</v>
      </c>
      <c r="B1018" s="2">
        <f>IFERROR(__xludf.DUMMYFUNCTION("""COMPUTED_VALUE"""),184192.0)</f>
        <v>184192</v>
      </c>
      <c r="C1018" s="2">
        <f>IFERROR(__xludf.DUMMYFUNCTION("""COMPUTED_VALUE"""),2026.0)</f>
        <v>2026</v>
      </c>
      <c r="D1018" s="2">
        <f>IFERROR(__xludf.DUMMYFUNCTION("""COMPUTED_VALUE"""),46179.0)</f>
        <v>46179</v>
      </c>
      <c r="E1018" s="2" t="str">
        <f>IFERROR(__xludf.DUMMYFUNCTION("""COMPUTED_VALUE"""),"VF")</f>
        <v>VF</v>
      </c>
      <c r="F1018" s="2">
        <f>IFERROR(__xludf.DUMMYFUNCTION("""COMPUTED_VALUE"""),1.0)</f>
        <v>1</v>
      </c>
      <c r="G1018" s="2" t="str">
        <f>IFERROR(__xludf.DUMMYFUNCTION("""COMPUTED_VALUE"""),"PR029")</f>
        <v>PR029</v>
      </c>
      <c r="H1018" s="2" t="str">
        <f>IFERROR(__xludf.DUMMYFUNCTION("""COMPUTED_VALUE"""),"VD033")</f>
        <v>VD033</v>
      </c>
      <c r="I1018" s="2">
        <f>IFERROR(__xludf.DUMMYFUNCTION("""COMPUTED_VALUE"""),3.0)</f>
        <v>3</v>
      </c>
      <c r="J1018" s="2">
        <f>IFERROR(__xludf.DUMMYFUNCTION("""COMPUTED_VALUE"""),787.95)</f>
        <v>787.95</v>
      </c>
      <c r="K1018" s="2">
        <f>IFERROR(__xludf.DUMMYFUNCTION("""COMPUTED_VALUE"""),787.95)</f>
        <v>787.95</v>
      </c>
    </row>
    <row r="1019">
      <c r="A1019" s="2">
        <f>IFERROR(__xludf.DUMMYFUNCTION("""COMPUTED_VALUE"""),1000.0)</f>
        <v>1000</v>
      </c>
      <c r="B1019" s="2">
        <f>IFERROR(__xludf.DUMMYFUNCTION("""COMPUTED_VALUE"""),184193.0)</f>
        <v>184193</v>
      </c>
      <c r="C1019" s="2">
        <f>IFERROR(__xludf.DUMMYFUNCTION("""COMPUTED_VALUE"""),2026.0)</f>
        <v>2026</v>
      </c>
      <c r="D1019" s="2">
        <f>IFERROR(__xludf.DUMMYFUNCTION("""COMPUTED_VALUE"""),46179.0)</f>
        <v>46179</v>
      </c>
      <c r="E1019" s="2" t="str">
        <f>IFERROR(__xludf.DUMMYFUNCTION("""COMPUTED_VALUE"""),"VF")</f>
        <v>VF</v>
      </c>
      <c r="F1019" s="2">
        <f>IFERROR(__xludf.DUMMYFUNCTION("""COMPUTED_VALUE"""),1.0)</f>
        <v>1</v>
      </c>
      <c r="G1019" s="2" t="str">
        <f>IFERROR(__xludf.DUMMYFUNCTION("""COMPUTED_VALUE"""),"PR053")</f>
        <v>PR053</v>
      </c>
      <c r="H1019" s="2" t="str">
        <f>IFERROR(__xludf.DUMMYFUNCTION("""COMPUTED_VALUE"""),"VD031")</f>
        <v>VD031</v>
      </c>
      <c r="I1019" s="2">
        <f>IFERROR(__xludf.DUMMYFUNCTION("""COMPUTED_VALUE"""),7.0)</f>
        <v>7</v>
      </c>
      <c r="J1019" s="2">
        <f>IFERROR(__xludf.DUMMYFUNCTION("""COMPUTED_VALUE"""),349.3)</f>
        <v>349.3</v>
      </c>
      <c r="K1019" s="2">
        <f>IFERROR(__xludf.DUMMYFUNCTION("""COMPUTED_VALUE"""),349.3)</f>
        <v>349.3</v>
      </c>
    </row>
    <row r="1020">
      <c r="A1020" s="2">
        <f>IFERROR(__xludf.DUMMYFUNCTION("""COMPUTED_VALUE"""),2000.0)</f>
        <v>2000</v>
      </c>
      <c r="B1020" s="2">
        <f>IFERROR(__xludf.DUMMYFUNCTION("""COMPUTED_VALUE"""),184194.0)</f>
        <v>184194</v>
      </c>
      <c r="C1020" s="2">
        <f>IFERROR(__xludf.DUMMYFUNCTION("""COMPUTED_VALUE"""),2026.0)</f>
        <v>2026</v>
      </c>
      <c r="D1020" s="2">
        <f>IFERROR(__xludf.DUMMYFUNCTION("""COMPUTED_VALUE"""),46179.0)</f>
        <v>46179</v>
      </c>
      <c r="E1020" s="2" t="str">
        <f>IFERROR(__xludf.DUMMYFUNCTION("""COMPUTED_VALUE"""),"VF")</f>
        <v>VF</v>
      </c>
      <c r="F1020" s="2">
        <f>IFERROR(__xludf.DUMMYFUNCTION("""COMPUTED_VALUE"""),1.0)</f>
        <v>1</v>
      </c>
      <c r="G1020" s="2" t="str">
        <f>IFERROR(__xludf.DUMMYFUNCTION("""COMPUTED_VALUE"""),"PR018")</f>
        <v>PR018</v>
      </c>
      <c r="H1020" s="2" t="str">
        <f>IFERROR(__xludf.DUMMYFUNCTION("""COMPUTED_VALUE"""),"VD027")</f>
        <v>VD027</v>
      </c>
      <c r="I1020" s="2">
        <f>IFERROR(__xludf.DUMMYFUNCTION("""COMPUTED_VALUE"""),10.0)</f>
        <v>10</v>
      </c>
      <c r="J1020" s="2">
        <f>IFERROR(__xludf.DUMMYFUNCTION("""COMPUTED_VALUE"""),335.58)</f>
        <v>335.58</v>
      </c>
      <c r="K1020" s="2">
        <f>IFERROR(__xludf.DUMMYFUNCTION("""COMPUTED_VALUE"""),335.58)</f>
        <v>335.58</v>
      </c>
    </row>
    <row r="1021">
      <c r="A1021" s="2">
        <f>IFERROR(__xludf.DUMMYFUNCTION("""COMPUTED_VALUE"""),1000.0)</f>
        <v>1000</v>
      </c>
      <c r="B1021" s="2">
        <f>IFERROR(__xludf.DUMMYFUNCTION("""COMPUTED_VALUE"""),184195.0)</f>
        <v>184195</v>
      </c>
      <c r="C1021" s="2">
        <f>IFERROR(__xludf.DUMMYFUNCTION("""COMPUTED_VALUE"""),2026.0)</f>
        <v>2026</v>
      </c>
      <c r="D1021" s="2">
        <f>IFERROR(__xludf.DUMMYFUNCTION("""COMPUTED_VALUE"""),46179.0)</f>
        <v>46179</v>
      </c>
      <c r="E1021" s="2" t="str">
        <f>IFERROR(__xludf.DUMMYFUNCTION("""COMPUTED_VALUE"""),"VF")</f>
        <v>VF</v>
      </c>
      <c r="F1021" s="2">
        <f>IFERROR(__xludf.DUMMYFUNCTION("""COMPUTED_VALUE"""),1.0)</f>
        <v>1</v>
      </c>
      <c r="G1021" s="2" t="str">
        <f>IFERROR(__xludf.DUMMYFUNCTION("""COMPUTED_VALUE"""),"PR048")</f>
        <v>PR048</v>
      </c>
      <c r="H1021" s="2" t="str">
        <f>IFERROR(__xludf.DUMMYFUNCTION("""COMPUTED_VALUE"""),"VD046")</f>
        <v>VD046</v>
      </c>
      <c r="I1021" s="2">
        <f>IFERROR(__xludf.DUMMYFUNCTION("""COMPUTED_VALUE"""),12.0)</f>
        <v>12</v>
      </c>
      <c r="J1021" s="2">
        <f>IFERROR(__xludf.DUMMYFUNCTION("""COMPUTED_VALUE"""),3757.1)</f>
        <v>3757.1</v>
      </c>
      <c r="K1021" s="2">
        <f>IFERROR(__xludf.DUMMYFUNCTION("""COMPUTED_VALUE"""),3757.1)</f>
        <v>3757.1</v>
      </c>
    </row>
    <row r="1022">
      <c r="A1022" s="2">
        <f>IFERROR(__xludf.DUMMYFUNCTION("""COMPUTED_VALUE"""),1000.0)</f>
        <v>1000</v>
      </c>
      <c r="B1022" s="2">
        <f>IFERROR(__xludf.DUMMYFUNCTION("""COMPUTED_VALUE"""),184196.0)</f>
        <v>184196</v>
      </c>
      <c r="C1022" s="2">
        <f>IFERROR(__xludf.DUMMYFUNCTION("""COMPUTED_VALUE"""),2026.0)</f>
        <v>2026</v>
      </c>
      <c r="D1022" s="2">
        <f>IFERROR(__xludf.DUMMYFUNCTION("""COMPUTED_VALUE"""),46179.0)</f>
        <v>46179</v>
      </c>
      <c r="E1022" s="2" t="str">
        <f>IFERROR(__xludf.DUMMYFUNCTION("""COMPUTED_VALUE"""),"VF")</f>
        <v>VF</v>
      </c>
      <c r="F1022" s="2">
        <f>IFERROR(__xludf.DUMMYFUNCTION("""COMPUTED_VALUE"""),1.0)</f>
        <v>1</v>
      </c>
      <c r="G1022" s="2" t="str">
        <f>IFERROR(__xludf.DUMMYFUNCTION("""COMPUTED_VALUE"""),"PR031")</f>
        <v>PR031</v>
      </c>
      <c r="H1022" s="2" t="str">
        <f>IFERROR(__xludf.DUMMYFUNCTION("""COMPUTED_VALUE"""),"VD011")</f>
        <v>VD011</v>
      </c>
      <c r="I1022" s="2">
        <f>IFERROR(__xludf.DUMMYFUNCTION("""COMPUTED_VALUE"""),10.0)</f>
        <v>10</v>
      </c>
      <c r="J1022" s="2">
        <f>IFERROR(__xludf.DUMMYFUNCTION("""COMPUTED_VALUE"""),2474.5)</f>
        <v>2474.5</v>
      </c>
      <c r="K1022" s="2">
        <f>IFERROR(__xludf.DUMMYFUNCTION("""COMPUTED_VALUE"""),2474.5)</f>
        <v>2474.5</v>
      </c>
    </row>
    <row r="1023">
      <c r="A1023" s="2">
        <f>IFERROR(__xludf.DUMMYFUNCTION("""COMPUTED_VALUE"""),1000.0)</f>
        <v>1000</v>
      </c>
      <c r="B1023" s="2">
        <f>IFERROR(__xludf.DUMMYFUNCTION("""COMPUTED_VALUE"""),184197.0)</f>
        <v>184197</v>
      </c>
      <c r="C1023" s="2">
        <f>IFERROR(__xludf.DUMMYFUNCTION("""COMPUTED_VALUE"""),2026.0)</f>
        <v>2026</v>
      </c>
      <c r="D1023" s="2">
        <f>IFERROR(__xludf.DUMMYFUNCTION("""COMPUTED_VALUE"""),46178.0)</f>
        <v>46178</v>
      </c>
      <c r="E1023" s="2" t="str">
        <f>IFERROR(__xludf.DUMMYFUNCTION("""COMPUTED_VALUE"""),"VF")</f>
        <v>VF</v>
      </c>
      <c r="F1023" s="2">
        <f>IFERROR(__xludf.DUMMYFUNCTION("""COMPUTED_VALUE"""),1.0)</f>
        <v>1</v>
      </c>
      <c r="G1023" s="2" t="str">
        <f>IFERROR(__xludf.DUMMYFUNCTION("""COMPUTED_VALUE"""),"PR042")</f>
        <v>PR042</v>
      </c>
      <c r="H1023" s="2" t="str">
        <f>IFERROR(__xludf.DUMMYFUNCTION("""COMPUTED_VALUE"""),"VD020")</f>
        <v>VD020</v>
      </c>
      <c r="I1023" s="2">
        <f>IFERROR(__xludf.DUMMYFUNCTION("""COMPUTED_VALUE"""),3.0)</f>
        <v>3</v>
      </c>
      <c r="J1023" s="2">
        <f>IFERROR(__xludf.DUMMYFUNCTION("""COMPUTED_VALUE"""),169.64)</f>
        <v>169.64</v>
      </c>
      <c r="K1023" s="2">
        <f>IFERROR(__xludf.DUMMYFUNCTION("""COMPUTED_VALUE"""),169.64)</f>
        <v>169.64</v>
      </c>
    </row>
    <row r="1024">
      <c r="A1024" s="2">
        <f>IFERROR(__xludf.DUMMYFUNCTION("""COMPUTED_VALUE"""),1000.0)</f>
        <v>1000</v>
      </c>
      <c r="B1024" s="2">
        <f>IFERROR(__xludf.DUMMYFUNCTION("""COMPUTED_VALUE"""),184198.0)</f>
        <v>184198</v>
      </c>
      <c r="C1024" s="2">
        <f>IFERROR(__xludf.DUMMYFUNCTION("""COMPUTED_VALUE"""),2026.0)</f>
        <v>2026</v>
      </c>
      <c r="D1024" s="2">
        <f>IFERROR(__xludf.DUMMYFUNCTION("""COMPUTED_VALUE"""),46178.0)</f>
        <v>46178</v>
      </c>
      <c r="E1024" s="2" t="str">
        <f>IFERROR(__xludf.DUMMYFUNCTION("""COMPUTED_VALUE"""),"VF")</f>
        <v>VF</v>
      </c>
      <c r="F1024" s="2">
        <f>IFERROR(__xludf.DUMMYFUNCTION("""COMPUTED_VALUE"""),1.0)</f>
        <v>1</v>
      </c>
      <c r="G1024" s="2" t="str">
        <f>IFERROR(__xludf.DUMMYFUNCTION("""COMPUTED_VALUE"""),"PR053")</f>
        <v>PR053</v>
      </c>
      <c r="H1024" s="2" t="str">
        <f>IFERROR(__xludf.DUMMYFUNCTION("""COMPUTED_VALUE"""),"VD027")</f>
        <v>VD027</v>
      </c>
      <c r="I1024" s="2">
        <f>IFERROR(__xludf.DUMMYFUNCTION("""COMPUTED_VALUE"""),12.0)</f>
        <v>12</v>
      </c>
      <c r="J1024" s="2">
        <f>IFERROR(__xludf.DUMMYFUNCTION("""COMPUTED_VALUE"""),604.79)</f>
        <v>604.79</v>
      </c>
      <c r="K1024" s="2">
        <f>IFERROR(__xludf.DUMMYFUNCTION("""COMPUTED_VALUE"""),604.79)</f>
        <v>604.79</v>
      </c>
    </row>
    <row r="1025">
      <c r="A1025" s="2">
        <f>IFERROR(__xludf.DUMMYFUNCTION("""COMPUTED_VALUE"""),1000.0)</f>
        <v>1000</v>
      </c>
      <c r="B1025" s="2">
        <f>IFERROR(__xludf.DUMMYFUNCTION("""COMPUTED_VALUE"""),184199.0)</f>
        <v>184199</v>
      </c>
      <c r="C1025" s="2">
        <f>IFERROR(__xludf.DUMMYFUNCTION("""COMPUTED_VALUE"""),2026.0)</f>
        <v>2026</v>
      </c>
      <c r="D1025" s="2">
        <f>IFERROR(__xludf.DUMMYFUNCTION("""COMPUTED_VALUE"""),46177.0)</f>
        <v>46177</v>
      </c>
      <c r="E1025" s="2" t="str">
        <f>IFERROR(__xludf.DUMMYFUNCTION("""COMPUTED_VALUE"""),"VF")</f>
        <v>VF</v>
      </c>
      <c r="F1025" s="2">
        <f>IFERROR(__xludf.DUMMYFUNCTION("""COMPUTED_VALUE"""),1.0)</f>
        <v>1</v>
      </c>
      <c r="G1025" s="2" t="str">
        <f>IFERROR(__xludf.DUMMYFUNCTION("""COMPUTED_VALUE"""),"PR032")</f>
        <v>PR032</v>
      </c>
      <c r="H1025" s="2" t="str">
        <f>IFERROR(__xludf.DUMMYFUNCTION("""COMPUTED_VALUE"""),"VD047")</f>
        <v>VD047</v>
      </c>
      <c r="I1025" s="2">
        <f>IFERROR(__xludf.DUMMYFUNCTION("""COMPUTED_VALUE"""),18.0)</f>
        <v>18</v>
      </c>
      <c r="J1025" s="2">
        <f>IFERROR(__xludf.DUMMYFUNCTION("""COMPUTED_VALUE"""),4860.0)</f>
        <v>4860</v>
      </c>
      <c r="K1025" s="2">
        <f>IFERROR(__xludf.DUMMYFUNCTION("""COMPUTED_VALUE"""),4860.0)</f>
        <v>4860</v>
      </c>
    </row>
    <row r="1026">
      <c r="A1026" s="2">
        <f>IFERROR(__xludf.DUMMYFUNCTION("""COMPUTED_VALUE"""),2000.0)</f>
        <v>2000</v>
      </c>
      <c r="B1026" s="2">
        <f>IFERROR(__xludf.DUMMYFUNCTION("""COMPUTED_VALUE"""),184199.0)</f>
        <v>184199</v>
      </c>
      <c r="C1026" s="2">
        <f>IFERROR(__xludf.DUMMYFUNCTION("""COMPUTED_VALUE"""),2026.0)</f>
        <v>2026</v>
      </c>
      <c r="D1026" s="2">
        <f>IFERROR(__xludf.DUMMYFUNCTION("""COMPUTED_VALUE"""),46177.0)</f>
        <v>46177</v>
      </c>
      <c r="E1026" s="2" t="str">
        <f>IFERROR(__xludf.DUMMYFUNCTION("""COMPUTED_VALUE"""),"VF")</f>
        <v>VF</v>
      </c>
      <c r="F1026" s="2">
        <f>IFERROR(__xludf.DUMMYFUNCTION("""COMPUTED_VALUE"""),2.0)</f>
        <v>2</v>
      </c>
      <c r="G1026" s="2" t="str">
        <f>IFERROR(__xludf.DUMMYFUNCTION("""COMPUTED_VALUE"""),"PR015")</f>
        <v>PR015</v>
      </c>
      <c r="H1026" s="2" t="str">
        <f>IFERROR(__xludf.DUMMYFUNCTION("""COMPUTED_VALUE"""),"VD038")</f>
        <v>VD038</v>
      </c>
      <c r="I1026" s="2">
        <f>IFERROR(__xludf.DUMMYFUNCTION("""COMPUTED_VALUE"""),12.0)</f>
        <v>12</v>
      </c>
      <c r="J1026" s="2">
        <f>IFERROR(__xludf.DUMMYFUNCTION("""COMPUTED_VALUE"""),535.5)</f>
        <v>535.5</v>
      </c>
      <c r="K1026" s="2">
        <f>IFERROR(__xludf.DUMMYFUNCTION("""COMPUTED_VALUE"""),535.5)</f>
        <v>535.5</v>
      </c>
    </row>
    <row r="1027">
      <c r="A1027" s="2">
        <f>IFERROR(__xludf.DUMMYFUNCTION("""COMPUTED_VALUE"""),2000.0)</f>
        <v>2000</v>
      </c>
      <c r="B1027" s="2">
        <f>IFERROR(__xludf.DUMMYFUNCTION("""COMPUTED_VALUE"""),184199.0)</f>
        <v>184199</v>
      </c>
      <c r="C1027" s="2">
        <f>IFERROR(__xludf.DUMMYFUNCTION("""COMPUTED_VALUE"""),2026.0)</f>
        <v>2026</v>
      </c>
      <c r="D1027" s="2">
        <f>IFERROR(__xludf.DUMMYFUNCTION("""COMPUTED_VALUE"""),46177.0)</f>
        <v>46177</v>
      </c>
      <c r="E1027" s="2" t="str">
        <f>IFERROR(__xludf.DUMMYFUNCTION("""COMPUTED_VALUE"""),"VF")</f>
        <v>VF</v>
      </c>
      <c r="F1027" s="2">
        <f>IFERROR(__xludf.DUMMYFUNCTION("""COMPUTED_VALUE"""),3.0)</f>
        <v>3</v>
      </c>
      <c r="G1027" s="2" t="str">
        <f>IFERROR(__xludf.DUMMYFUNCTION("""COMPUTED_VALUE"""),"PR059")</f>
        <v>PR059</v>
      </c>
      <c r="H1027" s="2" t="str">
        <f>IFERROR(__xludf.DUMMYFUNCTION("""COMPUTED_VALUE"""),"VD047")</f>
        <v>VD047</v>
      </c>
      <c r="I1027" s="2">
        <f>IFERROR(__xludf.DUMMYFUNCTION("""COMPUTED_VALUE"""),14.0)</f>
        <v>14</v>
      </c>
      <c r="J1027" s="2">
        <f>IFERROR(__xludf.DUMMYFUNCTION("""COMPUTED_VALUE"""),2671.2)</f>
        <v>2671.2</v>
      </c>
      <c r="K1027" s="2">
        <f>IFERROR(__xludf.DUMMYFUNCTION("""COMPUTED_VALUE"""),2671.2)</f>
        <v>2671.2</v>
      </c>
    </row>
    <row r="1028">
      <c r="A1028" s="2">
        <f>IFERROR(__xludf.DUMMYFUNCTION("""COMPUTED_VALUE"""),1000.0)</f>
        <v>1000</v>
      </c>
      <c r="B1028" s="2">
        <f>IFERROR(__xludf.DUMMYFUNCTION("""COMPUTED_VALUE"""),184199.0)</f>
        <v>184199</v>
      </c>
      <c r="C1028" s="2">
        <f>IFERROR(__xludf.DUMMYFUNCTION("""COMPUTED_VALUE"""),2026.0)</f>
        <v>2026</v>
      </c>
      <c r="D1028" s="2">
        <f>IFERROR(__xludf.DUMMYFUNCTION("""COMPUTED_VALUE"""),46177.0)</f>
        <v>46177</v>
      </c>
      <c r="E1028" s="2" t="str">
        <f>IFERROR(__xludf.DUMMYFUNCTION("""COMPUTED_VALUE"""),"VF")</f>
        <v>VF</v>
      </c>
      <c r="F1028" s="2">
        <f>IFERROR(__xludf.DUMMYFUNCTION("""COMPUTED_VALUE"""),4.0)</f>
        <v>4</v>
      </c>
      <c r="G1028" s="2" t="str">
        <f>IFERROR(__xludf.DUMMYFUNCTION("""COMPUTED_VALUE"""),"PR004")</f>
        <v>PR004</v>
      </c>
      <c r="H1028" s="2" t="str">
        <f>IFERROR(__xludf.DUMMYFUNCTION("""COMPUTED_VALUE"""),"VD022")</f>
        <v>VD022</v>
      </c>
      <c r="I1028" s="2">
        <f>IFERROR(__xludf.DUMMYFUNCTION("""COMPUTED_VALUE"""),6.0)</f>
        <v>6</v>
      </c>
      <c r="J1028" s="2">
        <f>IFERROR(__xludf.DUMMYFUNCTION("""COMPUTED_VALUE"""),887.4)</f>
        <v>887.4</v>
      </c>
      <c r="K1028" s="2">
        <f>IFERROR(__xludf.DUMMYFUNCTION("""COMPUTED_VALUE"""),887.4)</f>
        <v>887.4</v>
      </c>
    </row>
    <row r="1029">
      <c r="A1029" s="2">
        <f>IFERROR(__xludf.DUMMYFUNCTION("""COMPUTED_VALUE"""),2000.0)</f>
        <v>2000</v>
      </c>
      <c r="B1029" s="2">
        <f>IFERROR(__xludf.DUMMYFUNCTION("""COMPUTED_VALUE"""),184199.0)</f>
        <v>184199</v>
      </c>
      <c r="C1029" s="2">
        <f>IFERROR(__xludf.DUMMYFUNCTION("""COMPUTED_VALUE"""),2026.0)</f>
        <v>2026</v>
      </c>
      <c r="D1029" s="2">
        <f>IFERROR(__xludf.DUMMYFUNCTION("""COMPUTED_VALUE"""),46177.0)</f>
        <v>46177</v>
      </c>
      <c r="E1029" s="2" t="str">
        <f>IFERROR(__xludf.DUMMYFUNCTION("""COMPUTED_VALUE"""),"VF")</f>
        <v>VF</v>
      </c>
      <c r="F1029" s="2">
        <f>IFERROR(__xludf.DUMMYFUNCTION("""COMPUTED_VALUE"""),5.0)</f>
        <v>5</v>
      </c>
      <c r="G1029" s="2" t="str">
        <f>IFERROR(__xludf.DUMMYFUNCTION("""COMPUTED_VALUE"""),"PR028")</f>
        <v>PR028</v>
      </c>
      <c r="H1029" s="2" t="str">
        <f>IFERROR(__xludf.DUMMYFUNCTION("""COMPUTED_VALUE"""),"VD026")</f>
        <v>VD026</v>
      </c>
      <c r="I1029" s="2">
        <f>IFERROR(__xludf.DUMMYFUNCTION("""COMPUTED_VALUE"""),5.0)</f>
        <v>5</v>
      </c>
      <c r="J1029" s="2">
        <f>IFERROR(__xludf.DUMMYFUNCTION("""COMPUTED_VALUE"""),1361.96)</f>
        <v>1361.96</v>
      </c>
      <c r="K1029" s="2">
        <f>IFERROR(__xludf.DUMMYFUNCTION("""COMPUTED_VALUE"""),1361.96)</f>
        <v>1361.96</v>
      </c>
    </row>
    <row r="1030">
      <c r="A1030" s="2">
        <f>IFERROR(__xludf.DUMMYFUNCTION("""COMPUTED_VALUE"""),1000.0)</f>
        <v>1000</v>
      </c>
      <c r="B1030" s="2">
        <f>IFERROR(__xludf.DUMMYFUNCTION("""COMPUTED_VALUE"""),184200.0)</f>
        <v>184200</v>
      </c>
      <c r="C1030" s="2">
        <f>IFERROR(__xludf.DUMMYFUNCTION("""COMPUTED_VALUE"""),2026.0)</f>
        <v>2026</v>
      </c>
      <c r="D1030" s="2">
        <f>IFERROR(__xludf.DUMMYFUNCTION("""COMPUTED_VALUE"""),46177.0)</f>
        <v>46177</v>
      </c>
      <c r="E1030" s="2" t="str">
        <f>IFERROR(__xludf.DUMMYFUNCTION("""COMPUTED_VALUE"""),"VF")</f>
        <v>VF</v>
      </c>
      <c r="F1030" s="2">
        <f>IFERROR(__xludf.DUMMYFUNCTION("""COMPUTED_VALUE"""),1.0)</f>
        <v>1</v>
      </c>
      <c r="G1030" s="2" t="str">
        <f>IFERROR(__xludf.DUMMYFUNCTION("""COMPUTED_VALUE"""),"PR037")</f>
        <v>PR037</v>
      </c>
      <c r="H1030" s="2" t="str">
        <f>IFERROR(__xludf.DUMMYFUNCTION("""COMPUTED_VALUE"""),"VD019")</f>
        <v>VD019</v>
      </c>
      <c r="I1030" s="2">
        <f>IFERROR(__xludf.DUMMYFUNCTION("""COMPUTED_VALUE"""),12.0)</f>
        <v>12</v>
      </c>
      <c r="J1030" s="2">
        <f>IFERROR(__xludf.DUMMYFUNCTION("""COMPUTED_VALUE"""),1747.2)</f>
        <v>1747.2</v>
      </c>
      <c r="K1030" s="2">
        <f>IFERROR(__xludf.DUMMYFUNCTION("""COMPUTED_VALUE"""),1747.2)</f>
        <v>1747.2</v>
      </c>
    </row>
    <row r="1031">
      <c r="A1031" s="2">
        <f>IFERROR(__xludf.DUMMYFUNCTION("""COMPUTED_VALUE"""),2000.0)</f>
        <v>2000</v>
      </c>
      <c r="B1031" s="2">
        <f>IFERROR(__xludf.DUMMYFUNCTION("""COMPUTED_VALUE"""),184200.0)</f>
        <v>184200</v>
      </c>
      <c r="C1031" s="2">
        <f>IFERROR(__xludf.DUMMYFUNCTION("""COMPUTED_VALUE"""),2026.0)</f>
        <v>2026</v>
      </c>
      <c r="D1031" s="2">
        <f>IFERROR(__xludf.DUMMYFUNCTION("""COMPUTED_VALUE"""),46177.0)</f>
        <v>46177</v>
      </c>
      <c r="E1031" s="2" t="str">
        <f>IFERROR(__xludf.DUMMYFUNCTION("""COMPUTED_VALUE"""),"VF")</f>
        <v>VF</v>
      </c>
      <c r="F1031" s="2">
        <f>IFERROR(__xludf.DUMMYFUNCTION("""COMPUTED_VALUE"""),2.0)</f>
        <v>2</v>
      </c>
      <c r="G1031" s="2" t="str">
        <f>IFERROR(__xludf.DUMMYFUNCTION("""COMPUTED_VALUE"""),"PR031")</f>
        <v>PR031</v>
      </c>
      <c r="H1031" s="2" t="str">
        <f>IFERROR(__xludf.DUMMYFUNCTION("""COMPUTED_VALUE"""),"VD036")</f>
        <v>VD036</v>
      </c>
      <c r="I1031" s="2">
        <f>IFERROR(__xludf.DUMMYFUNCTION("""COMPUTED_VALUE"""),6.0)</f>
        <v>6</v>
      </c>
      <c r="J1031" s="2">
        <f>IFERROR(__xludf.DUMMYFUNCTION("""COMPUTED_VALUE"""),1499.4)</f>
        <v>1499.4</v>
      </c>
      <c r="K1031" s="2">
        <f>IFERROR(__xludf.DUMMYFUNCTION("""COMPUTED_VALUE"""),1499.4)</f>
        <v>1499.4</v>
      </c>
    </row>
    <row r="1032">
      <c r="A1032" s="2">
        <f>IFERROR(__xludf.DUMMYFUNCTION("""COMPUTED_VALUE"""),1000.0)</f>
        <v>1000</v>
      </c>
      <c r="B1032" s="2">
        <f>IFERROR(__xludf.DUMMYFUNCTION("""COMPUTED_VALUE"""),184201.0)</f>
        <v>184201</v>
      </c>
      <c r="C1032" s="2">
        <f>IFERROR(__xludf.DUMMYFUNCTION("""COMPUTED_VALUE"""),2026.0)</f>
        <v>2026</v>
      </c>
      <c r="D1032" s="2">
        <f>IFERROR(__xludf.DUMMYFUNCTION("""COMPUTED_VALUE"""),46177.0)</f>
        <v>46177</v>
      </c>
      <c r="E1032" s="2" t="str">
        <f>IFERROR(__xludf.DUMMYFUNCTION("""COMPUTED_VALUE"""),"VF")</f>
        <v>VF</v>
      </c>
      <c r="F1032" s="2">
        <f>IFERROR(__xludf.DUMMYFUNCTION("""COMPUTED_VALUE"""),1.0)</f>
        <v>1</v>
      </c>
      <c r="G1032" s="2" t="str">
        <f>IFERROR(__xludf.DUMMYFUNCTION("""COMPUTED_VALUE"""),"PR038")</f>
        <v>PR038</v>
      </c>
      <c r="H1032" s="2" t="str">
        <f>IFERROR(__xludf.DUMMYFUNCTION("""COMPUTED_VALUE"""),"VD033")</f>
        <v>VD033</v>
      </c>
      <c r="I1032" s="2">
        <f>IFERROR(__xludf.DUMMYFUNCTION("""COMPUTED_VALUE"""),10.0)</f>
        <v>10</v>
      </c>
      <c r="J1032" s="2">
        <f>IFERROR(__xludf.DUMMYFUNCTION("""COMPUTED_VALUE"""),1443.29)</f>
        <v>1443.29</v>
      </c>
      <c r="K1032" s="2">
        <f>IFERROR(__xludf.DUMMYFUNCTION("""COMPUTED_VALUE"""),1443.29)</f>
        <v>1443.29</v>
      </c>
    </row>
    <row r="1033">
      <c r="A1033" s="2">
        <f>IFERROR(__xludf.DUMMYFUNCTION("""COMPUTED_VALUE"""),1000.0)</f>
        <v>1000</v>
      </c>
      <c r="B1033" s="2">
        <f>IFERROR(__xludf.DUMMYFUNCTION("""COMPUTED_VALUE"""),184202.0)</f>
        <v>184202</v>
      </c>
      <c r="C1033" s="2">
        <f>IFERROR(__xludf.DUMMYFUNCTION("""COMPUTED_VALUE"""),2026.0)</f>
        <v>2026</v>
      </c>
      <c r="D1033" s="2">
        <f>IFERROR(__xludf.DUMMYFUNCTION("""COMPUTED_VALUE"""),46177.0)</f>
        <v>46177</v>
      </c>
      <c r="E1033" s="2" t="str">
        <f>IFERROR(__xludf.DUMMYFUNCTION("""COMPUTED_VALUE"""),"VF")</f>
        <v>VF</v>
      </c>
      <c r="F1033" s="2">
        <f>IFERROR(__xludf.DUMMYFUNCTION("""COMPUTED_VALUE"""),1.0)</f>
        <v>1</v>
      </c>
      <c r="G1033" s="2" t="str">
        <f>IFERROR(__xludf.DUMMYFUNCTION("""COMPUTED_VALUE"""),"PR009")</f>
        <v>PR009</v>
      </c>
      <c r="H1033" s="2" t="str">
        <f>IFERROR(__xludf.DUMMYFUNCTION("""COMPUTED_VALUE"""),"VD035")</f>
        <v>VD035</v>
      </c>
      <c r="I1033" s="2">
        <f>IFERROR(__xludf.DUMMYFUNCTION("""COMPUTED_VALUE"""),16.0)</f>
        <v>16</v>
      </c>
      <c r="J1033" s="2">
        <f>IFERROR(__xludf.DUMMYFUNCTION("""COMPUTED_VALUE"""),1545.86)</f>
        <v>1545.86</v>
      </c>
      <c r="K1033" s="2">
        <f>IFERROR(__xludf.DUMMYFUNCTION("""COMPUTED_VALUE"""),1545.86)</f>
        <v>1545.86</v>
      </c>
    </row>
    <row r="1034">
      <c r="A1034" s="2">
        <f>IFERROR(__xludf.DUMMYFUNCTION("""COMPUTED_VALUE"""),2000.0)</f>
        <v>2000</v>
      </c>
      <c r="B1034" s="2">
        <f>IFERROR(__xludf.DUMMYFUNCTION("""COMPUTED_VALUE"""),184203.0)</f>
        <v>184203</v>
      </c>
      <c r="C1034" s="2">
        <f>IFERROR(__xludf.DUMMYFUNCTION("""COMPUTED_VALUE"""),2026.0)</f>
        <v>2026</v>
      </c>
      <c r="D1034" s="2">
        <f>IFERROR(__xludf.DUMMYFUNCTION("""COMPUTED_VALUE"""),46177.0)</f>
        <v>46177</v>
      </c>
      <c r="E1034" s="2" t="str">
        <f>IFERROR(__xludf.DUMMYFUNCTION("""COMPUTED_VALUE"""),"VF")</f>
        <v>VF</v>
      </c>
      <c r="F1034" s="2">
        <f>IFERROR(__xludf.DUMMYFUNCTION("""COMPUTED_VALUE"""),1.0)</f>
        <v>1</v>
      </c>
      <c r="G1034" s="2" t="str">
        <f>IFERROR(__xludf.DUMMYFUNCTION("""COMPUTED_VALUE"""),"PR041")</f>
        <v>PR041</v>
      </c>
      <c r="H1034" s="2" t="str">
        <f>IFERROR(__xludf.DUMMYFUNCTION("""COMPUTED_VALUE"""),"VD019")</f>
        <v>VD019</v>
      </c>
      <c r="I1034" s="2">
        <f>IFERROR(__xludf.DUMMYFUNCTION("""COMPUTED_VALUE"""),3.0)</f>
        <v>3</v>
      </c>
      <c r="J1034" s="2">
        <f>IFERROR(__xludf.DUMMYFUNCTION("""COMPUTED_VALUE"""),171.29)</f>
        <v>171.29</v>
      </c>
      <c r="K1034" s="2">
        <f>IFERROR(__xludf.DUMMYFUNCTION("""COMPUTED_VALUE"""),171.29)</f>
        <v>171.29</v>
      </c>
    </row>
    <row r="1035">
      <c r="A1035" s="2">
        <f>IFERROR(__xludf.DUMMYFUNCTION("""COMPUTED_VALUE"""),1000.0)</f>
        <v>1000</v>
      </c>
      <c r="B1035" s="2">
        <f>IFERROR(__xludf.DUMMYFUNCTION("""COMPUTED_VALUE"""),184204.0)</f>
        <v>184204</v>
      </c>
      <c r="C1035" s="2">
        <f>IFERROR(__xludf.DUMMYFUNCTION("""COMPUTED_VALUE"""),2026.0)</f>
        <v>2026</v>
      </c>
      <c r="D1035" s="2">
        <f>IFERROR(__xludf.DUMMYFUNCTION("""COMPUTED_VALUE"""),46177.0)</f>
        <v>46177</v>
      </c>
      <c r="E1035" s="2" t="str">
        <f>IFERROR(__xludf.DUMMYFUNCTION("""COMPUTED_VALUE"""),"VF")</f>
        <v>VF</v>
      </c>
      <c r="F1035" s="2">
        <f>IFERROR(__xludf.DUMMYFUNCTION("""COMPUTED_VALUE"""),1.0)</f>
        <v>1</v>
      </c>
      <c r="G1035" s="2" t="str">
        <f>IFERROR(__xludf.DUMMYFUNCTION("""COMPUTED_VALUE"""),"PR026")</f>
        <v>PR026</v>
      </c>
      <c r="H1035" s="2" t="str">
        <f>IFERROR(__xludf.DUMMYFUNCTION("""COMPUTED_VALUE"""),"VD027")</f>
        <v>VD027</v>
      </c>
      <c r="I1035" s="2">
        <f>IFERROR(__xludf.DUMMYFUNCTION("""COMPUTED_VALUE"""),12.0)</f>
        <v>12</v>
      </c>
      <c r="J1035" s="2">
        <f>IFERROR(__xludf.DUMMYFUNCTION("""COMPUTED_VALUE"""),4618.68)</f>
        <v>4618.68</v>
      </c>
      <c r="K1035" s="2">
        <f>IFERROR(__xludf.DUMMYFUNCTION("""COMPUTED_VALUE"""),4618.68)</f>
        <v>4618.68</v>
      </c>
    </row>
    <row r="1036">
      <c r="A1036" s="2">
        <f>IFERROR(__xludf.DUMMYFUNCTION("""COMPUTED_VALUE"""),1000.0)</f>
        <v>1000</v>
      </c>
      <c r="B1036" s="2">
        <f>IFERROR(__xludf.DUMMYFUNCTION("""COMPUTED_VALUE"""),184205.0)</f>
        <v>184205</v>
      </c>
      <c r="C1036" s="2">
        <f>IFERROR(__xludf.DUMMYFUNCTION("""COMPUTED_VALUE"""),2026.0)</f>
        <v>2026</v>
      </c>
      <c r="D1036" s="2">
        <f>IFERROR(__xludf.DUMMYFUNCTION("""COMPUTED_VALUE"""),46177.0)</f>
        <v>46177</v>
      </c>
      <c r="E1036" s="2" t="str">
        <f>IFERROR(__xludf.DUMMYFUNCTION("""COMPUTED_VALUE"""),"VF")</f>
        <v>VF</v>
      </c>
      <c r="F1036" s="2">
        <f>IFERROR(__xludf.DUMMYFUNCTION("""COMPUTED_VALUE"""),1.0)</f>
        <v>1</v>
      </c>
      <c r="G1036" s="2" t="str">
        <f>IFERROR(__xludf.DUMMYFUNCTION("""COMPUTED_VALUE"""),"PR026")</f>
        <v>PR026</v>
      </c>
      <c r="H1036" s="2" t="str">
        <f>IFERROR(__xludf.DUMMYFUNCTION("""COMPUTED_VALUE"""),"VD030")</f>
        <v>VD030</v>
      </c>
      <c r="I1036" s="2">
        <f>IFERROR(__xludf.DUMMYFUNCTION("""COMPUTED_VALUE"""),2.0)</f>
        <v>2</v>
      </c>
      <c r="J1036" s="2">
        <f>IFERROR(__xludf.DUMMYFUNCTION("""COMPUTED_VALUE"""),713.8)</f>
        <v>713.8</v>
      </c>
      <c r="K1036" s="2">
        <f>IFERROR(__xludf.DUMMYFUNCTION("""COMPUTED_VALUE"""),713.8)</f>
        <v>713.8</v>
      </c>
    </row>
    <row r="1037">
      <c r="A1037" s="2">
        <f>IFERROR(__xludf.DUMMYFUNCTION("""COMPUTED_VALUE"""),1000.0)</f>
        <v>1000</v>
      </c>
      <c r="B1037" s="2">
        <f>IFERROR(__xludf.DUMMYFUNCTION("""COMPUTED_VALUE"""),184206.0)</f>
        <v>184206</v>
      </c>
      <c r="C1037" s="2">
        <f>IFERROR(__xludf.DUMMYFUNCTION("""COMPUTED_VALUE"""),2026.0)</f>
        <v>2026</v>
      </c>
      <c r="D1037" s="2">
        <f>IFERROR(__xludf.DUMMYFUNCTION("""COMPUTED_VALUE"""),46176.0)</f>
        <v>46176</v>
      </c>
      <c r="E1037" s="2" t="str">
        <f>IFERROR(__xludf.DUMMYFUNCTION("""COMPUTED_VALUE"""),"VF")</f>
        <v>VF</v>
      </c>
      <c r="F1037" s="2">
        <f>IFERROR(__xludf.DUMMYFUNCTION("""COMPUTED_VALUE"""),1.0)</f>
        <v>1</v>
      </c>
      <c r="G1037" s="2" t="str">
        <f>IFERROR(__xludf.DUMMYFUNCTION("""COMPUTED_VALUE"""),"PR012")</f>
        <v>PR012</v>
      </c>
      <c r="H1037" s="2" t="str">
        <f>IFERROR(__xludf.DUMMYFUNCTION("""COMPUTED_VALUE"""),"VD027")</f>
        <v>VD027</v>
      </c>
      <c r="I1037" s="2">
        <f>IFERROR(__xludf.DUMMYFUNCTION("""COMPUTED_VALUE"""),18.0)</f>
        <v>18</v>
      </c>
      <c r="J1037" s="2">
        <f>IFERROR(__xludf.DUMMYFUNCTION("""COMPUTED_VALUE"""),933.01)</f>
        <v>933.01</v>
      </c>
      <c r="K1037" s="2">
        <f>IFERROR(__xludf.DUMMYFUNCTION("""COMPUTED_VALUE"""),933.01)</f>
        <v>933.01</v>
      </c>
    </row>
    <row r="1038">
      <c r="A1038" s="2">
        <f>IFERROR(__xludf.DUMMYFUNCTION("""COMPUTED_VALUE"""),1000.0)</f>
        <v>1000</v>
      </c>
      <c r="B1038" s="2">
        <f>IFERROR(__xludf.DUMMYFUNCTION("""COMPUTED_VALUE"""),184207.0)</f>
        <v>184207</v>
      </c>
      <c r="C1038" s="2">
        <f>IFERROR(__xludf.DUMMYFUNCTION("""COMPUTED_VALUE"""),2026.0)</f>
        <v>2026</v>
      </c>
      <c r="D1038" s="2">
        <f>IFERROR(__xludf.DUMMYFUNCTION("""COMPUTED_VALUE"""),46176.0)</f>
        <v>46176</v>
      </c>
      <c r="E1038" s="2" t="str">
        <f>IFERROR(__xludf.DUMMYFUNCTION("""COMPUTED_VALUE"""),"VF")</f>
        <v>VF</v>
      </c>
      <c r="F1038" s="2">
        <f>IFERROR(__xludf.DUMMYFUNCTION("""COMPUTED_VALUE"""),1.0)</f>
        <v>1</v>
      </c>
      <c r="G1038" s="2" t="str">
        <f>IFERROR(__xludf.DUMMYFUNCTION("""COMPUTED_VALUE"""),"PR010")</f>
        <v>PR010</v>
      </c>
      <c r="H1038" s="2" t="str">
        <f>IFERROR(__xludf.DUMMYFUNCTION("""COMPUTED_VALUE"""),"VD025")</f>
        <v>VD025</v>
      </c>
      <c r="I1038" s="2">
        <f>IFERROR(__xludf.DUMMYFUNCTION("""COMPUTED_VALUE"""),14.0)</f>
        <v>14</v>
      </c>
      <c r="J1038" s="2">
        <f>IFERROR(__xludf.DUMMYFUNCTION("""COMPUTED_VALUE"""),672.6)</f>
        <v>672.6</v>
      </c>
      <c r="K1038" s="2">
        <f>IFERROR(__xludf.DUMMYFUNCTION("""COMPUTED_VALUE"""),672.6)</f>
        <v>672.6</v>
      </c>
    </row>
    <row r="1039">
      <c r="A1039" s="2">
        <f>IFERROR(__xludf.DUMMYFUNCTION("""COMPUTED_VALUE"""),1000.0)</f>
        <v>1000</v>
      </c>
      <c r="B1039" s="2">
        <f>IFERROR(__xludf.DUMMYFUNCTION("""COMPUTED_VALUE"""),184208.0)</f>
        <v>184208</v>
      </c>
      <c r="C1039" s="2">
        <f>IFERROR(__xludf.DUMMYFUNCTION("""COMPUTED_VALUE"""),2026.0)</f>
        <v>2026</v>
      </c>
      <c r="D1039" s="2">
        <f>IFERROR(__xludf.DUMMYFUNCTION("""COMPUTED_VALUE"""),46176.0)</f>
        <v>46176</v>
      </c>
      <c r="E1039" s="2" t="str">
        <f>IFERROR(__xludf.DUMMYFUNCTION("""COMPUTED_VALUE"""),"VF")</f>
        <v>VF</v>
      </c>
      <c r="F1039" s="2">
        <f>IFERROR(__xludf.DUMMYFUNCTION("""COMPUTED_VALUE"""),1.0)</f>
        <v>1</v>
      </c>
      <c r="G1039" s="2" t="str">
        <f>IFERROR(__xludf.DUMMYFUNCTION("""COMPUTED_VALUE"""),"PR060")</f>
        <v>PR060</v>
      </c>
      <c r="H1039" s="2" t="str">
        <f>IFERROR(__xludf.DUMMYFUNCTION("""COMPUTED_VALUE"""),"VD033")</f>
        <v>VD033</v>
      </c>
      <c r="I1039" s="2">
        <f>IFERROR(__xludf.DUMMYFUNCTION("""COMPUTED_VALUE"""),10.0)</f>
        <v>10</v>
      </c>
      <c r="J1039" s="2">
        <f>IFERROR(__xludf.DUMMYFUNCTION("""COMPUTED_VALUE"""),1962.0)</f>
        <v>1962</v>
      </c>
      <c r="K1039" s="2">
        <f>IFERROR(__xludf.DUMMYFUNCTION("""COMPUTED_VALUE"""),1962.0)</f>
        <v>1962</v>
      </c>
    </row>
    <row r="1040">
      <c r="A1040" s="2">
        <f>IFERROR(__xludf.DUMMYFUNCTION("""COMPUTED_VALUE"""),1000.0)</f>
        <v>1000</v>
      </c>
      <c r="B1040" s="2">
        <f>IFERROR(__xludf.DUMMYFUNCTION("""COMPUTED_VALUE"""),184209.0)</f>
        <v>184209</v>
      </c>
      <c r="C1040" s="2">
        <f>IFERROR(__xludf.DUMMYFUNCTION("""COMPUTED_VALUE"""),2026.0)</f>
        <v>2026</v>
      </c>
      <c r="D1040" s="2">
        <f>IFERROR(__xludf.DUMMYFUNCTION("""COMPUTED_VALUE"""),46176.0)</f>
        <v>46176</v>
      </c>
      <c r="E1040" s="2" t="str">
        <f>IFERROR(__xludf.DUMMYFUNCTION("""COMPUTED_VALUE"""),"VF")</f>
        <v>VF</v>
      </c>
      <c r="F1040" s="2">
        <f>IFERROR(__xludf.DUMMYFUNCTION("""COMPUTED_VALUE"""),1.0)</f>
        <v>1</v>
      </c>
      <c r="G1040" s="2" t="str">
        <f>IFERROR(__xludf.DUMMYFUNCTION("""COMPUTED_VALUE"""),"PR016")</f>
        <v>PR016</v>
      </c>
      <c r="H1040" s="2" t="str">
        <f>IFERROR(__xludf.DUMMYFUNCTION("""COMPUTED_VALUE"""),"VD011")</f>
        <v>VD011</v>
      </c>
      <c r="I1040" s="2">
        <f>IFERROR(__xludf.DUMMYFUNCTION("""COMPUTED_VALUE"""),2.0)</f>
        <v>2</v>
      </c>
      <c r="J1040" s="2">
        <f>IFERROR(__xludf.DUMMYFUNCTION("""COMPUTED_VALUE"""),51.8)</f>
        <v>51.8</v>
      </c>
      <c r="K1040" s="2">
        <f>IFERROR(__xludf.DUMMYFUNCTION("""COMPUTED_VALUE"""),51.8)</f>
        <v>51.8</v>
      </c>
    </row>
    <row r="1041">
      <c r="A1041" s="2">
        <f>IFERROR(__xludf.DUMMYFUNCTION("""COMPUTED_VALUE"""),1000.0)</f>
        <v>1000</v>
      </c>
      <c r="B1041" s="2">
        <f>IFERROR(__xludf.DUMMYFUNCTION("""COMPUTED_VALUE"""),184210.0)</f>
        <v>184210</v>
      </c>
      <c r="C1041" s="2">
        <f>IFERROR(__xludf.DUMMYFUNCTION("""COMPUTED_VALUE"""),2026.0)</f>
        <v>2026</v>
      </c>
      <c r="D1041" s="2">
        <f>IFERROR(__xludf.DUMMYFUNCTION("""COMPUTED_VALUE"""),46176.0)</f>
        <v>46176</v>
      </c>
      <c r="E1041" s="2" t="str">
        <f>IFERROR(__xludf.DUMMYFUNCTION("""COMPUTED_VALUE"""),"VF")</f>
        <v>VF</v>
      </c>
      <c r="F1041" s="2">
        <f>IFERROR(__xludf.DUMMYFUNCTION("""COMPUTED_VALUE"""),1.0)</f>
        <v>1</v>
      </c>
      <c r="G1041" s="2" t="str">
        <f>IFERROR(__xludf.DUMMYFUNCTION("""COMPUTED_VALUE"""),"PR044")</f>
        <v>PR044</v>
      </c>
      <c r="H1041" s="2" t="str">
        <f>IFERROR(__xludf.DUMMYFUNCTION("""COMPUTED_VALUE"""),"VD044")</f>
        <v>VD044</v>
      </c>
      <c r="I1041" s="2">
        <f>IFERROR(__xludf.DUMMYFUNCTION("""COMPUTED_VALUE"""),8.0)</f>
        <v>8</v>
      </c>
      <c r="J1041" s="2">
        <f>IFERROR(__xludf.DUMMYFUNCTION("""COMPUTED_VALUE"""),580.0)</f>
        <v>580</v>
      </c>
      <c r="K1041" s="2">
        <f>IFERROR(__xludf.DUMMYFUNCTION("""COMPUTED_VALUE"""),580.0)</f>
        <v>580</v>
      </c>
    </row>
    <row r="1042">
      <c r="A1042" s="2">
        <f>IFERROR(__xludf.DUMMYFUNCTION("""COMPUTED_VALUE"""),1000.0)</f>
        <v>1000</v>
      </c>
      <c r="B1042" s="2">
        <f>IFERROR(__xludf.DUMMYFUNCTION("""COMPUTED_VALUE"""),184211.0)</f>
        <v>184211</v>
      </c>
      <c r="C1042" s="2">
        <f>IFERROR(__xludf.DUMMYFUNCTION("""COMPUTED_VALUE"""),2026.0)</f>
        <v>2026</v>
      </c>
      <c r="D1042" s="2">
        <f>IFERROR(__xludf.DUMMYFUNCTION("""COMPUTED_VALUE"""),46175.0)</f>
        <v>46175</v>
      </c>
      <c r="E1042" s="2" t="str">
        <f>IFERROR(__xludf.DUMMYFUNCTION("""COMPUTED_VALUE"""),"VF")</f>
        <v>VF</v>
      </c>
      <c r="F1042" s="2">
        <f>IFERROR(__xludf.DUMMYFUNCTION("""COMPUTED_VALUE"""),1.0)</f>
        <v>1</v>
      </c>
      <c r="G1042" s="2" t="str">
        <f>IFERROR(__xludf.DUMMYFUNCTION("""COMPUTED_VALUE"""),"PR001")</f>
        <v>PR001</v>
      </c>
      <c r="H1042" s="2" t="str">
        <f>IFERROR(__xludf.DUMMYFUNCTION("""COMPUTED_VALUE"""),"VD027")</f>
        <v>VD027</v>
      </c>
      <c r="I1042" s="2">
        <f>IFERROR(__xludf.DUMMYFUNCTION("""COMPUTED_VALUE"""),2.0)</f>
        <v>2</v>
      </c>
      <c r="J1042" s="2">
        <f>IFERROR(__xludf.DUMMYFUNCTION("""COMPUTED_VALUE"""),133.12)</f>
        <v>133.12</v>
      </c>
      <c r="K1042" s="2">
        <f>IFERROR(__xludf.DUMMYFUNCTION("""COMPUTED_VALUE"""),133.12)</f>
        <v>133.12</v>
      </c>
    </row>
    <row r="1043">
      <c r="A1043" s="2">
        <f>IFERROR(__xludf.DUMMYFUNCTION("""COMPUTED_VALUE"""),1000.0)</f>
        <v>1000</v>
      </c>
      <c r="B1043" s="2">
        <f>IFERROR(__xludf.DUMMYFUNCTION("""COMPUTED_VALUE"""),184212.0)</f>
        <v>184212</v>
      </c>
      <c r="C1043" s="2">
        <f>IFERROR(__xludf.DUMMYFUNCTION("""COMPUTED_VALUE"""),2026.0)</f>
        <v>2026</v>
      </c>
      <c r="D1043" s="2">
        <f>IFERROR(__xludf.DUMMYFUNCTION("""COMPUTED_VALUE"""),46175.0)</f>
        <v>46175</v>
      </c>
      <c r="E1043" s="2" t="str">
        <f>IFERROR(__xludf.DUMMYFUNCTION("""COMPUTED_VALUE"""),"VF")</f>
        <v>VF</v>
      </c>
      <c r="F1043" s="2">
        <f>IFERROR(__xludf.DUMMYFUNCTION("""COMPUTED_VALUE"""),1.0)</f>
        <v>1</v>
      </c>
      <c r="G1043" s="2" t="str">
        <f>IFERROR(__xludf.DUMMYFUNCTION("""COMPUTED_VALUE"""),"PR013")</f>
        <v>PR013</v>
      </c>
      <c r="H1043" s="2" t="str">
        <f>IFERROR(__xludf.DUMMYFUNCTION("""COMPUTED_VALUE"""),"VD044")</f>
        <v>VD044</v>
      </c>
      <c r="I1043" s="2">
        <f>IFERROR(__xludf.DUMMYFUNCTION("""COMPUTED_VALUE"""),5.0)</f>
        <v>5</v>
      </c>
      <c r="J1043" s="2">
        <f>IFERROR(__xludf.DUMMYFUNCTION("""COMPUTED_VALUE"""),215.46)</f>
        <v>215.46</v>
      </c>
      <c r="K1043" s="2">
        <f>IFERROR(__xludf.DUMMYFUNCTION("""COMPUTED_VALUE"""),215.46)</f>
        <v>215.46</v>
      </c>
    </row>
    <row r="1044">
      <c r="A1044" s="2">
        <f>IFERROR(__xludf.DUMMYFUNCTION("""COMPUTED_VALUE"""),1000.0)</f>
        <v>1000</v>
      </c>
      <c r="B1044" s="2">
        <f>IFERROR(__xludf.DUMMYFUNCTION("""COMPUTED_VALUE"""),184213.0)</f>
        <v>184213</v>
      </c>
      <c r="C1044" s="2">
        <f>IFERROR(__xludf.DUMMYFUNCTION("""COMPUTED_VALUE"""),2026.0)</f>
        <v>2026</v>
      </c>
      <c r="D1044" s="2">
        <f>IFERROR(__xludf.DUMMYFUNCTION("""COMPUTED_VALUE"""),46175.0)</f>
        <v>46175</v>
      </c>
      <c r="E1044" s="2" t="str">
        <f>IFERROR(__xludf.DUMMYFUNCTION("""COMPUTED_VALUE"""),"VF")</f>
        <v>VF</v>
      </c>
      <c r="F1044" s="2">
        <f>IFERROR(__xludf.DUMMYFUNCTION("""COMPUTED_VALUE"""),1.0)</f>
        <v>1</v>
      </c>
      <c r="G1044" s="2" t="str">
        <f>IFERROR(__xludf.DUMMYFUNCTION("""COMPUTED_VALUE"""),"PR017")</f>
        <v>PR017</v>
      </c>
      <c r="H1044" s="2" t="str">
        <f>IFERROR(__xludf.DUMMYFUNCTION("""COMPUTED_VALUE"""),"VD020")</f>
        <v>VD020</v>
      </c>
      <c r="I1044" s="2">
        <f>IFERROR(__xludf.DUMMYFUNCTION("""COMPUTED_VALUE"""),2.0)</f>
        <v>2</v>
      </c>
      <c r="J1044" s="2">
        <f>IFERROR(__xludf.DUMMYFUNCTION("""COMPUTED_VALUE"""),61.59)</f>
        <v>61.59</v>
      </c>
      <c r="K1044" s="2">
        <f>IFERROR(__xludf.DUMMYFUNCTION("""COMPUTED_VALUE"""),61.59)</f>
        <v>61.59</v>
      </c>
    </row>
    <row r="1045">
      <c r="A1045" s="2">
        <f>IFERROR(__xludf.DUMMYFUNCTION("""COMPUTED_VALUE"""),1000.0)</f>
        <v>1000</v>
      </c>
      <c r="B1045" s="2">
        <f>IFERROR(__xludf.DUMMYFUNCTION("""COMPUTED_VALUE"""),184214.0)</f>
        <v>184214</v>
      </c>
      <c r="C1045" s="2">
        <f>IFERROR(__xludf.DUMMYFUNCTION("""COMPUTED_VALUE"""),2026.0)</f>
        <v>2026</v>
      </c>
      <c r="D1045" s="2">
        <f>IFERROR(__xludf.DUMMYFUNCTION("""COMPUTED_VALUE"""),46175.0)</f>
        <v>46175</v>
      </c>
      <c r="E1045" s="2" t="str">
        <f>IFERROR(__xludf.DUMMYFUNCTION("""COMPUTED_VALUE"""),"VF")</f>
        <v>VF</v>
      </c>
      <c r="F1045" s="2">
        <f>IFERROR(__xludf.DUMMYFUNCTION("""COMPUTED_VALUE"""),1.0)</f>
        <v>1</v>
      </c>
      <c r="G1045" s="2" t="str">
        <f>IFERROR(__xludf.DUMMYFUNCTION("""COMPUTED_VALUE"""),"PR036")</f>
        <v>PR036</v>
      </c>
      <c r="H1045" s="2" t="str">
        <f>IFERROR(__xludf.DUMMYFUNCTION("""COMPUTED_VALUE"""),"VD010")</f>
        <v>VD010</v>
      </c>
      <c r="I1045" s="2">
        <f>IFERROR(__xludf.DUMMYFUNCTION("""COMPUTED_VALUE"""),10.0)</f>
        <v>10</v>
      </c>
      <c r="J1045" s="2">
        <f>IFERROR(__xludf.DUMMYFUNCTION("""COMPUTED_VALUE"""),935.0)</f>
        <v>935</v>
      </c>
      <c r="K1045" s="2">
        <f>IFERROR(__xludf.DUMMYFUNCTION("""COMPUTED_VALUE"""),935.0)</f>
        <v>935</v>
      </c>
    </row>
    <row r="1046">
      <c r="A1046" s="2">
        <f>IFERROR(__xludf.DUMMYFUNCTION("""COMPUTED_VALUE"""),1000.0)</f>
        <v>1000</v>
      </c>
      <c r="B1046" s="2">
        <f>IFERROR(__xludf.DUMMYFUNCTION("""COMPUTED_VALUE"""),184215.0)</f>
        <v>184215</v>
      </c>
      <c r="C1046" s="2">
        <f>IFERROR(__xludf.DUMMYFUNCTION("""COMPUTED_VALUE"""),2026.0)</f>
        <v>2026</v>
      </c>
      <c r="D1046" s="2">
        <f>IFERROR(__xludf.DUMMYFUNCTION("""COMPUTED_VALUE"""),46175.0)</f>
        <v>46175</v>
      </c>
      <c r="E1046" s="2" t="str">
        <f>IFERROR(__xludf.DUMMYFUNCTION("""COMPUTED_VALUE"""),"VF")</f>
        <v>VF</v>
      </c>
      <c r="F1046" s="2">
        <f>IFERROR(__xludf.DUMMYFUNCTION("""COMPUTED_VALUE"""),1.0)</f>
        <v>1</v>
      </c>
      <c r="G1046" s="2" t="str">
        <f>IFERROR(__xludf.DUMMYFUNCTION("""COMPUTED_VALUE"""),"PR009")</f>
        <v>PR009</v>
      </c>
      <c r="H1046" s="2" t="str">
        <f>IFERROR(__xludf.DUMMYFUNCTION("""COMPUTED_VALUE"""),"VD048")</f>
        <v>VD048</v>
      </c>
      <c r="I1046" s="2">
        <f>IFERROR(__xludf.DUMMYFUNCTION("""COMPUTED_VALUE"""),16.0)</f>
        <v>16</v>
      </c>
      <c r="J1046" s="2">
        <f>IFERROR(__xludf.DUMMYFUNCTION("""COMPUTED_VALUE"""),1560.72)</f>
        <v>1560.72</v>
      </c>
      <c r="K1046" s="2">
        <f>IFERROR(__xludf.DUMMYFUNCTION("""COMPUTED_VALUE"""),1560.72)</f>
        <v>1560.72</v>
      </c>
    </row>
    <row r="1047">
      <c r="A1047" s="2">
        <f>IFERROR(__xludf.DUMMYFUNCTION("""COMPUTED_VALUE"""),1000.0)</f>
        <v>1000</v>
      </c>
      <c r="B1047" s="2">
        <f>IFERROR(__xludf.DUMMYFUNCTION("""COMPUTED_VALUE"""),184215.0)</f>
        <v>184215</v>
      </c>
      <c r="C1047" s="2">
        <f>IFERROR(__xludf.DUMMYFUNCTION("""COMPUTED_VALUE"""),2026.0)</f>
        <v>2026</v>
      </c>
      <c r="D1047" s="2">
        <f>IFERROR(__xludf.DUMMYFUNCTION("""COMPUTED_VALUE"""),46175.0)</f>
        <v>46175</v>
      </c>
      <c r="E1047" s="2" t="str">
        <f>IFERROR(__xludf.DUMMYFUNCTION("""COMPUTED_VALUE"""),"VF")</f>
        <v>VF</v>
      </c>
      <c r="F1047" s="2">
        <f>IFERROR(__xludf.DUMMYFUNCTION("""COMPUTED_VALUE"""),2.0)</f>
        <v>2</v>
      </c>
      <c r="G1047" s="2" t="str">
        <f>IFERROR(__xludf.DUMMYFUNCTION("""COMPUTED_VALUE"""),"PR009")</f>
        <v>PR009</v>
      </c>
      <c r="H1047" s="2" t="str">
        <f>IFERROR(__xludf.DUMMYFUNCTION("""COMPUTED_VALUE"""),"VD043")</f>
        <v>VD043</v>
      </c>
      <c r="I1047" s="2">
        <f>IFERROR(__xludf.DUMMYFUNCTION("""COMPUTED_VALUE"""),2.0)</f>
        <v>2</v>
      </c>
      <c r="J1047" s="2">
        <f>IFERROR(__xludf.DUMMYFUNCTION("""COMPUTED_VALUE"""),198.81)</f>
        <v>198.81</v>
      </c>
      <c r="K1047" s="2">
        <f>IFERROR(__xludf.DUMMYFUNCTION("""COMPUTED_VALUE"""),198.81)</f>
        <v>198.81</v>
      </c>
    </row>
    <row r="1048">
      <c r="A1048" s="2">
        <f>IFERROR(__xludf.DUMMYFUNCTION("""COMPUTED_VALUE"""),1000.0)</f>
        <v>1000</v>
      </c>
      <c r="B1048" s="2">
        <f>IFERROR(__xludf.DUMMYFUNCTION("""COMPUTED_VALUE"""),184216.0)</f>
        <v>184216</v>
      </c>
      <c r="C1048" s="2">
        <f>IFERROR(__xludf.DUMMYFUNCTION("""COMPUTED_VALUE"""),2026.0)</f>
        <v>2026</v>
      </c>
      <c r="D1048" s="2">
        <f>IFERROR(__xludf.DUMMYFUNCTION("""COMPUTED_VALUE"""),46174.0)</f>
        <v>46174</v>
      </c>
      <c r="E1048" s="2" t="str">
        <f>IFERROR(__xludf.DUMMYFUNCTION("""COMPUTED_VALUE"""),"VF")</f>
        <v>VF</v>
      </c>
      <c r="F1048" s="2">
        <f>IFERROR(__xludf.DUMMYFUNCTION("""COMPUTED_VALUE"""),1.0)</f>
        <v>1</v>
      </c>
      <c r="G1048" s="2" t="str">
        <f>IFERROR(__xludf.DUMMYFUNCTION("""COMPUTED_VALUE"""),"PR001")</f>
        <v>PR001</v>
      </c>
      <c r="H1048" s="2" t="str">
        <f>IFERROR(__xludf.DUMMYFUNCTION("""COMPUTED_VALUE"""),"VD044")</f>
        <v>VD044</v>
      </c>
      <c r="I1048" s="2">
        <f>IFERROR(__xludf.DUMMYFUNCTION("""COMPUTED_VALUE"""),1.0)</f>
        <v>1</v>
      </c>
      <c r="J1048" s="2">
        <f>IFERROR(__xludf.DUMMYFUNCTION("""COMPUTED_VALUE"""),66.56)</f>
        <v>66.56</v>
      </c>
      <c r="K1048" s="2">
        <f>IFERROR(__xludf.DUMMYFUNCTION("""COMPUTED_VALUE"""),66.56)</f>
        <v>66.56</v>
      </c>
    </row>
    <row r="1049">
      <c r="A1049" s="2">
        <f>IFERROR(__xludf.DUMMYFUNCTION("""COMPUTED_VALUE"""),1000.0)</f>
        <v>1000</v>
      </c>
      <c r="B1049" s="2">
        <f>IFERROR(__xludf.DUMMYFUNCTION("""COMPUTED_VALUE"""),184217.0)</f>
        <v>184217</v>
      </c>
      <c r="C1049" s="2">
        <f>IFERROR(__xludf.DUMMYFUNCTION("""COMPUTED_VALUE"""),2026.0)</f>
        <v>2026</v>
      </c>
      <c r="D1049" s="2">
        <f>IFERROR(__xludf.DUMMYFUNCTION("""COMPUTED_VALUE"""),46174.0)</f>
        <v>46174</v>
      </c>
      <c r="E1049" s="2" t="str">
        <f>IFERROR(__xludf.DUMMYFUNCTION("""COMPUTED_VALUE"""),"VF")</f>
        <v>VF</v>
      </c>
      <c r="F1049" s="2">
        <f>IFERROR(__xludf.DUMMYFUNCTION("""COMPUTED_VALUE"""),1.0)</f>
        <v>1</v>
      </c>
      <c r="G1049" s="2" t="str">
        <f>IFERROR(__xludf.DUMMYFUNCTION("""COMPUTED_VALUE"""),"PR056")</f>
        <v>PR056</v>
      </c>
      <c r="H1049" s="2" t="str">
        <f>IFERROR(__xludf.DUMMYFUNCTION("""COMPUTED_VALUE"""),"VD020")</f>
        <v>VD020</v>
      </c>
      <c r="I1049" s="2">
        <f>IFERROR(__xludf.DUMMYFUNCTION("""COMPUTED_VALUE"""),10.0)</f>
        <v>10</v>
      </c>
      <c r="J1049" s="2">
        <f>IFERROR(__xludf.DUMMYFUNCTION("""COMPUTED_VALUE"""),916.98)</f>
        <v>916.98</v>
      </c>
      <c r="K1049" s="2">
        <f>IFERROR(__xludf.DUMMYFUNCTION("""COMPUTED_VALUE"""),916.98)</f>
        <v>916.98</v>
      </c>
    </row>
    <row r="1050">
      <c r="A1050" s="2">
        <f>IFERROR(__xludf.DUMMYFUNCTION("""COMPUTED_VALUE"""),1000.0)</f>
        <v>1000</v>
      </c>
      <c r="B1050" s="2">
        <f>IFERROR(__xludf.DUMMYFUNCTION("""COMPUTED_VALUE"""),184217.0)</f>
        <v>184217</v>
      </c>
      <c r="C1050" s="2">
        <f>IFERROR(__xludf.DUMMYFUNCTION("""COMPUTED_VALUE"""),2026.0)</f>
        <v>2026</v>
      </c>
      <c r="D1050" s="2">
        <f>IFERROR(__xludf.DUMMYFUNCTION("""COMPUTED_VALUE"""),46174.0)</f>
        <v>46174</v>
      </c>
      <c r="E1050" s="2" t="str">
        <f>IFERROR(__xludf.DUMMYFUNCTION("""COMPUTED_VALUE"""),"VF")</f>
        <v>VF</v>
      </c>
      <c r="F1050" s="2">
        <f>IFERROR(__xludf.DUMMYFUNCTION("""COMPUTED_VALUE"""),2.0)</f>
        <v>2</v>
      </c>
      <c r="G1050" s="2" t="str">
        <f>IFERROR(__xludf.DUMMYFUNCTION("""COMPUTED_VALUE"""),"PR008")</f>
        <v>PR008</v>
      </c>
      <c r="H1050" s="2" t="str">
        <f>IFERROR(__xludf.DUMMYFUNCTION("""COMPUTED_VALUE"""),"VD023")</f>
        <v>VD023</v>
      </c>
      <c r="I1050" s="2">
        <f>IFERROR(__xludf.DUMMYFUNCTION("""COMPUTED_VALUE"""),2.0)</f>
        <v>2</v>
      </c>
      <c r="J1050" s="2">
        <f>IFERROR(__xludf.DUMMYFUNCTION("""COMPUTED_VALUE"""),194.18)</f>
        <v>194.18</v>
      </c>
      <c r="K1050" s="2">
        <f>IFERROR(__xludf.DUMMYFUNCTION("""COMPUTED_VALUE"""),194.18)</f>
        <v>194.18</v>
      </c>
    </row>
    <row r="1051">
      <c r="A1051" s="2">
        <f>IFERROR(__xludf.DUMMYFUNCTION("""COMPUTED_VALUE"""),1000.0)</f>
        <v>1000</v>
      </c>
      <c r="B1051" s="2">
        <f>IFERROR(__xludf.DUMMYFUNCTION("""COMPUTED_VALUE"""),184218.0)</f>
        <v>184218</v>
      </c>
      <c r="C1051" s="2">
        <f>IFERROR(__xludf.DUMMYFUNCTION("""COMPUTED_VALUE"""),2026.0)</f>
        <v>2026</v>
      </c>
      <c r="D1051" s="2">
        <f>IFERROR(__xludf.DUMMYFUNCTION("""COMPUTED_VALUE"""),46174.0)</f>
        <v>46174</v>
      </c>
      <c r="E1051" s="2" t="str">
        <f>IFERROR(__xludf.DUMMYFUNCTION("""COMPUTED_VALUE"""),"VF")</f>
        <v>VF</v>
      </c>
      <c r="F1051" s="2">
        <f>IFERROR(__xludf.DUMMYFUNCTION("""COMPUTED_VALUE"""),1.0)</f>
        <v>1</v>
      </c>
      <c r="G1051" s="2" t="str">
        <f>IFERROR(__xludf.DUMMYFUNCTION("""COMPUTED_VALUE"""),"PR051")</f>
        <v>PR051</v>
      </c>
      <c r="H1051" s="2" t="str">
        <f>IFERROR(__xludf.DUMMYFUNCTION("""COMPUTED_VALUE"""),"VD011")</f>
        <v>VD011</v>
      </c>
      <c r="I1051" s="2">
        <f>IFERROR(__xludf.DUMMYFUNCTION("""COMPUTED_VALUE"""),10.0)</f>
        <v>10</v>
      </c>
      <c r="J1051" s="2">
        <f>IFERROR(__xludf.DUMMYFUNCTION("""COMPUTED_VALUE"""),338.87)</f>
        <v>338.87</v>
      </c>
      <c r="K1051" s="2">
        <f>IFERROR(__xludf.DUMMYFUNCTION("""COMPUTED_VALUE"""),338.87)</f>
        <v>338.87</v>
      </c>
    </row>
    <row r="1052">
      <c r="A1052" s="2">
        <f>IFERROR(__xludf.DUMMYFUNCTION("""COMPUTED_VALUE"""),1000.0)</f>
        <v>1000</v>
      </c>
      <c r="B1052" s="2">
        <f>IFERROR(__xludf.DUMMYFUNCTION("""COMPUTED_VALUE"""),184219.0)</f>
        <v>184219</v>
      </c>
      <c r="C1052" s="2">
        <f>IFERROR(__xludf.DUMMYFUNCTION("""COMPUTED_VALUE"""),2026.0)</f>
        <v>2026</v>
      </c>
      <c r="D1052" s="2">
        <f>IFERROR(__xludf.DUMMYFUNCTION("""COMPUTED_VALUE"""),46174.0)</f>
        <v>46174</v>
      </c>
      <c r="E1052" s="2" t="str">
        <f>IFERROR(__xludf.DUMMYFUNCTION("""COMPUTED_VALUE"""),"VF")</f>
        <v>VF</v>
      </c>
      <c r="F1052" s="2">
        <f>IFERROR(__xludf.DUMMYFUNCTION("""COMPUTED_VALUE"""),1.0)</f>
        <v>1</v>
      </c>
      <c r="G1052" s="2" t="str">
        <f>IFERROR(__xludf.DUMMYFUNCTION("""COMPUTED_VALUE"""),"PR037")</f>
        <v>PR037</v>
      </c>
      <c r="H1052" s="2" t="str">
        <f>IFERROR(__xludf.DUMMYFUNCTION("""COMPUTED_VALUE"""),"VD019")</f>
        <v>VD019</v>
      </c>
      <c r="I1052" s="2">
        <f>IFERROR(__xludf.DUMMYFUNCTION("""COMPUTED_VALUE"""),4.0)</f>
        <v>4</v>
      </c>
      <c r="J1052" s="2">
        <f>IFERROR(__xludf.DUMMYFUNCTION("""COMPUTED_VALUE"""),616.0)</f>
        <v>616</v>
      </c>
      <c r="K1052" s="2">
        <f>IFERROR(__xludf.DUMMYFUNCTION("""COMPUTED_VALUE"""),616.0)</f>
        <v>616</v>
      </c>
    </row>
    <row r="1053">
      <c r="A1053" s="2">
        <f>IFERROR(__xludf.DUMMYFUNCTION("""COMPUTED_VALUE"""),1000.0)</f>
        <v>1000</v>
      </c>
      <c r="B1053" s="2">
        <f>IFERROR(__xludf.DUMMYFUNCTION("""COMPUTED_VALUE"""),184220.0)</f>
        <v>184220</v>
      </c>
      <c r="C1053" s="2">
        <f>IFERROR(__xludf.DUMMYFUNCTION("""COMPUTED_VALUE"""),2026.0)</f>
        <v>2026</v>
      </c>
      <c r="D1053" s="2">
        <f>IFERROR(__xludf.DUMMYFUNCTION("""COMPUTED_VALUE"""),46173.0)</f>
        <v>46173</v>
      </c>
      <c r="E1053" s="2" t="str">
        <f>IFERROR(__xludf.DUMMYFUNCTION("""COMPUTED_VALUE"""),"VF")</f>
        <v>VF</v>
      </c>
      <c r="F1053" s="2">
        <f>IFERROR(__xludf.DUMMYFUNCTION("""COMPUTED_VALUE"""),1.0)</f>
        <v>1</v>
      </c>
      <c r="G1053" s="2" t="str">
        <f>IFERROR(__xludf.DUMMYFUNCTION("""COMPUTED_VALUE"""),"PR055")</f>
        <v>PR055</v>
      </c>
      <c r="H1053" s="2" t="str">
        <f>IFERROR(__xludf.DUMMYFUNCTION("""COMPUTED_VALUE"""),"VD038")</f>
        <v>VD038</v>
      </c>
      <c r="I1053" s="2">
        <f>IFERROR(__xludf.DUMMYFUNCTION("""COMPUTED_VALUE"""),20.0)</f>
        <v>20</v>
      </c>
      <c r="J1053" s="2">
        <f>IFERROR(__xludf.DUMMYFUNCTION("""COMPUTED_VALUE"""),1923.86)</f>
        <v>1923.86</v>
      </c>
      <c r="K1053" s="2">
        <f>IFERROR(__xludf.DUMMYFUNCTION("""COMPUTED_VALUE"""),1923.86)</f>
        <v>1923.86</v>
      </c>
    </row>
    <row r="1054">
      <c r="A1054" s="2">
        <f>IFERROR(__xludf.DUMMYFUNCTION("""COMPUTED_VALUE"""),1000.0)</f>
        <v>1000</v>
      </c>
      <c r="B1054" s="2">
        <f>IFERROR(__xludf.DUMMYFUNCTION("""COMPUTED_VALUE"""),184221.0)</f>
        <v>184221</v>
      </c>
      <c r="C1054" s="2">
        <f>IFERROR(__xludf.DUMMYFUNCTION("""COMPUTED_VALUE"""),2026.0)</f>
        <v>2026</v>
      </c>
      <c r="D1054" s="2">
        <f>IFERROR(__xludf.DUMMYFUNCTION("""COMPUTED_VALUE"""),46173.0)</f>
        <v>46173</v>
      </c>
      <c r="E1054" s="2" t="str">
        <f>IFERROR(__xludf.DUMMYFUNCTION("""COMPUTED_VALUE"""),"VF")</f>
        <v>VF</v>
      </c>
      <c r="F1054" s="2">
        <f>IFERROR(__xludf.DUMMYFUNCTION("""COMPUTED_VALUE"""),1.0)</f>
        <v>1</v>
      </c>
      <c r="G1054" s="2" t="str">
        <f>IFERROR(__xludf.DUMMYFUNCTION("""COMPUTED_VALUE"""),"PR005")</f>
        <v>PR005</v>
      </c>
      <c r="H1054" s="2" t="str">
        <f>IFERROR(__xludf.DUMMYFUNCTION("""COMPUTED_VALUE"""),"VD049")</f>
        <v>VD049</v>
      </c>
      <c r="I1054" s="2">
        <f>IFERROR(__xludf.DUMMYFUNCTION("""COMPUTED_VALUE"""),5.0)</f>
        <v>5</v>
      </c>
      <c r="J1054" s="2">
        <f>IFERROR(__xludf.DUMMYFUNCTION("""COMPUTED_VALUE"""),1364.48)</f>
        <v>1364.48</v>
      </c>
      <c r="K1054" s="2">
        <f>IFERROR(__xludf.DUMMYFUNCTION("""COMPUTED_VALUE"""),1364.48)</f>
        <v>1364.48</v>
      </c>
    </row>
    <row r="1055">
      <c r="A1055" s="2">
        <f>IFERROR(__xludf.DUMMYFUNCTION("""COMPUTED_VALUE"""),1000.0)</f>
        <v>1000</v>
      </c>
      <c r="B1055" s="2">
        <f>IFERROR(__xludf.DUMMYFUNCTION("""COMPUTED_VALUE"""),184222.0)</f>
        <v>184222</v>
      </c>
      <c r="C1055" s="2">
        <f>IFERROR(__xludf.DUMMYFUNCTION("""COMPUTED_VALUE"""),2026.0)</f>
        <v>2026</v>
      </c>
      <c r="D1055" s="2">
        <f>IFERROR(__xludf.DUMMYFUNCTION("""COMPUTED_VALUE"""),46172.0)</f>
        <v>46172</v>
      </c>
      <c r="E1055" s="2" t="str">
        <f>IFERROR(__xludf.DUMMYFUNCTION("""COMPUTED_VALUE"""),"VF")</f>
        <v>VF</v>
      </c>
      <c r="F1055" s="2">
        <f>IFERROR(__xludf.DUMMYFUNCTION("""COMPUTED_VALUE"""),1.0)</f>
        <v>1</v>
      </c>
      <c r="G1055" s="2" t="str">
        <f>IFERROR(__xludf.DUMMYFUNCTION("""COMPUTED_VALUE"""),"PR025")</f>
        <v>PR025</v>
      </c>
      <c r="H1055" s="2" t="str">
        <f>IFERROR(__xludf.DUMMYFUNCTION("""COMPUTED_VALUE"""),"VD018")</f>
        <v>VD018</v>
      </c>
      <c r="I1055" s="2">
        <f>IFERROR(__xludf.DUMMYFUNCTION("""COMPUTED_VALUE"""),8.0)</f>
        <v>8</v>
      </c>
      <c r="J1055" s="2">
        <f>IFERROR(__xludf.DUMMYFUNCTION("""COMPUTED_VALUE"""),2519.16)</f>
        <v>2519.16</v>
      </c>
      <c r="K1055" s="2">
        <f>IFERROR(__xludf.DUMMYFUNCTION("""COMPUTED_VALUE"""),2519.16)</f>
        <v>2519.16</v>
      </c>
    </row>
    <row r="1056">
      <c r="A1056" s="2">
        <f>IFERROR(__xludf.DUMMYFUNCTION("""COMPUTED_VALUE"""),1000.0)</f>
        <v>1000</v>
      </c>
      <c r="B1056" s="2">
        <f>IFERROR(__xludf.DUMMYFUNCTION("""COMPUTED_VALUE"""),184223.0)</f>
        <v>184223</v>
      </c>
      <c r="C1056" s="2">
        <f>IFERROR(__xludf.DUMMYFUNCTION("""COMPUTED_VALUE"""),2026.0)</f>
        <v>2026</v>
      </c>
      <c r="D1056" s="2">
        <f>IFERROR(__xludf.DUMMYFUNCTION("""COMPUTED_VALUE"""),46172.0)</f>
        <v>46172</v>
      </c>
      <c r="E1056" s="2" t="str">
        <f>IFERROR(__xludf.DUMMYFUNCTION("""COMPUTED_VALUE"""),"VF")</f>
        <v>VF</v>
      </c>
      <c r="F1056" s="2">
        <f>IFERROR(__xludf.DUMMYFUNCTION("""COMPUTED_VALUE"""),1.0)</f>
        <v>1</v>
      </c>
      <c r="G1056" s="2" t="str">
        <f>IFERROR(__xludf.DUMMYFUNCTION("""COMPUTED_VALUE"""),"PR034")</f>
        <v>PR034</v>
      </c>
      <c r="H1056" s="2" t="str">
        <f>IFERROR(__xludf.DUMMYFUNCTION("""COMPUTED_VALUE"""),"VD015")</f>
        <v>VD015</v>
      </c>
      <c r="I1056" s="2">
        <f>IFERROR(__xludf.DUMMYFUNCTION("""COMPUTED_VALUE"""),2.0)</f>
        <v>2</v>
      </c>
      <c r="J1056" s="2">
        <f>IFERROR(__xludf.DUMMYFUNCTION("""COMPUTED_VALUE"""),192.39)</f>
        <v>192.39</v>
      </c>
      <c r="K1056" s="2">
        <f>IFERROR(__xludf.DUMMYFUNCTION("""COMPUTED_VALUE"""),192.39)</f>
        <v>192.39</v>
      </c>
    </row>
    <row r="1057">
      <c r="A1057" s="2">
        <f>IFERROR(__xludf.DUMMYFUNCTION("""COMPUTED_VALUE"""),1000.0)</f>
        <v>1000</v>
      </c>
      <c r="B1057" s="2">
        <f>IFERROR(__xludf.DUMMYFUNCTION("""COMPUTED_VALUE"""),184224.0)</f>
        <v>184224</v>
      </c>
      <c r="C1057" s="2">
        <f>IFERROR(__xludf.DUMMYFUNCTION("""COMPUTED_VALUE"""),2026.0)</f>
        <v>2026</v>
      </c>
      <c r="D1057" s="2">
        <f>IFERROR(__xludf.DUMMYFUNCTION("""COMPUTED_VALUE"""),46172.0)</f>
        <v>46172</v>
      </c>
      <c r="E1057" s="2" t="str">
        <f>IFERROR(__xludf.DUMMYFUNCTION("""COMPUTED_VALUE"""),"VF")</f>
        <v>VF</v>
      </c>
      <c r="F1057" s="2">
        <f>IFERROR(__xludf.DUMMYFUNCTION("""COMPUTED_VALUE"""),1.0)</f>
        <v>1</v>
      </c>
      <c r="G1057" s="2" t="str">
        <f>IFERROR(__xludf.DUMMYFUNCTION("""COMPUTED_VALUE"""),"PR048")</f>
        <v>PR048</v>
      </c>
      <c r="H1057" s="2" t="str">
        <f>IFERROR(__xludf.DUMMYFUNCTION("""COMPUTED_VALUE"""),"VD034")</f>
        <v>VD034</v>
      </c>
      <c r="I1057" s="2">
        <f>IFERROR(__xludf.DUMMYFUNCTION("""COMPUTED_VALUE"""),20.0)</f>
        <v>20</v>
      </c>
      <c r="J1057" s="2">
        <f>IFERROR(__xludf.DUMMYFUNCTION("""COMPUTED_VALUE"""),5855.98)</f>
        <v>5855.98</v>
      </c>
      <c r="K1057" s="2">
        <f>IFERROR(__xludf.DUMMYFUNCTION("""COMPUTED_VALUE"""),5855.98)</f>
        <v>5855.98</v>
      </c>
    </row>
    <row r="1058">
      <c r="A1058" s="2">
        <f>IFERROR(__xludf.DUMMYFUNCTION("""COMPUTED_VALUE"""),1000.0)</f>
        <v>1000</v>
      </c>
      <c r="B1058" s="2">
        <f>IFERROR(__xludf.DUMMYFUNCTION("""COMPUTED_VALUE"""),184225.0)</f>
        <v>184225</v>
      </c>
      <c r="C1058" s="2">
        <f>IFERROR(__xludf.DUMMYFUNCTION("""COMPUTED_VALUE"""),2026.0)</f>
        <v>2026</v>
      </c>
      <c r="D1058" s="2">
        <f>IFERROR(__xludf.DUMMYFUNCTION("""COMPUTED_VALUE"""),46171.0)</f>
        <v>46171</v>
      </c>
      <c r="E1058" s="2" t="str">
        <f>IFERROR(__xludf.DUMMYFUNCTION("""COMPUTED_VALUE"""),"VF")</f>
        <v>VF</v>
      </c>
      <c r="F1058" s="2">
        <f>IFERROR(__xludf.DUMMYFUNCTION("""COMPUTED_VALUE"""),1.0)</f>
        <v>1</v>
      </c>
      <c r="G1058" s="2" t="str">
        <f>IFERROR(__xludf.DUMMYFUNCTION("""COMPUTED_VALUE"""),"PR024")</f>
        <v>PR024</v>
      </c>
      <c r="H1058" s="2" t="str">
        <f>IFERROR(__xludf.DUMMYFUNCTION("""COMPUTED_VALUE"""),"VD046")</f>
        <v>VD046</v>
      </c>
      <c r="I1058" s="2">
        <f>IFERROR(__xludf.DUMMYFUNCTION("""COMPUTED_VALUE"""),2.0)</f>
        <v>2</v>
      </c>
      <c r="J1058" s="2">
        <f>IFERROR(__xludf.DUMMYFUNCTION("""COMPUTED_VALUE"""),530.2)</f>
        <v>530.2</v>
      </c>
      <c r="K1058" s="2">
        <f>IFERROR(__xludf.DUMMYFUNCTION("""COMPUTED_VALUE"""),530.2)</f>
        <v>530.2</v>
      </c>
    </row>
    <row r="1059">
      <c r="A1059" s="2">
        <f>IFERROR(__xludf.DUMMYFUNCTION("""COMPUTED_VALUE"""),1000.0)</f>
        <v>1000</v>
      </c>
      <c r="B1059" s="2">
        <f>IFERROR(__xludf.DUMMYFUNCTION("""COMPUTED_VALUE"""),184226.0)</f>
        <v>184226</v>
      </c>
      <c r="C1059" s="2">
        <f>IFERROR(__xludf.DUMMYFUNCTION("""COMPUTED_VALUE"""),2026.0)</f>
        <v>2026</v>
      </c>
      <c r="D1059" s="2">
        <f>IFERROR(__xludf.DUMMYFUNCTION("""COMPUTED_VALUE"""),46171.0)</f>
        <v>46171</v>
      </c>
      <c r="E1059" s="2" t="str">
        <f>IFERROR(__xludf.DUMMYFUNCTION("""COMPUTED_VALUE"""),"VF")</f>
        <v>VF</v>
      </c>
      <c r="F1059" s="2">
        <f>IFERROR(__xludf.DUMMYFUNCTION("""COMPUTED_VALUE"""),1.0)</f>
        <v>1</v>
      </c>
      <c r="G1059" s="2" t="str">
        <f>IFERROR(__xludf.DUMMYFUNCTION("""COMPUTED_VALUE"""),"PR028")</f>
        <v>PR028</v>
      </c>
      <c r="H1059" s="2" t="str">
        <f>IFERROR(__xludf.DUMMYFUNCTION("""COMPUTED_VALUE"""),"VD014")</f>
        <v>VD014</v>
      </c>
      <c r="I1059" s="2">
        <f>IFERROR(__xludf.DUMMYFUNCTION("""COMPUTED_VALUE"""),4.0)</f>
        <v>4</v>
      </c>
      <c r="J1059" s="2">
        <f>IFERROR(__xludf.DUMMYFUNCTION("""COMPUTED_VALUE"""),1069.57)</f>
        <v>1069.57</v>
      </c>
      <c r="K1059" s="2">
        <f>IFERROR(__xludf.DUMMYFUNCTION("""COMPUTED_VALUE"""),1069.57)</f>
        <v>1069.57</v>
      </c>
    </row>
    <row r="1060">
      <c r="A1060" s="2">
        <f>IFERROR(__xludf.DUMMYFUNCTION("""COMPUTED_VALUE"""),1000.0)</f>
        <v>1000</v>
      </c>
      <c r="B1060" s="2">
        <f>IFERROR(__xludf.DUMMYFUNCTION("""COMPUTED_VALUE"""),184227.0)</f>
        <v>184227</v>
      </c>
      <c r="C1060" s="2">
        <f>IFERROR(__xludf.DUMMYFUNCTION("""COMPUTED_VALUE"""),2026.0)</f>
        <v>2026</v>
      </c>
      <c r="D1060" s="2">
        <f>IFERROR(__xludf.DUMMYFUNCTION("""COMPUTED_VALUE"""),46170.0)</f>
        <v>46170</v>
      </c>
      <c r="E1060" s="2" t="str">
        <f>IFERROR(__xludf.DUMMYFUNCTION("""COMPUTED_VALUE"""),"VF")</f>
        <v>VF</v>
      </c>
      <c r="F1060" s="2">
        <f>IFERROR(__xludf.DUMMYFUNCTION("""COMPUTED_VALUE"""),1.0)</f>
        <v>1</v>
      </c>
      <c r="G1060" s="2" t="str">
        <f>IFERROR(__xludf.DUMMYFUNCTION("""COMPUTED_VALUE"""),"PR018")</f>
        <v>PR018</v>
      </c>
      <c r="H1060" s="2" t="str">
        <f>IFERROR(__xludf.DUMMYFUNCTION("""COMPUTED_VALUE"""),"VD041")</f>
        <v>VD041</v>
      </c>
      <c r="I1060" s="2">
        <f>IFERROR(__xludf.DUMMYFUNCTION("""COMPUTED_VALUE"""),3.0)</f>
        <v>3</v>
      </c>
      <c r="J1060" s="2">
        <f>IFERROR(__xludf.DUMMYFUNCTION("""COMPUTED_VALUE"""),102.65)</f>
        <v>102.65</v>
      </c>
      <c r="K1060" s="2">
        <f>IFERROR(__xludf.DUMMYFUNCTION("""COMPUTED_VALUE"""),102.65)</f>
        <v>102.65</v>
      </c>
    </row>
    <row r="1061">
      <c r="A1061" s="2">
        <f>IFERROR(__xludf.DUMMYFUNCTION("""COMPUTED_VALUE"""),1000.0)</f>
        <v>1000</v>
      </c>
      <c r="B1061" s="2">
        <f>IFERROR(__xludf.DUMMYFUNCTION("""COMPUTED_VALUE"""),184228.0)</f>
        <v>184228</v>
      </c>
      <c r="C1061" s="2">
        <f>IFERROR(__xludf.DUMMYFUNCTION("""COMPUTED_VALUE"""),2026.0)</f>
        <v>2026</v>
      </c>
      <c r="D1061" s="2">
        <f>IFERROR(__xludf.DUMMYFUNCTION("""COMPUTED_VALUE"""),46170.0)</f>
        <v>46170</v>
      </c>
      <c r="E1061" s="2" t="str">
        <f>IFERROR(__xludf.DUMMYFUNCTION("""COMPUTED_VALUE"""),"VF")</f>
        <v>VF</v>
      </c>
      <c r="F1061" s="2">
        <f>IFERROR(__xludf.DUMMYFUNCTION("""COMPUTED_VALUE"""),1.0)</f>
        <v>1</v>
      </c>
      <c r="G1061" s="2" t="str">
        <f>IFERROR(__xludf.DUMMYFUNCTION("""COMPUTED_VALUE"""),"PR001")</f>
        <v>PR001</v>
      </c>
      <c r="H1061" s="2" t="str">
        <f>IFERROR(__xludf.DUMMYFUNCTION("""COMPUTED_VALUE"""),"VD027")</f>
        <v>VD027</v>
      </c>
      <c r="I1061" s="2">
        <f>IFERROR(__xludf.DUMMYFUNCTION("""COMPUTED_VALUE"""),18.0)</f>
        <v>18</v>
      </c>
      <c r="J1061" s="2">
        <f>IFERROR(__xludf.DUMMYFUNCTION("""COMPUTED_VALUE"""),1221.79)</f>
        <v>1221.79</v>
      </c>
      <c r="K1061" s="2">
        <f>IFERROR(__xludf.DUMMYFUNCTION("""COMPUTED_VALUE"""),1221.79)</f>
        <v>1221.79</v>
      </c>
    </row>
    <row r="1062">
      <c r="A1062" s="2">
        <f>IFERROR(__xludf.DUMMYFUNCTION("""COMPUTED_VALUE"""),1000.0)</f>
        <v>1000</v>
      </c>
      <c r="B1062" s="2">
        <f>IFERROR(__xludf.DUMMYFUNCTION("""COMPUTED_VALUE"""),184229.0)</f>
        <v>184229</v>
      </c>
      <c r="C1062" s="2">
        <f>IFERROR(__xludf.DUMMYFUNCTION("""COMPUTED_VALUE"""),2026.0)</f>
        <v>2026</v>
      </c>
      <c r="D1062" s="2">
        <f>IFERROR(__xludf.DUMMYFUNCTION("""COMPUTED_VALUE"""),46170.0)</f>
        <v>46170</v>
      </c>
      <c r="E1062" s="2" t="str">
        <f>IFERROR(__xludf.DUMMYFUNCTION("""COMPUTED_VALUE"""),"VF")</f>
        <v>VF</v>
      </c>
      <c r="F1062" s="2">
        <f>IFERROR(__xludf.DUMMYFUNCTION("""COMPUTED_VALUE"""),1.0)</f>
        <v>1</v>
      </c>
      <c r="G1062" s="2" t="str">
        <f>IFERROR(__xludf.DUMMYFUNCTION("""COMPUTED_VALUE"""),"PR021")</f>
        <v>PR021</v>
      </c>
      <c r="H1062" s="2" t="str">
        <f>IFERROR(__xludf.DUMMYFUNCTION("""COMPUTED_VALUE"""),"VD048")</f>
        <v>VD048</v>
      </c>
      <c r="I1062" s="2">
        <f>IFERROR(__xludf.DUMMYFUNCTION("""COMPUTED_VALUE"""),2.0)</f>
        <v>2</v>
      </c>
      <c r="J1062" s="2">
        <f>IFERROR(__xludf.DUMMYFUNCTION("""COMPUTED_VALUE"""),617.92)</f>
        <v>617.92</v>
      </c>
      <c r="K1062" s="2">
        <f>IFERROR(__xludf.DUMMYFUNCTION("""COMPUTED_VALUE"""),617.92)</f>
        <v>617.92</v>
      </c>
    </row>
    <row r="1063">
      <c r="A1063" s="2">
        <f>IFERROR(__xludf.DUMMYFUNCTION("""COMPUTED_VALUE"""),1000.0)</f>
        <v>1000</v>
      </c>
      <c r="B1063" s="2">
        <f>IFERROR(__xludf.DUMMYFUNCTION("""COMPUTED_VALUE"""),184229.0)</f>
        <v>184229</v>
      </c>
      <c r="C1063" s="2">
        <f>IFERROR(__xludf.DUMMYFUNCTION("""COMPUTED_VALUE"""),2026.0)</f>
        <v>2026</v>
      </c>
      <c r="D1063" s="2">
        <f>IFERROR(__xludf.DUMMYFUNCTION("""COMPUTED_VALUE"""),46170.0)</f>
        <v>46170</v>
      </c>
      <c r="E1063" s="2" t="str">
        <f>IFERROR(__xludf.DUMMYFUNCTION("""COMPUTED_VALUE"""),"VF")</f>
        <v>VF</v>
      </c>
      <c r="F1063" s="2">
        <f>IFERROR(__xludf.DUMMYFUNCTION("""COMPUTED_VALUE"""),2.0)</f>
        <v>2</v>
      </c>
      <c r="G1063" s="2" t="str">
        <f>IFERROR(__xludf.DUMMYFUNCTION("""COMPUTED_VALUE"""),"PR012")</f>
        <v>PR012</v>
      </c>
      <c r="H1063" s="2" t="str">
        <f>IFERROR(__xludf.DUMMYFUNCTION("""COMPUTED_VALUE"""),"VD012")</f>
        <v>VD012</v>
      </c>
      <c r="I1063" s="2">
        <f>IFERROR(__xludf.DUMMYFUNCTION("""COMPUTED_VALUE"""),3.0)</f>
        <v>3</v>
      </c>
      <c r="J1063" s="2">
        <f>IFERROR(__xludf.DUMMYFUNCTION("""COMPUTED_VALUE"""),152.57)</f>
        <v>152.57</v>
      </c>
      <c r="K1063" s="2">
        <f>IFERROR(__xludf.DUMMYFUNCTION("""COMPUTED_VALUE"""),152.57)</f>
        <v>152.57</v>
      </c>
    </row>
    <row r="1064">
      <c r="A1064" s="2">
        <f>IFERROR(__xludf.DUMMYFUNCTION("""COMPUTED_VALUE"""),1000.0)</f>
        <v>1000</v>
      </c>
      <c r="B1064" s="2">
        <f>IFERROR(__xludf.DUMMYFUNCTION("""COMPUTED_VALUE"""),184230.0)</f>
        <v>184230</v>
      </c>
      <c r="C1064" s="2">
        <f>IFERROR(__xludf.DUMMYFUNCTION("""COMPUTED_VALUE"""),2026.0)</f>
        <v>2026</v>
      </c>
      <c r="D1064" s="2">
        <f>IFERROR(__xludf.DUMMYFUNCTION("""COMPUTED_VALUE"""),46169.0)</f>
        <v>46169</v>
      </c>
      <c r="E1064" s="2" t="str">
        <f>IFERROR(__xludf.DUMMYFUNCTION("""COMPUTED_VALUE"""),"VF")</f>
        <v>VF</v>
      </c>
      <c r="F1064" s="2">
        <f>IFERROR(__xludf.DUMMYFUNCTION("""COMPUTED_VALUE"""),1.0)</f>
        <v>1</v>
      </c>
      <c r="G1064" s="2" t="str">
        <f>IFERROR(__xludf.DUMMYFUNCTION("""COMPUTED_VALUE"""),"PR035")</f>
        <v>PR035</v>
      </c>
      <c r="H1064" s="2" t="str">
        <f>IFERROR(__xludf.DUMMYFUNCTION("""COMPUTED_VALUE"""),"VD023")</f>
        <v>VD023</v>
      </c>
      <c r="I1064" s="2">
        <f>IFERROR(__xludf.DUMMYFUNCTION("""COMPUTED_VALUE"""),1.0)</f>
        <v>1</v>
      </c>
      <c r="J1064" s="2">
        <f>IFERROR(__xludf.DUMMYFUNCTION("""COMPUTED_VALUE"""),99.63)</f>
        <v>99.63</v>
      </c>
      <c r="K1064" s="2">
        <f>IFERROR(__xludf.DUMMYFUNCTION("""COMPUTED_VALUE"""),99.63)</f>
        <v>99.63</v>
      </c>
    </row>
    <row r="1065">
      <c r="A1065" s="2">
        <f>IFERROR(__xludf.DUMMYFUNCTION("""COMPUTED_VALUE"""),2000.0)</f>
        <v>2000</v>
      </c>
      <c r="B1065" s="2">
        <f>IFERROR(__xludf.DUMMYFUNCTION("""COMPUTED_VALUE"""),184230.0)</f>
        <v>184230</v>
      </c>
      <c r="C1065" s="2">
        <f>IFERROR(__xludf.DUMMYFUNCTION("""COMPUTED_VALUE"""),2026.0)</f>
        <v>2026</v>
      </c>
      <c r="D1065" s="2">
        <f>IFERROR(__xludf.DUMMYFUNCTION("""COMPUTED_VALUE"""),46169.0)</f>
        <v>46169</v>
      </c>
      <c r="E1065" s="2" t="str">
        <f>IFERROR(__xludf.DUMMYFUNCTION("""COMPUTED_VALUE"""),"VF")</f>
        <v>VF</v>
      </c>
      <c r="F1065" s="2">
        <f>IFERROR(__xludf.DUMMYFUNCTION("""COMPUTED_VALUE"""),2.0)</f>
        <v>2</v>
      </c>
      <c r="G1065" s="2" t="str">
        <f>IFERROR(__xludf.DUMMYFUNCTION("""COMPUTED_VALUE"""),"PR006")</f>
        <v>PR006</v>
      </c>
      <c r="H1065" s="2" t="str">
        <f>IFERROR(__xludf.DUMMYFUNCTION("""COMPUTED_VALUE"""),"VD030")</f>
        <v>VD030</v>
      </c>
      <c r="I1065" s="2">
        <f>IFERROR(__xludf.DUMMYFUNCTION("""COMPUTED_VALUE"""),16.0)</f>
        <v>16</v>
      </c>
      <c r="J1065" s="2">
        <f>IFERROR(__xludf.DUMMYFUNCTION("""COMPUTED_VALUE"""),689.47)</f>
        <v>689.47</v>
      </c>
      <c r="K1065" s="2">
        <f>IFERROR(__xludf.DUMMYFUNCTION("""COMPUTED_VALUE"""),689.47)</f>
        <v>689.47</v>
      </c>
    </row>
    <row r="1066">
      <c r="A1066" s="2">
        <f>IFERROR(__xludf.DUMMYFUNCTION("""COMPUTED_VALUE"""),1000.0)</f>
        <v>1000</v>
      </c>
      <c r="B1066" s="2">
        <f>IFERROR(__xludf.DUMMYFUNCTION("""COMPUTED_VALUE"""),184231.0)</f>
        <v>184231</v>
      </c>
      <c r="C1066" s="2">
        <f>IFERROR(__xludf.DUMMYFUNCTION("""COMPUTED_VALUE"""),2026.0)</f>
        <v>2026</v>
      </c>
      <c r="D1066" s="2">
        <f>IFERROR(__xludf.DUMMYFUNCTION("""COMPUTED_VALUE"""),46168.0)</f>
        <v>46168</v>
      </c>
      <c r="E1066" s="2" t="str">
        <f>IFERROR(__xludf.DUMMYFUNCTION("""COMPUTED_VALUE"""),"VF")</f>
        <v>VF</v>
      </c>
      <c r="F1066" s="2">
        <f>IFERROR(__xludf.DUMMYFUNCTION("""COMPUTED_VALUE"""),1.0)</f>
        <v>1</v>
      </c>
      <c r="G1066" s="2" t="str">
        <f>IFERROR(__xludf.DUMMYFUNCTION("""COMPUTED_VALUE"""),"PR053")</f>
        <v>PR053</v>
      </c>
      <c r="H1066" s="2" t="str">
        <f>IFERROR(__xludf.DUMMYFUNCTION("""COMPUTED_VALUE"""),"VD011")</f>
        <v>VD011</v>
      </c>
      <c r="I1066" s="2">
        <f>IFERROR(__xludf.DUMMYFUNCTION("""COMPUTED_VALUE"""),8.0)</f>
        <v>8</v>
      </c>
      <c r="J1066" s="2">
        <f>IFERROR(__xludf.DUMMYFUNCTION("""COMPUTED_VALUE"""),415.17)</f>
        <v>415.17</v>
      </c>
      <c r="K1066" s="2">
        <f>IFERROR(__xludf.DUMMYFUNCTION("""COMPUTED_VALUE"""),415.17)</f>
        <v>415.17</v>
      </c>
    </row>
    <row r="1067">
      <c r="A1067" s="2">
        <f>IFERROR(__xludf.DUMMYFUNCTION("""COMPUTED_VALUE"""),1000.0)</f>
        <v>1000</v>
      </c>
      <c r="B1067" s="2">
        <f>IFERROR(__xludf.DUMMYFUNCTION("""COMPUTED_VALUE"""),184232.0)</f>
        <v>184232</v>
      </c>
      <c r="C1067" s="2">
        <f>IFERROR(__xludf.DUMMYFUNCTION("""COMPUTED_VALUE"""),2026.0)</f>
        <v>2026</v>
      </c>
      <c r="D1067" s="2">
        <f>IFERROR(__xludf.DUMMYFUNCTION("""COMPUTED_VALUE"""),46168.0)</f>
        <v>46168</v>
      </c>
      <c r="E1067" s="2" t="str">
        <f>IFERROR(__xludf.DUMMYFUNCTION("""COMPUTED_VALUE"""),"VF")</f>
        <v>VF</v>
      </c>
      <c r="F1067" s="2">
        <f>IFERROR(__xludf.DUMMYFUNCTION("""COMPUTED_VALUE"""),1.0)</f>
        <v>1</v>
      </c>
      <c r="G1067" s="2" t="str">
        <f>IFERROR(__xludf.DUMMYFUNCTION("""COMPUTED_VALUE"""),"PR009")</f>
        <v>PR009</v>
      </c>
      <c r="H1067" s="2" t="str">
        <f>IFERROR(__xludf.DUMMYFUNCTION("""COMPUTED_VALUE"""),"VD028")</f>
        <v>VD028</v>
      </c>
      <c r="I1067" s="2">
        <f>IFERROR(__xludf.DUMMYFUNCTION("""COMPUTED_VALUE"""),8.0)</f>
        <v>8</v>
      </c>
      <c r="J1067" s="2">
        <f>IFERROR(__xludf.DUMMYFUNCTION("""COMPUTED_VALUE"""),765.5)</f>
        <v>765.5</v>
      </c>
      <c r="K1067" s="2">
        <f>IFERROR(__xludf.DUMMYFUNCTION("""COMPUTED_VALUE"""),765.5)</f>
        <v>765.5</v>
      </c>
    </row>
    <row r="1068">
      <c r="A1068" s="2">
        <f>IFERROR(__xludf.DUMMYFUNCTION("""COMPUTED_VALUE"""),1000.0)</f>
        <v>1000</v>
      </c>
      <c r="B1068" s="2">
        <f>IFERROR(__xludf.DUMMYFUNCTION("""COMPUTED_VALUE"""),184233.0)</f>
        <v>184233</v>
      </c>
      <c r="C1068" s="2">
        <f>IFERROR(__xludf.DUMMYFUNCTION("""COMPUTED_VALUE"""),2026.0)</f>
        <v>2026</v>
      </c>
      <c r="D1068" s="2">
        <f>IFERROR(__xludf.DUMMYFUNCTION("""COMPUTED_VALUE"""),46167.0)</f>
        <v>46167</v>
      </c>
      <c r="E1068" s="2" t="str">
        <f>IFERROR(__xludf.DUMMYFUNCTION("""COMPUTED_VALUE"""),"VF")</f>
        <v>VF</v>
      </c>
      <c r="F1068" s="2">
        <f>IFERROR(__xludf.DUMMYFUNCTION("""COMPUTED_VALUE"""),1.0)</f>
        <v>1</v>
      </c>
      <c r="G1068" s="2" t="str">
        <f>IFERROR(__xludf.DUMMYFUNCTION("""COMPUTED_VALUE"""),"PR004")</f>
        <v>PR004</v>
      </c>
      <c r="H1068" s="2" t="str">
        <f>IFERROR(__xludf.DUMMYFUNCTION("""COMPUTED_VALUE"""),"VD043")</f>
        <v>VD043</v>
      </c>
      <c r="I1068" s="2">
        <f>IFERROR(__xludf.DUMMYFUNCTION("""COMPUTED_VALUE"""),8.0)</f>
        <v>8</v>
      </c>
      <c r="J1068" s="2">
        <f>IFERROR(__xludf.DUMMYFUNCTION("""COMPUTED_VALUE"""),1194.8)</f>
        <v>1194.8</v>
      </c>
      <c r="K1068" s="2">
        <f>IFERROR(__xludf.DUMMYFUNCTION("""COMPUTED_VALUE"""),1194.8)</f>
        <v>1194.8</v>
      </c>
    </row>
    <row r="1069">
      <c r="A1069" s="2">
        <f>IFERROR(__xludf.DUMMYFUNCTION("""COMPUTED_VALUE"""),1000.0)</f>
        <v>1000</v>
      </c>
      <c r="B1069" s="2">
        <f>IFERROR(__xludf.DUMMYFUNCTION("""COMPUTED_VALUE"""),184234.0)</f>
        <v>184234</v>
      </c>
      <c r="C1069" s="2">
        <f>IFERROR(__xludf.DUMMYFUNCTION("""COMPUTED_VALUE"""),2026.0)</f>
        <v>2026</v>
      </c>
      <c r="D1069" s="2">
        <f>IFERROR(__xludf.DUMMYFUNCTION("""COMPUTED_VALUE"""),46167.0)</f>
        <v>46167</v>
      </c>
      <c r="E1069" s="2" t="str">
        <f>IFERROR(__xludf.DUMMYFUNCTION("""COMPUTED_VALUE"""),"VF")</f>
        <v>VF</v>
      </c>
      <c r="F1069" s="2">
        <f>IFERROR(__xludf.DUMMYFUNCTION("""COMPUTED_VALUE"""),1.0)</f>
        <v>1</v>
      </c>
      <c r="G1069" s="2" t="str">
        <f>IFERROR(__xludf.DUMMYFUNCTION("""COMPUTED_VALUE"""),"PR024")</f>
        <v>PR024</v>
      </c>
      <c r="H1069" s="2" t="str">
        <f>IFERROR(__xludf.DUMMYFUNCTION("""COMPUTED_VALUE"""),"VD027")</f>
        <v>VD027</v>
      </c>
      <c r="I1069" s="2">
        <f>IFERROR(__xludf.DUMMYFUNCTION("""COMPUTED_VALUE"""),4.0)</f>
        <v>4</v>
      </c>
      <c r="J1069" s="2">
        <f>IFERROR(__xludf.DUMMYFUNCTION("""COMPUTED_VALUE"""),1070.79)</f>
        <v>1070.79</v>
      </c>
      <c r="K1069" s="2">
        <f>IFERROR(__xludf.DUMMYFUNCTION("""COMPUTED_VALUE"""),1070.79)</f>
        <v>1070.79</v>
      </c>
    </row>
    <row r="1070">
      <c r="A1070" s="2">
        <f>IFERROR(__xludf.DUMMYFUNCTION("""COMPUTED_VALUE"""),2000.0)</f>
        <v>2000</v>
      </c>
      <c r="B1070" s="2">
        <f>IFERROR(__xludf.DUMMYFUNCTION("""COMPUTED_VALUE"""),184235.0)</f>
        <v>184235</v>
      </c>
      <c r="C1070" s="2">
        <f>IFERROR(__xludf.DUMMYFUNCTION("""COMPUTED_VALUE"""),2026.0)</f>
        <v>2026</v>
      </c>
      <c r="D1070" s="2">
        <f>IFERROR(__xludf.DUMMYFUNCTION("""COMPUTED_VALUE"""),46167.0)</f>
        <v>46167</v>
      </c>
      <c r="E1070" s="2" t="str">
        <f>IFERROR(__xludf.DUMMYFUNCTION("""COMPUTED_VALUE"""),"VF")</f>
        <v>VF</v>
      </c>
      <c r="F1070" s="2">
        <f>IFERROR(__xludf.DUMMYFUNCTION("""COMPUTED_VALUE"""),1.0)</f>
        <v>1</v>
      </c>
      <c r="G1070" s="2" t="str">
        <f>IFERROR(__xludf.DUMMYFUNCTION("""COMPUTED_VALUE"""),"PR035")</f>
        <v>PR035</v>
      </c>
      <c r="H1070" s="2" t="str">
        <f>IFERROR(__xludf.DUMMYFUNCTION("""COMPUTED_VALUE"""),"VD046")</f>
        <v>VD046</v>
      </c>
      <c r="I1070" s="2">
        <f>IFERROR(__xludf.DUMMYFUNCTION("""COMPUTED_VALUE"""),2.0)</f>
        <v>2</v>
      </c>
      <c r="J1070" s="2">
        <f>IFERROR(__xludf.DUMMYFUNCTION("""COMPUTED_VALUE"""),190.11)</f>
        <v>190.11</v>
      </c>
      <c r="K1070" s="2">
        <f>IFERROR(__xludf.DUMMYFUNCTION("""COMPUTED_VALUE"""),190.11)</f>
        <v>190.11</v>
      </c>
    </row>
    <row r="1071">
      <c r="A1071" s="2">
        <f>IFERROR(__xludf.DUMMYFUNCTION("""COMPUTED_VALUE"""),2000.0)</f>
        <v>2000</v>
      </c>
      <c r="B1071" s="2">
        <f>IFERROR(__xludf.DUMMYFUNCTION("""COMPUTED_VALUE"""),184235.0)</f>
        <v>184235</v>
      </c>
      <c r="C1071" s="2">
        <f>IFERROR(__xludf.DUMMYFUNCTION("""COMPUTED_VALUE"""),2026.0)</f>
        <v>2026</v>
      </c>
      <c r="D1071" s="2">
        <f>IFERROR(__xludf.DUMMYFUNCTION("""COMPUTED_VALUE"""),46166.0)</f>
        <v>46166</v>
      </c>
      <c r="E1071" s="2" t="str">
        <f>IFERROR(__xludf.DUMMYFUNCTION("""COMPUTED_VALUE"""),"VF")</f>
        <v>VF</v>
      </c>
      <c r="F1071" s="2">
        <f>IFERROR(__xludf.DUMMYFUNCTION("""COMPUTED_VALUE"""),2.0)</f>
        <v>2</v>
      </c>
      <c r="G1071" s="2" t="str">
        <f>IFERROR(__xludf.DUMMYFUNCTION("""COMPUTED_VALUE"""),"PR031")</f>
        <v>PR031</v>
      </c>
      <c r="H1071" s="2" t="str">
        <f>IFERROR(__xludf.DUMMYFUNCTION("""COMPUTED_VALUE"""),"VD029")</f>
        <v>VD029</v>
      </c>
      <c r="I1071" s="2">
        <f>IFERROR(__xludf.DUMMYFUNCTION("""COMPUTED_VALUE"""),16.0)</f>
        <v>16</v>
      </c>
      <c r="J1071" s="2">
        <f>IFERROR(__xludf.DUMMYFUNCTION("""COMPUTED_VALUE"""),3998.4)</f>
        <v>3998.4</v>
      </c>
      <c r="K1071" s="2">
        <f>IFERROR(__xludf.DUMMYFUNCTION("""COMPUTED_VALUE"""),3998.4)</f>
        <v>3998.4</v>
      </c>
    </row>
    <row r="1072">
      <c r="A1072" s="2">
        <f>IFERROR(__xludf.DUMMYFUNCTION("""COMPUTED_VALUE"""),1000.0)</f>
        <v>1000</v>
      </c>
      <c r="B1072" s="2">
        <f>IFERROR(__xludf.DUMMYFUNCTION("""COMPUTED_VALUE"""),184236.0)</f>
        <v>184236</v>
      </c>
      <c r="C1072" s="2">
        <f>IFERROR(__xludf.DUMMYFUNCTION("""COMPUTED_VALUE"""),2026.0)</f>
        <v>2026</v>
      </c>
      <c r="D1072" s="2">
        <f>IFERROR(__xludf.DUMMYFUNCTION("""COMPUTED_VALUE"""),46166.0)</f>
        <v>46166</v>
      </c>
      <c r="E1072" s="2" t="str">
        <f>IFERROR(__xludf.DUMMYFUNCTION("""COMPUTED_VALUE"""),"VF")</f>
        <v>VF</v>
      </c>
      <c r="F1072" s="2">
        <f>IFERROR(__xludf.DUMMYFUNCTION("""COMPUTED_VALUE"""),1.0)</f>
        <v>1</v>
      </c>
      <c r="G1072" s="2" t="str">
        <f>IFERROR(__xludf.DUMMYFUNCTION("""COMPUTED_VALUE"""),"PR052")</f>
        <v>PR052</v>
      </c>
      <c r="H1072" s="2" t="str">
        <f>IFERROR(__xludf.DUMMYFUNCTION("""COMPUTED_VALUE"""),"VD043")</f>
        <v>VD043</v>
      </c>
      <c r="I1072" s="2">
        <f>IFERROR(__xludf.DUMMYFUNCTION("""COMPUTED_VALUE"""),10.0)</f>
        <v>10</v>
      </c>
      <c r="J1072" s="2">
        <f>IFERROR(__xludf.DUMMYFUNCTION("""COMPUTED_VALUE"""),528.94)</f>
        <v>528.94</v>
      </c>
      <c r="K1072" s="2">
        <f>IFERROR(__xludf.DUMMYFUNCTION("""COMPUTED_VALUE"""),528.94)</f>
        <v>528.94</v>
      </c>
    </row>
    <row r="1073">
      <c r="A1073" s="2">
        <f>IFERROR(__xludf.DUMMYFUNCTION("""COMPUTED_VALUE"""),1000.0)</f>
        <v>1000</v>
      </c>
      <c r="B1073" s="2">
        <f>IFERROR(__xludf.DUMMYFUNCTION("""COMPUTED_VALUE"""),184237.0)</f>
        <v>184237</v>
      </c>
      <c r="C1073" s="2">
        <f>IFERROR(__xludf.DUMMYFUNCTION("""COMPUTED_VALUE"""),2026.0)</f>
        <v>2026</v>
      </c>
      <c r="D1073" s="2">
        <f>IFERROR(__xludf.DUMMYFUNCTION("""COMPUTED_VALUE"""),46166.0)</f>
        <v>46166</v>
      </c>
      <c r="E1073" s="2" t="str">
        <f>IFERROR(__xludf.DUMMYFUNCTION("""COMPUTED_VALUE"""),"VF")</f>
        <v>VF</v>
      </c>
      <c r="F1073" s="2">
        <f>IFERROR(__xludf.DUMMYFUNCTION("""COMPUTED_VALUE"""),1.0)</f>
        <v>1</v>
      </c>
      <c r="G1073" s="2" t="str">
        <f>IFERROR(__xludf.DUMMYFUNCTION("""COMPUTED_VALUE"""),"PR044")</f>
        <v>PR044</v>
      </c>
      <c r="H1073" s="2" t="str">
        <f>IFERROR(__xludf.DUMMYFUNCTION("""COMPUTED_VALUE"""),"VD023")</f>
        <v>VD023</v>
      </c>
      <c r="I1073" s="2">
        <f>IFERROR(__xludf.DUMMYFUNCTION("""COMPUTED_VALUE"""),1.0)</f>
        <v>1</v>
      </c>
      <c r="J1073" s="2">
        <f>IFERROR(__xludf.DUMMYFUNCTION("""COMPUTED_VALUE"""),77.58)</f>
        <v>77.58</v>
      </c>
      <c r="K1073" s="2">
        <f>IFERROR(__xludf.DUMMYFUNCTION("""COMPUTED_VALUE"""),77.58)</f>
        <v>77.58</v>
      </c>
    </row>
    <row r="1074">
      <c r="A1074" s="2">
        <f>IFERROR(__xludf.DUMMYFUNCTION("""COMPUTED_VALUE"""),1000.0)</f>
        <v>1000</v>
      </c>
      <c r="B1074" s="2">
        <f>IFERROR(__xludf.DUMMYFUNCTION("""COMPUTED_VALUE"""),184238.0)</f>
        <v>184238</v>
      </c>
      <c r="C1074" s="2">
        <f>IFERROR(__xludf.DUMMYFUNCTION("""COMPUTED_VALUE"""),2026.0)</f>
        <v>2026</v>
      </c>
      <c r="D1074" s="2">
        <f>IFERROR(__xludf.DUMMYFUNCTION("""COMPUTED_VALUE"""),46166.0)</f>
        <v>46166</v>
      </c>
      <c r="E1074" s="2" t="str">
        <f>IFERROR(__xludf.DUMMYFUNCTION("""COMPUTED_VALUE"""),"VF")</f>
        <v>VF</v>
      </c>
      <c r="F1074" s="2">
        <f>IFERROR(__xludf.DUMMYFUNCTION("""COMPUTED_VALUE"""),1.0)</f>
        <v>1</v>
      </c>
      <c r="G1074" s="2" t="str">
        <f>IFERROR(__xludf.DUMMYFUNCTION("""COMPUTED_VALUE"""),"PR047")</f>
        <v>PR047</v>
      </c>
      <c r="H1074" s="2" t="str">
        <f>IFERROR(__xludf.DUMMYFUNCTION("""COMPUTED_VALUE"""),"VD041")</f>
        <v>VD041</v>
      </c>
      <c r="I1074" s="2">
        <f>IFERROR(__xludf.DUMMYFUNCTION("""COMPUTED_VALUE"""),9.0)</f>
        <v>9</v>
      </c>
      <c r="J1074" s="2">
        <f>IFERROR(__xludf.DUMMYFUNCTION("""COMPUTED_VALUE"""),2870.01)</f>
        <v>2870.01</v>
      </c>
      <c r="K1074" s="2">
        <f>IFERROR(__xludf.DUMMYFUNCTION("""COMPUTED_VALUE"""),2870.01)</f>
        <v>2870.01</v>
      </c>
    </row>
    <row r="1075">
      <c r="A1075" s="2">
        <f>IFERROR(__xludf.DUMMYFUNCTION("""COMPUTED_VALUE"""),1000.0)</f>
        <v>1000</v>
      </c>
      <c r="B1075" s="2">
        <f>IFERROR(__xludf.DUMMYFUNCTION("""COMPUTED_VALUE"""),184239.0)</f>
        <v>184239</v>
      </c>
      <c r="C1075" s="2">
        <f>IFERROR(__xludf.DUMMYFUNCTION("""COMPUTED_VALUE"""),2026.0)</f>
        <v>2026</v>
      </c>
      <c r="D1075" s="2">
        <f>IFERROR(__xludf.DUMMYFUNCTION("""COMPUTED_VALUE"""),46166.0)</f>
        <v>46166</v>
      </c>
      <c r="E1075" s="2" t="str">
        <f>IFERROR(__xludf.DUMMYFUNCTION("""COMPUTED_VALUE"""),"VF")</f>
        <v>VF</v>
      </c>
      <c r="F1075" s="2">
        <f>IFERROR(__xludf.DUMMYFUNCTION("""COMPUTED_VALUE"""),1.0)</f>
        <v>1</v>
      </c>
      <c r="G1075" s="2" t="str">
        <f>IFERROR(__xludf.DUMMYFUNCTION("""COMPUTED_VALUE"""),"PR023")</f>
        <v>PR023</v>
      </c>
      <c r="H1075" s="2" t="str">
        <f>IFERROR(__xludf.DUMMYFUNCTION("""COMPUTED_VALUE"""),"VD021")</f>
        <v>VD021</v>
      </c>
      <c r="I1075" s="2">
        <f>IFERROR(__xludf.DUMMYFUNCTION("""COMPUTED_VALUE"""),3.0)</f>
        <v>3</v>
      </c>
      <c r="J1075" s="2">
        <f>IFERROR(__xludf.DUMMYFUNCTION("""COMPUTED_VALUE"""),764.69)</f>
        <v>764.69</v>
      </c>
      <c r="K1075" s="2">
        <f>IFERROR(__xludf.DUMMYFUNCTION("""COMPUTED_VALUE"""),764.69)</f>
        <v>764.69</v>
      </c>
    </row>
    <row r="1076">
      <c r="A1076" s="2">
        <f>IFERROR(__xludf.DUMMYFUNCTION("""COMPUTED_VALUE"""),1000.0)</f>
        <v>1000</v>
      </c>
      <c r="B1076" s="2">
        <f>IFERROR(__xludf.DUMMYFUNCTION("""COMPUTED_VALUE"""),184240.0)</f>
        <v>184240</v>
      </c>
      <c r="C1076" s="2">
        <f>IFERROR(__xludf.DUMMYFUNCTION("""COMPUTED_VALUE"""),2026.0)</f>
        <v>2026</v>
      </c>
      <c r="D1076" s="2">
        <f>IFERROR(__xludf.DUMMYFUNCTION("""COMPUTED_VALUE"""),46166.0)</f>
        <v>46166</v>
      </c>
      <c r="E1076" s="2" t="str">
        <f>IFERROR(__xludf.DUMMYFUNCTION("""COMPUTED_VALUE"""),"VF")</f>
        <v>VF</v>
      </c>
      <c r="F1076" s="2">
        <f>IFERROR(__xludf.DUMMYFUNCTION("""COMPUTED_VALUE"""),1.0)</f>
        <v>1</v>
      </c>
      <c r="G1076" s="2" t="str">
        <f>IFERROR(__xludf.DUMMYFUNCTION("""COMPUTED_VALUE"""),"PR036")</f>
        <v>PR036</v>
      </c>
      <c r="H1076" s="2" t="str">
        <f>IFERROR(__xludf.DUMMYFUNCTION("""COMPUTED_VALUE"""),"VD022")</f>
        <v>VD022</v>
      </c>
      <c r="I1076" s="2">
        <f>IFERROR(__xludf.DUMMYFUNCTION("""COMPUTED_VALUE"""),20.0)</f>
        <v>20</v>
      </c>
      <c r="J1076" s="2">
        <f>IFERROR(__xludf.DUMMYFUNCTION("""COMPUTED_VALUE"""),1926.1)</f>
        <v>1926.1</v>
      </c>
      <c r="K1076" s="2">
        <f>IFERROR(__xludf.DUMMYFUNCTION("""COMPUTED_VALUE"""),1926.1)</f>
        <v>1926.1</v>
      </c>
    </row>
    <row r="1077">
      <c r="A1077" s="2">
        <f>IFERROR(__xludf.DUMMYFUNCTION("""COMPUTED_VALUE"""),1000.0)</f>
        <v>1000</v>
      </c>
      <c r="B1077" s="2">
        <f>IFERROR(__xludf.DUMMYFUNCTION("""COMPUTED_VALUE"""),184241.0)</f>
        <v>184241</v>
      </c>
      <c r="C1077" s="2">
        <f>IFERROR(__xludf.DUMMYFUNCTION("""COMPUTED_VALUE"""),2026.0)</f>
        <v>2026</v>
      </c>
      <c r="D1077" s="2">
        <f>IFERROR(__xludf.DUMMYFUNCTION("""COMPUTED_VALUE"""),46166.0)</f>
        <v>46166</v>
      </c>
      <c r="E1077" s="2" t="str">
        <f>IFERROR(__xludf.DUMMYFUNCTION("""COMPUTED_VALUE"""),"VF")</f>
        <v>VF</v>
      </c>
      <c r="F1077" s="2">
        <f>IFERROR(__xludf.DUMMYFUNCTION("""COMPUTED_VALUE"""),1.0)</f>
        <v>1</v>
      </c>
      <c r="G1077" s="2" t="str">
        <f>IFERROR(__xludf.DUMMYFUNCTION("""COMPUTED_VALUE"""),"PR048")</f>
        <v>PR048</v>
      </c>
      <c r="H1077" s="2" t="str">
        <f>IFERROR(__xludf.DUMMYFUNCTION("""COMPUTED_VALUE"""),"VD013")</f>
        <v>VD013</v>
      </c>
      <c r="I1077" s="2">
        <f>IFERROR(__xludf.DUMMYFUNCTION("""COMPUTED_VALUE"""),10.0)</f>
        <v>10</v>
      </c>
      <c r="J1077" s="2">
        <f>IFERROR(__xludf.DUMMYFUNCTION("""COMPUTED_VALUE"""),3043.95)</f>
        <v>3043.95</v>
      </c>
      <c r="K1077" s="2">
        <f>IFERROR(__xludf.DUMMYFUNCTION("""COMPUTED_VALUE"""),3043.95)</f>
        <v>3043.95</v>
      </c>
    </row>
    <row r="1078">
      <c r="A1078" s="2">
        <f>IFERROR(__xludf.DUMMYFUNCTION("""COMPUTED_VALUE"""),1000.0)</f>
        <v>1000</v>
      </c>
      <c r="B1078" s="2">
        <f>IFERROR(__xludf.DUMMYFUNCTION("""COMPUTED_VALUE"""),184242.0)</f>
        <v>184242</v>
      </c>
      <c r="C1078" s="2">
        <f>IFERROR(__xludf.DUMMYFUNCTION("""COMPUTED_VALUE"""),2026.0)</f>
        <v>2026</v>
      </c>
      <c r="D1078" s="2">
        <f>IFERROR(__xludf.DUMMYFUNCTION("""COMPUTED_VALUE"""),46165.0)</f>
        <v>46165</v>
      </c>
      <c r="E1078" s="2" t="str">
        <f>IFERROR(__xludf.DUMMYFUNCTION("""COMPUTED_VALUE"""),"VF")</f>
        <v>VF</v>
      </c>
      <c r="F1078" s="2">
        <f>IFERROR(__xludf.DUMMYFUNCTION("""COMPUTED_VALUE"""),1.0)</f>
        <v>1</v>
      </c>
      <c r="G1078" s="2" t="str">
        <f>IFERROR(__xludf.DUMMYFUNCTION("""COMPUTED_VALUE"""),"PR056")</f>
        <v>PR056</v>
      </c>
      <c r="H1078" s="2" t="str">
        <f>IFERROR(__xludf.DUMMYFUNCTION("""COMPUTED_VALUE"""),"VD036")</f>
        <v>VD036</v>
      </c>
      <c r="I1078" s="2">
        <f>IFERROR(__xludf.DUMMYFUNCTION("""COMPUTED_VALUE"""),10.0)</f>
        <v>10</v>
      </c>
      <c r="J1078" s="2">
        <f>IFERROR(__xludf.DUMMYFUNCTION("""COMPUTED_VALUE"""),943.95)</f>
        <v>943.95</v>
      </c>
      <c r="K1078" s="2">
        <f>IFERROR(__xludf.DUMMYFUNCTION("""COMPUTED_VALUE"""),943.95)</f>
        <v>943.95</v>
      </c>
    </row>
    <row r="1079">
      <c r="A1079" s="2">
        <f>IFERROR(__xludf.DUMMYFUNCTION("""COMPUTED_VALUE"""),1000.0)</f>
        <v>1000</v>
      </c>
      <c r="B1079" s="2">
        <f>IFERROR(__xludf.DUMMYFUNCTION("""COMPUTED_VALUE"""),184243.0)</f>
        <v>184243</v>
      </c>
      <c r="C1079" s="2">
        <f>IFERROR(__xludf.DUMMYFUNCTION("""COMPUTED_VALUE"""),2026.0)</f>
        <v>2026</v>
      </c>
      <c r="D1079" s="2">
        <f>IFERROR(__xludf.DUMMYFUNCTION("""COMPUTED_VALUE"""),46165.0)</f>
        <v>46165</v>
      </c>
      <c r="E1079" s="2" t="str">
        <f>IFERROR(__xludf.DUMMYFUNCTION("""COMPUTED_VALUE"""),"VF")</f>
        <v>VF</v>
      </c>
      <c r="F1079" s="2">
        <f>IFERROR(__xludf.DUMMYFUNCTION("""COMPUTED_VALUE"""),1.0)</f>
        <v>1</v>
      </c>
      <c r="G1079" s="2" t="str">
        <f>IFERROR(__xludf.DUMMYFUNCTION("""COMPUTED_VALUE"""),"PR018")</f>
        <v>PR018</v>
      </c>
      <c r="H1079" s="2" t="str">
        <f>IFERROR(__xludf.DUMMYFUNCTION("""COMPUTED_VALUE"""),"VD011")</f>
        <v>VD011</v>
      </c>
      <c r="I1079" s="2">
        <f>IFERROR(__xludf.DUMMYFUNCTION("""COMPUTED_VALUE"""),9.0)</f>
        <v>9</v>
      </c>
      <c r="J1079" s="2">
        <f>IFERROR(__xludf.DUMMYFUNCTION("""COMPUTED_VALUE"""),319.79)</f>
        <v>319.79</v>
      </c>
      <c r="K1079" s="2">
        <f>IFERROR(__xludf.DUMMYFUNCTION("""COMPUTED_VALUE"""),319.79)</f>
        <v>319.79</v>
      </c>
    </row>
    <row r="1080">
      <c r="A1080" s="2">
        <f>IFERROR(__xludf.DUMMYFUNCTION("""COMPUTED_VALUE"""),1000.0)</f>
        <v>1000</v>
      </c>
      <c r="B1080" s="2">
        <f>IFERROR(__xludf.DUMMYFUNCTION("""COMPUTED_VALUE"""),184244.0)</f>
        <v>184244</v>
      </c>
      <c r="C1080" s="2">
        <f>IFERROR(__xludf.DUMMYFUNCTION("""COMPUTED_VALUE"""),2026.0)</f>
        <v>2026</v>
      </c>
      <c r="D1080" s="2">
        <f>IFERROR(__xludf.DUMMYFUNCTION("""COMPUTED_VALUE"""),46165.0)</f>
        <v>46165</v>
      </c>
      <c r="E1080" s="2" t="str">
        <f>IFERROR(__xludf.DUMMYFUNCTION("""COMPUTED_VALUE"""),"VF")</f>
        <v>VF</v>
      </c>
      <c r="F1080" s="2">
        <f>IFERROR(__xludf.DUMMYFUNCTION("""COMPUTED_VALUE"""),1.0)</f>
        <v>1</v>
      </c>
      <c r="G1080" s="2" t="str">
        <f>IFERROR(__xludf.DUMMYFUNCTION("""COMPUTED_VALUE"""),"PR017")</f>
        <v>PR017</v>
      </c>
      <c r="H1080" s="2" t="str">
        <f>IFERROR(__xludf.DUMMYFUNCTION("""COMPUTED_VALUE"""),"VD020")</f>
        <v>VD020</v>
      </c>
      <c r="I1080" s="2">
        <f>IFERROR(__xludf.DUMMYFUNCTION("""COMPUTED_VALUE"""),8.0)</f>
        <v>8</v>
      </c>
      <c r="J1080" s="2">
        <f>IFERROR(__xludf.DUMMYFUNCTION("""COMPUTED_VALUE"""),241.59)</f>
        <v>241.59</v>
      </c>
      <c r="K1080" s="2">
        <f>IFERROR(__xludf.DUMMYFUNCTION("""COMPUTED_VALUE"""),241.59)</f>
        <v>241.59</v>
      </c>
    </row>
    <row r="1081">
      <c r="A1081" s="2">
        <f>IFERROR(__xludf.DUMMYFUNCTION("""COMPUTED_VALUE"""),1000.0)</f>
        <v>1000</v>
      </c>
      <c r="B1081" s="2">
        <f>IFERROR(__xludf.DUMMYFUNCTION("""COMPUTED_VALUE"""),184245.0)</f>
        <v>184245</v>
      </c>
      <c r="C1081" s="2">
        <f>IFERROR(__xludf.DUMMYFUNCTION("""COMPUTED_VALUE"""),2026.0)</f>
        <v>2026</v>
      </c>
      <c r="D1081" s="2">
        <f>IFERROR(__xludf.DUMMYFUNCTION("""COMPUTED_VALUE"""),46165.0)</f>
        <v>46165</v>
      </c>
      <c r="E1081" s="2" t="str">
        <f>IFERROR(__xludf.DUMMYFUNCTION("""COMPUTED_VALUE"""),"VF")</f>
        <v>VF</v>
      </c>
      <c r="F1081" s="2">
        <f>IFERROR(__xludf.DUMMYFUNCTION("""COMPUTED_VALUE"""),1.0)</f>
        <v>1</v>
      </c>
      <c r="G1081" s="2" t="str">
        <f>IFERROR(__xludf.DUMMYFUNCTION("""COMPUTED_VALUE"""),"PR048")</f>
        <v>PR048</v>
      </c>
      <c r="H1081" s="2" t="str">
        <f>IFERROR(__xludf.DUMMYFUNCTION("""COMPUTED_VALUE"""),"VD046")</f>
        <v>VD046</v>
      </c>
      <c r="I1081" s="2">
        <f>IFERROR(__xludf.DUMMYFUNCTION("""COMPUTED_VALUE"""),10.0)</f>
        <v>10</v>
      </c>
      <c r="J1081" s="2">
        <f>IFERROR(__xludf.DUMMYFUNCTION("""COMPUTED_VALUE"""),3101.93)</f>
        <v>3101.93</v>
      </c>
      <c r="K1081" s="2">
        <f>IFERROR(__xludf.DUMMYFUNCTION("""COMPUTED_VALUE"""),3101.93)</f>
        <v>3101.93</v>
      </c>
    </row>
    <row r="1082">
      <c r="A1082" s="2">
        <f>IFERROR(__xludf.DUMMYFUNCTION("""COMPUTED_VALUE"""),1000.0)</f>
        <v>1000</v>
      </c>
      <c r="B1082" s="2">
        <f>IFERROR(__xludf.DUMMYFUNCTION("""COMPUTED_VALUE"""),184246.0)</f>
        <v>184246</v>
      </c>
      <c r="C1082" s="2">
        <f>IFERROR(__xludf.DUMMYFUNCTION("""COMPUTED_VALUE"""),2026.0)</f>
        <v>2026</v>
      </c>
      <c r="D1082" s="2">
        <f>IFERROR(__xludf.DUMMYFUNCTION("""COMPUTED_VALUE"""),46165.0)</f>
        <v>46165</v>
      </c>
      <c r="E1082" s="2" t="str">
        <f>IFERROR(__xludf.DUMMYFUNCTION("""COMPUTED_VALUE"""),"VF")</f>
        <v>VF</v>
      </c>
      <c r="F1082" s="2">
        <f>IFERROR(__xludf.DUMMYFUNCTION("""COMPUTED_VALUE"""),1.0)</f>
        <v>1</v>
      </c>
      <c r="G1082" s="2" t="str">
        <f>IFERROR(__xludf.DUMMYFUNCTION("""COMPUTED_VALUE"""),"PR014")</f>
        <v>PR014</v>
      </c>
      <c r="H1082" s="2" t="str">
        <f>IFERROR(__xludf.DUMMYFUNCTION("""COMPUTED_VALUE"""),"VD029")</f>
        <v>VD029</v>
      </c>
      <c r="I1082" s="2">
        <f>IFERROR(__xludf.DUMMYFUNCTION("""COMPUTED_VALUE"""),18.0)</f>
        <v>18</v>
      </c>
      <c r="J1082" s="2">
        <f>IFERROR(__xludf.DUMMYFUNCTION("""COMPUTED_VALUE"""),718.2)</f>
        <v>718.2</v>
      </c>
      <c r="K1082" s="2">
        <f>IFERROR(__xludf.DUMMYFUNCTION("""COMPUTED_VALUE"""),718.2)</f>
        <v>718.2</v>
      </c>
    </row>
    <row r="1083">
      <c r="A1083" s="2">
        <f>IFERROR(__xludf.DUMMYFUNCTION("""COMPUTED_VALUE"""),1000.0)</f>
        <v>1000</v>
      </c>
      <c r="B1083" s="2">
        <f>IFERROR(__xludf.DUMMYFUNCTION("""COMPUTED_VALUE"""),184247.0)</f>
        <v>184247</v>
      </c>
      <c r="C1083" s="2">
        <f>IFERROR(__xludf.DUMMYFUNCTION("""COMPUTED_VALUE"""),2026.0)</f>
        <v>2026</v>
      </c>
      <c r="D1083" s="2">
        <f>IFERROR(__xludf.DUMMYFUNCTION("""COMPUTED_VALUE"""),46165.0)</f>
        <v>46165</v>
      </c>
      <c r="E1083" s="2" t="str">
        <f>IFERROR(__xludf.DUMMYFUNCTION("""COMPUTED_VALUE"""),"VF")</f>
        <v>VF</v>
      </c>
      <c r="F1083" s="2">
        <f>IFERROR(__xludf.DUMMYFUNCTION("""COMPUTED_VALUE"""),1.0)</f>
        <v>1</v>
      </c>
      <c r="G1083" s="2" t="str">
        <f>IFERROR(__xludf.DUMMYFUNCTION("""COMPUTED_VALUE"""),"PR008")</f>
        <v>PR008</v>
      </c>
      <c r="H1083" s="2" t="str">
        <f>IFERROR(__xludf.DUMMYFUNCTION("""COMPUTED_VALUE"""),"VD020")</f>
        <v>VD020</v>
      </c>
      <c r="I1083" s="2">
        <f>IFERROR(__xludf.DUMMYFUNCTION("""COMPUTED_VALUE"""),1.0)</f>
        <v>1</v>
      </c>
      <c r="J1083" s="2">
        <f>IFERROR(__xludf.DUMMYFUNCTION("""COMPUTED_VALUE"""),90.8)</f>
        <v>90.8</v>
      </c>
      <c r="K1083" s="2">
        <f>IFERROR(__xludf.DUMMYFUNCTION("""COMPUTED_VALUE"""),90.8)</f>
        <v>90.8</v>
      </c>
    </row>
    <row r="1084">
      <c r="A1084" s="2">
        <f>IFERROR(__xludf.DUMMYFUNCTION("""COMPUTED_VALUE"""),1000.0)</f>
        <v>1000</v>
      </c>
      <c r="B1084" s="2">
        <f>IFERROR(__xludf.DUMMYFUNCTION("""COMPUTED_VALUE"""),184248.0)</f>
        <v>184248</v>
      </c>
      <c r="C1084" s="2">
        <f>IFERROR(__xludf.DUMMYFUNCTION("""COMPUTED_VALUE"""),2026.0)</f>
        <v>2026</v>
      </c>
      <c r="D1084" s="2">
        <f>IFERROR(__xludf.DUMMYFUNCTION("""COMPUTED_VALUE"""),46164.0)</f>
        <v>46164</v>
      </c>
      <c r="E1084" s="2" t="str">
        <f>IFERROR(__xludf.DUMMYFUNCTION("""COMPUTED_VALUE"""),"VF")</f>
        <v>VF</v>
      </c>
      <c r="F1084" s="2">
        <f>IFERROR(__xludf.DUMMYFUNCTION("""COMPUTED_VALUE"""),1.0)</f>
        <v>1</v>
      </c>
      <c r="G1084" s="2" t="str">
        <f>IFERROR(__xludf.DUMMYFUNCTION("""COMPUTED_VALUE"""),"PR032")</f>
        <v>PR032</v>
      </c>
      <c r="H1084" s="2" t="str">
        <f>IFERROR(__xludf.DUMMYFUNCTION("""COMPUTED_VALUE"""),"VD042")</f>
        <v>VD042</v>
      </c>
      <c r="I1084" s="2">
        <f>IFERROR(__xludf.DUMMYFUNCTION("""COMPUTED_VALUE"""),7.0)</f>
        <v>7</v>
      </c>
      <c r="J1084" s="2">
        <f>IFERROR(__xludf.DUMMYFUNCTION("""COMPUTED_VALUE"""),1872.5)</f>
        <v>1872.5</v>
      </c>
      <c r="K1084" s="2">
        <f>IFERROR(__xludf.DUMMYFUNCTION("""COMPUTED_VALUE"""),1872.5)</f>
        <v>1872.5</v>
      </c>
    </row>
    <row r="1085">
      <c r="A1085" s="2">
        <f>IFERROR(__xludf.DUMMYFUNCTION("""COMPUTED_VALUE"""),1000.0)</f>
        <v>1000</v>
      </c>
      <c r="B1085" s="2">
        <f>IFERROR(__xludf.DUMMYFUNCTION("""COMPUTED_VALUE"""),184248.0)</f>
        <v>184248</v>
      </c>
      <c r="C1085" s="2">
        <f>IFERROR(__xludf.DUMMYFUNCTION("""COMPUTED_VALUE"""),2026.0)</f>
        <v>2026</v>
      </c>
      <c r="D1085" s="2">
        <f>IFERROR(__xludf.DUMMYFUNCTION("""COMPUTED_VALUE"""),46164.0)</f>
        <v>46164</v>
      </c>
      <c r="E1085" s="2" t="str">
        <f>IFERROR(__xludf.DUMMYFUNCTION("""COMPUTED_VALUE"""),"VF")</f>
        <v>VF</v>
      </c>
      <c r="F1085" s="2">
        <f>IFERROR(__xludf.DUMMYFUNCTION("""COMPUTED_VALUE"""),2.0)</f>
        <v>2</v>
      </c>
      <c r="G1085" s="2" t="str">
        <f>IFERROR(__xludf.DUMMYFUNCTION("""COMPUTED_VALUE"""),"PR024")</f>
        <v>PR024</v>
      </c>
      <c r="H1085" s="2" t="str">
        <f>IFERROR(__xludf.DUMMYFUNCTION("""COMPUTED_VALUE"""),"VD028")</f>
        <v>VD028</v>
      </c>
      <c r="I1085" s="2">
        <f>IFERROR(__xludf.DUMMYFUNCTION("""COMPUTED_VALUE"""),20.0)</f>
        <v>20</v>
      </c>
      <c r="J1085" s="2">
        <f>IFERROR(__xludf.DUMMYFUNCTION("""COMPUTED_VALUE"""),5561.86)</f>
        <v>5561.86</v>
      </c>
      <c r="K1085" s="2">
        <f>IFERROR(__xludf.DUMMYFUNCTION("""COMPUTED_VALUE"""),5561.86)</f>
        <v>5561.86</v>
      </c>
    </row>
    <row r="1086">
      <c r="A1086" s="2">
        <f>IFERROR(__xludf.DUMMYFUNCTION("""COMPUTED_VALUE"""),1000.0)</f>
        <v>1000</v>
      </c>
      <c r="B1086" s="2">
        <f>IFERROR(__xludf.DUMMYFUNCTION("""COMPUTED_VALUE"""),184249.0)</f>
        <v>184249</v>
      </c>
      <c r="C1086" s="2">
        <f>IFERROR(__xludf.DUMMYFUNCTION("""COMPUTED_VALUE"""),2026.0)</f>
        <v>2026</v>
      </c>
      <c r="D1086" s="2">
        <f>IFERROR(__xludf.DUMMYFUNCTION("""COMPUTED_VALUE"""),46164.0)</f>
        <v>46164</v>
      </c>
      <c r="E1086" s="2" t="str">
        <f>IFERROR(__xludf.DUMMYFUNCTION("""COMPUTED_VALUE"""),"VF")</f>
        <v>VF</v>
      </c>
      <c r="F1086" s="2">
        <f>IFERROR(__xludf.DUMMYFUNCTION("""COMPUTED_VALUE"""),1.0)</f>
        <v>1</v>
      </c>
      <c r="G1086" s="2" t="str">
        <f>IFERROR(__xludf.DUMMYFUNCTION("""COMPUTED_VALUE"""),"PR047")</f>
        <v>PR047</v>
      </c>
      <c r="H1086" s="2" t="str">
        <f>IFERROR(__xludf.DUMMYFUNCTION("""COMPUTED_VALUE"""),"VD020")</f>
        <v>VD020</v>
      </c>
      <c r="I1086" s="2">
        <f>IFERROR(__xludf.DUMMYFUNCTION("""COMPUTED_VALUE"""),12.0)</f>
        <v>12</v>
      </c>
      <c r="J1086" s="2">
        <f>IFERROR(__xludf.DUMMYFUNCTION("""COMPUTED_VALUE"""),3722.32)</f>
        <v>3722.32</v>
      </c>
      <c r="K1086" s="2">
        <f>IFERROR(__xludf.DUMMYFUNCTION("""COMPUTED_VALUE"""),3722.32)</f>
        <v>3722.32</v>
      </c>
    </row>
    <row r="1087">
      <c r="A1087" s="2">
        <f>IFERROR(__xludf.DUMMYFUNCTION("""COMPUTED_VALUE"""),1000.0)</f>
        <v>1000</v>
      </c>
      <c r="B1087" s="2">
        <f>IFERROR(__xludf.DUMMYFUNCTION("""COMPUTED_VALUE"""),184250.0)</f>
        <v>184250</v>
      </c>
      <c r="C1087" s="2">
        <f>IFERROR(__xludf.DUMMYFUNCTION("""COMPUTED_VALUE"""),2026.0)</f>
        <v>2026</v>
      </c>
      <c r="D1087" s="2">
        <f>IFERROR(__xludf.DUMMYFUNCTION("""COMPUTED_VALUE"""),46163.0)</f>
        <v>46163</v>
      </c>
      <c r="E1087" s="2" t="str">
        <f>IFERROR(__xludf.DUMMYFUNCTION("""COMPUTED_VALUE"""),"VF")</f>
        <v>VF</v>
      </c>
      <c r="F1087" s="2">
        <f>IFERROR(__xludf.DUMMYFUNCTION("""COMPUTED_VALUE"""),1.0)</f>
        <v>1</v>
      </c>
      <c r="G1087" s="2" t="str">
        <f>IFERROR(__xludf.DUMMYFUNCTION("""COMPUTED_VALUE"""),"PR033")</f>
        <v>PR033</v>
      </c>
      <c r="H1087" s="2" t="str">
        <f>IFERROR(__xludf.DUMMYFUNCTION("""COMPUTED_VALUE"""),"VD031")</f>
        <v>VD031</v>
      </c>
      <c r="I1087" s="2">
        <f>IFERROR(__xludf.DUMMYFUNCTION("""COMPUTED_VALUE"""),4.0)</f>
        <v>4</v>
      </c>
      <c r="J1087" s="2">
        <f>IFERROR(__xludf.DUMMYFUNCTION("""COMPUTED_VALUE"""),1091.58)</f>
        <v>1091.58</v>
      </c>
      <c r="K1087" s="2">
        <f>IFERROR(__xludf.DUMMYFUNCTION("""COMPUTED_VALUE"""),1091.58)</f>
        <v>1091.58</v>
      </c>
    </row>
    <row r="1088">
      <c r="A1088" s="2">
        <f>IFERROR(__xludf.DUMMYFUNCTION("""COMPUTED_VALUE"""),1000.0)</f>
        <v>1000</v>
      </c>
      <c r="B1088" s="2">
        <f>IFERROR(__xludf.DUMMYFUNCTION("""COMPUTED_VALUE"""),184250.0)</f>
        <v>184250</v>
      </c>
      <c r="C1088" s="2">
        <f>IFERROR(__xludf.DUMMYFUNCTION("""COMPUTED_VALUE"""),2026.0)</f>
        <v>2026</v>
      </c>
      <c r="D1088" s="2">
        <f>IFERROR(__xludf.DUMMYFUNCTION("""COMPUTED_VALUE"""),46163.0)</f>
        <v>46163</v>
      </c>
      <c r="E1088" s="2" t="str">
        <f>IFERROR(__xludf.DUMMYFUNCTION("""COMPUTED_VALUE"""),"VF")</f>
        <v>VF</v>
      </c>
      <c r="F1088" s="2">
        <f>IFERROR(__xludf.DUMMYFUNCTION("""COMPUTED_VALUE"""),2.0)</f>
        <v>2</v>
      </c>
      <c r="G1088" s="2" t="str">
        <f>IFERROR(__xludf.DUMMYFUNCTION("""COMPUTED_VALUE"""),"PR017")</f>
        <v>PR017</v>
      </c>
      <c r="H1088" s="2" t="str">
        <f>IFERROR(__xludf.DUMMYFUNCTION("""COMPUTED_VALUE"""),"VD024")</f>
        <v>VD024</v>
      </c>
      <c r="I1088" s="2">
        <f>IFERROR(__xludf.DUMMYFUNCTION("""COMPUTED_VALUE"""),2.0)</f>
        <v>2</v>
      </c>
      <c r="J1088" s="2">
        <f>IFERROR(__xludf.DUMMYFUNCTION("""COMPUTED_VALUE"""),65.18)</f>
        <v>65.18</v>
      </c>
      <c r="K1088" s="2">
        <f>IFERROR(__xludf.DUMMYFUNCTION("""COMPUTED_VALUE"""),65.18)</f>
        <v>65.18</v>
      </c>
    </row>
    <row r="1089">
      <c r="A1089" s="2">
        <f>IFERROR(__xludf.DUMMYFUNCTION("""COMPUTED_VALUE"""),1000.0)</f>
        <v>1000</v>
      </c>
      <c r="B1089" s="2">
        <f>IFERROR(__xludf.DUMMYFUNCTION("""COMPUTED_VALUE"""),184251.0)</f>
        <v>184251</v>
      </c>
      <c r="C1089" s="2">
        <f>IFERROR(__xludf.DUMMYFUNCTION("""COMPUTED_VALUE"""),2026.0)</f>
        <v>2026</v>
      </c>
      <c r="D1089" s="2">
        <f>IFERROR(__xludf.DUMMYFUNCTION("""COMPUTED_VALUE"""),46163.0)</f>
        <v>46163</v>
      </c>
      <c r="E1089" s="2" t="str">
        <f>IFERROR(__xludf.DUMMYFUNCTION("""COMPUTED_VALUE"""),"VF")</f>
        <v>VF</v>
      </c>
      <c r="F1089" s="2">
        <f>IFERROR(__xludf.DUMMYFUNCTION("""COMPUTED_VALUE"""),1.0)</f>
        <v>1</v>
      </c>
      <c r="G1089" s="2" t="str">
        <f>IFERROR(__xludf.DUMMYFUNCTION("""COMPUTED_VALUE"""),"PR022")</f>
        <v>PR022</v>
      </c>
      <c r="H1089" s="2" t="str">
        <f>IFERROR(__xludf.DUMMYFUNCTION("""COMPUTED_VALUE"""),"VD029")</f>
        <v>VD029</v>
      </c>
      <c r="I1089" s="2">
        <f>IFERROR(__xludf.DUMMYFUNCTION("""COMPUTED_VALUE"""),18.0)</f>
        <v>18</v>
      </c>
      <c r="J1089" s="2">
        <f>IFERROR(__xludf.DUMMYFUNCTION("""COMPUTED_VALUE"""),5832.0)</f>
        <v>5832</v>
      </c>
      <c r="K1089" s="2">
        <f>IFERROR(__xludf.DUMMYFUNCTION("""COMPUTED_VALUE"""),5832.0)</f>
        <v>5832</v>
      </c>
    </row>
    <row r="1090">
      <c r="A1090" s="2">
        <f>IFERROR(__xludf.DUMMYFUNCTION("""COMPUTED_VALUE"""),1000.0)</f>
        <v>1000</v>
      </c>
      <c r="B1090" s="2">
        <f>IFERROR(__xludf.DUMMYFUNCTION("""COMPUTED_VALUE"""),184252.0)</f>
        <v>184252</v>
      </c>
      <c r="C1090" s="2">
        <f>IFERROR(__xludf.DUMMYFUNCTION("""COMPUTED_VALUE"""),2026.0)</f>
        <v>2026</v>
      </c>
      <c r="D1090" s="2">
        <f>IFERROR(__xludf.DUMMYFUNCTION("""COMPUTED_VALUE"""),46163.0)</f>
        <v>46163</v>
      </c>
      <c r="E1090" s="2" t="str">
        <f>IFERROR(__xludf.DUMMYFUNCTION("""COMPUTED_VALUE"""),"VF")</f>
        <v>VF</v>
      </c>
      <c r="F1090" s="2">
        <f>IFERROR(__xludf.DUMMYFUNCTION("""COMPUTED_VALUE"""),1.0)</f>
        <v>1</v>
      </c>
      <c r="G1090" s="2" t="str">
        <f>IFERROR(__xludf.DUMMYFUNCTION("""COMPUTED_VALUE"""),"PR022")</f>
        <v>PR022</v>
      </c>
      <c r="H1090" s="2" t="str">
        <f>IFERROR(__xludf.DUMMYFUNCTION("""COMPUTED_VALUE"""),"VD011")</f>
        <v>VD011</v>
      </c>
      <c r="I1090" s="2">
        <f>IFERROR(__xludf.DUMMYFUNCTION("""COMPUTED_VALUE"""),2.0)</f>
        <v>2</v>
      </c>
      <c r="J1090" s="2">
        <f>IFERROR(__xludf.DUMMYFUNCTION("""COMPUTED_VALUE"""),624.0)</f>
        <v>624</v>
      </c>
      <c r="K1090" s="2">
        <f>IFERROR(__xludf.DUMMYFUNCTION("""COMPUTED_VALUE"""),624.0)</f>
        <v>624</v>
      </c>
    </row>
    <row r="1091">
      <c r="A1091" s="2">
        <f>IFERROR(__xludf.DUMMYFUNCTION("""COMPUTED_VALUE"""),1000.0)</f>
        <v>1000</v>
      </c>
      <c r="B1091" s="2">
        <f>IFERROR(__xludf.DUMMYFUNCTION("""COMPUTED_VALUE"""),184252.0)</f>
        <v>184252</v>
      </c>
      <c r="C1091" s="2">
        <f>IFERROR(__xludf.DUMMYFUNCTION("""COMPUTED_VALUE"""),2026.0)</f>
        <v>2026</v>
      </c>
      <c r="D1091" s="2">
        <f>IFERROR(__xludf.DUMMYFUNCTION("""COMPUTED_VALUE"""),46162.0)</f>
        <v>46162</v>
      </c>
      <c r="E1091" s="2" t="str">
        <f>IFERROR(__xludf.DUMMYFUNCTION("""COMPUTED_VALUE"""),"VF")</f>
        <v>VF</v>
      </c>
      <c r="F1091" s="2">
        <f>IFERROR(__xludf.DUMMYFUNCTION("""COMPUTED_VALUE"""),2.0)</f>
        <v>2</v>
      </c>
      <c r="G1091" s="2" t="str">
        <f>IFERROR(__xludf.DUMMYFUNCTION("""COMPUTED_VALUE"""),"PR038")</f>
        <v>PR038</v>
      </c>
      <c r="H1091" s="2" t="str">
        <f>IFERROR(__xludf.DUMMYFUNCTION("""COMPUTED_VALUE"""),"VD032")</f>
        <v>VD032</v>
      </c>
      <c r="I1091" s="2">
        <f>IFERROR(__xludf.DUMMYFUNCTION("""COMPUTED_VALUE"""),8.0)</f>
        <v>8</v>
      </c>
      <c r="J1091" s="2">
        <f>IFERROR(__xludf.DUMMYFUNCTION("""COMPUTED_VALUE"""),1188.93)</f>
        <v>1188.93</v>
      </c>
      <c r="K1091" s="2">
        <f>IFERROR(__xludf.DUMMYFUNCTION("""COMPUTED_VALUE"""),1188.93)</f>
        <v>1188.93</v>
      </c>
    </row>
    <row r="1092">
      <c r="A1092" s="2">
        <f>IFERROR(__xludf.DUMMYFUNCTION("""COMPUTED_VALUE"""),1000.0)</f>
        <v>1000</v>
      </c>
      <c r="B1092" s="2">
        <f>IFERROR(__xludf.DUMMYFUNCTION("""COMPUTED_VALUE"""),184253.0)</f>
        <v>184253</v>
      </c>
      <c r="C1092" s="2">
        <f>IFERROR(__xludf.DUMMYFUNCTION("""COMPUTED_VALUE"""),2026.0)</f>
        <v>2026</v>
      </c>
      <c r="D1092" s="2">
        <f>IFERROR(__xludf.DUMMYFUNCTION("""COMPUTED_VALUE"""),46162.0)</f>
        <v>46162</v>
      </c>
      <c r="E1092" s="2" t="str">
        <f>IFERROR(__xludf.DUMMYFUNCTION("""COMPUTED_VALUE"""),"VF")</f>
        <v>VF</v>
      </c>
      <c r="F1092" s="2">
        <f>IFERROR(__xludf.DUMMYFUNCTION("""COMPUTED_VALUE"""),1.0)</f>
        <v>1</v>
      </c>
      <c r="G1092" s="2" t="str">
        <f>IFERROR(__xludf.DUMMYFUNCTION("""COMPUTED_VALUE"""),"PR060")</f>
        <v>PR060</v>
      </c>
      <c r="H1092" s="2" t="str">
        <f>IFERROR(__xludf.DUMMYFUNCTION("""COMPUTED_VALUE"""),"VD047")</f>
        <v>VD047</v>
      </c>
      <c r="I1092" s="2">
        <f>IFERROR(__xludf.DUMMYFUNCTION("""COMPUTED_VALUE"""),16.0)</f>
        <v>16</v>
      </c>
      <c r="J1092" s="2">
        <f>IFERROR(__xludf.DUMMYFUNCTION("""COMPUTED_VALUE"""),3139.2)</f>
        <v>3139.2</v>
      </c>
      <c r="K1092" s="2">
        <f>IFERROR(__xludf.DUMMYFUNCTION("""COMPUTED_VALUE"""),3139.2)</f>
        <v>3139.2</v>
      </c>
    </row>
    <row r="1093">
      <c r="A1093" s="2">
        <f>IFERROR(__xludf.DUMMYFUNCTION("""COMPUTED_VALUE"""),1000.0)</f>
        <v>1000</v>
      </c>
      <c r="B1093" s="2">
        <f>IFERROR(__xludf.DUMMYFUNCTION("""COMPUTED_VALUE"""),184254.0)</f>
        <v>184254</v>
      </c>
      <c r="C1093" s="2">
        <f>IFERROR(__xludf.DUMMYFUNCTION("""COMPUTED_VALUE"""),2026.0)</f>
        <v>2026</v>
      </c>
      <c r="D1093" s="2">
        <f>IFERROR(__xludf.DUMMYFUNCTION("""COMPUTED_VALUE"""),46162.0)</f>
        <v>46162</v>
      </c>
      <c r="E1093" s="2" t="str">
        <f>IFERROR(__xludf.DUMMYFUNCTION("""COMPUTED_VALUE"""),"VF")</f>
        <v>VF</v>
      </c>
      <c r="F1093" s="2">
        <f>IFERROR(__xludf.DUMMYFUNCTION("""COMPUTED_VALUE"""),1.0)</f>
        <v>1</v>
      </c>
      <c r="G1093" s="2" t="str">
        <f>IFERROR(__xludf.DUMMYFUNCTION("""COMPUTED_VALUE"""),"PR049")</f>
        <v>PR049</v>
      </c>
      <c r="H1093" s="2" t="str">
        <f>IFERROR(__xludf.DUMMYFUNCTION("""COMPUTED_VALUE"""),"VD035")</f>
        <v>VD035</v>
      </c>
      <c r="I1093" s="2">
        <f>IFERROR(__xludf.DUMMYFUNCTION("""COMPUTED_VALUE"""),3.0)</f>
        <v>3</v>
      </c>
      <c r="J1093" s="2">
        <f>IFERROR(__xludf.DUMMYFUNCTION("""COMPUTED_VALUE"""),102.65)</f>
        <v>102.65</v>
      </c>
      <c r="K1093" s="2">
        <f>IFERROR(__xludf.DUMMYFUNCTION("""COMPUTED_VALUE"""),102.65)</f>
        <v>102.65</v>
      </c>
    </row>
    <row r="1094">
      <c r="A1094" s="2">
        <f>IFERROR(__xludf.DUMMYFUNCTION("""COMPUTED_VALUE"""),1000.0)</f>
        <v>1000</v>
      </c>
      <c r="B1094" s="2">
        <f>IFERROR(__xludf.DUMMYFUNCTION("""COMPUTED_VALUE"""),184255.0)</f>
        <v>184255</v>
      </c>
      <c r="C1094" s="2">
        <f>IFERROR(__xludf.DUMMYFUNCTION("""COMPUTED_VALUE"""),2026.0)</f>
        <v>2026</v>
      </c>
      <c r="D1094" s="2">
        <f>IFERROR(__xludf.DUMMYFUNCTION("""COMPUTED_VALUE"""),46162.0)</f>
        <v>46162</v>
      </c>
      <c r="E1094" s="2" t="str">
        <f>IFERROR(__xludf.DUMMYFUNCTION("""COMPUTED_VALUE"""),"VF")</f>
        <v>VF</v>
      </c>
      <c r="F1094" s="2">
        <f>IFERROR(__xludf.DUMMYFUNCTION("""COMPUTED_VALUE"""),1.0)</f>
        <v>1</v>
      </c>
      <c r="G1094" s="2" t="str">
        <f>IFERROR(__xludf.DUMMYFUNCTION("""COMPUTED_VALUE"""),"PR035")</f>
        <v>PR035</v>
      </c>
      <c r="H1094" s="2" t="str">
        <f>IFERROR(__xludf.DUMMYFUNCTION("""COMPUTED_VALUE"""),"VD045")</f>
        <v>VD045</v>
      </c>
      <c r="I1094" s="2">
        <f>IFERROR(__xludf.DUMMYFUNCTION("""COMPUTED_VALUE"""),5.0)</f>
        <v>5</v>
      </c>
      <c r="J1094" s="2">
        <f>IFERROR(__xludf.DUMMYFUNCTION("""COMPUTED_VALUE"""),466.14)</f>
        <v>466.14</v>
      </c>
      <c r="K1094" s="2">
        <f>IFERROR(__xludf.DUMMYFUNCTION("""COMPUTED_VALUE"""),466.14)</f>
        <v>466.14</v>
      </c>
    </row>
    <row r="1095">
      <c r="A1095" s="2">
        <f>IFERROR(__xludf.DUMMYFUNCTION("""COMPUTED_VALUE"""),1000.0)</f>
        <v>1000</v>
      </c>
      <c r="B1095" s="2">
        <f>IFERROR(__xludf.DUMMYFUNCTION("""COMPUTED_VALUE"""),184256.0)</f>
        <v>184256</v>
      </c>
      <c r="C1095" s="2">
        <f>IFERROR(__xludf.DUMMYFUNCTION("""COMPUTED_VALUE"""),2026.0)</f>
        <v>2026</v>
      </c>
      <c r="D1095" s="2">
        <f>IFERROR(__xludf.DUMMYFUNCTION("""COMPUTED_VALUE"""),46161.0)</f>
        <v>46161</v>
      </c>
      <c r="E1095" s="2" t="str">
        <f>IFERROR(__xludf.DUMMYFUNCTION("""COMPUTED_VALUE"""),"VF")</f>
        <v>VF</v>
      </c>
      <c r="F1095" s="2">
        <f>IFERROR(__xludf.DUMMYFUNCTION("""COMPUTED_VALUE"""),1.0)</f>
        <v>1</v>
      </c>
      <c r="G1095" s="2" t="str">
        <f>IFERROR(__xludf.DUMMYFUNCTION("""COMPUTED_VALUE"""),"PR017")</f>
        <v>PR017</v>
      </c>
      <c r="H1095" s="2" t="str">
        <f>IFERROR(__xludf.DUMMYFUNCTION("""COMPUTED_VALUE"""),"VD032")</f>
        <v>VD032</v>
      </c>
      <c r="I1095" s="2">
        <f>IFERROR(__xludf.DUMMYFUNCTION("""COMPUTED_VALUE"""),18.0)</f>
        <v>18</v>
      </c>
      <c r="J1095" s="2">
        <f>IFERROR(__xludf.DUMMYFUNCTION("""COMPUTED_VALUE"""),559.73)</f>
        <v>559.73</v>
      </c>
      <c r="K1095" s="2">
        <f>IFERROR(__xludf.DUMMYFUNCTION("""COMPUTED_VALUE"""),559.73)</f>
        <v>559.73</v>
      </c>
    </row>
    <row r="1096">
      <c r="A1096" s="2">
        <f>IFERROR(__xludf.DUMMYFUNCTION("""COMPUTED_VALUE"""),1000.0)</f>
        <v>1000</v>
      </c>
      <c r="B1096" s="2">
        <f>IFERROR(__xludf.DUMMYFUNCTION("""COMPUTED_VALUE"""),184257.0)</f>
        <v>184257</v>
      </c>
      <c r="C1096" s="2">
        <f>IFERROR(__xludf.DUMMYFUNCTION("""COMPUTED_VALUE"""),2026.0)</f>
        <v>2026</v>
      </c>
      <c r="D1096" s="2">
        <f>IFERROR(__xludf.DUMMYFUNCTION("""COMPUTED_VALUE"""),46161.0)</f>
        <v>46161</v>
      </c>
      <c r="E1096" s="2" t="str">
        <f>IFERROR(__xludf.DUMMYFUNCTION("""COMPUTED_VALUE"""),"VF")</f>
        <v>VF</v>
      </c>
      <c r="F1096" s="2">
        <f>IFERROR(__xludf.DUMMYFUNCTION("""COMPUTED_VALUE"""),1.0)</f>
        <v>1</v>
      </c>
      <c r="G1096" s="2" t="str">
        <f>IFERROR(__xludf.DUMMYFUNCTION("""COMPUTED_VALUE"""),"PR060")</f>
        <v>PR060</v>
      </c>
      <c r="H1096" s="2" t="str">
        <f>IFERROR(__xludf.DUMMYFUNCTION("""COMPUTED_VALUE"""),"VD020")</f>
        <v>VD020</v>
      </c>
      <c r="I1096" s="2">
        <f>IFERROR(__xludf.DUMMYFUNCTION("""COMPUTED_VALUE"""),9.0)</f>
        <v>9</v>
      </c>
      <c r="J1096" s="2">
        <f>IFERROR(__xludf.DUMMYFUNCTION("""COMPUTED_VALUE"""),1684.8)</f>
        <v>1684.8</v>
      </c>
      <c r="K1096" s="2">
        <f>IFERROR(__xludf.DUMMYFUNCTION("""COMPUTED_VALUE"""),1684.8)</f>
        <v>1684.8</v>
      </c>
    </row>
    <row r="1097">
      <c r="A1097" s="2">
        <f>IFERROR(__xludf.DUMMYFUNCTION("""COMPUTED_VALUE"""),2000.0)</f>
        <v>2000</v>
      </c>
      <c r="B1097" s="2">
        <f>IFERROR(__xludf.DUMMYFUNCTION("""COMPUTED_VALUE"""),184258.0)</f>
        <v>184258</v>
      </c>
      <c r="C1097" s="2">
        <f>IFERROR(__xludf.DUMMYFUNCTION("""COMPUTED_VALUE"""),2026.0)</f>
        <v>2026</v>
      </c>
      <c r="D1097" s="2">
        <f>IFERROR(__xludf.DUMMYFUNCTION("""COMPUTED_VALUE"""),46160.0)</f>
        <v>46160</v>
      </c>
      <c r="E1097" s="2" t="str">
        <f>IFERROR(__xludf.DUMMYFUNCTION("""COMPUTED_VALUE"""),"VF")</f>
        <v>VF</v>
      </c>
      <c r="F1097" s="2">
        <f>IFERROR(__xludf.DUMMYFUNCTION("""COMPUTED_VALUE"""),1.0)</f>
        <v>1</v>
      </c>
      <c r="G1097" s="2" t="str">
        <f>IFERROR(__xludf.DUMMYFUNCTION("""COMPUTED_VALUE"""),"PR036")</f>
        <v>PR036</v>
      </c>
      <c r="H1097" s="2" t="str">
        <f>IFERROR(__xludf.DUMMYFUNCTION("""COMPUTED_VALUE"""),"VD046")</f>
        <v>VD046</v>
      </c>
      <c r="I1097" s="2">
        <f>IFERROR(__xludf.DUMMYFUNCTION("""COMPUTED_VALUE"""),10.0)</f>
        <v>10</v>
      </c>
      <c r="J1097" s="2">
        <f>IFERROR(__xludf.DUMMYFUNCTION("""COMPUTED_VALUE"""),1028.5)</f>
        <v>1028.5</v>
      </c>
      <c r="K1097" s="2">
        <f>IFERROR(__xludf.DUMMYFUNCTION("""COMPUTED_VALUE"""),1028.5)</f>
        <v>1028.5</v>
      </c>
    </row>
    <row r="1098">
      <c r="A1098" s="2">
        <f>IFERROR(__xludf.DUMMYFUNCTION("""COMPUTED_VALUE"""),1000.0)</f>
        <v>1000</v>
      </c>
      <c r="B1098" s="2">
        <f>IFERROR(__xludf.DUMMYFUNCTION("""COMPUTED_VALUE"""),184258.0)</f>
        <v>184258</v>
      </c>
      <c r="C1098" s="2">
        <f>IFERROR(__xludf.DUMMYFUNCTION("""COMPUTED_VALUE"""),2026.0)</f>
        <v>2026</v>
      </c>
      <c r="D1098" s="2">
        <f>IFERROR(__xludf.DUMMYFUNCTION("""COMPUTED_VALUE"""),46160.0)</f>
        <v>46160</v>
      </c>
      <c r="E1098" s="2" t="str">
        <f>IFERROR(__xludf.DUMMYFUNCTION("""COMPUTED_VALUE"""),"VF")</f>
        <v>VF</v>
      </c>
      <c r="F1098" s="2">
        <f>IFERROR(__xludf.DUMMYFUNCTION("""COMPUTED_VALUE"""),2.0)</f>
        <v>2</v>
      </c>
      <c r="G1098" s="2" t="str">
        <f>IFERROR(__xludf.DUMMYFUNCTION("""COMPUTED_VALUE"""),"PR043")</f>
        <v>PR043</v>
      </c>
      <c r="H1098" s="2" t="str">
        <f>IFERROR(__xludf.DUMMYFUNCTION("""COMPUTED_VALUE"""),"VD022")</f>
        <v>VD022</v>
      </c>
      <c r="I1098" s="2">
        <f>IFERROR(__xludf.DUMMYFUNCTION("""COMPUTED_VALUE"""),2.0)</f>
        <v>2</v>
      </c>
      <c r="J1098" s="2">
        <f>IFERROR(__xludf.DUMMYFUNCTION("""COMPUTED_VALUE"""),153.7)</f>
        <v>153.7</v>
      </c>
      <c r="K1098" s="2">
        <f>IFERROR(__xludf.DUMMYFUNCTION("""COMPUTED_VALUE"""),153.7)</f>
        <v>153.7</v>
      </c>
    </row>
    <row r="1099">
      <c r="A1099" s="2">
        <f>IFERROR(__xludf.DUMMYFUNCTION("""COMPUTED_VALUE"""),1000.0)</f>
        <v>1000</v>
      </c>
      <c r="B1099" s="2">
        <f>IFERROR(__xludf.DUMMYFUNCTION("""COMPUTED_VALUE"""),184259.0)</f>
        <v>184259</v>
      </c>
      <c r="C1099" s="2">
        <f>IFERROR(__xludf.DUMMYFUNCTION("""COMPUTED_VALUE"""),2026.0)</f>
        <v>2026</v>
      </c>
      <c r="D1099" s="2">
        <f>IFERROR(__xludf.DUMMYFUNCTION("""COMPUTED_VALUE"""),46160.0)</f>
        <v>46160</v>
      </c>
      <c r="E1099" s="2" t="str">
        <f>IFERROR(__xludf.DUMMYFUNCTION("""COMPUTED_VALUE"""),"VF")</f>
        <v>VF</v>
      </c>
      <c r="F1099" s="2">
        <f>IFERROR(__xludf.DUMMYFUNCTION("""COMPUTED_VALUE"""),1.0)</f>
        <v>1</v>
      </c>
      <c r="G1099" s="2" t="str">
        <f>IFERROR(__xludf.DUMMYFUNCTION("""COMPUTED_VALUE"""),"PR007")</f>
        <v>PR007</v>
      </c>
      <c r="H1099" s="2" t="str">
        <f>IFERROR(__xludf.DUMMYFUNCTION("""COMPUTED_VALUE"""),"VD041")</f>
        <v>VD041</v>
      </c>
      <c r="I1099" s="2">
        <f>IFERROR(__xludf.DUMMYFUNCTION("""COMPUTED_VALUE"""),2.0)</f>
        <v>2</v>
      </c>
      <c r="J1099" s="2">
        <f>IFERROR(__xludf.DUMMYFUNCTION("""COMPUTED_VALUE"""),187.26)</f>
        <v>187.26</v>
      </c>
      <c r="K1099" s="2">
        <f>IFERROR(__xludf.DUMMYFUNCTION("""COMPUTED_VALUE"""),187.26)</f>
        <v>187.26</v>
      </c>
    </row>
    <row r="1100">
      <c r="A1100" s="2">
        <f>IFERROR(__xludf.DUMMYFUNCTION("""COMPUTED_VALUE"""),1000.0)</f>
        <v>1000</v>
      </c>
      <c r="B1100" s="2">
        <f>IFERROR(__xludf.DUMMYFUNCTION("""COMPUTED_VALUE"""),184260.0)</f>
        <v>184260</v>
      </c>
      <c r="C1100" s="2">
        <f>IFERROR(__xludf.DUMMYFUNCTION("""COMPUTED_VALUE"""),2026.0)</f>
        <v>2026</v>
      </c>
      <c r="D1100" s="2">
        <f>IFERROR(__xludf.DUMMYFUNCTION("""COMPUTED_VALUE"""),46160.0)</f>
        <v>46160</v>
      </c>
      <c r="E1100" s="2" t="str">
        <f>IFERROR(__xludf.DUMMYFUNCTION("""COMPUTED_VALUE"""),"VF")</f>
        <v>VF</v>
      </c>
      <c r="F1100" s="2">
        <f>IFERROR(__xludf.DUMMYFUNCTION("""COMPUTED_VALUE"""),1.0)</f>
        <v>1</v>
      </c>
      <c r="G1100" s="2" t="str">
        <f>IFERROR(__xludf.DUMMYFUNCTION("""COMPUTED_VALUE"""),"PR037")</f>
        <v>PR037</v>
      </c>
      <c r="H1100" s="2" t="str">
        <f>IFERROR(__xludf.DUMMYFUNCTION("""COMPUTED_VALUE"""),"VD043")</f>
        <v>VD043</v>
      </c>
      <c r="I1100" s="2">
        <f>IFERROR(__xludf.DUMMYFUNCTION("""COMPUTED_VALUE"""),9.0)</f>
        <v>9</v>
      </c>
      <c r="J1100" s="2">
        <f>IFERROR(__xludf.DUMMYFUNCTION("""COMPUTED_VALUE"""),1297.8)</f>
        <v>1297.8</v>
      </c>
      <c r="K1100" s="2">
        <f>IFERROR(__xludf.DUMMYFUNCTION("""COMPUTED_VALUE"""),1297.8)</f>
        <v>1297.8</v>
      </c>
    </row>
    <row r="1101">
      <c r="A1101" s="2">
        <f>IFERROR(__xludf.DUMMYFUNCTION("""COMPUTED_VALUE"""),1000.0)</f>
        <v>1000</v>
      </c>
      <c r="B1101" s="2">
        <f>IFERROR(__xludf.DUMMYFUNCTION("""COMPUTED_VALUE"""),184261.0)</f>
        <v>184261</v>
      </c>
      <c r="C1101" s="2">
        <f>IFERROR(__xludf.DUMMYFUNCTION("""COMPUTED_VALUE"""),2026.0)</f>
        <v>2026</v>
      </c>
      <c r="D1101" s="2">
        <f>IFERROR(__xludf.DUMMYFUNCTION("""COMPUTED_VALUE"""),46160.0)</f>
        <v>46160</v>
      </c>
      <c r="E1101" s="2" t="str">
        <f>IFERROR(__xludf.DUMMYFUNCTION("""COMPUTED_VALUE"""),"VF")</f>
        <v>VF</v>
      </c>
      <c r="F1101" s="2">
        <f>IFERROR(__xludf.DUMMYFUNCTION("""COMPUTED_VALUE"""),1.0)</f>
        <v>1</v>
      </c>
      <c r="G1101" s="2" t="str">
        <f>IFERROR(__xludf.DUMMYFUNCTION("""COMPUTED_VALUE"""),"PR030")</f>
        <v>PR030</v>
      </c>
      <c r="H1101" s="2" t="str">
        <f>IFERROR(__xludf.DUMMYFUNCTION("""COMPUTED_VALUE"""),"VD010")</f>
        <v>VD010</v>
      </c>
      <c r="I1101" s="2">
        <f>IFERROR(__xludf.DUMMYFUNCTION("""COMPUTED_VALUE"""),18.0)</f>
        <v>18</v>
      </c>
      <c r="J1101" s="2">
        <f>IFERROR(__xludf.DUMMYFUNCTION("""COMPUTED_VALUE"""),5146.02)</f>
        <v>5146.02</v>
      </c>
      <c r="K1101" s="2">
        <f>IFERROR(__xludf.DUMMYFUNCTION("""COMPUTED_VALUE"""),5146.02)</f>
        <v>5146.02</v>
      </c>
    </row>
    <row r="1102">
      <c r="A1102" s="2">
        <f>IFERROR(__xludf.DUMMYFUNCTION("""COMPUTED_VALUE"""),2000.0)</f>
        <v>2000</v>
      </c>
      <c r="B1102" s="2">
        <f>IFERROR(__xludf.DUMMYFUNCTION("""COMPUTED_VALUE"""),184262.0)</f>
        <v>184262</v>
      </c>
      <c r="C1102" s="2">
        <f>IFERROR(__xludf.DUMMYFUNCTION("""COMPUTED_VALUE"""),2026.0)</f>
        <v>2026</v>
      </c>
      <c r="D1102" s="2">
        <f>IFERROR(__xludf.DUMMYFUNCTION("""COMPUTED_VALUE"""),46160.0)</f>
        <v>46160</v>
      </c>
      <c r="E1102" s="2" t="str">
        <f>IFERROR(__xludf.DUMMYFUNCTION("""COMPUTED_VALUE"""),"VF")</f>
        <v>VF</v>
      </c>
      <c r="F1102" s="2">
        <f>IFERROR(__xludf.DUMMYFUNCTION("""COMPUTED_VALUE"""),1.0)</f>
        <v>1</v>
      </c>
      <c r="G1102" s="2" t="str">
        <f>IFERROR(__xludf.DUMMYFUNCTION("""COMPUTED_VALUE"""),"PR049")</f>
        <v>PR049</v>
      </c>
      <c r="H1102" s="2" t="str">
        <f>IFERROR(__xludf.DUMMYFUNCTION("""COMPUTED_VALUE"""),"VD049")</f>
        <v>VD049</v>
      </c>
      <c r="I1102" s="2">
        <f>IFERROR(__xludf.DUMMYFUNCTION("""COMPUTED_VALUE"""),4.0)</f>
        <v>4</v>
      </c>
      <c r="J1102" s="2">
        <f>IFERROR(__xludf.DUMMYFUNCTION("""COMPUTED_VALUE"""),142.13)</f>
        <v>142.13</v>
      </c>
      <c r="K1102" s="2">
        <f>IFERROR(__xludf.DUMMYFUNCTION("""COMPUTED_VALUE"""),142.13)</f>
        <v>142.13</v>
      </c>
    </row>
    <row r="1103">
      <c r="A1103" s="2">
        <f>IFERROR(__xludf.DUMMYFUNCTION("""COMPUTED_VALUE"""),1000.0)</f>
        <v>1000</v>
      </c>
      <c r="B1103" s="2">
        <f>IFERROR(__xludf.DUMMYFUNCTION("""COMPUTED_VALUE"""),184262.0)</f>
        <v>184262</v>
      </c>
      <c r="C1103" s="2">
        <f>IFERROR(__xludf.DUMMYFUNCTION("""COMPUTED_VALUE"""),2026.0)</f>
        <v>2026</v>
      </c>
      <c r="D1103" s="2">
        <f>IFERROR(__xludf.DUMMYFUNCTION("""COMPUTED_VALUE"""),46160.0)</f>
        <v>46160</v>
      </c>
      <c r="E1103" s="2" t="str">
        <f>IFERROR(__xludf.DUMMYFUNCTION("""COMPUTED_VALUE"""),"VF")</f>
        <v>VF</v>
      </c>
      <c r="F1103" s="2">
        <f>IFERROR(__xludf.DUMMYFUNCTION("""COMPUTED_VALUE"""),2.0)</f>
        <v>2</v>
      </c>
      <c r="G1103" s="2" t="str">
        <f>IFERROR(__xludf.DUMMYFUNCTION("""COMPUTED_VALUE"""),"PR024")</f>
        <v>PR024</v>
      </c>
      <c r="H1103" s="2" t="str">
        <f>IFERROR(__xludf.DUMMYFUNCTION("""COMPUTED_VALUE"""),"VD033")</f>
        <v>VD033</v>
      </c>
      <c r="I1103" s="2">
        <f>IFERROR(__xludf.DUMMYFUNCTION("""COMPUTED_VALUE"""),5.0)</f>
        <v>5</v>
      </c>
      <c r="J1103" s="2">
        <f>IFERROR(__xludf.DUMMYFUNCTION("""COMPUTED_VALUE"""),1312.5)</f>
        <v>1312.5</v>
      </c>
      <c r="K1103" s="2">
        <f>IFERROR(__xludf.DUMMYFUNCTION("""COMPUTED_VALUE"""),1312.5)</f>
        <v>1312.5</v>
      </c>
    </row>
    <row r="1104">
      <c r="A1104" s="2">
        <f>IFERROR(__xludf.DUMMYFUNCTION("""COMPUTED_VALUE"""),1000.0)</f>
        <v>1000</v>
      </c>
      <c r="B1104" s="2">
        <f>IFERROR(__xludf.DUMMYFUNCTION("""COMPUTED_VALUE"""),184262.0)</f>
        <v>184262</v>
      </c>
      <c r="C1104" s="2">
        <f>IFERROR(__xludf.DUMMYFUNCTION("""COMPUTED_VALUE"""),2026.0)</f>
        <v>2026</v>
      </c>
      <c r="D1104" s="2">
        <f>IFERROR(__xludf.DUMMYFUNCTION("""COMPUTED_VALUE"""),46160.0)</f>
        <v>46160</v>
      </c>
      <c r="E1104" s="2" t="str">
        <f>IFERROR(__xludf.DUMMYFUNCTION("""COMPUTED_VALUE"""),"VF")</f>
        <v>VF</v>
      </c>
      <c r="F1104" s="2">
        <f>IFERROR(__xludf.DUMMYFUNCTION("""COMPUTED_VALUE"""),3.0)</f>
        <v>3</v>
      </c>
      <c r="G1104" s="2" t="str">
        <f>IFERROR(__xludf.DUMMYFUNCTION("""COMPUTED_VALUE"""),"PR025")</f>
        <v>PR025</v>
      </c>
      <c r="H1104" s="2" t="str">
        <f>IFERROR(__xludf.DUMMYFUNCTION("""COMPUTED_VALUE"""),"VD027")</f>
        <v>VD027</v>
      </c>
      <c r="I1104" s="2">
        <f>IFERROR(__xludf.DUMMYFUNCTION("""COMPUTED_VALUE"""),16.0)</f>
        <v>16</v>
      </c>
      <c r="J1104" s="2">
        <f>IFERROR(__xludf.DUMMYFUNCTION("""COMPUTED_VALUE"""),5278.24)</f>
        <v>5278.24</v>
      </c>
      <c r="K1104" s="2">
        <f>IFERROR(__xludf.DUMMYFUNCTION("""COMPUTED_VALUE"""),5278.24)</f>
        <v>5278.24</v>
      </c>
    </row>
    <row r="1105">
      <c r="A1105" s="2">
        <f>IFERROR(__xludf.DUMMYFUNCTION("""COMPUTED_VALUE"""),2000.0)</f>
        <v>2000</v>
      </c>
      <c r="B1105" s="2">
        <f>IFERROR(__xludf.DUMMYFUNCTION("""COMPUTED_VALUE"""),184263.0)</f>
        <v>184263</v>
      </c>
      <c r="C1105" s="2">
        <f>IFERROR(__xludf.DUMMYFUNCTION("""COMPUTED_VALUE"""),2026.0)</f>
        <v>2026</v>
      </c>
      <c r="D1105" s="2">
        <f>IFERROR(__xludf.DUMMYFUNCTION("""COMPUTED_VALUE"""),46160.0)</f>
        <v>46160</v>
      </c>
      <c r="E1105" s="2" t="str">
        <f>IFERROR(__xludf.DUMMYFUNCTION("""COMPUTED_VALUE"""),"VF")</f>
        <v>VF</v>
      </c>
      <c r="F1105" s="2">
        <f>IFERROR(__xludf.DUMMYFUNCTION("""COMPUTED_VALUE"""),1.0)</f>
        <v>1</v>
      </c>
      <c r="G1105" s="2" t="str">
        <f>IFERROR(__xludf.DUMMYFUNCTION("""COMPUTED_VALUE"""),"PR040")</f>
        <v>PR040</v>
      </c>
      <c r="H1105" s="2" t="str">
        <f>IFERROR(__xludf.DUMMYFUNCTION("""COMPUTED_VALUE"""),"VD020")</f>
        <v>VD020</v>
      </c>
      <c r="I1105" s="2">
        <f>IFERROR(__xludf.DUMMYFUNCTION("""COMPUTED_VALUE"""),5.0)</f>
        <v>5</v>
      </c>
      <c r="J1105" s="2">
        <f>IFERROR(__xludf.DUMMYFUNCTION("""COMPUTED_VALUE"""),385.0)</f>
        <v>385</v>
      </c>
      <c r="K1105" s="2">
        <f>IFERROR(__xludf.DUMMYFUNCTION("""COMPUTED_VALUE"""),385.0)</f>
        <v>385</v>
      </c>
    </row>
    <row r="1106">
      <c r="A1106" s="2">
        <f>IFERROR(__xludf.DUMMYFUNCTION("""COMPUTED_VALUE"""),1000.0)</f>
        <v>1000</v>
      </c>
      <c r="B1106" s="2">
        <f>IFERROR(__xludf.DUMMYFUNCTION("""COMPUTED_VALUE"""),184264.0)</f>
        <v>184264</v>
      </c>
      <c r="C1106" s="2">
        <f>IFERROR(__xludf.DUMMYFUNCTION("""COMPUTED_VALUE"""),2026.0)</f>
        <v>2026</v>
      </c>
      <c r="D1106" s="2">
        <f>IFERROR(__xludf.DUMMYFUNCTION("""COMPUTED_VALUE"""),46159.0)</f>
        <v>46159</v>
      </c>
      <c r="E1106" s="2" t="str">
        <f>IFERROR(__xludf.DUMMYFUNCTION("""COMPUTED_VALUE"""),"VF")</f>
        <v>VF</v>
      </c>
      <c r="F1106" s="2">
        <f>IFERROR(__xludf.DUMMYFUNCTION("""COMPUTED_VALUE"""),1.0)</f>
        <v>1</v>
      </c>
      <c r="G1106" s="2" t="str">
        <f>IFERROR(__xludf.DUMMYFUNCTION("""COMPUTED_VALUE"""),"PR012")</f>
        <v>PR012</v>
      </c>
      <c r="H1106" s="2" t="str">
        <f>IFERROR(__xludf.DUMMYFUNCTION("""COMPUTED_VALUE"""),"VD042")</f>
        <v>VD042</v>
      </c>
      <c r="I1106" s="2">
        <f>IFERROR(__xludf.DUMMYFUNCTION("""COMPUTED_VALUE"""),6.0)</f>
        <v>6</v>
      </c>
      <c r="J1106" s="2">
        <f>IFERROR(__xludf.DUMMYFUNCTION("""COMPUTED_VALUE"""),316.87)</f>
        <v>316.87</v>
      </c>
      <c r="K1106" s="2">
        <f>IFERROR(__xludf.DUMMYFUNCTION("""COMPUTED_VALUE"""),316.87)</f>
        <v>316.87</v>
      </c>
    </row>
    <row r="1107">
      <c r="A1107" s="2">
        <f>IFERROR(__xludf.DUMMYFUNCTION("""COMPUTED_VALUE"""),1000.0)</f>
        <v>1000</v>
      </c>
      <c r="B1107" s="2">
        <f>IFERROR(__xludf.DUMMYFUNCTION("""COMPUTED_VALUE"""),184265.0)</f>
        <v>184265</v>
      </c>
      <c r="C1107" s="2">
        <f>IFERROR(__xludf.DUMMYFUNCTION("""COMPUTED_VALUE"""),2026.0)</f>
        <v>2026</v>
      </c>
      <c r="D1107" s="2">
        <f>IFERROR(__xludf.DUMMYFUNCTION("""COMPUTED_VALUE"""),46159.0)</f>
        <v>46159</v>
      </c>
      <c r="E1107" s="2" t="str">
        <f>IFERROR(__xludf.DUMMYFUNCTION("""COMPUTED_VALUE"""),"VF")</f>
        <v>VF</v>
      </c>
      <c r="F1107" s="2">
        <f>IFERROR(__xludf.DUMMYFUNCTION("""COMPUTED_VALUE"""),1.0)</f>
        <v>1</v>
      </c>
      <c r="G1107" s="2" t="str">
        <f>IFERROR(__xludf.DUMMYFUNCTION("""COMPUTED_VALUE"""),"PR050")</f>
        <v>PR050</v>
      </c>
      <c r="H1107" s="2" t="str">
        <f>IFERROR(__xludf.DUMMYFUNCTION("""COMPUTED_VALUE"""),"VD039")</f>
        <v>VD039</v>
      </c>
      <c r="I1107" s="2">
        <f>IFERROR(__xludf.DUMMYFUNCTION("""COMPUTED_VALUE"""),2.0)</f>
        <v>2</v>
      </c>
      <c r="J1107" s="2">
        <f>IFERROR(__xludf.DUMMYFUNCTION("""COMPUTED_VALUE"""),65.8)</f>
        <v>65.8</v>
      </c>
      <c r="K1107" s="2">
        <f>IFERROR(__xludf.DUMMYFUNCTION("""COMPUTED_VALUE"""),65.8)</f>
        <v>65.8</v>
      </c>
    </row>
    <row r="1108">
      <c r="A1108" s="2">
        <f>IFERROR(__xludf.DUMMYFUNCTION("""COMPUTED_VALUE"""),1000.0)</f>
        <v>1000</v>
      </c>
      <c r="B1108" s="2">
        <f>IFERROR(__xludf.DUMMYFUNCTION("""COMPUTED_VALUE"""),184265.0)</f>
        <v>184265</v>
      </c>
      <c r="C1108" s="2">
        <f>IFERROR(__xludf.DUMMYFUNCTION("""COMPUTED_VALUE"""),2026.0)</f>
        <v>2026</v>
      </c>
      <c r="D1108" s="2">
        <f>IFERROR(__xludf.DUMMYFUNCTION("""COMPUTED_VALUE"""),46159.0)</f>
        <v>46159</v>
      </c>
      <c r="E1108" s="2" t="str">
        <f>IFERROR(__xludf.DUMMYFUNCTION("""COMPUTED_VALUE"""),"VF")</f>
        <v>VF</v>
      </c>
      <c r="F1108" s="2">
        <f>IFERROR(__xludf.DUMMYFUNCTION("""COMPUTED_VALUE"""),2.0)</f>
        <v>2</v>
      </c>
      <c r="G1108" s="2" t="str">
        <f>IFERROR(__xludf.DUMMYFUNCTION("""COMPUTED_VALUE"""),"PR036")</f>
        <v>PR036</v>
      </c>
      <c r="H1108" s="2" t="str">
        <f>IFERROR(__xludf.DUMMYFUNCTION("""COMPUTED_VALUE"""),"VD010")</f>
        <v>VD010</v>
      </c>
      <c r="I1108" s="2">
        <f>IFERROR(__xludf.DUMMYFUNCTION("""COMPUTED_VALUE"""),8.0)</f>
        <v>8</v>
      </c>
      <c r="J1108" s="2">
        <f>IFERROR(__xludf.DUMMYFUNCTION("""COMPUTED_VALUE"""),755.48)</f>
        <v>755.48</v>
      </c>
      <c r="K1108" s="2">
        <f>IFERROR(__xludf.DUMMYFUNCTION("""COMPUTED_VALUE"""),755.48)</f>
        <v>755.48</v>
      </c>
    </row>
    <row r="1109">
      <c r="A1109" s="2">
        <f>IFERROR(__xludf.DUMMYFUNCTION("""COMPUTED_VALUE"""),1000.0)</f>
        <v>1000</v>
      </c>
      <c r="B1109" s="2">
        <f>IFERROR(__xludf.DUMMYFUNCTION("""COMPUTED_VALUE"""),184266.0)</f>
        <v>184266</v>
      </c>
      <c r="C1109" s="2">
        <f>IFERROR(__xludf.DUMMYFUNCTION("""COMPUTED_VALUE"""),2026.0)</f>
        <v>2026</v>
      </c>
      <c r="D1109" s="2">
        <f>IFERROR(__xludf.DUMMYFUNCTION("""COMPUTED_VALUE"""),46159.0)</f>
        <v>46159</v>
      </c>
      <c r="E1109" s="2" t="str">
        <f>IFERROR(__xludf.DUMMYFUNCTION("""COMPUTED_VALUE"""),"VF")</f>
        <v>VF</v>
      </c>
      <c r="F1109" s="2">
        <f>IFERROR(__xludf.DUMMYFUNCTION("""COMPUTED_VALUE"""),1.0)</f>
        <v>1</v>
      </c>
      <c r="G1109" s="2" t="str">
        <f>IFERROR(__xludf.DUMMYFUNCTION("""COMPUTED_VALUE"""),"PR031")</f>
        <v>PR031</v>
      </c>
      <c r="H1109" s="2" t="str">
        <f>IFERROR(__xludf.DUMMYFUNCTION("""COMPUTED_VALUE"""),"VD030")</f>
        <v>VD030</v>
      </c>
      <c r="I1109" s="2">
        <f>IFERROR(__xludf.DUMMYFUNCTION("""COMPUTED_VALUE"""),9.0)</f>
        <v>9</v>
      </c>
      <c r="J1109" s="2">
        <f>IFERROR(__xludf.DUMMYFUNCTION("""COMPUTED_VALUE"""),2227.05)</f>
        <v>2227.05</v>
      </c>
      <c r="K1109" s="2">
        <f>IFERROR(__xludf.DUMMYFUNCTION("""COMPUTED_VALUE"""),2227.05)</f>
        <v>2227.05</v>
      </c>
    </row>
    <row r="1110">
      <c r="A1110" s="2">
        <f>IFERROR(__xludf.DUMMYFUNCTION("""COMPUTED_VALUE"""),1000.0)</f>
        <v>1000</v>
      </c>
      <c r="B1110" s="2">
        <f>IFERROR(__xludf.DUMMYFUNCTION("""COMPUTED_VALUE"""),184267.0)</f>
        <v>184267</v>
      </c>
      <c r="C1110" s="2">
        <f>IFERROR(__xludf.DUMMYFUNCTION("""COMPUTED_VALUE"""),2026.0)</f>
        <v>2026</v>
      </c>
      <c r="D1110" s="2">
        <f>IFERROR(__xludf.DUMMYFUNCTION("""COMPUTED_VALUE"""),46158.0)</f>
        <v>46158</v>
      </c>
      <c r="E1110" s="2" t="str">
        <f>IFERROR(__xludf.DUMMYFUNCTION("""COMPUTED_VALUE"""),"VF")</f>
        <v>VF</v>
      </c>
      <c r="F1110" s="2">
        <f>IFERROR(__xludf.DUMMYFUNCTION("""COMPUTED_VALUE"""),1.0)</f>
        <v>1</v>
      </c>
      <c r="G1110" s="2" t="str">
        <f>IFERROR(__xludf.DUMMYFUNCTION("""COMPUTED_VALUE"""),"PR060")</f>
        <v>PR060</v>
      </c>
      <c r="H1110" s="2" t="str">
        <f>IFERROR(__xludf.DUMMYFUNCTION("""COMPUTED_VALUE"""),"VD045")</f>
        <v>VD045</v>
      </c>
      <c r="I1110" s="2">
        <f>IFERROR(__xludf.DUMMYFUNCTION("""COMPUTED_VALUE"""),3.0)</f>
        <v>3</v>
      </c>
      <c r="J1110" s="2">
        <f>IFERROR(__xludf.DUMMYFUNCTION("""COMPUTED_VALUE"""),556.2)</f>
        <v>556.2</v>
      </c>
      <c r="K1110" s="2">
        <f>IFERROR(__xludf.DUMMYFUNCTION("""COMPUTED_VALUE"""),556.2)</f>
        <v>556.2</v>
      </c>
    </row>
    <row r="1111">
      <c r="A1111" s="2">
        <f>IFERROR(__xludf.DUMMYFUNCTION("""COMPUTED_VALUE"""),1000.0)</f>
        <v>1000</v>
      </c>
      <c r="B1111" s="2">
        <f>IFERROR(__xludf.DUMMYFUNCTION("""COMPUTED_VALUE"""),184267.0)</f>
        <v>184267</v>
      </c>
      <c r="C1111" s="2">
        <f>IFERROR(__xludf.DUMMYFUNCTION("""COMPUTED_VALUE"""),2026.0)</f>
        <v>2026</v>
      </c>
      <c r="D1111" s="2">
        <f>IFERROR(__xludf.DUMMYFUNCTION("""COMPUTED_VALUE"""),46158.0)</f>
        <v>46158</v>
      </c>
      <c r="E1111" s="2" t="str">
        <f>IFERROR(__xludf.DUMMYFUNCTION("""COMPUTED_VALUE"""),"VF")</f>
        <v>VF</v>
      </c>
      <c r="F1111" s="2">
        <f>IFERROR(__xludf.DUMMYFUNCTION("""COMPUTED_VALUE"""),2.0)</f>
        <v>2</v>
      </c>
      <c r="G1111" s="2" t="str">
        <f>IFERROR(__xludf.DUMMYFUNCTION("""COMPUTED_VALUE"""),"PR028")</f>
        <v>PR028</v>
      </c>
      <c r="H1111" s="2" t="str">
        <f>IFERROR(__xludf.DUMMYFUNCTION("""COMPUTED_VALUE"""),"VD038")</f>
        <v>VD038</v>
      </c>
      <c r="I1111" s="2">
        <f>IFERROR(__xludf.DUMMYFUNCTION("""COMPUTED_VALUE"""),1.0)</f>
        <v>1</v>
      </c>
      <c r="J1111" s="2">
        <f>IFERROR(__xludf.DUMMYFUNCTION("""COMPUTED_VALUE"""),249.9)</f>
        <v>249.9</v>
      </c>
      <c r="K1111" s="2">
        <f>IFERROR(__xludf.DUMMYFUNCTION("""COMPUTED_VALUE"""),249.9)</f>
        <v>249.9</v>
      </c>
    </row>
    <row r="1112">
      <c r="A1112" s="2">
        <f>IFERROR(__xludf.DUMMYFUNCTION("""COMPUTED_VALUE"""),1000.0)</f>
        <v>1000</v>
      </c>
      <c r="B1112" s="2">
        <f>IFERROR(__xludf.DUMMYFUNCTION("""COMPUTED_VALUE"""),184267.0)</f>
        <v>184267</v>
      </c>
      <c r="C1112" s="2">
        <f>IFERROR(__xludf.DUMMYFUNCTION("""COMPUTED_VALUE"""),2026.0)</f>
        <v>2026</v>
      </c>
      <c r="D1112" s="2">
        <f>IFERROR(__xludf.DUMMYFUNCTION("""COMPUTED_VALUE"""),46158.0)</f>
        <v>46158</v>
      </c>
      <c r="E1112" s="2" t="str">
        <f>IFERROR(__xludf.DUMMYFUNCTION("""COMPUTED_VALUE"""),"VF")</f>
        <v>VF</v>
      </c>
      <c r="F1112" s="2">
        <f>IFERROR(__xludf.DUMMYFUNCTION("""COMPUTED_VALUE"""),3.0)</f>
        <v>3</v>
      </c>
      <c r="G1112" s="2" t="str">
        <f>IFERROR(__xludf.DUMMYFUNCTION("""COMPUTED_VALUE"""),"PR056")</f>
        <v>PR056</v>
      </c>
      <c r="H1112" s="2" t="str">
        <f>IFERROR(__xludf.DUMMYFUNCTION("""COMPUTED_VALUE"""),"VD031")</f>
        <v>VD031</v>
      </c>
      <c r="I1112" s="2">
        <f>IFERROR(__xludf.DUMMYFUNCTION("""COMPUTED_VALUE"""),18.0)</f>
        <v>18</v>
      </c>
      <c r="J1112" s="2">
        <f>IFERROR(__xludf.DUMMYFUNCTION("""COMPUTED_VALUE"""),1747.66)</f>
        <v>1747.66</v>
      </c>
      <c r="K1112" s="2">
        <f>IFERROR(__xludf.DUMMYFUNCTION("""COMPUTED_VALUE"""),1747.66)</f>
        <v>1747.66</v>
      </c>
    </row>
    <row r="1113">
      <c r="A1113" s="2">
        <f>IFERROR(__xludf.DUMMYFUNCTION("""COMPUTED_VALUE"""),1000.0)</f>
        <v>1000</v>
      </c>
      <c r="B1113" s="2">
        <f>IFERROR(__xludf.DUMMYFUNCTION("""COMPUTED_VALUE"""),184268.0)</f>
        <v>184268</v>
      </c>
      <c r="C1113" s="2">
        <f>IFERROR(__xludf.DUMMYFUNCTION("""COMPUTED_VALUE"""),2026.0)</f>
        <v>2026</v>
      </c>
      <c r="D1113" s="2">
        <f>IFERROR(__xludf.DUMMYFUNCTION("""COMPUTED_VALUE"""),46158.0)</f>
        <v>46158</v>
      </c>
      <c r="E1113" s="2" t="str">
        <f>IFERROR(__xludf.DUMMYFUNCTION("""COMPUTED_VALUE"""),"VF")</f>
        <v>VF</v>
      </c>
      <c r="F1113" s="2">
        <f>IFERROR(__xludf.DUMMYFUNCTION("""COMPUTED_VALUE"""),1.0)</f>
        <v>1</v>
      </c>
      <c r="G1113" s="2" t="str">
        <f>IFERROR(__xludf.DUMMYFUNCTION("""COMPUTED_VALUE"""),"PR055")</f>
        <v>PR055</v>
      </c>
      <c r="H1113" s="2" t="str">
        <f>IFERROR(__xludf.DUMMYFUNCTION("""COMPUTED_VALUE"""),"VD041")</f>
        <v>VD041</v>
      </c>
      <c r="I1113" s="2">
        <f>IFERROR(__xludf.DUMMYFUNCTION("""COMPUTED_VALUE"""),6.0)</f>
        <v>6</v>
      </c>
      <c r="J1113" s="2">
        <f>IFERROR(__xludf.DUMMYFUNCTION("""COMPUTED_VALUE"""),550.19)</f>
        <v>550.19</v>
      </c>
      <c r="K1113" s="2">
        <f>IFERROR(__xludf.DUMMYFUNCTION("""COMPUTED_VALUE"""),550.19)</f>
        <v>550.19</v>
      </c>
    </row>
    <row r="1114">
      <c r="A1114" s="2">
        <f>IFERROR(__xludf.DUMMYFUNCTION("""COMPUTED_VALUE"""),1000.0)</f>
        <v>1000</v>
      </c>
      <c r="B1114" s="2">
        <f>IFERROR(__xludf.DUMMYFUNCTION("""COMPUTED_VALUE"""),184268.0)</f>
        <v>184268</v>
      </c>
      <c r="C1114" s="2">
        <f>IFERROR(__xludf.DUMMYFUNCTION("""COMPUTED_VALUE"""),2026.0)</f>
        <v>2026</v>
      </c>
      <c r="D1114" s="2">
        <f>IFERROR(__xludf.DUMMYFUNCTION("""COMPUTED_VALUE"""),46158.0)</f>
        <v>46158</v>
      </c>
      <c r="E1114" s="2" t="str">
        <f>IFERROR(__xludf.DUMMYFUNCTION("""COMPUTED_VALUE"""),"VF")</f>
        <v>VF</v>
      </c>
      <c r="F1114" s="2">
        <f>IFERROR(__xludf.DUMMYFUNCTION("""COMPUTED_VALUE"""),2.0)</f>
        <v>2</v>
      </c>
      <c r="G1114" s="2" t="str">
        <f>IFERROR(__xludf.DUMMYFUNCTION("""COMPUTED_VALUE"""),"PR058")</f>
        <v>PR058</v>
      </c>
      <c r="H1114" s="2" t="str">
        <f>IFERROR(__xludf.DUMMYFUNCTION("""COMPUTED_VALUE"""),"VD027")</f>
        <v>VD027</v>
      </c>
      <c r="I1114" s="2">
        <f>IFERROR(__xludf.DUMMYFUNCTION("""COMPUTED_VALUE"""),18.0)</f>
        <v>18</v>
      </c>
      <c r="J1114" s="2">
        <f>IFERROR(__xludf.DUMMYFUNCTION("""COMPUTED_VALUE"""),3531.6)</f>
        <v>3531.6</v>
      </c>
      <c r="K1114" s="2">
        <f>IFERROR(__xludf.DUMMYFUNCTION("""COMPUTED_VALUE"""),3531.6)</f>
        <v>3531.6</v>
      </c>
    </row>
    <row r="1115">
      <c r="A1115" s="2">
        <f>IFERROR(__xludf.DUMMYFUNCTION("""COMPUTED_VALUE"""),1000.0)</f>
        <v>1000</v>
      </c>
      <c r="B1115" s="2">
        <f>IFERROR(__xludf.DUMMYFUNCTION("""COMPUTED_VALUE"""),184269.0)</f>
        <v>184269</v>
      </c>
      <c r="C1115" s="2">
        <f>IFERROR(__xludf.DUMMYFUNCTION("""COMPUTED_VALUE"""),2026.0)</f>
        <v>2026</v>
      </c>
      <c r="D1115" s="2">
        <f>IFERROR(__xludf.DUMMYFUNCTION("""COMPUTED_VALUE"""),46158.0)</f>
        <v>46158</v>
      </c>
      <c r="E1115" s="2" t="str">
        <f>IFERROR(__xludf.DUMMYFUNCTION("""COMPUTED_VALUE"""),"VF")</f>
        <v>VF</v>
      </c>
      <c r="F1115" s="2">
        <f>IFERROR(__xludf.DUMMYFUNCTION("""COMPUTED_VALUE"""),1.0)</f>
        <v>1</v>
      </c>
      <c r="G1115" s="2" t="str">
        <f>IFERROR(__xludf.DUMMYFUNCTION("""COMPUTED_VALUE"""),"PR021")</f>
        <v>PR021</v>
      </c>
      <c r="H1115" s="2" t="str">
        <f>IFERROR(__xludf.DUMMYFUNCTION("""COMPUTED_VALUE"""),"VD025")</f>
        <v>VD025</v>
      </c>
      <c r="I1115" s="2">
        <f>IFERROR(__xludf.DUMMYFUNCTION("""COMPUTED_VALUE"""),10.0)</f>
        <v>10</v>
      </c>
      <c r="J1115" s="2">
        <f>IFERROR(__xludf.DUMMYFUNCTION("""COMPUTED_VALUE"""),3271.32)</f>
        <v>3271.32</v>
      </c>
      <c r="K1115" s="2">
        <f>IFERROR(__xludf.DUMMYFUNCTION("""COMPUTED_VALUE"""),3271.32)</f>
        <v>3271.32</v>
      </c>
    </row>
    <row r="1116">
      <c r="A1116" s="2">
        <f>IFERROR(__xludf.DUMMYFUNCTION("""COMPUTED_VALUE"""),1000.0)</f>
        <v>1000</v>
      </c>
      <c r="B1116" s="2">
        <f>IFERROR(__xludf.DUMMYFUNCTION("""COMPUTED_VALUE"""),184269.0)</f>
        <v>184269</v>
      </c>
      <c r="C1116" s="2">
        <f>IFERROR(__xludf.DUMMYFUNCTION("""COMPUTED_VALUE"""),2026.0)</f>
        <v>2026</v>
      </c>
      <c r="D1116" s="2">
        <f>IFERROR(__xludf.DUMMYFUNCTION("""COMPUTED_VALUE"""),46157.0)</f>
        <v>46157</v>
      </c>
      <c r="E1116" s="2" t="str">
        <f>IFERROR(__xludf.DUMMYFUNCTION("""COMPUTED_VALUE"""),"VF")</f>
        <v>VF</v>
      </c>
      <c r="F1116" s="2">
        <f>IFERROR(__xludf.DUMMYFUNCTION("""COMPUTED_VALUE"""),2.0)</f>
        <v>2</v>
      </c>
      <c r="G1116" s="2" t="str">
        <f>IFERROR(__xludf.DUMMYFUNCTION("""COMPUTED_VALUE"""),"PR019")</f>
        <v>PR019</v>
      </c>
      <c r="H1116" s="2" t="str">
        <f>IFERROR(__xludf.DUMMYFUNCTION("""COMPUTED_VALUE"""),"VD033")</f>
        <v>VD033</v>
      </c>
      <c r="I1116" s="2">
        <f>IFERROR(__xludf.DUMMYFUNCTION("""COMPUTED_VALUE"""),6.0)</f>
        <v>6</v>
      </c>
      <c r="J1116" s="2">
        <f>IFERROR(__xludf.DUMMYFUNCTION("""COMPUTED_VALUE"""),314.37)</f>
        <v>314.37</v>
      </c>
      <c r="K1116" s="2">
        <f>IFERROR(__xludf.DUMMYFUNCTION("""COMPUTED_VALUE"""),314.37)</f>
        <v>314.37</v>
      </c>
    </row>
    <row r="1117">
      <c r="A1117" s="2">
        <f>IFERROR(__xludf.DUMMYFUNCTION("""COMPUTED_VALUE"""),1000.0)</f>
        <v>1000</v>
      </c>
      <c r="B1117" s="2">
        <f>IFERROR(__xludf.DUMMYFUNCTION("""COMPUTED_VALUE"""),184270.0)</f>
        <v>184270</v>
      </c>
      <c r="C1117" s="2">
        <f>IFERROR(__xludf.DUMMYFUNCTION("""COMPUTED_VALUE"""),2026.0)</f>
        <v>2026</v>
      </c>
      <c r="D1117" s="2">
        <f>IFERROR(__xludf.DUMMYFUNCTION("""COMPUTED_VALUE"""),46157.0)</f>
        <v>46157</v>
      </c>
      <c r="E1117" s="2" t="str">
        <f>IFERROR(__xludf.DUMMYFUNCTION("""COMPUTED_VALUE"""),"VF")</f>
        <v>VF</v>
      </c>
      <c r="F1117" s="2">
        <f>IFERROR(__xludf.DUMMYFUNCTION("""COMPUTED_VALUE"""),1.0)</f>
        <v>1</v>
      </c>
      <c r="G1117" s="2" t="str">
        <f>IFERROR(__xludf.DUMMYFUNCTION("""COMPUTED_VALUE"""),"PR024")</f>
        <v>PR024</v>
      </c>
      <c r="H1117" s="2" t="str">
        <f>IFERROR(__xludf.DUMMYFUNCTION("""COMPUTED_VALUE"""),"VD014")</f>
        <v>VD014</v>
      </c>
      <c r="I1117" s="2">
        <f>IFERROR(__xludf.DUMMYFUNCTION("""COMPUTED_VALUE"""),20.0)</f>
        <v>20</v>
      </c>
      <c r="J1117" s="2">
        <f>IFERROR(__xludf.DUMMYFUNCTION("""COMPUTED_VALUE"""),5613.84)</f>
        <v>5613.84</v>
      </c>
      <c r="K1117" s="2">
        <f>IFERROR(__xludf.DUMMYFUNCTION("""COMPUTED_VALUE"""),5613.84)</f>
        <v>5613.84</v>
      </c>
    </row>
    <row r="1118">
      <c r="A1118" s="2">
        <f>IFERROR(__xludf.DUMMYFUNCTION("""COMPUTED_VALUE"""),1000.0)</f>
        <v>1000</v>
      </c>
      <c r="B1118" s="2">
        <f>IFERROR(__xludf.DUMMYFUNCTION("""COMPUTED_VALUE"""),184271.0)</f>
        <v>184271</v>
      </c>
      <c r="C1118" s="2">
        <f>IFERROR(__xludf.DUMMYFUNCTION("""COMPUTED_VALUE"""),2026.0)</f>
        <v>2026</v>
      </c>
      <c r="D1118" s="2">
        <f>IFERROR(__xludf.DUMMYFUNCTION("""COMPUTED_VALUE"""),46157.0)</f>
        <v>46157</v>
      </c>
      <c r="E1118" s="2" t="str">
        <f>IFERROR(__xludf.DUMMYFUNCTION("""COMPUTED_VALUE"""),"VF")</f>
        <v>VF</v>
      </c>
      <c r="F1118" s="2">
        <f>IFERROR(__xludf.DUMMYFUNCTION("""COMPUTED_VALUE"""),1.0)</f>
        <v>1</v>
      </c>
      <c r="G1118" s="2" t="str">
        <f>IFERROR(__xludf.DUMMYFUNCTION("""COMPUTED_VALUE"""),"PR042")</f>
        <v>PR042</v>
      </c>
      <c r="H1118" s="2" t="str">
        <f>IFERROR(__xludf.DUMMYFUNCTION("""COMPUTED_VALUE"""),"VD042")</f>
        <v>VD042</v>
      </c>
      <c r="I1118" s="2">
        <f>IFERROR(__xludf.DUMMYFUNCTION("""COMPUTED_VALUE"""),3.0)</f>
        <v>3</v>
      </c>
      <c r="J1118" s="2">
        <f>IFERROR(__xludf.DUMMYFUNCTION("""COMPUTED_VALUE"""),171.29)</f>
        <v>171.29</v>
      </c>
      <c r="K1118" s="2">
        <f>IFERROR(__xludf.DUMMYFUNCTION("""COMPUTED_VALUE"""),171.29)</f>
        <v>171.29</v>
      </c>
    </row>
    <row r="1119">
      <c r="A1119" s="2">
        <f>IFERROR(__xludf.DUMMYFUNCTION("""COMPUTED_VALUE"""),1000.0)</f>
        <v>1000</v>
      </c>
      <c r="B1119" s="2">
        <f>IFERROR(__xludf.DUMMYFUNCTION("""COMPUTED_VALUE"""),184272.0)</f>
        <v>184272</v>
      </c>
      <c r="C1119" s="2">
        <f>IFERROR(__xludf.DUMMYFUNCTION("""COMPUTED_VALUE"""),2026.0)</f>
        <v>2026</v>
      </c>
      <c r="D1119" s="2">
        <f>IFERROR(__xludf.DUMMYFUNCTION("""COMPUTED_VALUE"""),46157.0)</f>
        <v>46157</v>
      </c>
      <c r="E1119" s="2" t="str">
        <f>IFERROR(__xludf.DUMMYFUNCTION("""COMPUTED_VALUE"""),"VF")</f>
        <v>VF</v>
      </c>
      <c r="F1119" s="2">
        <f>IFERROR(__xludf.DUMMYFUNCTION("""COMPUTED_VALUE"""),1.0)</f>
        <v>1</v>
      </c>
      <c r="G1119" s="2" t="str">
        <f>IFERROR(__xludf.DUMMYFUNCTION("""COMPUTED_VALUE"""),"PR041")</f>
        <v>PR041</v>
      </c>
      <c r="H1119" s="2" t="str">
        <f>IFERROR(__xludf.DUMMYFUNCTION("""COMPUTED_VALUE"""),"VD012")</f>
        <v>VD012</v>
      </c>
      <c r="I1119" s="2">
        <f>IFERROR(__xludf.DUMMYFUNCTION("""COMPUTED_VALUE"""),1.0)</f>
        <v>1</v>
      </c>
      <c r="J1119" s="2">
        <f>IFERROR(__xludf.DUMMYFUNCTION("""COMPUTED_VALUE"""),55.45)</f>
        <v>55.45</v>
      </c>
      <c r="K1119" s="2">
        <f>IFERROR(__xludf.DUMMYFUNCTION("""COMPUTED_VALUE"""),55.45)</f>
        <v>55.45</v>
      </c>
    </row>
    <row r="1120">
      <c r="A1120" s="2">
        <f>IFERROR(__xludf.DUMMYFUNCTION("""COMPUTED_VALUE"""),1000.0)</f>
        <v>1000</v>
      </c>
      <c r="B1120" s="2">
        <f>IFERROR(__xludf.DUMMYFUNCTION("""COMPUTED_VALUE"""),184272.0)</f>
        <v>184272</v>
      </c>
      <c r="C1120" s="2">
        <f>IFERROR(__xludf.DUMMYFUNCTION("""COMPUTED_VALUE"""),2026.0)</f>
        <v>2026</v>
      </c>
      <c r="D1120" s="2">
        <f>IFERROR(__xludf.DUMMYFUNCTION("""COMPUTED_VALUE"""),46157.0)</f>
        <v>46157</v>
      </c>
      <c r="E1120" s="2" t="str">
        <f>IFERROR(__xludf.DUMMYFUNCTION("""COMPUTED_VALUE"""),"VF")</f>
        <v>VF</v>
      </c>
      <c r="F1120" s="2">
        <f>IFERROR(__xludf.DUMMYFUNCTION("""COMPUTED_VALUE"""),2.0)</f>
        <v>2</v>
      </c>
      <c r="G1120" s="2" t="str">
        <f>IFERROR(__xludf.DUMMYFUNCTION("""COMPUTED_VALUE"""),"PR055")</f>
        <v>PR055</v>
      </c>
      <c r="H1120" s="2" t="str">
        <f>IFERROR(__xludf.DUMMYFUNCTION("""COMPUTED_VALUE"""),"VD040")</f>
        <v>VD040</v>
      </c>
      <c r="I1120" s="2">
        <f>IFERROR(__xludf.DUMMYFUNCTION("""COMPUTED_VALUE"""),4.0)</f>
        <v>4</v>
      </c>
      <c r="J1120" s="2">
        <f>IFERROR(__xludf.DUMMYFUNCTION("""COMPUTED_VALUE"""),373.98)</f>
        <v>373.98</v>
      </c>
      <c r="K1120" s="2">
        <f>IFERROR(__xludf.DUMMYFUNCTION("""COMPUTED_VALUE"""),373.98)</f>
        <v>373.98</v>
      </c>
    </row>
    <row r="1121">
      <c r="A1121" s="2">
        <f>IFERROR(__xludf.DUMMYFUNCTION("""COMPUTED_VALUE"""),1000.0)</f>
        <v>1000</v>
      </c>
      <c r="B1121" s="2">
        <f>IFERROR(__xludf.DUMMYFUNCTION("""COMPUTED_VALUE"""),184273.0)</f>
        <v>184273</v>
      </c>
      <c r="C1121" s="2">
        <f>IFERROR(__xludf.DUMMYFUNCTION("""COMPUTED_VALUE"""),2026.0)</f>
        <v>2026</v>
      </c>
      <c r="D1121" s="2">
        <f>IFERROR(__xludf.DUMMYFUNCTION("""COMPUTED_VALUE"""),46157.0)</f>
        <v>46157</v>
      </c>
      <c r="E1121" s="2" t="str">
        <f>IFERROR(__xludf.DUMMYFUNCTION("""COMPUTED_VALUE"""),"VF")</f>
        <v>VF</v>
      </c>
      <c r="F1121" s="2">
        <f>IFERROR(__xludf.DUMMYFUNCTION("""COMPUTED_VALUE"""),1.0)</f>
        <v>1</v>
      </c>
      <c r="G1121" s="2" t="str">
        <f>IFERROR(__xludf.DUMMYFUNCTION("""COMPUTED_VALUE"""),"PR011")</f>
        <v>PR011</v>
      </c>
      <c r="H1121" s="2" t="str">
        <f>IFERROR(__xludf.DUMMYFUNCTION("""COMPUTED_VALUE"""),"VD018")</f>
        <v>VD018</v>
      </c>
      <c r="I1121" s="2">
        <f>IFERROR(__xludf.DUMMYFUNCTION("""COMPUTED_VALUE"""),8.0)</f>
        <v>8</v>
      </c>
      <c r="J1121" s="2">
        <f>IFERROR(__xludf.DUMMYFUNCTION("""COMPUTED_VALUE"""),378.95)</f>
        <v>378.95</v>
      </c>
      <c r="K1121" s="2">
        <f>IFERROR(__xludf.DUMMYFUNCTION("""COMPUTED_VALUE"""),378.95)</f>
        <v>378.95</v>
      </c>
    </row>
    <row r="1122">
      <c r="A1122" s="2">
        <f>IFERROR(__xludf.DUMMYFUNCTION("""COMPUTED_VALUE"""),2000.0)</f>
        <v>2000</v>
      </c>
      <c r="B1122" s="2">
        <f>IFERROR(__xludf.DUMMYFUNCTION("""COMPUTED_VALUE"""),184273.0)</f>
        <v>184273</v>
      </c>
      <c r="C1122" s="2">
        <f>IFERROR(__xludf.DUMMYFUNCTION("""COMPUTED_VALUE"""),2026.0)</f>
        <v>2026</v>
      </c>
      <c r="D1122" s="2">
        <f>IFERROR(__xludf.DUMMYFUNCTION("""COMPUTED_VALUE"""),46157.0)</f>
        <v>46157</v>
      </c>
      <c r="E1122" s="2" t="str">
        <f>IFERROR(__xludf.DUMMYFUNCTION("""COMPUTED_VALUE"""),"VF")</f>
        <v>VF</v>
      </c>
      <c r="F1122" s="2">
        <f>IFERROR(__xludf.DUMMYFUNCTION("""COMPUTED_VALUE"""),2.0)</f>
        <v>2</v>
      </c>
      <c r="G1122" s="2" t="str">
        <f>IFERROR(__xludf.DUMMYFUNCTION("""COMPUTED_VALUE"""),"PR053")</f>
        <v>PR053</v>
      </c>
      <c r="H1122" s="2" t="str">
        <f>IFERROR(__xludf.DUMMYFUNCTION("""COMPUTED_VALUE"""),"VD016")</f>
        <v>VD016</v>
      </c>
      <c r="I1122" s="2">
        <f>IFERROR(__xludf.DUMMYFUNCTION("""COMPUTED_VALUE"""),16.0)</f>
        <v>16</v>
      </c>
      <c r="J1122" s="2">
        <f>IFERROR(__xludf.DUMMYFUNCTION("""COMPUTED_VALUE"""),830.34)</f>
        <v>830.34</v>
      </c>
      <c r="K1122" s="2">
        <f>IFERROR(__xludf.DUMMYFUNCTION("""COMPUTED_VALUE"""),830.34)</f>
        <v>830.34</v>
      </c>
    </row>
    <row r="1123">
      <c r="A1123" s="2">
        <f>IFERROR(__xludf.DUMMYFUNCTION("""COMPUTED_VALUE"""),1000.0)</f>
        <v>1000</v>
      </c>
      <c r="B1123" s="2">
        <f>IFERROR(__xludf.DUMMYFUNCTION("""COMPUTED_VALUE"""),184274.0)</f>
        <v>184274</v>
      </c>
      <c r="C1123" s="2">
        <f>IFERROR(__xludf.DUMMYFUNCTION("""COMPUTED_VALUE"""),2026.0)</f>
        <v>2026</v>
      </c>
      <c r="D1123" s="2">
        <f>IFERROR(__xludf.DUMMYFUNCTION("""COMPUTED_VALUE"""),46156.0)</f>
        <v>46156</v>
      </c>
      <c r="E1123" s="2" t="str">
        <f>IFERROR(__xludf.DUMMYFUNCTION("""COMPUTED_VALUE"""),"VF")</f>
        <v>VF</v>
      </c>
      <c r="F1123" s="2">
        <f>IFERROR(__xludf.DUMMYFUNCTION("""COMPUTED_VALUE"""),1.0)</f>
        <v>1</v>
      </c>
      <c r="G1123" s="2" t="str">
        <f>IFERROR(__xludf.DUMMYFUNCTION("""COMPUTED_VALUE"""),"PR044")</f>
        <v>PR044</v>
      </c>
      <c r="H1123" s="2" t="str">
        <f>IFERROR(__xludf.DUMMYFUNCTION("""COMPUTED_VALUE"""),"VD012")</f>
        <v>VD012</v>
      </c>
      <c r="I1123" s="2">
        <f>IFERROR(__xludf.DUMMYFUNCTION("""COMPUTED_VALUE"""),8.0)</f>
        <v>8</v>
      </c>
      <c r="J1123" s="2">
        <f>IFERROR(__xludf.DUMMYFUNCTION("""COMPUTED_VALUE"""),614.8)</f>
        <v>614.8</v>
      </c>
      <c r="K1123" s="2">
        <f>IFERROR(__xludf.DUMMYFUNCTION("""COMPUTED_VALUE"""),614.8)</f>
        <v>614.8</v>
      </c>
    </row>
    <row r="1124">
      <c r="A1124" s="2">
        <f>IFERROR(__xludf.DUMMYFUNCTION("""COMPUTED_VALUE"""),1000.0)</f>
        <v>1000</v>
      </c>
      <c r="B1124" s="2">
        <f>IFERROR(__xludf.DUMMYFUNCTION("""COMPUTED_VALUE"""),184275.0)</f>
        <v>184275</v>
      </c>
      <c r="C1124" s="2">
        <f>IFERROR(__xludf.DUMMYFUNCTION("""COMPUTED_VALUE"""),2026.0)</f>
        <v>2026</v>
      </c>
      <c r="D1124" s="2">
        <f>IFERROR(__xludf.DUMMYFUNCTION("""COMPUTED_VALUE"""),46156.0)</f>
        <v>46156</v>
      </c>
      <c r="E1124" s="2" t="str">
        <f>IFERROR(__xludf.DUMMYFUNCTION("""COMPUTED_VALUE"""),"VF")</f>
        <v>VF</v>
      </c>
      <c r="F1124" s="2">
        <f>IFERROR(__xludf.DUMMYFUNCTION("""COMPUTED_VALUE"""),1.0)</f>
        <v>1</v>
      </c>
      <c r="G1124" s="2" t="str">
        <f>IFERROR(__xludf.DUMMYFUNCTION("""COMPUTED_VALUE"""),"PR024")</f>
        <v>PR024</v>
      </c>
      <c r="H1124" s="2" t="str">
        <f>IFERROR(__xludf.DUMMYFUNCTION("""COMPUTED_VALUE"""),"VD036")</f>
        <v>VD036</v>
      </c>
      <c r="I1124" s="2">
        <f>IFERROR(__xludf.DUMMYFUNCTION("""COMPUTED_VALUE"""),16.0)</f>
        <v>16</v>
      </c>
      <c r="J1124" s="2">
        <f>IFERROR(__xludf.DUMMYFUNCTION("""COMPUTED_VALUE"""),4283.15)</f>
        <v>4283.15</v>
      </c>
      <c r="K1124" s="2">
        <f>IFERROR(__xludf.DUMMYFUNCTION("""COMPUTED_VALUE"""),4283.15)</f>
        <v>4283.15</v>
      </c>
    </row>
    <row r="1125">
      <c r="A1125" s="2">
        <f>IFERROR(__xludf.DUMMYFUNCTION("""COMPUTED_VALUE"""),2000.0)</f>
        <v>2000</v>
      </c>
      <c r="B1125" s="2">
        <f>IFERROR(__xludf.DUMMYFUNCTION("""COMPUTED_VALUE"""),184276.0)</f>
        <v>184276</v>
      </c>
      <c r="C1125" s="2">
        <f>IFERROR(__xludf.DUMMYFUNCTION("""COMPUTED_VALUE"""),2026.0)</f>
        <v>2026</v>
      </c>
      <c r="D1125" s="2">
        <f>IFERROR(__xludf.DUMMYFUNCTION("""COMPUTED_VALUE"""),46156.0)</f>
        <v>46156</v>
      </c>
      <c r="E1125" s="2" t="str">
        <f>IFERROR(__xludf.DUMMYFUNCTION("""COMPUTED_VALUE"""),"VF")</f>
        <v>VF</v>
      </c>
      <c r="F1125" s="2">
        <f>IFERROR(__xludf.DUMMYFUNCTION("""COMPUTED_VALUE"""),1.0)</f>
        <v>1</v>
      </c>
      <c r="G1125" s="2" t="str">
        <f>IFERROR(__xludf.DUMMYFUNCTION("""COMPUTED_VALUE"""),"PR029")</f>
        <v>PR029</v>
      </c>
      <c r="H1125" s="2" t="str">
        <f>IFERROR(__xludf.DUMMYFUNCTION("""COMPUTED_VALUE"""),"VD017")</f>
        <v>VD017</v>
      </c>
      <c r="I1125" s="2">
        <f>IFERROR(__xludf.DUMMYFUNCTION("""COMPUTED_VALUE"""),8.0)</f>
        <v>8</v>
      </c>
      <c r="J1125" s="2">
        <f>IFERROR(__xludf.DUMMYFUNCTION("""COMPUTED_VALUE"""),2182.8)</f>
        <v>2182.8</v>
      </c>
      <c r="K1125" s="2">
        <f>IFERROR(__xludf.DUMMYFUNCTION("""COMPUTED_VALUE"""),2182.8)</f>
        <v>2182.8</v>
      </c>
    </row>
    <row r="1126">
      <c r="A1126" s="2">
        <f>IFERROR(__xludf.DUMMYFUNCTION("""COMPUTED_VALUE"""),1000.0)</f>
        <v>1000</v>
      </c>
      <c r="B1126" s="2">
        <f>IFERROR(__xludf.DUMMYFUNCTION("""COMPUTED_VALUE"""),184277.0)</f>
        <v>184277</v>
      </c>
      <c r="C1126" s="2">
        <f>IFERROR(__xludf.DUMMYFUNCTION("""COMPUTED_VALUE"""),2026.0)</f>
        <v>2026</v>
      </c>
      <c r="D1126" s="2">
        <f>IFERROR(__xludf.DUMMYFUNCTION("""COMPUTED_VALUE"""),46156.0)</f>
        <v>46156</v>
      </c>
      <c r="E1126" s="2" t="str">
        <f>IFERROR(__xludf.DUMMYFUNCTION("""COMPUTED_VALUE"""),"VF")</f>
        <v>VF</v>
      </c>
      <c r="F1126" s="2">
        <f>IFERROR(__xludf.DUMMYFUNCTION("""COMPUTED_VALUE"""),1.0)</f>
        <v>1</v>
      </c>
      <c r="G1126" s="2" t="str">
        <f>IFERROR(__xludf.DUMMYFUNCTION("""COMPUTED_VALUE"""),"PR039")</f>
        <v>PR039</v>
      </c>
      <c r="H1126" s="2" t="str">
        <f>IFERROR(__xludf.DUMMYFUNCTION("""COMPUTED_VALUE"""),"VD037")</f>
        <v>VD037</v>
      </c>
      <c r="I1126" s="2">
        <f>IFERROR(__xludf.DUMMYFUNCTION("""COMPUTED_VALUE"""),16.0)</f>
        <v>16</v>
      </c>
      <c r="J1126" s="2">
        <f>IFERROR(__xludf.DUMMYFUNCTION("""COMPUTED_VALUE"""),2429.44)</f>
        <v>2429.44</v>
      </c>
      <c r="K1126" s="2">
        <f>IFERROR(__xludf.DUMMYFUNCTION("""COMPUTED_VALUE"""),2429.44)</f>
        <v>2429.44</v>
      </c>
    </row>
    <row r="1127">
      <c r="A1127" s="2">
        <f>IFERROR(__xludf.DUMMYFUNCTION("""COMPUTED_VALUE"""),2000.0)</f>
        <v>2000</v>
      </c>
      <c r="B1127" s="2">
        <f>IFERROR(__xludf.DUMMYFUNCTION("""COMPUTED_VALUE"""),184278.0)</f>
        <v>184278</v>
      </c>
      <c r="C1127" s="2">
        <f>IFERROR(__xludf.DUMMYFUNCTION("""COMPUTED_VALUE"""),2026.0)</f>
        <v>2026</v>
      </c>
      <c r="D1127" s="2">
        <f>IFERROR(__xludf.DUMMYFUNCTION("""COMPUTED_VALUE"""),46156.0)</f>
        <v>46156</v>
      </c>
      <c r="E1127" s="2" t="str">
        <f>IFERROR(__xludf.DUMMYFUNCTION("""COMPUTED_VALUE"""),"VF")</f>
        <v>VF</v>
      </c>
      <c r="F1127" s="2">
        <f>IFERROR(__xludf.DUMMYFUNCTION("""COMPUTED_VALUE"""),1.0)</f>
        <v>1</v>
      </c>
      <c r="G1127" s="2" t="str">
        <f>IFERROR(__xludf.DUMMYFUNCTION("""COMPUTED_VALUE"""),"PR002")</f>
        <v>PR002</v>
      </c>
      <c r="H1127" s="2" t="str">
        <f>IFERROR(__xludf.DUMMYFUNCTION("""COMPUTED_VALUE"""),"VD015")</f>
        <v>VD015</v>
      </c>
      <c r="I1127" s="2">
        <f>IFERROR(__xludf.DUMMYFUNCTION("""COMPUTED_VALUE"""),1.0)</f>
        <v>1</v>
      </c>
      <c r="J1127" s="2">
        <f>IFERROR(__xludf.DUMMYFUNCTION("""COMPUTED_VALUE"""),72.0)</f>
        <v>72</v>
      </c>
      <c r="K1127" s="2">
        <f>IFERROR(__xludf.DUMMYFUNCTION("""COMPUTED_VALUE"""),72.0)</f>
        <v>72</v>
      </c>
    </row>
    <row r="1128">
      <c r="A1128" s="2">
        <f>IFERROR(__xludf.DUMMYFUNCTION("""COMPUTED_VALUE"""),2000.0)</f>
        <v>2000</v>
      </c>
      <c r="B1128" s="2">
        <f>IFERROR(__xludf.DUMMYFUNCTION("""COMPUTED_VALUE"""),184279.0)</f>
        <v>184279</v>
      </c>
      <c r="C1128" s="2">
        <f>IFERROR(__xludf.DUMMYFUNCTION("""COMPUTED_VALUE"""),2026.0)</f>
        <v>2026</v>
      </c>
      <c r="D1128" s="2">
        <f>IFERROR(__xludf.DUMMYFUNCTION("""COMPUTED_VALUE"""),46155.0)</f>
        <v>46155</v>
      </c>
      <c r="E1128" s="2" t="str">
        <f>IFERROR(__xludf.DUMMYFUNCTION("""COMPUTED_VALUE"""),"VF")</f>
        <v>VF</v>
      </c>
      <c r="F1128" s="2">
        <f>IFERROR(__xludf.DUMMYFUNCTION("""COMPUTED_VALUE"""),1.0)</f>
        <v>1</v>
      </c>
      <c r="G1128" s="2" t="str">
        <f>IFERROR(__xludf.DUMMYFUNCTION("""COMPUTED_VALUE"""),"PR007")</f>
        <v>PR007</v>
      </c>
      <c r="H1128" s="2" t="str">
        <f>IFERROR(__xludf.DUMMYFUNCTION("""COMPUTED_VALUE"""),"VD035")</f>
        <v>VD035</v>
      </c>
      <c r="I1128" s="2">
        <f>IFERROR(__xludf.DUMMYFUNCTION("""COMPUTED_VALUE"""),2.0)</f>
        <v>2</v>
      </c>
      <c r="J1128" s="2">
        <f>IFERROR(__xludf.DUMMYFUNCTION("""COMPUTED_VALUE"""),185.54)</f>
        <v>185.54</v>
      </c>
      <c r="K1128" s="2">
        <f>IFERROR(__xludf.DUMMYFUNCTION("""COMPUTED_VALUE"""),185.54)</f>
        <v>185.54</v>
      </c>
    </row>
    <row r="1129">
      <c r="A1129" s="2">
        <f>IFERROR(__xludf.DUMMYFUNCTION("""COMPUTED_VALUE"""),1000.0)</f>
        <v>1000</v>
      </c>
      <c r="B1129" s="2">
        <f>IFERROR(__xludf.DUMMYFUNCTION("""COMPUTED_VALUE"""),184279.0)</f>
        <v>184279</v>
      </c>
      <c r="C1129" s="2">
        <f>IFERROR(__xludf.DUMMYFUNCTION("""COMPUTED_VALUE"""),2026.0)</f>
        <v>2026</v>
      </c>
      <c r="D1129" s="2">
        <f>IFERROR(__xludf.DUMMYFUNCTION("""COMPUTED_VALUE"""),46155.0)</f>
        <v>46155</v>
      </c>
      <c r="E1129" s="2" t="str">
        <f>IFERROR(__xludf.DUMMYFUNCTION("""COMPUTED_VALUE"""),"VF")</f>
        <v>VF</v>
      </c>
      <c r="F1129" s="2">
        <f>IFERROR(__xludf.DUMMYFUNCTION("""COMPUTED_VALUE"""),2.0)</f>
        <v>2</v>
      </c>
      <c r="G1129" s="2" t="str">
        <f>IFERROR(__xludf.DUMMYFUNCTION("""COMPUTED_VALUE"""),"PR012")</f>
        <v>PR012</v>
      </c>
      <c r="H1129" s="2" t="str">
        <f>IFERROR(__xludf.DUMMYFUNCTION("""COMPUTED_VALUE"""),"VD027")</f>
        <v>VD027</v>
      </c>
      <c r="I1129" s="2">
        <f>IFERROR(__xludf.DUMMYFUNCTION("""COMPUTED_VALUE"""),6.0)</f>
        <v>6</v>
      </c>
      <c r="J1129" s="2">
        <f>IFERROR(__xludf.DUMMYFUNCTION("""COMPUTED_VALUE"""),296.33)</f>
        <v>296.33</v>
      </c>
      <c r="K1129" s="2">
        <f>IFERROR(__xludf.DUMMYFUNCTION("""COMPUTED_VALUE"""),296.33)</f>
        <v>296.33</v>
      </c>
    </row>
    <row r="1130">
      <c r="A1130" s="2">
        <f>IFERROR(__xludf.DUMMYFUNCTION("""COMPUTED_VALUE"""),1000.0)</f>
        <v>1000</v>
      </c>
      <c r="B1130" s="2">
        <f>IFERROR(__xludf.DUMMYFUNCTION("""COMPUTED_VALUE"""),184280.0)</f>
        <v>184280</v>
      </c>
      <c r="C1130" s="2">
        <f>IFERROR(__xludf.DUMMYFUNCTION("""COMPUTED_VALUE"""),2026.0)</f>
        <v>2026</v>
      </c>
      <c r="D1130" s="2">
        <f>IFERROR(__xludf.DUMMYFUNCTION("""COMPUTED_VALUE"""),46155.0)</f>
        <v>46155</v>
      </c>
      <c r="E1130" s="2" t="str">
        <f>IFERROR(__xludf.DUMMYFUNCTION("""COMPUTED_VALUE"""),"VF")</f>
        <v>VF</v>
      </c>
      <c r="F1130" s="2">
        <f>IFERROR(__xludf.DUMMYFUNCTION("""COMPUTED_VALUE"""),1.0)</f>
        <v>1</v>
      </c>
      <c r="G1130" s="2" t="str">
        <f>IFERROR(__xludf.DUMMYFUNCTION("""COMPUTED_VALUE"""),"PR034")</f>
        <v>PR034</v>
      </c>
      <c r="H1130" s="2" t="str">
        <f>IFERROR(__xludf.DUMMYFUNCTION("""COMPUTED_VALUE"""),"VD017")</f>
        <v>VD017</v>
      </c>
      <c r="I1130" s="2">
        <f>IFERROR(__xludf.DUMMYFUNCTION("""COMPUTED_VALUE"""),3.0)</f>
        <v>3</v>
      </c>
      <c r="J1130" s="2">
        <f>IFERROR(__xludf.DUMMYFUNCTION("""COMPUTED_VALUE"""),275.09)</f>
        <v>275.09</v>
      </c>
      <c r="K1130" s="2">
        <f>IFERROR(__xludf.DUMMYFUNCTION("""COMPUTED_VALUE"""),275.09)</f>
        <v>275.09</v>
      </c>
    </row>
    <row r="1131">
      <c r="A1131" s="2">
        <f>IFERROR(__xludf.DUMMYFUNCTION("""COMPUTED_VALUE"""),2000.0)</f>
        <v>2000</v>
      </c>
      <c r="B1131" s="2">
        <f>IFERROR(__xludf.DUMMYFUNCTION("""COMPUTED_VALUE"""),184280.0)</f>
        <v>184280</v>
      </c>
      <c r="C1131" s="2">
        <f>IFERROR(__xludf.DUMMYFUNCTION("""COMPUTED_VALUE"""),2026.0)</f>
        <v>2026</v>
      </c>
      <c r="D1131" s="2">
        <f>IFERROR(__xludf.DUMMYFUNCTION("""COMPUTED_VALUE"""),46155.0)</f>
        <v>46155</v>
      </c>
      <c r="E1131" s="2" t="str">
        <f>IFERROR(__xludf.DUMMYFUNCTION("""COMPUTED_VALUE"""),"VF")</f>
        <v>VF</v>
      </c>
      <c r="F1131" s="2">
        <f>IFERROR(__xludf.DUMMYFUNCTION("""COMPUTED_VALUE"""),2.0)</f>
        <v>2</v>
      </c>
      <c r="G1131" s="2" t="str">
        <f>IFERROR(__xludf.DUMMYFUNCTION("""COMPUTED_VALUE"""),"PR039")</f>
        <v>PR039</v>
      </c>
      <c r="H1131" s="2" t="str">
        <f>IFERROR(__xludf.DUMMYFUNCTION("""COMPUTED_VALUE"""),"VD020")</f>
        <v>VD020</v>
      </c>
      <c r="I1131" s="2">
        <f>IFERROR(__xludf.DUMMYFUNCTION("""COMPUTED_VALUE"""),14.0)</f>
        <v>14</v>
      </c>
      <c r="J1131" s="2">
        <f>IFERROR(__xludf.DUMMYFUNCTION("""COMPUTED_VALUE"""),2125.76)</f>
        <v>2125.76</v>
      </c>
      <c r="K1131" s="2">
        <f>IFERROR(__xludf.DUMMYFUNCTION("""COMPUTED_VALUE"""),2125.76)</f>
        <v>2125.76</v>
      </c>
    </row>
    <row r="1132">
      <c r="A1132" s="2">
        <f>IFERROR(__xludf.DUMMYFUNCTION("""COMPUTED_VALUE"""),1000.0)</f>
        <v>1000</v>
      </c>
      <c r="B1132" s="2">
        <f>IFERROR(__xludf.DUMMYFUNCTION("""COMPUTED_VALUE"""),184281.0)</f>
        <v>184281</v>
      </c>
      <c r="C1132" s="2">
        <f>IFERROR(__xludf.DUMMYFUNCTION("""COMPUTED_VALUE"""),2026.0)</f>
        <v>2026</v>
      </c>
      <c r="D1132" s="2">
        <f>IFERROR(__xludf.DUMMYFUNCTION("""COMPUTED_VALUE"""),46154.0)</f>
        <v>46154</v>
      </c>
      <c r="E1132" s="2" t="str">
        <f>IFERROR(__xludf.DUMMYFUNCTION("""COMPUTED_VALUE"""),"VF")</f>
        <v>VF</v>
      </c>
      <c r="F1132" s="2">
        <f>IFERROR(__xludf.DUMMYFUNCTION("""COMPUTED_VALUE"""),1.0)</f>
        <v>1</v>
      </c>
      <c r="G1132" s="2" t="str">
        <f>IFERROR(__xludf.DUMMYFUNCTION("""COMPUTED_VALUE"""),"PR015")</f>
        <v>PR015</v>
      </c>
      <c r="H1132" s="2" t="str">
        <f>IFERROR(__xludf.DUMMYFUNCTION("""COMPUTED_VALUE"""),"VD048")</f>
        <v>VD048</v>
      </c>
      <c r="I1132" s="2">
        <f>IFERROR(__xludf.DUMMYFUNCTION("""COMPUTED_VALUE"""),6.0)</f>
        <v>6</v>
      </c>
      <c r="J1132" s="2">
        <f>IFERROR(__xludf.DUMMYFUNCTION("""COMPUTED_VALUE"""),267.75)</f>
        <v>267.75</v>
      </c>
      <c r="K1132" s="2">
        <f>IFERROR(__xludf.DUMMYFUNCTION("""COMPUTED_VALUE"""),267.75)</f>
        <v>267.75</v>
      </c>
    </row>
    <row r="1133">
      <c r="A1133" s="2">
        <f>IFERROR(__xludf.DUMMYFUNCTION("""COMPUTED_VALUE"""),2000.0)</f>
        <v>2000</v>
      </c>
      <c r="B1133" s="2">
        <f>IFERROR(__xludf.DUMMYFUNCTION("""COMPUTED_VALUE"""),184281.0)</f>
        <v>184281</v>
      </c>
      <c r="C1133" s="2">
        <f>IFERROR(__xludf.DUMMYFUNCTION("""COMPUTED_VALUE"""),2026.0)</f>
        <v>2026</v>
      </c>
      <c r="D1133" s="2">
        <f>IFERROR(__xludf.DUMMYFUNCTION("""COMPUTED_VALUE"""),46154.0)</f>
        <v>46154</v>
      </c>
      <c r="E1133" s="2" t="str">
        <f>IFERROR(__xludf.DUMMYFUNCTION("""COMPUTED_VALUE"""),"VF")</f>
        <v>VF</v>
      </c>
      <c r="F1133" s="2">
        <f>IFERROR(__xludf.DUMMYFUNCTION("""COMPUTED_VALUE"""),2.0)</f>
        <v>2</v>
      </c>
      <c r="G1133" s="2" t="str">
        <f>IFERROR(__xludf.DUMMYFUNCTION("""COMPUTED_VALUE"""),"PR029")</f>
        <v>PR029</v>
      </c>
      <c r="H1133" s="2" t="str">
        <f>IFERROR(__xludf.DUMMYFUNCTION("""COMPUTED_VALUE"""),"VD043")</f>
        <v>VD043</v>
      </c>
      <c r="I1133" s="2">
        <f>IFERROR(__xludf.DUMMYFUNCTION("""COMPUTED_VALUE"""),5.0)</f>
        <v>5</v>
      </c>
      <c r="J1133" s="2">
        <f>IFERROR(__xludf.DUMMYFUNCTION("""COMPUTED_VALUE"""),1300.5)</f>
        <v>1300.5</v>
      </c>
      <c r="K1133" s="2">
        <f>IFERROR(__xludf.DUMMYFUNCTION("""COMPUTED_VALUE"""),1300.5)</f>
        <v>1300.5</v>
      </c>
    </row>
    <row r="1134">
      <c r="A1134" s="2">
        <f>IFERROR(__xludf.DUMMYFUNCTION("""COMPUTED_VALUE"""),1000.0)</f>
        <v>1000</v>
      </c>
      <c r="B1134" s="2">
        <f>IFERROR(__xludf.DUMMYFUNCTION("""COMPUTED_VALUE"""),184282.0)</f>
        <v>184282</v>
      </c>
      <c r="C1134" s="2">
        <f>IFERROR(__xludf.DUMMYFUNCTION("""COMPUTED_VALUE"""),2026.0)</f>
        <v>2026</v>
      </c>
      <c r="D1134" s="2">
        <f>IFERROR(__xludf.DUMMYFUNCTION("""COMPUTED_VALUE"""),46153.0)</f>
        <v>46153</v>
      </c>
      <c r="E1134" s="2" t="str">
        <f>IFERROR(__xludf.DUMMYFUNCTION("""COMPUTED_VALUE"""),"VF")</f>
        <v>VF</v>
      </c>
      <c r="F1134" s="2">
        <f>IFERROR(__xludf.DUMMYFUNCTION("""COMPUTED_VALUE"""),1.0)</f>
        <v>1</v>
      </c>
      <c r="G1134" s="2" t="str">
        <f>IFERROR(__xludf.DUMMYFUNCTION("""COMPUTED_VALUE"""),"PR016")</f>
        <v>PR016</v>
      </c>
      <c r="H1134" s="2" t="str">
        <f>IFERROR(__xludf.DUMMYFUNCTION("""COMPUTED_VALUE"""),"VD039")</f>
        <v>VD039</v>
      </c>
      <c r="I1134" s="2">
        <f>IFERROR(__xludf.DUMMYFUNCTION("""COMPUTED_VALUE"""),4.0)</f>
        <v>4</v>
      </c>
      <c r="J1134" s="2">
        <f>IFERROR(__xludf.DUMMYFUNCTION("""COMPUTED_VALUE"""),111.89)</f>
        <v>111.89</v>
      </c>
      <c r="K1134" s="2">
        <f>IFERROR(__xludf.DUMMYFUNCTION("""COMPUTED_VALUE"""),111.89)</f>
        <v>111.89</v>
      </c>
    </row>
    <row r="1135">
      <c r="A1135" s="2">
        <f>IFERROR(__xludf.DUMMYFUNCTION("""COMPUTED_VALUE"""),1000.0)</f>
        <v>1000</v>
      </c>
      <c r="B1135" s="2">
        <f>IFERROR(__xludf.DUMMYFUNCTION("""COMPUTED_VALUE"""),184283.0)</f>
        <v>184283</v>
      </c>
      <c r="C1135" s="2">
        <f>IFERROR(__xludf.DUMMYFUNCTION("""COMPUTED_VALUE"""),2026.0)</f>
        <v>2026</v>
      </c>
      <c r="D1135" s="2">
        <f>IFERROR(__xludf.DUMMYFUNCTION("""COMPUTED_VALUE"""),46153.0)</f>
        <v>46153</v>
      </c>
      <c r="E1135" s="2" t="str">
        <f>IFERROR(__xludf.DUMMYFUNCTION("""COMPUTED_VALUE"""),"VF")</f>
        <v>VF</v>
      </c>
      <c r="F1135" s="2">
        <f>IFERROR(__xludf.DUMMYFUNCTION("""COMPUTED_VALUE"""),1.0)</f>
        <v>1</v>
      </c>
      <c r="G1135" s="2" t="str">
        <f>IFERROR(__xludf.DUMMYFUNCTION("""COMPUTED_VALUE"""),"PR012")</f>
        <v>PR012</v>
      </c>
      <c r="H1135" s="2" t="str">
        <f>IFERROR(__xludf.DUMMYFUNCTION("""COMPUTED_VALUE"""),"VD037")</f>
        <v>VD037</v>
      </c>
      <c r="I1135" s="2">
        <f>IFERROR(__xludf.DUMMYFUNCTION("""COMPUTED_VALUE"""),2.0)</f>
        <v>2</v>
      </c>
      <c r="J1135" s="2">
        <f>IFERROR(__xludf.DUMMYFUNCTION("""COMPUTED_VALUE"""),99.76)</f>
        <v>99.76</v>
      </c>
      <c r="K1135" s="2">
        <f>IFERROR(__xludf.DUMMYFUNCTION("""COMPUTED_VALUE"""),99.76)</f>
        <v>99.76</v>
      </c>
    </row>
    <row r="1136">
      <c r="A1136" s="2">
        <f>IFERROR(__xludf.DUMMYFUNCTION("""COMPUTED_VALUE"""),1000.0)</f>
        <v>1000</v>
      </c>
      <c r="B1136" s="2">
        <f>IFERROR(__xludf.DUMMYFUNCTION("""COMPUTED_VALUE"""),184283.0)</f>
        <v>184283</v>
      </c>
      <c r="C1136" s="2">
        <f>IFERROR(__xludf.DUMMYFUNCTION("""COMPUTED_VALUE"""),2026.0)</f>
        <v>2026</v>
      </c>
      <c r="D1136" s="2">
        <f>IFERROR(__xludf.DUMMYFUNCTION("""COMPUTED_VALUE"""),46152.0)</f>
        <v>46152</v>
      </c>
      <c r="E1136" s="2" t="str">
        <f>IFERROR(__xludf.DUMMYFUNCTION("""COMPUTED_VALUE"""),"VF")</f>
        <v>VF</v>
      </c>
      <c r="F1136" s="2">
        <f>IFERROR(__xludf.DUMMYFUNCTION("""COMPUTED_VALUE"""),2.0)</f>
        <v>2</v>
      </c>
      <c r="G1136" s="2" t="str">
        <f>IFERROR(__xludf.DUMMYFUNCTION("""COMPUTED_VALUE"""),"PR020")</f>
        <v>PR020</v>
      </c>
      <c r="H1136" s="2" t="str">
        <f>IFERROR(__xludf.DUMMYFUNCTION("""COMPUTED_VALUE"""),"VD014")</f>
        <v>VD014</v>
      </c>
      <c r="I1136" s="2">
        <f>IFERROR(__xludf.DUMMYFUNCTION("""COMPUTED_VALUE"""),2.0)</f>
        <v>2</v>
      </c>
      <c r="J1136" s="2">
        <f>IFERROR(__xludf.DUMMYFUNCTION("""COMPUTED_VALUE"""),659.78)</f>
        <v>659.78</v>
      </c>
      <c r="K1136" s="2">
        <f>IFERROR(__xludf.DUMMYFUNCTION("""COMPUTED_VALUE"""),659.78)</f>
        <v>659.78</v>
      </c>
    </row>
    <row r="1137">
      <c r="A1137" s="2">
        <f>IFERROR(__xludf.DUMMYFUNCTION("""COMPUTED_VALUE"""),1000.0)</f>
        <v>1000</v>
      </c>
      <c r="B1137" s="2">
        <f>IFERROR(__xludf.DUMMYFUNCTION("""COMPUTED_VALUE"""),184284.0)</f>
        <v>184284</v>
      </c>
      <c r="C1137" s="2">
        <f>IFERROR(__xludf.DUMMYFUNCTION("""COMPUTED_VALUE"""),2026.0)</f>
        <v>2026</v>
      </c>
      <c r="D1137" s="2">
        <f>IFERROR(__xludf.DUMMYFUNCTION("""COMPUTED_VALUE"""),46152.0)</f>
        <v>46152</v>
      </c>
      <c r="E1137" s="2" t="str">
        <f>IFERROR(__xludf.DUMMYFUNCTION("""COMPUTED_VALUE"""),"VF")</f>
        <v>VF</v>
      </c>
      <c r="F1137" s="2">
        <f>IFERROR(__xludf.DUMMYFUNCTION("""COMPUTED_VALUE"""),1.0)</f>
        <v>1</v>
      </c>
      <c r="G1137" s="2" t="str">
        <f>IFERROR(__xludf.DUMMYFUNCTION("""COMPUTED_VALUE"""),"PR043")</f>
        <v>PR043</v>
      </c>
      <c r="H1137" s="2" t="str">
        <f>IFERROR(__xludf.DUMMYFUNCTION("""COMPUTED_VALUE"""),"VD039")</f>
        <v>VD039</v>
      </c>
      <c r="I1137" s="2">
        <f>IFERROR(__xludf.DUMMYFUNCTION("""COMPUTED_VALUE"""),8.0)</f>
        <v>8</v>
      </c>
      <c r="J1137" s="2">
        <f>IFERROR(__xludf.DUMMYFUNCTION("""COMPUTED_VALUE"""),585.8)</f>
        <v>585.8</v>
      </c>
      <c r="K1137" s="2">
        <f>IFERROR(__xludf.DUMMYFUNCTION("""COMPUTED_VALUE"""),585.8)</f>
        <v>585.8</v>
      </c>
    </row>
    <row r="1138">
      <c r="A1138" s="2">
        <f>IFERROR(__xludf.DUMMYFUNCTION("""COMPUTED_VALUE"""),1000.0)</f>
        <v>1000</v>
      </c>
      <c r="B1138" s="2">
        <f>IFERROR(__xludf.DUMMYFUNCTION("""COMPUTED_VALUE"""),184284.0)</f>
        <v>184284</v>
      </c>
      <c r="C1138" s="2">
        <f>IFERROR(__xludf.DUMMYFUNCTION("""COMPUTED_VALUE"""),2026.0)</f>
        <v>2026</v>
      </c>
      <c r="D1138" s="2">
        <f>IFERROR(__xludf.DUMMYFUNCTION("""COMPUTED_VALUE"""),46151.0)</f>
        <v>46151</v>
      </c>
      <c r="E1138" s="2" t="str">
        <f>IFERROR(__xludf.DUMMYFUNCTION("""COMPUTED_VALUE"""),"VF")</f>
        <v>VF</v>
      </c>
      <c r="F1138" s="2">
        <f>IFERROR(__xludf.DUMMYFUNCTION("""COMPUTED_VALUE"""),2.0)</f>
        <v>2</v>
      </c>
      <c r="G1138" s="2" t="str">
        <f>IFERROR(__xludf.DUMMYFUNCTION("""COMPUTED_VALUE"""),"PR059")</f>
        <v>PR059</v>
      </c>
      <c r="H1138" s="2" t="str">
        <f>IFERROR(__xludf.DUMMYFUNCTION("""COMPUTED_VALUE"""),"VD039")</f>
        <v>VD039</v>
      </c>
      <c r="I1138" s="2">
        <f>IFERROR(__xludf.DUMMYFUNCTION("""COMPUTED_VALUE"""),14.0)</f>
        <v>14</v>
      </c>
      <c r="J1138" s="2">
        <f>IFERROR(__xludf.DUMMYFUNCTION("""COMPUTED_VALUE"""),2620.8)</f>
        <v>2620.8</v>
      </c>
      <c r="K1138" s="2">
        <f>IFERROR(__xludf.DUMMYFUNCTION("""COMPUTED_VALUE"""),2620.8)</f>
        <v>2620.8</v>
      </c>
    </row>
    <row r="1139">
      <c r="A1139" s="2">
        <f>IFERROR(__xludf.DUMMYFUNCTION("""COMPUTED_VALUE"""),1000.0)</f>
        <v>1000</v>
      </c>
      <c r="B1139" s="2">
        <f>IFERROR(__xludf.DUMMYFUNCTION("""COMPUTED_VALUE"""),184285.0)</f>
        <v>184285</v>
      </c>
      <c r="C1139" s="2">
        <f>IFERROR(__xludf.DUMMYFUNCTION("""COMPUTED_VALUE"""),2026.0)</f>
        <v>2026</v>
      </c>
      <c r="D1139" s="2">
        <f>IFERROR(__xludf.DUMMYFUNCTION("""COMPUTED_VALUE"""),46151.0)</f>
        <v>46151</v>
      </c>
      <c r="E1139" s="2" t="str">
        <f>IFERROR(__xludf.DUMMYFUNCTION("""COMPUTED_VALUE"""),"VF")</f>
        <v>VF</v>
      </c>
      <c r="F1139" s="2">
        <f>IFERROR(__xludf.DUMMYFUNCTION("""COMPUTED_VALUE"""),1.0)</f>
        <v>1</v>
      </c>
      <c r="G1139" s="2" t="str">
        <f>IFERROR(__xludf.DUMMYFUNCTION("""COMPUTED_VALUE"""),"PR053")</f>
        <v>PR053</v>
      </c>
      <c r="H1139" s="2" t="str">
        <f>IFERROR(__xludf.DUMMYFUNCTION("""COMPUTED_VALUE"""),"VD035")</f>
        <v>VD035</v>
      </c>
      <c r="I1139" s="2">
        <f>IFERROR(__xludf.DUMMYFUNCTION("""COMPUTED_VALUE"""),1.0)</f>
        <v>1</v>
      </c>
      <c r="J1139" s="2">
        <f>IFERROR(__xludf.DUMMYFUNCTION("""COMPUTED_VALUE"""),51.4)</f>
        <v>51.4</v>
      </c>
      <c r="K1139" s="2">
        <f>IFERROR(__xludf.DUMMYFUNCTION("""COMPUTED_VALUE"""),51.4)</f>
        <v>51.4</v>
      </c>
    </row>
    <row r="1140">
      <c r="A1140" s="2">
        <f>IFERROR(__xludf.DUMMYFUNCTION("""COMPUTED_VALUE"""),1000.0)</f>
        <v>1000</v>
      </c>
      <c r="B1140" s="2">
        <f>IFERROR(__xludf.DUMMYFUNCTION("""COMPUTED_VALUE"""),184286.0)</f>
        <v>184286</v>
      </c>
      <c r="C1140" s="2">
        <f>IFERROR(__xludf.DUMMYFUNCTION("""COMPUTED_VALUE"""),2026.0)</f>
        <v>2026</v>
      </c>
      <c r="D1140" s="2">
        <f>IFERROR(__xludf.DUMMYFUNCTION("""COMPUTED_VALUE"""),46151.0)</f>
        <v>46151</v>
      </c>
      <c r="E1140" s="2" t="str">
        <f>IFERROR(__xludf.DUMMYFUNCTION("""COMPUTED_VALUE"""),"VF")</f>
        <v>VF</v>
      </c>
      <c r="F1140" s="2">
        <f>IFERROR(__xludf.DUMMYFUNCTION("""COMPUTED_VALUE"""),1.0)</f>
        <v>1</v>
      </c>
      <c r="G1140" s="2" t="str">
        <f>IFERROR(__xludf.DUMMYFUNCTION("""COMPUTED_VALUE"""),"PR016")</f>
        <v>PR016</v>
      </c>
      <c r="H1140" s="2" t="str">
        <f>IFERROR(__xludf.DUMMYFUNCTION("""COMPUTED_VALUE"""),"VD041")</f>
        <v>VD041</v>
      </c>
      <c r="I1140" s="2">
        <f>IFERROR(__xludf.DUMMYFUNCTION("""COMPUTED_VALUE"""),10.0)</f>
        <v>10</v>
      </c>
      <c r="J1140" s="2">
        <f>IFERROR(__xludf.DUMMYFUNCTION("""COMPUTED_VALUE"""),271.95)</f>
        <v>271.95</v>
      </c>
      <c r="K1140" s="2">
        <f>IFERROR(__xludf.DUMMYFUNCTION("""COMPUTED_VALUE"""),271.95)</f>
        <v>271.95</v>
      </c>
    </row>
    <row r="1141">
      <c r="A1141" s="2">
        <f>IFERROR(__xludf.DUMMYFUNCTION("""COMPUTED_VALUE"""),1000.0)</f>
        <v>1000</v>
      </c>
      <c r="B1141" s="2">
        <f>IFERROR(__xludf.DUMMYFUNCTION("""COMPUTED_VALUE"""),184286.0)</f>
        <v>184286</v>
      </c>
      <c r="C1141" s="2">
        <f>IFERROR(__xludf.DUMMYFUNCTION("""COMPUTED_VALUE"""),2026.0)</f>
        <v>2026</v>
      </c>
      <c r="D1141" s="2">
        <f>IFERROR(__xludf.DUMMYFUNCTION("""COMPUTED_VALUE"""),46151.0)</f>
        <v>46151</v>
      </c>
      <c r="E1141" s="2" t="str">
        <f>IFERROR(__xludf.DUMMYFUNCTION("""COMPUTED_VALUE"""),"VF")</f>
        <v>VF</v>
      </c>
      <c r="F1141" s="2">
        <f>IFERROR(__xludf.DUMMYFUNCTION("""COMPUTED_VALUE"""),2.0)</f>
        <v>2</v>
      </c>
      <c r="G1141" s="2" t="str">
        <f>IFERROR(__xludf.DUMMYFUNCTION("""COMPUTED_VALUE"""),"PR038")</f>
        <v>PR038</v>
      </c>
      <c r="H1141" s="2" t="str">
        <f>IFERROR(__xludf.DUMMYFUNCTION("""COMPUTED_VALUE"""),"VD031")</f>
        <v>VD031</v>
      </c>
      <c r="I1141" s="2">
        <f>IFERROR(__xludf.DUMMYFUNCTION("""COMPUTED_VALUE"""),8.0)</f>
        <v>8</v>
      </c>
      <c r="J1141" s="2">
        <f>IFERROR(__xludf.DUMMYFUNCTION("""COMPUTED_VALUE"""),1177.5)</f>
        <v>1177.5</v>
      </c>
      <c r="K1141" s="2">
        <f>IFERROR(__xludf.DUMMYFUNCTION("""COMPUTED_VALUE"""),1177.5)</f>
        <v>1177.5</v>
      </c>
    </row>
    <row r="1142">
      <c r="A1142" s="2">
        <f>IFERROR(__xludf.DUMMYFUNCTION("""COMPUTED_VALUE"""),1000.0)</f>
        <v>1000</v>
      </c>
      <c r="B1142" s="2">
        <f>IFERROR(__xludf.DUMMYFUNCTION("""COMPUTED_VALUE"""),184287.0)</f>
        <v>184287</v>
      </c>
      <c r="C1142" s="2">
        <f>IFERROR(__xludf.DUMMYFUNCTION("""COMPUTED_VALUE"""),2026.0)</f>
        <v>2026</v>
      </c>
      <c r="D1142" s="2">
        <f>IFERROR(__xludf.DUMMYFUNCTION("""COMPUTED_VALUE"""),46151.0)</f>
        <v>46151</v>
      </c>
      <c r="E1142" s="2" t="str">
        <f>IFERROR(__xludf.DUMMYFUNCTION("""COMPUTED_VALUE"""),"VF")</f>
        <v>VF</v>
      </c>
      <c r="F1142" s="2">
        <f>IFERROR(__xludf.DUMMYFUNCTION("""COMPUTED_VALUE"""),1.0)</f>
        <v>1</v>
      </c>
      <c r="G1142" s="2" t="str">
        <f>IFERROR(__xludf.DUMMYFUNCTION("""COMPUTED_VALUE"""),"PR059")</f>
        <v>PR059</v>
      </c>
      <c r="H1142" s="2" t="str">
        <f>IFERROR(__xludf.DUMMYFUNCTION("""COMPUTED_VALUE"""),"VD045")</f>
        <v>VD045</v>
      </c>
      <c r="I1142" s="2">
        <f>IFERROR(__xludf.DUMMYFUNCTION("""COMPUTED_VALUE"""),2.0)</f>
        <v>2</v>
      </c>
      <c r="J1142" s="2">
        <f>IFERROR(__xludf.DUMMYFUNCTION("""COMPUTED_VALUE"""),378.0)</f>
        <v>378</v>
      </c>
      <c r="K1142" s="2">
        <f>IFERROR(__xludf.DUMMYFUNCTION("""COMPUTED_VALUE"""),378.0)</f>
        <v>378</v>
      </c>
    </row>
    <row r="1143">
      <c r="A1143" s="2">
        <f>IFERROR(__xludf.DUMMYFUNCTION("""COMPUTED_VALUE"""),2000.0)</f>
        <v>2000</v>
      </c>
      <c r="B1143" s="2">
        <f>IFERROR(__xludf.DUMMYFUNCTION("""COMPUTED_VALUE"""),184288.0)</f>
        <v>184288</v>
      </c>
      <c r="C1143" s="2">
        <f>IFERROR(__xludf.DUMMYFUNCTION("""COMPUTED_VALUE"""),2026.0)</f>
        <v>2026</v>
      </c>
      <c r="D1143" s="2">
        <f>IFERROR(__xludf.DUMMYFUNCTION("""COMPUTED_VALUE"""),46151.0)</f>
        <v>46151</v>
      </c>
      <c r="E1143" s="2" t="str">
        <f>IFERROR(__xludf.DUMMYFUNCTION("""COMPUTED_VALUE"""),"VF")</f>
        <v>VF</v>
      </c>
      <c r="F1143" s="2">
        <f>IFERROR(__xludf.DUMMYFUNCTION("""COMPUTED_VALUE"""),1.0)</f>
        <v>1</v>
      </c>
      <c r="G1143" s="2" t="str">
        <f>IFERROR(__xludf.DUMMYFUNCTION("""COMPUTED_VALUE"""),"PR047")</f>
        <v>PR047</v>
      </c>
      <c r="H1143" s="2" t="str">
        <f>IFERROR(__xludf.DUMMYFUNCTION("""COMPUTED_VALUE"""),"VD018")</f>
        <v>VD018</v>
      </c>
      <c r="I1143" s="2">
        <f>IFERROR(__xludf.DUMMYFUNCTION("""COMPUTED_VALUE"""),16.0)</f>
        <v>16</v>
      </c>
      <c r="J1143" s="2">
        <f>IFERROR(__xludf.DUMMYFUNCTION("""COMPUTED_VALUE"""),4731.17)</f>
        <v>4731.17</v>
      </c>
      <c r="K1143" s="2">
        <f>IFERROR(__xludf.DUMMYFUNCTION("""COMPUTED_VALUE"""),4731.17)</f>
        <v>4731.17</v>
      </c>
    </row>
    <row r="1144">
      <c r="A1144" s="2">
        <f>IFERROR(__xludf.DUMMYFUNCTION("""COMPUTED_VALUE"""),1000.0)</f>
        <v>1000</v>
      </c>
      <c r="B1144" s="2">
        <f>IFERROR(__xludf.DUMMYFUNCTION("""COMPUTED_VALUE"""),184289.0)</f>
        <v>184289</v>
      </c>
      <c r="C1144" s="2">
        <f>IFERROR(__xludf.DUMMYFUNCTION("""COMPUTED_VALUE"""),2026.0)</f>
        <v>2026</v>
      </c>
      <c r="D1144" s="2">
        <f>IFERROR(__xludf.DUMMYFUNCTION("""COMPUTED_VALUE"""),46151.0)</f>
        <v>46151</v>
      </c>
      <c r="E1144" s="2" t="str">
        <f>IFERROR(__xludf.DUMMYFUNCTION("""COMPUTED_VALUE"""),"VF")</f>
        <v>VF</v>
      </c>
      <c r="F1144" s="2">
        <f>IFERROR(__xludf.DUMMYFUNCTION("""COMPUTED_VALUE"""),1.0)</f>
        <v>1</v>
      </c>
      <c r="G1144" s="2" t="str">
        <f>IFERROR(__xludf.DUMMYFUNCTION("""COMPUTED_VALUE"""),"PR011")</f>
        <v>PR011</v>
      </c>
      <c r="H1144" s="2" t="str">
        <f>IFERROR(__xludf.DUMMYFUNCTION("""COMPUTED_VALUE"""),"VD032")</f>
        <v>VD032</v>
      </c>
      <c r="I1144" s="2">
        <f>IFERROR(__xludf.DUMMYFUNCTION("""COMPUTED_VALUE"""),2.0)</f>
        <v>2</v>
      </c>
      <c r="J1144" s="2">
        <f>IFERROR(__xludf.DUMMYFUNCTION("""COMPUTED_VALUE"""),95.68)</f>
        <v>95.68</v>
      </c>
      <c r="K1144" s="2">
        <f>IFERROR(__xludf.DUMMYFUNCTION("""COMPUTED_VALUE"""),95.68)</f>
        <v>95.68</v>
      </c>
    </row>
    <row r="1145">
      <c r="A1145" s="2">
        <f>IFERROR(__xludf.DUMMYFUNCTION("""COMPUTED_VALUE"""),1000.0)</f>
        <v>1000</v>
      </c>
      <c r="B1145" s="2">
        <f>IFERROR(__xludf.DUMMYFUNCTION("""COMPUTED_VALUE"""),184290.0)</f>
        <v>184290</v>
      </c>
      <c r="C1145" s="2">
        <f>IFERROR(__xludf.DUMMYFUNCTION("""COMPUTED_VALUE"""),2026.0)</f>
        <v>2026</v>
      </c>
      <c r="D1145" s="2">
        <f>IFERROR(__xludf.DUMMYFUNCTION("""COMPUTED_VALUE"""),46150.0)</f>
        <v>46150</v>
      </c>
      <c r="E1145" s="2" t="str">
        <f>IFERROR(__xludf.DUMMYFUNCTION("""COMPUTED_VALUE"""),"VF")</f>
        <v>VF</v>
      </c>
      <c r="F1145" s="2">
        <f>IFERROR(__xludf.DUMMYFUNCTION("""COMPUTED_VALUE"""),1.0)</f>
        <v>1</v>
      </c>
      <c r="G1145" s="2" t="str">
        <f>IFERROR(__xludf.DUMMYFUNCTION("""COMPUTED_VALUE"""),"PR054")</f>
        <v>PR054</v>
      </c>
      <c r="H1145" s="2" t="str">
        <f>IFERROR(__xludf.DUMMYFUNCTION("""COMPUTED_VALUE"""),"VD046")</f>
        <v>VD046</v>
      </c>
      <c r="I1145" s="2">
        <f>IFERROR(__xludf.DUMMYFUNCTION("""COMPUTED_VALUE"""),8.0)</f>
        <v>8</v>
      </c>
      <c r="J1145" s="2">
        <f>IFERROR(__xludf.DUMMYFUNCTION("""COMPUTED_VALUE"""),431.14)</f>
        <v>431.14</v>
      </c>
      <c r="K1145" s="2">
        <f>IFERROR(__xludf.DUMMYFUNCTION("""COMPUTED_VALUE"""),431.14)</f>
        <v>431.14</v>
      </c>
    </row>
    <row r="1146">
      <c r="A1146" s="2">
        <f>IFERROR(__xludf.DUMMYFUNCTION("""COMPUTED_VALUE"""),1000.0)</f>
        <v>1000</v>
      </c>
      <c r="B1146" s="2">
        <f>IFERROR(__xludf.DUMMYFUNCTION("""COMPUTED_VALUE"""),184291.0)</f>
        <v>184291</v>
      </c>
      <c r="C1146" s="2">
        <f>IFERROR(__xludf.DUMMYFUNCTION("""COMPUTED_VALUE"""),2026.0)</f>
        <v>2026</v>
      </c>
      <c r="D1146" s="2">
        <f>IFERROR(__xludf.DUMMYFUNCTION("""COMPUTED_VALUE"""),46150.0)</f>
        <v>46150</v>
      </c>
      <c r="E1146" s="2" t="str">
        <f>IFERROR(__xludf.DUMMYFUNCTION("""COMPUTED_VALUE"""),"VF")</f>
        <v>VF</v>
      </c>
      <c r="F1146" s="2">
        <f>IFERROR(__xludf.DUMMYFUNCTION("""COMPUTED_VALUE"""),1.0)</f>
        <v>1</v>
      </c>
      <c r="G1146" s="2" t="str">
        <f>IFERROR(__xludf.DUMMYFUNCTION("""COMPUTED_VALUE"""),"PR058")</f>
        <v>PR058</v>
      </c>
      <c r="H1146" s="2" t="str">
        <f>IFERROR(__xludf.DUMMYFUNCTION("""COMPUTED_VALUE"""),"VD033")</f>
        <v>VD033</v>
      </c>
      <c r="I1146" s="2">
        <f>IFERROR(__xludf.DUMMYFUNCTION("""COMPUTED_VALUE"""),10.0)</f>
        <v>10</v>
      </c>
      <c r="J1146" s="2">
        <f>IFERROR(__xludf.DUMMYFUNCTION("""COMPUTED_VALUE"""),1980.0)</f>
        <v>1980</v>
      </c>
      <c r="K1146" s="2">
        <f>IFERROR(__xludf.DUMMYFUNCTION("""COMPUTED_VALUE"""),1980.0)</f>
        <v>1980</v>
      </c>
    </row>
    <row r="1147">
      <c r="A1147" s="2">
        <f>IFERROR(__xludf.DUMMYFUNCTION("""COMPUTED_VALUE"""),2000.0)</f>
        <v>2000</v>
      </c>
      <c r="B1147" s="2">
        <f>IFERROR(__xludf.DUMMYFUNCTION("""COMPUTED_VALUE"""),184292.0)</f>
        <v>184292</v>
      </c>
      <c r="C1147" s="2">
        <f>IFERROR(__xludf.DUMMYFUNCTION("""COMPUTED_VALUE"""),2026.0)</f>
        <v>2026</v>
      </c>
      <c r="D1147" s="2">
        <f>IFERROR(__xludf.DUMMYFUNCTION("""COMPUTED_VALUE"""),46149.0)</f>
        <v>46149</v>
      </c>
      <c r="E1147" s="2" t="str">
        <f>IFERROR(__xludf.DUMMYFUNCTION("""COMPUTED_VALUE"""),"VF")</f>
        <v>VF</v>
      </c>
      <c r="F1147" s="2">
        <f>IFERROR(__xludf.DUMMYFUNCTION("""COMPUTED_VALUE"""),1.0)</f>
        <v>1</v>
      </c>
      <c r="G1147" s="2" t="str">
        <f>IFERROR(__xludf.DUMMYFUNCTION("""COMPUTED_VALUE"""),"PR002")</f>
        <v>PR002</v>
      </c>
      <c r="H1147" s="2" t="str">
        <f>IFERROR(__xludf.DUMMYFUNCTION("""COMPUTED_VALUE"""),"VD043")</f>
        <v>VD043</v>
      </c>
      <c r="I1147" s="2">
        <f>IFERROR(__xludf.DUMMYFUNCTION("""COMPUTED_VALUE"""),16.0)</f>
        <v>16</v>
      </c>
      <c r="J1147" s="2">
        <f>IFERROR(__xludf.DUMMYFUNCTION("""COMPUTED_VALUE"""),1118.4)</f>
        <v>1118.4</v>
      </c>
      <c r="K1147" s="2">
        <f>IFERROR(__xludf.DUMMYFUNCTION("""COMPUTED_VALUE"""),1118.4)</f>
        <v>1118.4</v>
      </c>
    </row>
    <row r="1148">
      <c r="A1148" s="2">
        <f>IFERROR(__xludf.DUMMYFUNCTION("""COMPUTED_VALUE"""),1000.0)</f>
        <v>1000</v>
      </c>
      <c r="B1148" s="2">
        <f>IFERROR(__xludf.DUMMYFUNCTION("""COMPUTED_VALUE"""),184293.0)</f>
        <v>184293</v>
      </c>
      <c r="C1148" s="2">
        <f>IFERROR(__xludf.DUMMYFUNCTION("""COMPUTED_VALUE"""),2026.0)</f>
        <v>2026</v>
      </c>
      <c r="D1148" s="2">
        <f>IFERROR(__xludf.DUMMYFUNCTION("""COMPUTED_VALUE"""),46149.0)</f>
        <v>46149</v>
      </c>
      <c r="E1148" s="2" t="str">
        <f>IFERROR(__xludf.DUMMYFUNCTION("""COMPUTED_VALUE"""),"VF")</f>
        <v>VF</v>
      </c>
      <c r="F1148" s="2">
        <f>IFERROR(__xludf.DUMMYFUNCTION("""COMPUTED_VALUE"""),1.0)</f>
        <v>1</v>
      </c>
      <c r="G1148" s="2" t="str">
        <f>IFERROR(__xludf.DUMMYFUNCTION("""COMPUTED_VALUE"""),"PR052")</f>
        <v>PR052</v>
      </c>
      <c r="H1148" s="2" t="str">
        <f>IFERROR(__xludf.DUMMYFUNCTION("""COMPUTED_VALUE"""),"VD025")</f>
        <v>VD025</v>
      </c>
      <c r="I1148" s="2">
        <f>IFERROR(__xludf.DUMMYFUNCTION("""COMPUTED_VALUE"""),8.0)</f>
        <v>8</v>
      </c>
      <c r="J1148" s="2">
        <f>IFERROR(__xludf.DUMMYFUNCTION("""COMPUTED_VALUE"""),439.12)</f>
        <v>439.12</v>
      </c>
      <c r="K1148" s="2">
        <f>IFERROR(__xludf.DUMMYFUNCTION("""COMPUTED_VALUE"""),439.12)</f>
        <v>439.12</v>
      </c>
    </row>
    <row r="1149">
      <c r="A1149" s="2">
        <f>IFERROR(__xludf.DUMMYFUNCTION("""COMPUTED_VALUE"""),1000.0)</f>
        <v>1000</v>
      </c>
      <c r="B1149" s="2">
        <f>IFERROR(__xludf.DUMMYFUNCTION("""COMPUTED_VALUE"""),184294.0)</f>
        <v>184294</v>
      </c>
      <c r="C1149" s="2">
        <f>IFERROR(__xludf.DUMMYFUNCTION("""COMPUTED_VALUE"""),2026.0)</f>
        <v>2026</v>
      </c>
      <c r="D1149" s="2">
        <f>IFERROR(__xludf.DUMMYFUNCTION("""COMPUTED_VALUE"""),46149.0)</f>
        <v>46149</v>
      </c>
      <c r="E1149" s="2" t="str">
        <f>IFERROR(__xludf.DUMMYFUNCTION("""COMPUTED_VALUE"""),"VF")</f>
        <v>VF</v>
      </c>
      <c r="F1149" s="2">
        <f>IFERROR(__xludf.DUMMYFUNCTION("""COMPUTED_VALUE"""),1.0)</f>
        <v>1</v>
      </c>
      <c r="G1149" s="2" t="str">
        <f>IFERROR(__xludf.DUMMYFUNCTION("""COMPUTED_VALUE"""),"PR002")</f>
        <v>PR002</v>
      </c>
      <c r="H1149" s="2" t="str">
        <f>IFERROR(__xludf.DUMMYFUNCTION("""COMPUTED_VALUE"""),"VD029")</f>
        <v>VD029</v>
      </c>
      <c r="I1149" s="2">
        <f>IFERROR(__xludf.DUMMYFUNCTION("""COMPUTED_VALUE"""),8.0)</f>
        <v>8</v>
      </c>
      <c r="J1149" s="2">
        <f>IFERROR(__xludf.DUMMYFUNCTION("""COMPUTED_VALUE"""),559.2)</f>
        <v>559.2</v>
      </c>
      <c r="K1149" s="2">
        <f>IFERROR(__xludf.DUMMYFUNCTION("""COMPUTED_VALUE"""),559.2)</f>
        <v>559.2</v>
      </c>
    </row>
    <row r="1150">
      <c r="A1150" s="2">
        <f>IFERROR(__xludf.DUMMYFUNCTION("""COMPUTED_VALUE"""),1000.0)</f>
        <v>1000</v>
      </c>
      <c r="B1150" s="2">
        <f>IFERROR(__xludf.DUMMYFUNCTION("""COMPUTED_VALUE"""),184295.0)</f>
        <v>184295</v>
      </c>
      <c r="C1150" s="2">
        <f>IFERROR(__xludf.DUMMYFUNCTION("""COMPUTED_VALUE"""),2026.0)</f>
        <v>2026</v>
      </c>
      <c r="D1150" s="2">
        <f>IFERROR(__xludf.DUMMYFUNCTION("""COMPUTED_VALUE"""),46149.0)</f>
        <v>46149</v>
      </c>
      <c r="E1150" s="2" t="str">
        <f>IFERROR(__xludf.DUMMYFUNCTION("""COMPUTED_VALUE"""),"VF")</f>
        <v>VF</v>
      </c>
      <c r="F1150" s="2">
        <f>IFERROR(__xludf.DUMMYFUNCTION("""COMPUTED_VALUE"""),1.0)</f>
        <v>1</v>
      </c>
      <c r="G1150" s="2" t="str">
        <f>IFERROR(__xludf.DUMMYFUNCTION("""COMPUTED_VALUE"""),"PR050")</f>
        <v>PR050</v>
      </c>
      <c r="H1150" s="2" t="str">
        <f>IFERROR(__xludf.DUMMYFUNCTION("""COMPUTED_VALUE"""),"VD026")</f>
        <v>VD026</v>
      </c>
      <c r="I1150" s="2">
        <f>IFERROR(__xludf.DUMMYFUNCTION("""COMPUTED_VALUE"""),18.0)</f>
        <v>18</v>
      </c>
      <c r="J1150" s="2">
        <f>IFERROR(__xludf.DUMMYFUNCTION("""COMPUTED_VALUE"""),604.04)</f>
        <v>604.04</v>
      </c>
      <c r="K1150" s="2">
        <f>IFERROR(__xludf.DUMMYFUNCTION("""COMPUTED_VALUE"""),604.04)</f>
        <v>604.04</v>
      </c>
    </row>
    <row r="1151">
      <c r="A1151" s="2">
        <f>IFERROR(__xludf.DUMMYFUNCTION("""COMPUTED_VALUE"""),1000.0)</f>
        <v>1000</v>
      </c>
      <c r="B1151" s="2">
        <f>IFERROR(__xludf.DUMMYFUNCTION("""COMPUTED_VALUE"""),184296.0)</f>
        <v>184296</v>
      </c>
      <c r="C1151" s="2">
        <f>IFERROR(__xludf.DUMMYFUNCTION("""COMPUTED_VALUE"""),2026.0)</f>
        <v>2026</v>
      </c>
      <c r="D1151" s="2">
        <f>IFERROR(__xludf.DUMMYFUNCTION("""COMPUTED_VALUE"""),46149.0)</f>
        <v>46149</v>
      </c>
      <c r="E1151" s="2" t="str">
        <f>IFERROR(__xludf.DUMMYFUNCTION("""COMPUTED_VALUE"""),"VF")</f>
        <v>VF</v>
      </c>
      <c r="F1151" s="2">
        <f>IFERROR(__xludf.DUMMYFUNCTION("""COMPUTED_VALUE"""),1.0)</f>
        <v>1</v>
      </c>
      <c r="G1151" s="2" t="str">
        <f>IFERROR(__xludf.DUMMYFUNCTION("""COMPUTED_VALUE"""),"PR040")</f>
        <v>PR040</v>
      </c>
      <c r="H1151" s="2" t="str">
        <f>IFERROR(__xludf.DUMMYFUNCTION("""COMPUTED_VALUE"""),"VD031")</f>
        <v>VD031</v>
      </c>
      <c r="I1151" s="2">
        <f>IFERROR(__xludf.DUMMYFUNCTION("""COMPUTED_VALUE"""),4.0)</f>
        <v>4</v>
      </c>
      <c r="J1151" s="2">
        <f>IFERROR(__xludf.DUMMYFUNCTION("""COMPUTED_VALUE"""),282.8)</f>
        <v>282.8</v>
      </c>
      <c r="K1151" s="2">
        <f>IFERROR(__xludf.DUMMYFUNCTION("""COMPUTED_VALUE"""),282.8)</f>
        <v>282.8</v>
      </c>
    </row>
    <row r="1152">
      <c r="A1152" s="2">
        <f>IFERROR(__xludf.DUMMYFUNCTION("""COMPUTED_VALUE"""),1000.0)</f>
        <v>1000</v>
      </c>
      <c r="B1152" s="2">
        <f>IFERROR(__xludf.DUMMYFUNCTION("""COMPUTED_VALUE"""),184297.0)</f>
        <v>184297</v>
      </c>
      <c r="C1152" s="2">
        <f>IFERROR(__xludf.DUMMYFUNCTION("""COMPUTED_VALUE"""),2026.0)</f>
        <v>2026</v>
      </c>
      <c r="D1152" s="2">
        <f>IFERROR(__xludf.DUMMYFUNCTION("""COMPUTED_VALUE"""),46149.0)</f>
        <v>46149</v>
      </c>
      <c r="E1152" s="2" t="str">
        <f>IFERROR(__xludf.DUMMYFUNCTION("""COMPUTED_VALUE"""),"VF")</f>
        <v>VF</v>
      </c>
      <c r="F1152" s="2">
        <f>IFERROR(__xludf.DUMMYFUNCTION("""COMPUTED_VALUE"""),1.0)</f>
        <v>1</v>
      </c>
      <c r="G1152" s="2" t="str">
        <f>IFERROR(__xludf.DUMMYFUNCTION("""COMPUTED_VALUE"""),"PR021")</f>
        <v>PR021</v>
      </c>
      <c r="H1152" s="2" t="str">
        <f>IFERROR(__xludf.DUMMYFUNCTION("""COMPUTED_VALUE"""),"VD049")</f>
        <v>VD049</v>
      </c>
      <c r="I1152" s="2">
        <f>IFERROR(__xludf.DUMMYFUNCTION("""COMPUTED_VALUE"""),2.0)</f>
        <v>2</v>
      </c>
      <c r="J1152" s="2">
        <f>IFERROR(__xludf.DUMMYFUNCTION("""COMPUTED_VALUE"""),623.97)</f>
        <v>623.97</v>
      </c>
      <c r="K1152" s="2">
        <f>IFERROR(__xludf.DUMMYFUNCTION("""COMPUTED_VALUE"""),623.97)</f>
        <v>623.97</v>
      </c>
    </row>
    <row r="1153">
      <c r="A1153" s="2">
        <f>IFERROR(__xludf.DUMMYFUNCTION("""COMPUTED_VALUE"""),1000.0)</f>
        <v>1000</v>
      </c>
      <c r="B1153" s="2">
        <f>IFERROR(__xludf.DUMMYFUNCTION("""COMPUTED_VALUE"""),184298.0)</f>
        <v>184298</v>
      </c>
      <c r="C1153" s="2">
        <f>IFERROR(__xludf.DUMMYFUNCTION("""COMPUTED_VALUE"""),2026.0)</f>
        <v>2026</v>
      </c>
      <c r="D1153" s="2">
        <f>IFERROR(__xludf.DUMMYFUNCTION("""COMPUTED_VALUE"""),46149.0)</f>
        <v>46149</v>
      </c>
      <c r="E1153" s="2" t="str">
        <f>IFERROR(__xludf.DUMMYFUNCTION("""COMPUTED_VALUE"""),"VF")</f>
        <v>VF</v>
      </c>
      <c r="F1153" s="2">
        <f>IFERROR(__xludf.DUMMYFUNCTION("""COMPUTED_VALUE"""),1.0)</f>
        <v>1</v>
      </c>
      <c r="G1153" s="2" t="str">
        <f>IFERROR(__xludf.DUMMYFUNCTION("""COMPUTED_VALUE"""),"PR028")</f>
        <v>PR028</v>
      </c>
      <c r="H1153" s="2" t="str">
        <f>IFERROR(__xludf.DUMMYFUNCTION("""COMPUTED_VALUE"""),"VD011")</f>
        <v>VD011</v>
      </c>
      <c r="I1153" s="2">
        <f>IFERROR(__xludf.DUMMYFUNCTION("""COMPUTED_VALUE"""),2.0)</f>
        <v>2</v>
      </c>
      <c r="J1153" s="2">
        <f>IFERROR(__xludf.DUMMYFUNCTION("""COMPUTED_VALUE"""),504.8)</f>
        <v>504.8</v>
      </c>
      <c r="K1153" s="2">
        <f>IFERROR(__xludf.DUMMYFUNCTION("""COMPUTED_VALUE"""),504.8)</f>
        <v>504.8</v>
      </c>
    </row>
    <row r="1154">
      <c r="A1154" s="2">
        <f>IFERROR(__xludf.DUMMYFUNCTION("""COMPUTED_VALUE"""),1000.0)</f>
        <v>1000</v>
      </c>
      <c r="B1154" s="2">
        <f>IFERROR(__xludf.DUMMYFUNCTION("""COMPUTED_VALUE"""),184299.0)</f>
        <v>184299</v>
      </c>
      <c r="C1154" s="2">
        <f>IFERROR(__xludf.DUMMYFUNCTION("""COMPUTED_VALUE"""),2026.0)</f>
        <v>2026</v>
      </c>
      <c r="D1154" s="2">
        <f>IFERROR(__xludf.DUMMYFUNCTION("""COMPUTED_VALUE"""),46148.0)</f>
        <v>46148</v>
      </c>
      <c r="E1154" s="2" t="str">
        <f>IFERROR(__xludf.DUMMYFUNCTION("""COMPUTED_VALUE"""),"VF")</f>
        <v>VF</v>
      </c>
      <c r="F1154" s="2">
        <f>IFERROR(__xludf.DUMMYFUNCTION("""COMPUTED_VALUE"""),1.0)</f>
        <v>1</v>
      </c>
      <c r="G1154" s="2" t="str">
        <f>IFERROR(__xludf.DUMMYFUNCTION("""COMPUTED_VALUE"""),"PR020")</f>
        <v>PR020</v>
      </c>
      <c r="H1154" s="2" t="str">
        <f>IFERROR(__xludf.DUMMYFUNCTION("""COMPUTED_VALUE"""),"VD019")</f>
        <v>VD019</v>
      </c>
      <c r="I1154" s="2">
        <f>IFERROR(__xludf.DUMMYFUNCTION("""COMPUTED_VALUE"""),6.0)</f>
        <v>6</v>
      </c>
      <c r="J1154" s="2">
        <f>IFERROR(__xludf.DUMMYFUNCTION("""COMPUTED_VALUE"""),1907.36)</f>
        <v>1907.36</v>
      </c>
      <c r="K1154" s="2">
        <f>IFERROR(__xludf.DUMMYFUNCTION("""COMPUTED_VALUE"""),1907.36)</f>
        <v>1907.36</v>
      </c>
    </row>
    <row r="1155">
      <c r="A1155" s="2">
        <f>IFERROR(__xludf.DUMMYFUNCTION("""COMPUTED_VALUE"""),1000.0)</f>
        <v>1000</v>
      </c>
      <c r="B1155" s="2">
        <f>IFERROR(__xludf.DUMMYFUNCTION("""COMPUTED_VALUE"""),184300.0)</f>
        <v>184300</v>
      </c>
      <c r="C1155" s="2">
        <f>IFERROR(__xludf.DUMMYFUNCTION("""COMPUTED_VALUE"""),2026.0)</f>
        <v>2026</v>
      </c>
      <c r="D1155" s="2">
        <f>IFERROR(__xludf.DUMMYFUNCTION("""COMPUTED_VALUE"""),46148.0)</f>
        <v>46148</v>
      </c>
      <c r="E1155" s="2" t="str">
        <f>IFERROR(__xludf.DUMMYFUNCTION("""COMPUTED_VALUE"""),"VF")</f>
        <v>VF</v>
      </c>
      <c r="F1155" s="2">
        <f>IFERROR(__xludf.DUMMYFUNCTION("""COMPUTED_VALUE"""),1.0)</f>
        <v>1</v>
      </c>
      <c r="G1155" s="2" t="str">
        <f>IFERROR(__xludf.DUMMYFUNCTION("""COMPUTED_VALUE"""),"PR052")</f>
        <v>PR052</v>
      </c>
      <c r="H1155" s="2" t="str">
        <f>IFERROR(__xludf.DUMMYFUNCTION("""COMPUTED_VALUE"""),"VD030")</f>
        <v>VD030</v>
      </c>
      <c r="I1155" s="2">
        <f>IFERROR(__xludf.DUMMYFUNCTION("""COMPUTED_VALUE"""),20.0)</f>
        <v>20</v>
      </c>
      <c r="J1155" s="2">
        <f>IFERROR(__xludf.DUMMYFUNCTION("""COMPUTED_VALUE"""),1097.8)</f>
        <v>1097.8</v>
      </c>
      <c r="K1155" s="2">
        <f>IFERROR(__xludf.DUMMYFUNCTION("""COMPUTED_VALUE"""),1097.8)</f>
        <v>1097.8</v>
      </c>
    </row>
    <row r="1156">
      <c r="A1156" s="2">
        <f>IFERROR(__xludf.DUMMYFUNCTION("""COMPUTED_VALUE"""),2000.0)</f>
        <v>2000</v>
      </c>
      <c r="B1156" s="2">
        <f>IFERROR(__xludf.DUMMYFUNCTION("""COMPUTED_VALUE"""),184300.0)</f>
        <v>184300</v>
      </c>
      <c r="C1156" s="2">
        <f>IFERROR(__xludf.DUMMYFUNCTION("""COMPUTED_VALUE"""),2026.0)</f>
        <v>2026</v>
      </c>
      <c r="D1156" s="2">
        <f>IFERROR(__xludf.DUMMYFUNCTION("""COMPUTED_VALUE"""),46148.0)</f>
        <v>46148</v>
      </c>
      <c r="E1156" s="2" t="str">
        <f>IFERROR(__xludf.DUMMYFUNCTION("""COMPUTED_VALUE"""),"VF")</f>
        <v>VF</v>
      </c>
      <c r="F1156" s="2">
        <f>IFERROR(__xludf.DUMMYFUNCTION("""COMPUTED_VALUE"""),2.0)</f>
        <v>2</v>
      </c>
      <c r="G1156" s="2" t="str">
        <f>IFERROR(__xludf.DUMMYFUNCTION("""COMPUTED_VALUE"""),"PR033")</f>
        <v>PR033</v>
      </c>
      <c r="H1156" s="2" t="str">
        <f>IFERROR(__xludf.DUMMYFUNCTION("""COMPUTED_VALUE"""),"VD017")</f>
        <v>VD017</v>
      </c>
      <c r="I1156" s="2">
        <f>IFERROR(__xludf.DUMMYFUNCTION("""COMPUTED_VALUE"""),9.0)</f>
        <v>9</v>
      </c>
      <c r="J1156" s="2">
        <f>IFERROR(__xludf.DUMMYFUNCTION("""COMPUTED_VALUE"""),2479.45)</f>
        <v>2479.45</v>
      </c>
      <c r="K1156" s="2">
        <f>IFERROR(__xludf.DUMMYFUNCTION("""COMPUTED_VALUE"""),2479.45)</f>
        <v>2479.45</v>
      </c>
    </row>
    <row r="1157">
      <c r="A1157" s="2">
        <f>IFERROR(__xludf.DUMMYFUNCTION("""COMPUTED_VALUE"""),1000.0)</f>
        <v>1000</v>
      </c>
      <c r="B1157" s="2">
        <f>IFERROR(__xludf.DUMMYFUNCTION("""COMPUTED_VALUE"""),184301.0)</f>
        <v>184301</v>
      </c>
      <c r="C1157" s="2">
        <f>IFERROR(__xludf.DUMMYFUNCTION("""COMPUTED_VALUE"""),2026.0)</f>
        <v>2026</v>
      </c>
      <c r="D1157" s="2">
        <f>IFERROR(__xludf.DUMMYFUNCTION("""COMPUTED_VALUE"""),46148.0)</f>
        <v>46148</v>
      </c>
      <c r="E1157" s="2" t="str">
        <f>IFERROR(__xludf.DUMMYFUNCTION("""COMPUTED_VALUE"""),"VF")</f>
        <v>VF</v>
      </c>
      <c r="F1157" s="2">
        <f>IFERROR(__xludf.DUMMYFUNCTION("""COMPUTED_VALUE"""),1.0)</f>
        <v>1</v>
      </c>
      <c r="G1157" s="2" t="str">
        <f>IFERROR(__xludf.DUMMYFUNCTION("""COMPUTED_VALUE"""),"PR016")</f>
        <v>PR016</v>
      </c>
      <c r="H1157" s="2" t="str">
        <f>IFERROR(__xludf.DUMMYFUNCTION("""COMPUTED_VALUE"""),"VD039")</f>
        <v>VD039</v>
      </c>
      <c r="I1157" s="2">
        <f>IFERROR(__xludf.DUMMYFUNCTION("""COMPUTED_VALUE"""),4.0)</f>
        <v>4</v>
      </c>
      <c r="J1157" s="2">
        <f>IFERROR(__xludf.DUMMYFUNCTION("""COMPUTED_VALUE"""),103.6)</f>
        <v>103.6</v>
      </c>
      <c r="K1157" s="2">
        <f>IFERROR(__xludf.DUMMYFUNCTION("""COMPUTED_VALUE"""),103.6)</f>
        <v>103.6</v>
      </c>
    </row>
    <row r="1158">
      <c r="A1158" s="2">
        <f>IFERROR(__xludf.DUMMYFUNCTION("""COMPUTED_VALUE"""),1000.0)</f>
        <v>1000</v>
      </c>
      <c r="B1158" s="2">
        <f>IFERROR(__xludf.DUMMYFUNCTION("""COMPUTED_VALUE"""),184301.0)</f>
        <v>184301</v>
      </c>
      <c r="C1158" s="2">
        <f>IFERROR(__xludf.DUMMYFUNCTION("""COMPUTED_VALUE"""),2026.0)</f>
        <v>2026</v>
      </c>
      <c r="D1158" s="2">
        <f>IFERROR(__xludf.DUMMYFUNCTION("""COMPUTED_VALUE"""),46148.0)</f>
        <v>46148</v>
      </c>
      <c r="E1158" s="2" t="str">
        <f>IFERROR(__xludf.DUMMYFUNCTION("""COMPUTED_VALUE"""),"VF")</f>
        <v>VF</v>
      </c>
      <c r="F1158" s="2">
        <f>IFERROR(__xludf.DUMMYFUNCTION("""COMPUTED_VALUE"""),2.0)</f>
        <v>2</v>
      </c>
      <c r="G1158" s="2" t="str">
        <f>IFERROR(__xludf.DUMMYFUNCTION("""COMPUTED_VALUE"""),"PR034")</f>
        <v>PR034</v>
      </c>
      <c r="H1158" s="2" t="str">
        <f>IFERROR(__xludf.DUMMYFUNCTION("""COMPUTED_VALUE"""),"VD028")</f>
        <v>VD028</v>
      </c>
      <c r="I1158" s="2">
        <f>IFERROR(__xludf.DUMMYFUNCTION("""COMPUTED_VALUE"""),20.0)</f>
        <v>20</v>
      </c>
      <c r="J1158" s="2">
        <f>IFERROR(__xludf.DUMMYFUNCTION("""COMPUTED_VALUE"""),1905.88)</f>
        <v>1905.88</v>
      </c>
      <c r="K1158" s="2">
        <f>IFERROR(__xludf.DUMMYFUNCTION("""COMPUTED_VALUE"""),1905.88)</f>
        <v>1905.88</v>
      </c>
    </row>
    <row r="1159">
      <c r="A1159" s="2">
        <f>IFERROR(__xludf.DUMMYFUNCTION("""COMPUTED_VALUE"""),1000.0)</f>
        <v>1000</v>
      </c>
      <c r="B1159" s="2">
        <f>IFERROR(__xludf.DUMMYFUNCTION("""COMPUTED_VALUE"""),184302.0)</f>
        <v>184302</v>
      </c>
      <c r="C1159" s="2">
        <f>IFERROR(__xludf.DUMMYFUNCTION("""COMPUTED_VALUE"""),2026.0)</f>
        <v>2026</v>
      </c>
      <c r="D1159" s="2">
        <f>IFERROR(__xludf.DUMMYFUNCTION("""COMPUTED_VALUE"""),46148.0)</f>
        <v>46148</v>
      </c>
      <c r="E1159" s="2" t="str">
        <f>IFERROR(__xludf.DUMMYFUNCTION("""COMPUTED_VALUE"""),"VF")</f>
        <v>VF</v>
      </c>
      <c r="F1159" s="2">
        <f>IFERROR(__xludf.DUMMYFUNCTION("""COMPUTED_VALUE"""),1.0)</f>
        <v>1</v>
      </c>
      <c r="G1159" s="2" t="str">
        <f>IFERROR(__xludf.DUMMYFUNCTION("""COMPUTED_VALUE"""),"PR014")</f>
        <v>PR014</v>
      </c>
      <c r="H1159" s="2" t="str">
        <f>IFERROR(__xludf.DUMMYFUNCTION("""COMPUTED_VALUE"""),"VD047")</f>
        <v>VD047</v>
      </c>
      <c r="I1159" s="2">
        <f>IFERROR(__xludf.DUMMYFUNCTION("""COMPUTED_VALUE"""),4.0)</f>
        <v>4</v>
      </c>
      <c r="J1159" s="2">
        <f>IFERROR(__xludf.DUMMYFUNCTION("""COMPUTED_VALUE"""),165.98)</f>
        <v>165.98</v>
      </c>
      <c r="K1159" s="2">
        <f>IFERROR(__xludf.DUMMYFUNCTION("""COMPUTED_VALUE"""),165.98)</f>
        <v>165.98</v>
      </c>
    </row>
    <row r="1160">
      <c r="A1160" s="2">
        <f>IFERROR(__xludf.DUMMYFUNCTION("""COMPUTED_VALUE"""),1000.0)</f>
        <v>1000</v>
      </c>
      <c r="B1160" s="2">
        <f>IFERROR(__xludf.DUMMYFUNCTION("""COMPUTED_VALUE"""),184302.0)</f>
        <v>184302</v>
      </c>
      <c r="C1160" s="2">
        <f>IFERROR(__xludf.DUMMYFUNCTION("""COMPUTED_VALUE"""),2026.0)</f>
        <v>2026</v>
      </c>
      <c r="D1160" s="2">
        <f>IFERROR(__xludf.DUMMYFUNCTION("""COMPUTED_VALUE"""),46148.0)</f>
        <v>46148</v>
      </c>
      <c r="E1160" s="2" t="str">
        <f>IFERROR(__xludf.DUMMYFUNCTION("""COMPUTED_VALUE"""),"VF")</f>
        <v>VF</v>
      </c>
      <c r="F1160" s="2">
        <f>IFERROR(__xludf.DUMMYFUNCTION("""COMPUTED_VALUE"""),2.0)</f>
        <v>2</v>
      </c>
      <c r="G1160" s="2" t="str">
        <f>IFERROR(__xludf.DUMMYFUNCTION("""COMPUTED_VALUE"""),"PR048")</f>
        <v>PR048</v>
      </c>
      <c r="H1160" s="2" t="str">
        <f>IFERROR(__xludf.DUMMYFUNCTION("""COMPUTED_VALUE"""),"VD034")</f>
        <v>VD034</v>
      </c>
      <c r="I1160" s="2">
        <f>IFERROR(__xludf.DUMMYFUNCTION("""COMPUTED_VALUE"""),4.0)</f>
        <v>4</v>
      </c>
      <c r="J1160" s="2">
        <f>IFERROR(__xludf.DUMMYFUNCTION("""COMPUTED_VALUE"""),1171.2)</f>
        <v>1171.2</v>
      </c>
      <c r="K1160" s="2">
        <f>IFERROR(__xludf.DUMMYFUNCTION("""COMPUTED_VALUE"""),1171.2)</f>
        <v>1171.2</v>
      </c>
    </row>
    <row r="1161">
      <c r="A1161" s="2">
        <f>IFERROR(__xludf.DUMMYFUNCTION("""COMPUTED_VALUE"""),2000.0)</f>
        <v>2000</v>
      </c>
      <c r="B1161" s="2">
        <f>IFERROR(__xludf.DUMMYFUNCTION("""COMPUTED_VALUE"""),184303.0)</f>
        <v>184303</v>
      </c>
      <c r="C1161" s="2">
        <f>IFERROR(__xludf.DUMMYFUNCTION("""COMPUTED_VALUE"""),2026.0)</f>
        <v>2026</v>
      </c>
      <c r="D1161" s="2">
        <f>IFERROR(__xludf.DUMMYFUNCTION("""COMPUTED_VALUE"""),46148.0)</f>
        <v>46148</v>
      </c>
      <c r="E1161" s="2" t="str">
        <f>IFERROR(__xludf.DUMMYFUNCTION("""COMPUTED_VALUE"""),"VF")</f>
        <v>VF</v>
      </c>
      <c r="F1161" s="2">
        <f>IFERROR(__xludf.DUMMYFUNCTION("""COMPUTED_VALUE"""),1.0)</f>
        <v>1</v>
      </c>
      <c r="G1161" s="2" t="str">
        <f>IFERROR(__xludf.DUMMYFUNCTION("""COMPUTED_VALUE"""),"PR040")</f>
        <v>PR040</v>
      </c>
      <c r="H1161" s="2" t="str">
        <f>IFERROR(__xludf.DUMMYFUNCTION("""COMPUTED_VALUE"""),"VD021")</f>
        <v>VD021</v>
      </c>
      <c r="I1161" s="2">
        <f>IFERROR(__xludf.DUMMYFUNCTION("""COMPUTED_VALUE"""),4.0)</f>
        <v>4</v>
      </c>
      <c r="J1161" s="2">
        <f>IFERROR(__xludf.DUMMYFUNCTION("""COMPUTED_VALUE"""),282.8)</f>
        <v>282.8</v>
      </c>
      <c r="K1161" s="2">
        <f>IFERROR(__xludf.DUMMYFUNCTION("""COMPUTED_VALUE"""),282.8)</f>
        <v>282.8</v>
      </c>
    </row>
    <row r="1162">
      <c r="A1162" s="2">
        <f>IFERROR(__xludf.DUMMYFUNCTION("""COMPUTED_VALUE"""),1000.0)</f>
        <v>1000</v>
      </c>
      <c r="B1162" s="2">
        <f>IFERROR(__xludf.DUMMYFUNCTION("""COMPUTED_VALUE"""),184304.0)</f>
        <v>184304</v>
      </c>
      <c r="C1162" s="2">
        <f>IFERROR(__xludf.DUMMYFUNCTION("""COMPUTED_VALUE"""),2026.0)</f>
        <v>2026</v>
      </c>
      <c r="D1162" s="2">
        <f>IFERROR(__xludf.DUMMYFUNCTION("""COMPUTED_VALUE"""),46148.0)</f>
        <v>46148</v>
      </c>
      <c r="E1162" s="2" t="str">
        <f>IFERROR(__xludf.DUMMYFUNCTION("""COMPUTED_VALUE"""),"VF")</f>
        <v>VF</v>
      </c>
      <c r="F1162" s="2">
        <f>IFERROR(__xludf.DUMMYFUNCTION("""COMPUTED_VALUE"""),1.0)</f>
        <v>1</v>
      </c>
      <c r="G1162" s="2" t="str">
        <f>IFERROR(__xludf.DUMMYFUNCTION("""COMPUTED_VALUE"""),"PR055")</f>
        <v>PR055</v>
      </c>
      <c r="H1162" s="2" t="str">
        <f>IFERROR(__xludf.DUMMYFUNCTION("""COMPUTED_VALUE"""),"VD041")</f>
        <v>VD041</v>
      </c>
      <c r="I1162" s="2">
        <f>IFERROR(__xludf.DUMMYFUNCTION("""COMPUTED_VALUE"""),8.0)</f>
        <v>8</v>
      </c>
      <c r="J1162" s="2">
        <f>IFERROR(__xludf.DUMMYFUNCTION("""COMPUTED_VALUE"""),740.78)</f>
        <v>740.78</v>
      </c>
      <c r="K1162" s="2">
        <f>IFERROR(__xludf.DUMMYFUNCTION("""COMPUTED_VALUE"""),740.78)</f>
        <v>740.78</v>
      </c>
    </row>
    <row r="1163">
      <c r="A1163" s="2">
        <f>IFERROR(__xludf.DUMMYFUNCTION("""COMPUTED_VALUE"""),1000.0)</f>
        <v>1000</v>
      </c>
      <c r="B1163" s="2">
        <f>IFERROR(__xludf.DUMMYFUNCTION("""COMPUTED_VALUE"""),184305.0)</f>
        <v>184305</v>
      </c>
      <c r="C1163" s="2">
        <f>IFERROR(__xludf.DUMMYFUNCTION("""COMPUTED_VALUE"""),2026.0)</f>
        <v>2026</v>
      </c>
      <c r="D1163" s="2">
        <f>IFERROR(__xludf.DUMMYFUNCTION("""COMPUTED_VALUE"""),46148.0)</f>
        <v>46148</v>
      </c>
      <c r="E1163" s="2" t="str">
        <f>IFERROR(__xludf.DUMMYFUNCTION("""COMPUTED_VALUE"""),"VF")</f>
        <v>VF</v>
      </c>
      <c r="F1163" s="2">
        <f>IFERROR(__xludf.DUMMYFUNCTION("""COMPUTED_VALUE"""),1.0)</f>
        <v>1</v>
      </c>
      <c r="G1163" s="2" t="str">
        <f>IFERROR(__xludf.DUMMYFUNCTION("""COMPUTED_VALUE"""),"PR035")</f>
        <v>PR035</v>
      </c>
      <c r="H1163" s="2" t="str">
        <f>IFERROR(__xludf.DUMMYFUNCTION("""COMPUTED_VALUE"""),"VD039")</f>
        <v>VD039</v>
      </c>
      <c r="I1163" s="2">
        <f>IFERROR(__xludf.DUMMYFUNCTION("""COMPUTED_VALUE"""),6.0)</f>
        <v>6</v>
      </c>
      <c r="J1163" s="2">
        <f>IFERROR(__xludf.DUMMYFUNCTION("""COMPUTED_VALUE"""),581.3)</f>
        <v>581.3</v>
      </c>
      <c r="K1163" s="2">
        <f>IFERROR(__xludf.DUMMYFUNCTION("""COMPUTED_VALUE"""),581.3)</f>
        <v>581.3</v>
      </c>
    </row>
    <row r="1164">
      <c r="A1164" s="2">
        <f>IFERROR(__xludf.DUMMYFUNCTION("""COMPUTED_VALUE"""),1000.0)</f>
        <v>1000</v>
      </c>
      <c r="B1164" s="2">
        <f>IFERROR(__xludf.DUMMYFUNCTION("""COMPUTED_VALUE"""),184305.0)</f>
        <v>184305</v>
      </c>
      <c r="C1164" s="2">
        <f>IFERROR(__xludf.DUMMYFUNCTION("""COMPUTED_VALUE"""),2026.0)</f>
        <v>2026</v>
      </c>
      <c r="D1164" s="2">
        <f>IFERROR(__xludf.DUMMYFUNCTION("""COMPUTED_VALUE"""),46147.0)</f>
        <v>46147</v>
      </c>
      <c r="E1164" s="2" t="str">
        <f>IFERROR(__xludf.DUMMYFUNCTION("""COMPUTED_VALUE"""),"VF")</f>
        <v>VF</v>
      </c>
      <c r="F1164" s="2">
        <f>IFERROR(__xludf.DUMMYFUNCTION("""COMPUTED_VALUE"""),2.0)</f>
        <v>2</v>
      </c>
      <c r="G1164" s="2" t="str">
        <f>IFERROR(__xludf.DUMMYFUNCTION("""COMPUTED_VALUE"""),"PR007")</f>
        <v>PR007</v>
      </c>
      <c r="H1164" s="2" t="str">
        <f>IFERROR(__xludf.DUMMYFUNCTION("""COMPUTED_VALUE"""),"VD021")</f>
        <v>VD021</v>
      </c>
      <c r="I1164" s="2">
        <f>IFERROR(__xludf.DUMMYFUNCTION("""COMPUTED_VALUE"""),8.0)</f>
        <v>8</v>
      </c>
      <c r="J1164" s="2">
        <f>IFERROR(__xludf.DUMMYFUNCTION("""COMPUTED_VALUE"""),755.92)</f>
        <v>755.92</v>
      </c>
      <c r="K1164" s="2">
        <f>IFERROR(__xludf.DUMMYFUNCTION("""COMPUTED_VALUE"""),755.92)</f>
        <v>755.92</v>
      </c>
    </row>
    <row r="1165">
      <c r="A1165" s="2">
        <f>IFERROR(__xludf.DUMMYFUNCTION("""COMPUTED_VALUE"""),1000.0)</f>
        <v>1000</v>
      </c>
      <c r="B1165" s="2">
        <f>IFERROR(__xludf.DUMMYFUNCTION("""COMPUTED_VALUE"""),184306.0)</f>
        <v>184306</v>
      </c>
      <c r="C1165" s="2">
        <f>IFERROR(__xludf.DUMMYFUNCTION("""COMPUTED_VALUE"""),2026.0)</f>
        <v>2026</v>
      </c>
      <c r="D1165" s="2">
        <f>IFERROR(__xludf.DUMMYFUNCTION("""COMPUTED_VALUE"""),46147.0)</f>
        <v>46147</v>
      </c>
      <c r="E1165" s="2" t="str">
        <f>IFERROR(__xludf.DUMMYFUNCTION("""COMPUTED_VALUE"""),"VF")</f>
        <v>VF</v>
      </c>
      <c r="F1165" s="2">
        <f>IFERROR(__xludf.DUMMYFUNCTION("""COMPUTED_VALUE"""),1.0)</f>
        <v>1</v>
      </c>
      <c r="G1165" s="2" t="str">
        <f>IFERROR(__xludf.DUMMYFUNCTION("""COMPUTED_VALUE"""),"PR020")</f>
        <v>PR020</v>
      </c>
      <c r="H1165" s="2" t="str">
        <f>IFERROR(__xludf.DUMMYFUNCTION("""COMPUTED_VALUE"""),"VD024")</f>
        <v>VD024</v>
      </c>
      <c r="I1165" s="2">
        <f>IFERROR(__xludf.DUMMYFUNCTION("""COMPUTED_VALUE"""),2.0)</f>
        <v>2</v>
      </c>
      <c r="J1165" s="2">
        <f>IFERROR(__xludf.DUMMYFUNCTION("""COMPUTED_VALUE"""),599.8)</f>
        <v>599.8</v>
      </c>
      <c r="K1165" s="2">
        <f>IFERROR(__xludf.DUMMYFUNCTION("""COMPUTED_VALUE"""),599.8)</f>
        <v>599.8</v>
      </c>
    </row>
    <row r="1166">
      <c r="A1166" s="2">
        <f>IFERROR(__xludf.DUMMYFUNCTION("""COMPUTED_VALUE"""),1000.0)</f>
        <v>1000</v>
      </c>
      <c r="B1166" s="2">
        <f>IFERROR(__xludf.DUMMYFUNCTION("""COMPUTED_VALUE"""),184307.0)</f>
        <v>184307</v>
      </c>
      <c r="C1166" s="2">
        <f>IFERROR(__xludf.DUMMYFUNCTION("""COMPUTED_VALUE"""),2026.0)</f>
        <v>2026</v>
      </c>
      <c r="D1166" s="2">
        <f>IFERROR(__xludf.DUMMYFUNCTION("""COMPUTED_VALUE"""),46147.0)</f>
        <v>46147</v>
      </c>
      <c r="E1166" s="2" t="str">
        <f>IFERROR(__xludf.DUMMYFUNCTION("""COMPUTED_VALUE"""),"VF")</f>
        <v>VF</v>
      </c>
      <c r="F1166" s="2">
        <f>IFERROR(__xludf.DUMMYFUNCTION("""COMPUTED_VALUE"""),1.0)</f>
        <v>1</v>
      </c>
      <c r="G1166" s="2" t="str">
        <f>IFERROR(__xludf.DUMMYFUNCTION("""COMPUTED_VALUE"""),"PR052")</f>
        <v>PR052</v>
      </c>
      <c r="H1166" s="2" t="str">
        <f>IFERROR(__xludf.DUMMYFUNCTION("""COMPUTED_VALUE"""),"VD040")</f>
        <v>VD040</v>
      </c>
      <c r="I1166" s="2">
        <f>IFERROR(__xludf.DUMMYFUNCTION("""COMPUTED_VALUE"""),10.0)</f>
        <v>10</v>
      </c>
      <c r="J1166" s="2">
        <f>IFERROR(__xludf.DUMMYFUNCTION("""COMPUTED_VALUE"""),508.98)</f>
        <v>508.98</v>
      </c>
      <c r="K1166" s="2">
        <f>IFERROR(__xludf.DUMMYFUNCTION("""COMPUTED_VALUE"""),508.98)</f>
        <v>508.98</v>
      </c>
    </row>
    <row r="1167">
      <c r="A1167" s="2">
        <f>IFERROR(__xludf.DUMMYFUNCTION("""COMPUTED_VALUE"""),2000.0)</f>
        <v>2000</v>
      </c>
      <c r="B1167" s="2">
        <f>IFERROR(__xludf.DUMMYFUNCTION("""COMPUTED_VALUE"""),184307.0)</f>
        <v>184307</v>
      </c>
      <c r="C1167" s="2">
        <f>IFERROR(__xludf.DUMMYFUNCTION("""COMPUTED_VALUE"""),2026.0)</f>
        <v>2026</v>
      </c>
      <c r="D1167" s="2">
        <f>IFERROR(__xludf.DUMMYFUNCTION("""COMPUTED_VALUE"""),46147.0)</f>
        <v>46147</v>
      </c>
      <c r="E1167" s="2" t="str">
        <f>IFERROR(__xludf.DUMMYFUNCTION("""COMPUTED_VALUE"""),"VF")</f>
        <v>VF</v>
      </c>
      <c r="F1167" s="2">
        <f>IFERROR(__xludf.DUMMYFUNCTION("""COMPUTED_VALUE"""),2.0)</f>
        <v>2</v>
      </c>
      <c r="G1167" s="2" t="str">
        <f>IFERROR(__xludf.DUMMYFUNCTION("""COMPUTED_VALUE"""),"PR003")</f>
        <v>PR003</v>
      </c>
      <c r="H1167" s="2" t="str">
        <f>IFERROR(__xludf.DUMMYFUNCTION("""COMPUTED_VALUE"""),"VD017")</f>
        <v>VD017</v>
      </c>
      <c r="I1167" s="2">
        <f>IFERROR(__xludf.DUMMYFUNCTION("""COMPUTED_VALUE"""),20.0)</f>
        <v>20</v>
      </c>
      <c r="J1167" s="2">
        <f>IFERROR(__xludf.DUMMYFUNCTION("""COMPUTED_VALUE"""),1559.8)</f>
        <v>1559.8</v>
      </c>
      <c r="K1167" s="2">
        <f>IFERROR(__xludf.DUMMYFUNCTION("""COMPUTED_VALUE"""),1559.8)</f>
        <v>1559.8</v>
      </c>
    </row>
    <row r="1168">
      <c r="A1168" s="2">
        <f>IFERROR(__xludf.DUMMYFUNCTION("""COMPUTED_VALUE"""),2000.0)</f>
        <v>2000</v>
      </c>
      <c r="B1168" s="2">
        <f>IFERROR(__xludf.DUMMYFUNCTION("""COMPUTED_VALUE"""),184308.0)</f>
        <v>184308</v>
      </c>
      <c r="C1168" s="2">
        <f>IFERROR(__xludf.DUMMYFUNCTION("""COMPUTED_VALUE"""),2026.0)</f>
        <v>2026</v>
      </c>
      <c r="D1168" s="2">
        <f>IFERROR(__xludf.DUMMYFUNCTION("""COMPUTED_VALUE"""),46146.0)</f>
        <v>46146</v>
      </c>
      <c r="E1168" s="2" t="str">
        <f>IFERROR(__xludf.DUMMYFUNCTION("""COMPUTED_VALUE"""),"VF")</f>
        <v>VF</v>
      </c>
      <c r="F1168" s="2">
        <f>IFERROR(__xludf.DUMMYFUNCTION("""COMPUTED_VALUE"""),1.0)</f>
        <v>1</v>
      </c>
      <c r="G1168" s="2" t="str">
        <f>IFERROR(__xludf.DUMMYFUNCTION("""COMPUTED_VALUE"""),"PR018")</f>
        <v>PR018</v>
      </c>
      <c r="H1168" s="2" t="str">
        <f>IFERROR(__xludf.DUMMYFUNCTION("""COMPUTED_VALUE"""),"VD011")</f>
        <v>VD011</v>
      </c>
      <c r="I1168" s="2">
        <f>IFERROR(__xludf.DUMMYFUNCTION("""COMPUTED_VALUE"""),16.0)</f>
        <v>16</v>
      </c>
      <c r="J1168" s="2">
        <f>IFERROR(__xludf.DUMMYFUNCTION("""COMPUTED_VALUE"""),568.51)</f>
        <v>568.51</v>
      </c>
      <c r="K1168" s="2">
        <f>IFERROR(__xludf.DUMMYFUNCTION("""COMPUTED_VALUE"""),568.51)</f>
        <v>568.51</v>
      </c>
    </row>
    <row r="1169">
      <c r="A1169" s="2">
        <f>IFERROR(__xludf.DUMMYFUNCTION("""COMPUTED_VALUE"""),1000.0)</f>
        <v>1000</v>
      </c>
      <c r="B1169" s="2">
        <f>IFERROR(__xludf.DUMMYFUNCTION("""COMPUTED_VALUE"""),184309.0)</f>
        <v>184309</v>
      </c>
      <c r="C1169" s="2">
        <f>IFERROR(__xludf.DUMMYFUNCTION("""COMPUTED_VALUE"""),2026.0)</f>
        <v>2026</v>
      </c>
      <c r="D1169" s="2">
        <f>IFERROR(__xludf.DUMMYFUNCTION("""COMPUTED_VALUE"""),46146.0)</f>
        <v>46146</v>
      </c>
      <c r="E1169" s="2" t="str">
        <f>IFERROR(__xludf.DUMMYFUNCTION("""COMPUTED_VALUE"""),"VF")</f>
        <v>VF</v>
      </c>
      <c r="F1169" s="2">
        <f>IFERROR(__xludf.DUMMYFUNCTION("""COMPUTED_VALUE"""),1.0)</f>
        <v>1</v>
      </c>
      <c r="G1169" s="2" t="str">
        <f>IFERROR(__xludf.DUMMYFUNCTION("""COMPUTED_VALUE"""),"PR012")</f>
        <v>PR012</v>
      </c>
      <c r="H1169" s="2" t="str">
        <f>IFERROR(__xludf.DUMMYFUNCTION("""COMPUTED_VALUE"""),"VD035")</f>
        <v>VD035</v>
      </c>
      <c r="I1169" s="2">
        <f>IFERROR(__xludf.DUMMYFUNCTION("""COMPUTED_VALUE"""),14.0)</f>
        <v>14</v>
      </c>
      <c r="J1169" s="2">
        <f>IFERROR(__xludf.DUMMYFUNCTION("""COMPUTED_VALUE"""),684.6)</f>
        <v>684.6</v>
      </c>
      <c r="K1169" s="2">
        <f>IFERROR(__xludf.DUMMYFUNCTION("""COMPUTED_VALUE"""),684.6)</f>
        <v>684.6</v>
      </c>
    </row>
    <row r="1170">
      <c r="A1170" s="2">
        <f>IFERROR(__xludf.DUMMYFUNCTION("""COMPUTED_VALUE"""),2000.0)</f>
        <v>2000</v>
      </c>
      <c r="B1170" s="2">
        <f>IFERROR(__xludf.DUMMYFUNCTION("""COMPUTED_VALUE"""),184310.0)</f>
        <v>184310</v>
      </c>
      <c r="C1170" s="2">
        <f>IFERROR(__xludf.DUMMYFUNCTION("""COMPUTED_VALUE"""),2026.0)</f>
        <v>2026</v>
      </c>
      <c r="D1170" s="2">
        <f>IFERROR(__xludf.DUMMYFUNCTION("""COMPUTED_VALUE"""),46146.0)</f>
        <v>46146</v>
      </c>
      <c r="E1170" s="2" t="str">
        <f>IFERROR(__xludf.DUMMYFUNCTION("""COMPUTED_VALUE"""),"VF")</f>
        <v>VF</v>
      </c>
      <c r="F1170" s="2">
        <f>IFERROR(__xludf.DUMMYFUNCTION("""COMPUTED_VALUE"""),1.0)</f>
        <v>1</v>
      </c>
      <c r="G1170" s="2" t="str">
        <f>IFERROR(__xludf.DUMMYFUNCTION("""COMPUTED_VALUE"""),"PR019")</f>
        <v>PR019</v>
      </c>
      <c r="H1170" s="2" t="str">
        <f>IFERROR(__xludf.DUMMYFUNCTION("""COMPUTED_VALUE"""),"VD032")</f>
        <v>VD032</v>
      </c>
      <c r="I1170" s="2">
        <f>IFERROR(__xludf.DUMMYFUNCTION("""COMPUTED_VALUE"""),14.0)</f>
        <v>14</v>
      </c>
      <c r="J1170" s="2">
        <f>IFERROR(__xludf.DUMMYFUNCTION("""COMPUTED_VALUE"""),761.47)</f>
        <v>761.47</v>
      </c>
      <c r="K1170" s="2">
        <f>IFERROR(__xludf.DUMMYFUNCTION("""COMPUTED_VALUE"""),761.47)</f>
        <v>761.47</v>
      </c>
    </row>
    <row r="1171">
      <c r="A1171" s="2">
        <f>IFERROR(__xludf.DUMMYFUNCTION("""COMPUTED_VALUE"""),2000.0)</f>
        <v>2000</v>
      </c>
      <c r="B1171" s="2">
        <f>IFERROR(__xludf.DUMMYFUNCTION("""COMPUTED_VALUE"""),184310.0)</f>
        <v>184310</v>
      </c>
      <c r="C1171" s="2">
        <f>IFERROR(__xludf.DUMMYFUNCTION("""COMPUTED_VALUE"""),2026.0)</f>
        <v>2026</v>
      </c>
      <c r="D1171" s="2">
        <f>IFERROR(__xludf.DUMMYFUNCTION("""COMPUTED_VALUE"""),46145.0)</f>
        <v>46145</v>
      </c>
      <c r="E1171" s="2" t="str">
        <f>IFERROR(__xludf.DUMMYFUNCTION("""COMPUTED_VALUE"""),"VF")</f>
        <v>VF</v>
      </c>
      <c r="F1171" s="2">
        <f>IFERROR(__xludf.DUMMYFUNCTION("""COMPUTED_VALUE"""),2.0)</f>
        <v>2</v>
      </c>
      <c r="G1171" s="2" t="str">
        <f>IFERROR(__xludf.DUMMYFUNCTION("""COMPUTED_VALUE"""),"PR026")</f>
        <v>PR026</v>
      </c>
      <c r="H1171" s="2" t="str">
        <f>IFERROR(__xludf.DUMMYFUNCTION("""COMPUTED_VALUE"""),"VD021")</f>
        <v>VD021</v>
      </c>
      <c r="I1171" s="2">
        <f>IFERROR(__xludf.DUMMYFUNCTION("""COMPUTED_VALUE"""),14.0)</f>
        <v>14</v>
      </c>
      <c r="J1171" s="2">
        <f>IFERROR(__xludf.DUMMYFUNCTION("""COMPUTED_VALUE"""),5339.47)</f>
        <v>5339.47</v>
      </c>
      <c r="K1171" s="2">
        <f>IFERROR(__xludf.DUMMYFUNCTION("""COMPUTED_VALUE"""),5339.47)</f>
        <v>5339.47</v>
      </c>
    </row>
    <row r="1172">
      <c r="A1172" s="2">
        <f>IFERROR(__xludf.DUMMYFUNCTION("""COMPUTED_VALUE"""),1000.0)</f>
        <v>1000</v>
      </c>
      <c r="B1172" s="2">
        <f>IFERROR(__xludf.DUMMYFUNCTION("""COMPUTED_VALUE"""),184311.0)</f>
        <v>184311</v>
      </c>
      <c r="C1172" s="2">
        <f>IFERROR(__xludf.DUMMYFUNCTION("""COMPUTED_VALUE"""),2026.0)</f>
        <v>2026</v>
      </c>
      <c r="D1172" s="2">
        <f>IFERROR(__xludf.DUMMYFUNCTION("""COMPUTED_VALUE"""),46145.0)</f>
        <v>46145</v>
      </c>
      <c r="E1172" s="2" t="str">
        <f>IFERROR(__xludf.DUMMYFUNCTION("""COMPUTED_VALUE"""),"VF")</f>
        <v>VF</v>
      </c>
      <c r="F1172" s="2">
        <f>IFERROR(__xludf.DUMMYFUNCTION("""COMPUTED_VALUE"""),1.0)</f>
        <v>1</v>
      </c>
      <c r="G1172" s="2" t="str">
        <f>IFERROR(__xludf.DUMMYFUNCTION("""COMPUTED_VALUE"""),"PR049")</f>
        <v>PR049</v>
      </c>
      <c r="H1172" s="2" t="str">
        <f>IFERROR(__xludf.DUMMYFUNCTION("""COMPUTED_VALUE"""),"VD031")</f>
        <v>VD031</v>
      </c>
      <c r="I1172" s="2">
        <f>IFERROR(__xludf.DUMMYFUNCTION("""COMPUTED_VALUE"""),18.0)</f>
        <v>18</v>
      </c>
      <c r="J1172" s="2">
        <f>IFERROR(__xludf.DUMMYFUNCTION("""COMPUTED_VALUE"""),633.65)</f>
        <v>633.65</v>
      </c>
      <c r="K1172" s="2">
        <f>IFERROR(__xludf.DUMMYFUNCTION("""COMPUTED_VALUE"""),633.65)</f>
        <v>633.65</v>
      </c>
    </row>
    <row r="1173">
      <c r="A1173" s="2">
        <f>IFERROR(__xludf.DUMMYFUNCTION("""COMPUTED_VALUE"""),2000.0)</f>
        <v>2000</v>
      </c>
      <c r="B1173" s="2">
        <f>IFERROR(__xludf.DUMMYFUNCTION("""COMPUTED_VALUE"""),184311.0)</f>
        <v>184311</v>
      </c>
      <c r="C1173" s="2">
        <f>IFERROR(__xludf.DUMMYFUNCTION("""COMPUTED_VALUE"""),2026.0)</f>
        <v>2026</v>
      </c>
      <c r="D1173" s="2">
        <f>IFERROR(__xludf.DUMMYFUNCTION("""COMPUTED_VALUE"""),46145.0)</f>
        <v>46145</v>
      </c>
      <c r="E1173" s="2" t="str">
        <f>IFERROR(__xludf.DUMMYFUNCTION("""COMPUTED_VALUE"""),"VF")</f>
        <v>VF</v>
      </c>
      <c r="F1173" s="2">
        <f>IFERROR(__xludf.DUMMYFUNCTION("""COMPUTED_VALUE"""),2.0)</f>
        <v>2</v>
      </c>
      <c r="G1173" s="2" t="str">
        <f>IFERROR(__xludf.DUMMYFUNCTION("""COMPUTED_VALUE"""),"PR012")</f>
        <v>PR012</v>
      </c>
      <c r="H1173" s="2" t="str">
        <f>IFERROR(__xludf.DUMMYFUNCTION("""COMPUTED_VALUE"""),"VD026")</f>
        <v>VD026</v>
      </c>
      <c r="I1173" s="2">
        <f>IFERROR(__xludf.DUMMYFUNCTION("""COMPUTED_VALUE"""),5.0)</f>
        <v>5</v>
      </c>
      <c r="J1173" s="2">
        <f>IFERROR(__xludf.DUMMYFUNCTION("""COMPUTED_VALUE"""),244.5)</f>
        <v>244.5</v>
      </c>
      <c r="K1173" s="2">
        <f>IFERROR(__xludf.DUMMYFUNCTION("""COMPUTED_VALUE"""),244.5)</f>
        <v>244.5</v>
      </c>
    </row>
    <row r="1174">
      <c r="A1174" s="2">
        <f>IFERROR(__xludf.DUMMYFUNCTION("""COMPUTED_VALUE"""),1000.0)</f>
        <v>1000</v>
      </c>
      <c r="B1174" s="2">
        <f>IFERROR(__xludf.DUMMYFUNCTION("""COMPUTED_VALUE"""),184312.0)</f>
        <v>184312</v>
      </c>
      <c r="C1174" s="2">
        <f>IFERROR(__xludf.DUMMYFUNCTION("""COMPUTED_VALUE"""),2026.0)</f>
        <v>2026</v>
      </c>
      <c r="D1174" s="2">
        <f>IFERROR(__xludf.DUMMYFUNCTION("""COMPUTED_VALUE"""),46145.0)</f>
        <v>46145</v>
      </c>
      <c r="E1174" s="2" t="str">
        <f>IFERROR(__xludf.DUMMYFUNCTION("""COMPUTED_VALUE"""),"VF")</f>
        <v>VF</v>
      </c>
      <c r="F1174" s="2">
        <f>IFERROR(__xludf.DUMMYFUNCTION("""COMPUTED_VALUE"""),1.0)</f>
        <v>1</v>
      </c>
      <c r="G1174" s="2" t="str">
        <f>IFERROR(__xludf.DUMMYFUNCTION("""COMPUTED_VALUE"""),"PR015")</f>
        <v>PR015</v>
      </c>
      <c r="H1174" s="2" t="str">
        <f>IFERROR(__xludf.DUMMYFUNCTION("""COMPUTED_VALUE"""),"VD033")</f>
        <v>VD033</v>
      </c>
      <c r="I1174" s="2">
        <f>IFERROR(__xludf.DUMMYFUNCTION("""COMPUTED_VALUE"""),20.0)</f>
        <v>20</v>
      </c>
      <c r="J1174" s="2">
        <f>IFERROR(__xludf.DUMMYFUNCTION("""COMPUTED_VALUE"""),918.0)</f>
        <v>918</v>
      </c>
      <c r="K1174" s="2">
        <f>IFERROR(__xludf.DUMMYFUNCTION("""COMPUTED_VALUE"""),918.0)</f>
        <v>918</v>
      </c>
    </row>
    <row r="1175">
      <c r="A1175" s="2">
        <f>IFERROR(__xludf.DUMMYFUNCTION("""COMPUTED_VALUE"""),1000.0)</f>
        <v>1000</v>
      </c>
      <c r="B1175" s="2">
        <f>IFERROR(__xludf.DUMMYFUNCTION("""COMPUTED_VALUE"""),184313.0)</f>
        <v>184313</v>
      </c>
      <c r="C1175" s="2">
        <f>IFERROR(__xludf.DUMMYFUNCTION("""COMPUTED_VALUE"""),2026.0)</f>
        <v>2026</v>
      </c>
      <c r="D1175" s="2">
        <f>IFERROR(__xludf.DUMMYFUNCTION("""COMPUTED_VALUE"""),46145.0)</f>
        <v>46145</v>
      </c>
      <c r="E1175" s="2" t="str">
        <f>IFERROR(__xludf.DUMMYFUNCTION("""COMPUTED_VALUE"""),"VF")</f>
        <v>VF</v>
      </c>
      <c r="F1175" s="2">
        <f>IFERROR(__xludf.DUMMYFUNCTION("""COMPUTED_VALUE"""),1.0)</f>
        <v>1</v>
      </c>
      <c r="G1175" s="2" t="str">
        <f>IFERROR(__xludf.DUMMYFUNCTION("""COMPUTED_VALUE"""),"PR036")</f>
        <v>PR036</v>
      </c>
      <c r="H1175" s="2" t="str">
        <f>IFERROR(__xludf.DUMMYFUNCTION("""COMPUTED_VALUE"""),"VD017")</f>
        <v>VD017</v>
      </c>
      <c r="I1175" s="2">
        <f>IFERROR(__xludf.DUMMYFUNCTION("""COMPUTED_VALUE"""),5.0)</f>
        <v>5</v>
      </c>
      <c r="J1175" s="2">
        <f>IFERROR(__xludf.DUMMYFUNCTION("""COMPUTED_VALUE"""),467.5)</f>
        <v>467.5</v>
      </c>
      <c r="K1175" s="2">
        <f>IFERROR(__xludf.DUMMYFUNCTION("""COMPUTED_VALUE"""),467.5)</f>
        <v>467.5</v>
      </c>
    </row>
    <row r="1176">
      <c r="A1176" s="2">
        <f>IFERROR(__xludf.DUMMYFUNCTION("""COMPUTED_VALUE"""),1000.0)</f>
        <v>1000</v>
      </c>
      <c r="B1176" s="2">
        <f>IFERROR(__xludf.DUMMYFUNCTION("""COMPUTED_VALUE"""),184314.0)</f>
        <v>184314</v>
      </c>
      <c r="C1176" s="2">
        <f>IFERROR(__xludf.DUMMYFUNCTION("""COMPUTED_VALUE"""),2026.0)</f>
        <v>2026</v>
      </c>
      <c r="D1176" s="2">
        <f>IFERROR(__xludf.DUMMYFUNCTION("""COMPUTED_VALUE"""),46145.0)</f>
        <v>46145</v>
      </c>
      <c r="E1176" s="2" t="str">
        <f>IFERROR(__xludf.DUMMYFUNCTION("""COMPUTED_VALUE"""),"VF")</f>
        <v>VF</v>
      </c>
      <c r="F1176" s="2">
        <f>IFERROR(__xludf.DUMMYFUNCTION("""COMPUTED_VALUE"""),1.0)</f>
        <v>1</v>
      </c>
      <c r="G1176" s="2" t="str">
        <f>IFERROR(__xludf.DUMMYFUNCTION("""COMPUTED_VALUE"""),"PR013")</f>
        <v>PR013</v>
      </c>
      <c r="H1176" s="2" t="str">
        <f>IFERROR(__xludf.DUMMYFUNCTION("""COMPUTED_VALUE"""),"VD041")</f>
        <v>VD041</v>
      </c>
      <c r="I1176" s="2">
        <f>IFERROR(__xludf.DUMMYFUNCTION("""COMPUTED_VALUE"""),8.0)</f>
        <v>8</v>
      </c>
      <c r="J1176" s="2">
        <f>IFERROR(__xludf.DUMMYFUNCTION("""COMPUTED_VALUE"""),322.39)</f>
        <v>322.39</v>
      </c>
      <c r="K1176" s="2">
        <f>IFERROR(__xludf.DUMMYFUNCTION("""COMPUTED_VALUE"""),322.39)</f>
        <v>322.39</v>
      </c>
    </row>
    <row r="1177">
      <c r="A1177" s="2">
        <f>IFERROR(__xludf.DUMMYFUNCTION("""COMPUTED_VALUE"""),1000.0)</f>
        <v>1000</v>
      </c>
      <c r="B1177" s="2">
        <f>IFERROR(__xludf.DUMMYFUNCTION("""COMPUTED_VALUE"""),184315.0)</f>
        <v>184315</v>
      </c>
      <c r="C1177" s="2">
        <f>IFERROR(__xludf.DUMMYFUNCTION("""COMPUTED_VALUE"""),2026.0)</f>
        <v>2026</v>
      </c>
      <c r="D1177" s="2">
        <f>IFERROR(__xludf.DUMMYFUNCTION("""COMPUTED_VALUE"""),46144.0)</f>
        <v>46144</v>
      </c>
      <c r="E1177" s="2" t="str">
        <f>IFERROR(__xludf.DUMMYFUNCTION("""COMPUTED_VALUE"""),"VF")</f>
        <v>VF</v>
      </c>
      <c r="F1177" s="2">
        <f>IFERROR(__xludf.DUMMYFUNCTION("""COMPUTED_VALUE"""),1.0)</f>
        <v>1</v>
      </c>
      <c r="G1177" s="2" t="str">
        <f>IFERROR(__xludf.DUMMYFUNCTION("""COMPUTED_VALUE"""),"PR015")</f>
        <v>PR015</v>
      </c>
      <c r="H1177" s="2" t="str">
        <f>IFERROR(__xludf.DUMMYFUNCTION("""COMPUTED_VALUE"""),"VD027")</f>
        <v>VD027</v>
      </c>
      <c r="I1177" s="2">
        <f>IFERROR(__xludf.DUMMYFUNCTION("""COMPUTED_VALUE"""),2.0)</f>
        <v>2</v>
      </c>
      <c r="J1177" s="2">
        <f>IFERROR(__xludf.DUMMYFUNCTION("""COMPUTED_VALUE"""),89.25)</f>
        <v>89.25</v>
      </c>
      <c r="K1177" s="2">
        <f>IFERROR(__xludf.DUMMYFUNCTION("""COMPUTED_VALUE"""),89.25)</f>
        <v>89.25</v>
      </c>
    </row>
    <row r="1178">
      <c r="A1178" s="2">
        <f>IFERROR(__xludf.DUMMYFUNCTION("""COMPUTED_VALUE"""),1000.0)</f>
        <v>1000</v>
      </c>
      <c r="B1178" s="2">
        <f>IFERROR(__xludf.DUMMYFUNCTION("""COMPUTED_VALUE"""),184316.0)</f>
        <v>184316</v>
      </c>
      <c r="C1178" s="2">
        <f>IFERROR(__xludf.DUMMYFUNCTION("""COMPUTED_VALUE"""),2026.0)</f>
        <v>2026</v>
      </c>
      <c r="D1178" s="2">
        <f>IFERROR(__xludf.DUMMYFUNCTION("""COMPUTED_VALUE"""),46144.0)</f>
        <v>46144</v>
      </c>
      <c r="E1178" s="2" t="str">
        <f>IFERROR(__xludf.DUMMYFUNCTION("""COMPUTED_VALUE"""),"VF")</f>
        <v>VF</v>
      </c>
      <c r="F1178" s="2">
        <f>IFERROR(__xludf.DUMMYFUNCTION("""COMPUTED_VALUE"""),1.0)</f>
        <v>1</v>
      </c>
      <c r="G1178" s="2" t="str">
        <f>IFERROR(__xludf.DUMMYFUNCTION("""COMPUTED_VALUE"""),"PR024")</f>
        <v>PR024</v>
      </c>
      <c r="H1178" s="2" t="str">
        <f>IFERROR(__xludf.DUMMYFUNCTION("""COMPUTED_VALUE"""),"VD049")</f>
        <v>VD049</v>
      </c>
      <c r="I1178" s="2">
        <f>IFERROR(__xludf.DUMMYFUNCTION("""COMPUTED_VALUE"""),2.0)</f>
        <v>2</v>
      </c>
      <c r="J1178" s="2">
        <f>IFERROR(__xludf.DUMMYFUNCTION("""COMPUTED_VALUE"""),556.19)</f>
        <v>556.19</v>
      </c>
      <c r="K1178" s="2">
        <f>IFERROR(__xludf.DUMMYFUNCTION("""COMPUTED_VALUE"""),556.19)</f>
        <v>556.19</v>
      </c>
    </row>
    <row r="1179">
      <c r="A1179" s="2">
        <f>IFERROR(__xludf.DUMMYFUNCTION("""COMPUTED_VALUE"""),2000.0)</f>
        <v>2000</v>
      </c>
      <c r="B1179" s="2">
        <f>IFERROR(__xludf.DUMMYFUNCTION("""COMPUTED_VALUE"""),184317.0)</f>
        <v>184317</v>
      </c>
      <c r="C1179" s="2">
        <f>IFERROR(__xludf.DUMMYFUNCTION("""COMPUTED_VALUE"""),2026.0)</f>
        <v>2026</v>
      </c>
      <c r="D1179" s="2">
        <f>IFERROR(__xludf.DUMMYFUNCTION("""COMPUTED_VALUE"""),46143.0)</f>
        <v>46143</v>
      </c>
      <c r="E1179" s="2" t="str">
        <f>IFERROR(__xludf.DUMMYFUNCTION("""COMPUTED_VALUE"""),"VF")</f>
        <v>VF</v>
      </c>
      <c r="F1179" s="2">
        <f>IFERROR(__xludf.DUMMYFUNCTION("""COMPUTED_VALUE"""),1.0)</f>
        <v>1</v>
      </c>
      <c r="G1179" s="2" t="str">
        <f>IFERROR(__xludf.DUMMYFUNCTION("""COMPUTED_VALUE"""),"PR042")</f>
        <v>PR042</v>
      </c>
      <c r="H1179" s="2" t="str">
        <f>IFERROR(__xludf.DUMMYFUNCTION("""COMPUTED_VALUE"""),"VD025")</f>
        <v>VD025</v>
      </c>
      <c r="I1179" s="2">
        <f>IFERROR(__xludf.DUMMYFUNCTION("""COMPUTED_VALUE"""),2.0)</f>
        <v>2</v>
      </c>
      <c r="J1179" s="2">
        <f>IFERROR(__xludf.DUMMYFUNCTION("""COMPUTED_VALUE"""),116.39)</f>
        <v>116.39</v>
      </c>
      <c r="K1179" s="2">
        <f>IFERROR(__xludf.DUMMYFUNCTION("""COMPUTED_VALUE"""),116.39)</f>
        <v>116.39</v>
      </c>
    </row>
    <row r="1180">
      <c r="A1180" s="2">
        <f>IFERROR(__xludf.DUMMYFUNCTION("""COMPUTED_VALUE"""),1000.0)</f>
        <v>1000</v>
      </c>
      <c r="B1180" s="2">
        <f>IFERROR(__xludf.DUMMYFUNCTION("""COMPUTED_VALUE"""),184317.0)</f>
        <v>184317</v>
      </c>
      <c r="C1180" s="2">
        <f>IFERROR(__xludf.DUMMYFUNCTION("""COMPUTED_VALUE"""),2026.0)</f>
        <v>2026</v>
      </c>
      <c r="D1180" s="2">
        <f>IFERROR(__xludf.DUMMYFUNCTION("""COMPUTED_VALUE"""),46143.0)</f>
        <v>46143</v>
      </c>
      <c r="E1180" s="2" t="str">
        <f>IFERROR(__xludf.DUMMYFUNCTION("""COMPUTED_VALUE"""),"VF")</f>
        <v>VF</v>
      </c>
      <c r="F1180" s="2">
        <f>IFERROR(__xludf.DUMMYFUNCTION("""COMPUTED_VALUE"""),2.0)</f>
        <v>2</v>
      </c>
      <c r="G1180" s="2" t="str">
        <f>IFERROR(__xludf.DUMMYFUNCTION("""COMPUTED_VALUE"""),"PR047")</f>
        <v>PR047</v>
      </c>
      <c r="H1180" s="2" t="str">
        <f>IFERROR(__xludf.DUMMYFUNCTION("""COMPUTED_VALUE"""),"VD039")</f>
        <v>VD039</v>
      </c>
      <c r="I1180" s="2">
        <f>IFERROR(__xludf.DUMMYFUNCTION("""COMPUTED_VALUE"""),20.0)</f>
        <v>20</v>
      </c>
      <c r="J1180" s="2">
        <f>IFERROR(__xludf.DUMMYFUNCTION("""COMPUTED_VALUE"""),5913.96)</f>
        <v>5913.96</v>
      </c>
      <c r="K1180" s="2">
        <f>IFERROR(__xludf.DUMMYFUNCTION("""COMPUTED_VALUE"""),5913.96)</f>
        <v>5913.96</v>
      </c>
    </row>
    <row r="1181">
      <c r="A1181" s="2">
        <f>IFERROR(__xludf.DUMMYFUNCTION("""COMPUTED_VALUE"""),1000.0)</f>
        <v>1000</v>
      </c>
      <c r="B1181" s="2">
        <f>IFERROR(__xludf.DUMMYFUNCTION("""COMPUTED_VALUE"""),184317.0)</f>
        <v>184317</v>
      </c>
      <c r="C1181" s="2">
        <f>IFERROR(__xludf.DUMMYFUNCTION("""COMPUTED_VALUE"""),2026.0)</f>
        <v>2026</v>
      </c>
      <c r="D1181" s="2">
        <f>IFERROR(__xludf.DUMMYFUNCTION("""COMPUTED_VALUE"""),46143.0)</f>
        <v>46143</v>
      </c>
      <c r="E1181" s="2" t="str">
        <f>IFERROR(__xludf.DUMMYFUNCTION("""COMPUTED_VALUE"""),"VF")</f>
        <v>VF</v>
      </c>
      <c r="F1181" s="2">
        <f>IFERROR(__xludf.DUMMYFUNCTION("""COMPUTED_VALUE"""),3.0)</f>
        <v>3</v>
      </c>
      <c r="G1181" s="2" t="str">
        <f>IFERROR(__xludf.DUMMYFUNCTION("""COMPUTED_VALUE"""),"PR010")</f>
        <v>PR010</v>
      </c>
      <c r="H1181" s="2" t="str">
        <f>IFERROR(__xludf.DUMMYFUNCTION("""COMPUTED_VALUE"""),"VD045")</f>
        <v>VD045</v>
      </c>
      <c r="I1181" s="2">
        <f>IFERROR(__xludf.DUMMYFUNCTION("""COMPUTED_VALUE"""),8.0)</f>
        <v>8</v>
      </c>
      <c r="J1181" s="2">
        <f>IFERROR(__xludf.DUMMYFUNCTION("""COMPUTED_VALUE"""),373.57)</f>
        <v>373.57</v>
      </c>
      <c r="K1181" s="2">
        <f>IFERROR(__xludf.DUMMYFUNCTION("""COMPUTED_VALUE"""),373.57)</f>
        <v>373.57</v>
      </c>
    </row>
    <row r="1182">
      <c r="A1182" s="2">
        <f>IFERROR(__xludf.DUMMYFUNCTION("""COMPUTED_VALUE"""),1000.0)</f>
        <v>1000</v>
      </c>
      <c r="B1182" s="2">
        <f>IFERROR(__xludf.DUMMYFUNCTION("""COMPUTED_VALUE"""),184318.0)</f>
        <v>184318</v>
      </c>
      <c r="C1182" s="2">
        <f>IFERROR(__xludf.DUMMYFUNCTION("""COMPUTED_VALUE"""),2026.0)</f>
        <v>2026</v>
      </c>
      <c r="D1182" s="2">
        <f>IFERROR(__xludf.DUMMYFUNCTION("""COMPUTED_VALUE"""),46143.0)</f>
        <v>46143</v>
      </c>
      <c r="E1182" s="2" t="str">
        <f>IFERROR(__xludf.DUMMYFUNCTION("""COMPUTED_VALUE"""),"VF")</f>
        <v>VF</v>
      </c>
      <c r="F1182" s="2">
        <f>IFERROR(__xludf.DUMMYFUNCTION("""COMPUTED_VALUE"""),1.0)</f>
        <v>1</v>
      </c>
      <c r="G1182" s="2" t="str">
        <f>IFERROR(__xludf.DUMMYFUNCTION("""COMPUTED_VALUE"""),"PR004")</f>
        <v>PR004</v>
      </c>
      <c r="H1182" s="2" t="str">
        <f>IFERROR(__xludf.DUMMYFUNCTION("""COMPUTED_VALUE"""),"VD047")</f>
        <v>VD047</v>
      </c>
      <c r="I1182" s="2">
        <f>IFERROR(__xludf.DUMMYFUNCTION("""COMPUTED_VALUE"""),2.0)</f>
        <v>2</v>
      </c>
      <c r="J1182" s="2">
        <f>IFERROR(__xludf.DUMMYFUNCTION("""COMPUTED_VALUE"""),290.0)</f>
        <v>290</v>
      </c>
      <c r="K1182" s="2">
        <f>IFERROR(__xludf.DUMMYFUNCTION("""COMPUTED_VALUE"""),290.0)</f>
        <v>290</v>
      </c>
    </row>
    <row r="1183">
      <c r="A1183" s="2">
        <f>IFERROR(__xludf.DUMMYFUNCTION("""COMPUTED_VALUE"""),2000.0)</f>
        <v>2000</v>
      </c>
      <c r="B1183" s="2">
        <f>IFERROR(__xludf.DUMMYFUNCTION("""COMPUTED_VALUE"""),184319.0)</f>
        <v>184319</v>
      </c>
      <c r="C1183" s="2">
        <f>IFERROR(__xludf.DUMMYFUNCTION("""COMPUTED_VALUE"""),2026.0)</f>
        <v>2026</v>
      </c>
      <c r="D1183" s="2">
        <f>IFERROR(__xludf.DUMMYFUNCTION("""COMPUTED_VALUE"""),46143.0)</f>
        <v>46143</v>
      </c>
      <c r="E1183" s="2" t="str">
        <f>IFERROR(__xludf.DUMMYFUNCTION("""COMPUTED_VALUE"""),"VF")</f>
        <v>VF</v>
      </c>
      <c r="F1183" s="2">
        <f>IFERROR(__xludf.DUMMYFUNCTION("""COMPUTED_VALUE"""),1.0)</f>
        <v>1</v>
      </c>
      <c r="G1183" s="2" t="str">
        <f>IFERROR(__xludf.DUMMYFUNCTION("""COMPUTED_VALUE"""),"PR028")</f>
        <v>PR028</v>
      </c>
      <c r="H1183" s="2" t="str">
        <f>IFERROR(__xludf.DUMMYFUNCTION("""COMPUTED_VALUE"""),"VD027")</f>
        <v>VD027</v>
      </c>
      <c r="I1183" s="2">
        <f>IFERROR(__xludf.DUMMYFUNCTION("""COMPUTED_VALUE"""),8.0)</f>
        <v>8</v>
      </c>
      <c r="J1183" s="2">
        <f>IFERROR(__xludf.DUMMYFUNCTION("""COMPUTED_VALUE"""),2159.14)</f>
        <v>2159.14</v>
      </c>
      <c r="K1183" s="2">
        <f>IFERROR(__xludf.DUMMYFUNCTION("""COMPUTED_VALUE"""),2159.14)</f>
        <v>2159.14</v>
      </c>
    </row>
    <row r="1184">
      <c r="A1184" s="2">
        <f>IFERROR(__xludf.DUMMYFUNCTION("""COMPUTED_VALUE"""),1000.0)</f>
        <v>1000</v>
      </c>
      <c r="B1184" s="2">
        <f>IFERROR(__xludf.DUMMYFUNCTION("""COMPUTED_VALUE"""),184320.0)</f>
        <v>184320</v>
      </c>
      <c r="C1184" s="2">
        <f>IFERROR(__xludf.DUMMYFUNCTION("""COMPUTED_VALUE"""),2026.0)</f>
        <v>2026</v>
      </c>
      <c r="D1184" s="2">
        <f>IFERROR(__xludf.DUMMYFUNCTION("""COMPUTED_VALUE"""),46142.0)</f>
        <v>46142</v>
      </c>
      <c r="E1184" s="2" t="str">
        <f>IFERROR(__xludf.DUMMYFUNCTION("""COMPUTED_VALUE"""),"VF")</f>
        <v>VF</v>
      </c>
      <c r="F1184" s="2">
        <f>IFERROR(__xludf.DUMMYFUNCTION("""COMPUTED_VALUE"""),1.0)</f>
        <v>1</v>
      </c>
      <c r="G1184" s="2" t="str">
        <f>IFERROR(__xludf.DUMMYFUNCTION("""COMPUTED_VALUE"""),"PR029")</f>
        <v>PR029</v>
      </c>
      <c r="H1184" s="2" t="str">
        <f>IFERROR(__xludf.DUMMYFUNCTION("""COMPUTED_VALUE"""),"VD025")</f>
        <v>VD025</v>
      </c>
      <c r="I1184" s="2">
        <f>IFERROR(__xludf.DUMMYFUNCTION("""COMPUTED_VALUE"""),4.0)</f>
        <v>4</v>
      </c>
      <c r="J1184" s="2">
        <f>IFERROR(__xludf.DUMMYFUNCTION("""COMPUTED_VALUE"""),1050.6)</f>
        <v>1050.6</v>
      </c>
      <c r="K1184" s="2">
        <f>IFERROR(__xludf.DUMMYFUNCTION("""COMPUTED_VALUE"""),1050.6)</f>
        <v>1050.6</v>
      </c>
    </row>
    <row r="1185">
      <c r="A1185" s="2">
        <f>IFERROR(__xludf.DUMMYFUNCTION("""COMPUTED_VALUE"""),1000.0)</f>
        <v>1000</v>
      </c>
      <c r="B1185" s="2">
        <f>IFERROR(__xludf.DUMMYFUNCTION("""COMPUTED_VALUE"""),184321.0)</f>
        <v>184321</v>
      </c>
      <c r="C1185" s="2">
        <f>IFERROR(__xludf.DUMMYFUNCTION("""COMPUTED_VALUE"""),2026.0)</f>
        <v>2026</v>
      </c>
      <c r="D1185" s="2">
        <f>IFERROR(__xludf.DUMMYFUNCTION("""COMPUTED_VALUE"""),46142.0)</f>
        <v>46142</v>
      </c>
      <c r="E1185" s="2" t="str">
        <f>IFERROR(__xludf.DUMMYFUNCTION("""COMPUTED_VALUE"""),"VF")</f>
        <v>VF</v>
      </c>
      <c r="F1185" s="2">
        <f>IFERROR(__xludf.DUMMYFUNCTION("""COMPUTED_VALUE"""),1.0)</f>
        <v>1</v>
      </c>
      <c r="G1185" s="2" t="str">
        <f>IFERROR(__xludf.DUMMYFUNCTION("""COMPUTED_VALUE"""),"PR046")</f>
        <v>PR046</v>
      </c>
      <c r="H1185" s="2" t="str">
        <f>IFERROR(__xludf.DUMMYFUNCTION("""COMPUTED_VALUE"""),"VD042")</f>
        <v>VD042</v>
      </c>
      <c r="I1185" s="2">
        <f>IFERROR(__xludf.DUMMYFUNCTION("""COMPUTED_VALUE"""),10.0)</f>
        <v>10</v>
      </c>
      <c r="J1185" s="2">
        <f>IFERROR(__xludf.DUMMYFUNCTION("""COMPUTED_VALUE"""),3014.96)</f>
        <v>3014.96</v>
      </c>
      <c r="K1185" s="2">
        <f>IFERROR(__xludf.DUMMYFUNCTION("""COMPUTED_VALUE"""),3014.96)</f>
        <v>3014.96</v>
      </c>
    </row>
    <row r="1186">
      <c r="A1186" s="2">
        <f>IFERROR(__xludf.DUMMYFUNCTION("""COMPUTED_VALUE"""),1000.0)</f>
        <v>1000</v>
      </c>
      <c r="B1186" s="2">
        <f>IFERROR(__xludf.DUMMYFUNCTION("""COMPUTED_VALUE"""),184322.0)</f>
        <v>184322</v>
      </c>
      <c r="C1186" s="2">
        <f>IFERROR(__xludf.DUMMYFUNCTION("""COMPUTED_VALUE"""),2026.0)</f>
        <v>2026</v>
      </c>
      <c r="D1186" s="2">
        <f>IFERROR(__xludf.DUMMYFUNCTION("""COMPUTED_VALUE"""),46142.0)</f>
        <v>46142</v>
      </c>
      <c r="E1186" s="2" t="str">
        <f>IFERROR(__xludf.DUMMYFUNCTION("""COMPUTED_VALUE"""),"VF")</f>
        <v>VF</v>
      </c>
      <c r="F1186" s="2">
        <f>IFERROR(__xludf.DUMMYFUNCTION("""COMPUTED_VALUE"""),1.0)</f>
        <v>1</v>
      </c>
      <c r="G1186" s="2" t="str">
        <f>IFERROR(__xludf.DUMMYFUNCTION("""COMPUTED_VALUE"""),"PR043")</f>
        <v>PR043</v>
      </c>
      <c r="H1186" s="2" t="str">
        <f>IFERROR(__xludf.DUMMYFUNCTION("""COMPUTED_VALUE"""),"VD041")</f>
        <v>VD041</v>
      </c>
      <c r="I1186" s="2">
        <f>IFERROR(__xludf.DUMMYFUNCTION("""COMPUTED_VALUE"""),10.0)</f>
        <v>10</v>
      </c>
      <c r="J1186" s="2">
        <f>IFERROR(__xludf.DUMMYFUNCTION("""COMPUTED_VALUE"""),754.0)</f>
        <v>754</v>
      </c>
      <c r="K1186" s="2">
        <f>IFERROR(__xludf.DUMMYFUNCTION("""COMPUTED_VALUE"""),754.0)</f>
        <v>754</v>
      </c>
    </row>
    <row r="1187">
      <c r="A1187" s="2">
        <f>IFERROR(__xludf.DUMMYFUNCTION("""COMPUTED_VALUE"""),2000.0)</f>
        <v>2000</v>
      </c>
      <c r="B1187" s="2">
        <f>IFERROR(__xludf.DUMMYFUNCTION("""COMPUTED_VALUE"""),184323.0)</f>
        <v>184323</v>
      </c>
      <c r="C1187" s="2">
        <f>IFERROR(__xludf.DUMMYFUNCTION("""COMPUTED_VALUE"""),2026.0)</f>
        <v>2026</v>
      </c>
      <c r="D1187" s="2">
        <f>IFERROR(__xludf.DUMMYFUNCTION("""COMPUTED_VALUE"""),46142.0)</f>
        <v>46142</v>
      </c>
      <c r="E1187" s="2" t="str">
        <f>IFERROR(__xludf.DUMMYFUNCTION("""COMPUTED_VALUE"""),"VF")</f>
        <v>VF</v>
      </c>
      <c r="F1187" s="2">
        <f>IFERROR(__xludf.DUMMYFUNCTION("""COMPUTED_VALUE"""),1.0)</f>
        <v>1</v>
      </c>
      <c r="G1187" s="2" t="str">
        <f>IFERROR(__xludf.DUMMYFUNCTION("""COMPUTED_VALUE"""),"PR034")</f>
        <v>PR034</v>
      </c>
      <c r="H1187" s="2" t="str">
        <f>IFERROR(__xludf.DUMMYFUNCTION("""COMPUTED_VALUE"""),"VD032")</f>
        <v>VD032</v>
      </c>
      <c r="I1187" s="2">
        <f>IFERROR(__xludf.DUMMYFUNCTION("""COMPUTED_VALUE"""),8.0)</f>
        <v>8</v>
      </c>
      <c r="J1187" s="2">
        <f>IFERROR(__xludf.DUMMYFUNCTION("""COMPUTED_VALUE"""),726.39)</f>
        <v>726.39</v>
      </c>
      <c r="K1187" s="2">
        <f>IFERROR(__xludf.DUMMYFUNCTION("""COMPUTED_VALUE"""),726.39)</f>
        <v>726.39</v>
      </c>
    </row>
    <row r="1188">
      <c r="A1188" s="2">
        <f>IFERROR(__xludf.DUMMYFUNCTION("""COMPUTED_VALUE"""),1000.0)</f>
        <v>1000</v>
      </c>
      <c r="B1188" s="2">
        <f>IFERROR(__xludf.DUMMYFUNCTION("""COMPUTED_VALUE"""),184324.0)</f>
        <v>184324</v>
      </c>
      <c r="C1188" s="2">
        <f>IFERROR(__xludf.DUMMYFUNCTION("""COMPUTED_VALUE"""),2026.0)</f>
        <v>2026</v>
      </c>
      <c r="D1188" s="2">
        <f>IFERROR(__xludf.DUMMYFUNCTION("""COMPUTED_VALUE"""),46141.0)</f>
        <v>46141</v>
      </c>
      <c r="E1188" s="2" t="str">
        <f>IFERROR(__xludf.DUMMYFUNCTION("""COMPUTED_VALUE"""),"VF")</f>
        <v>VF</v>
      </c>
      <c r="F1188" s="2">
        <f>IFERROR(__xludf.DUMMYFUNCTION("""COMPUTED_VALUE"""),1.0)</f>
        <v>1</v>
      </c>
      <c r="G1188" s="2" t="str">
        <f>IFERROR(__xludf.DUMMYFUNCTION("""COMPUTED_VALUE"""),"PR041")</f>
        <v>PR041</v>
      </c>
      <c r="H1188" s="2" t="str">
        <f>IFERROR(__xludf.DUMMYFUNCTION("""COMPUTED_VALUE"""),"VD044")</f>
        <v>VD044</v>
      </c>
      <c r="I1188" s="2">
        <f>IFERROR(__xludf.DUMMYFUNCTION("""COMPUTED_VALUE"""),6.0)</f>
        <v>6</v>
      </c>
      <c r="J1188" s="2">
        <f>IFERROR(__xludf.DUMMYFUNCTION("""COMPUTED_VALUE"""),335.99)</f>
        <v>335.99</v>
      </c>
      <c r="K1188" s="2">
        <f>IFERROR(__xludf.DUMMYFUNCTION("""COMPUTED_VALUE"""),335.99)</f>
        <v>335.99</v>
      </c>
    </row>
    <row r="1189">
      <c r="A1189" s="2">
        <f>IFERROR(__xludf.DUMMYFUNCTION("""COMPUTED_VALUE"""),1000.0)</f>
        <v>1000</v>
      </c>
      <c r="B1189" s="2">
        <f>IFERROR(__xludf.DUMMYFUNCTION("""COMPUTED_VALUE"""),184324.0)</f>
        <v>184324</v>
      </c>
      <c r="C1189" s="2">
        <f>IFERROR(__xludf.DUMMYFUNCTION("""COMPUTED_VALUE"""),2026.0)</f>
        <v>2026</v>
      </c>
      <c r="D1189" s="2">
        <f>IFERROR(__xludf.DUMMYFUNCTION("""COMPUTED_VALUE"""),46141.0)</f>
        <v>46141</v>
      </c>
      <c r="E1189" s="2" t="str">
        <f>IFERROR(__xludf.DUMMYFUNCTION("""COMPUTED_VALUE"""),"VF")</f>
        <v>VF</v>
      </c>
      <c r="F1189" s="2">
        <f>IFERROR(__xludf.DUMMYFUNCTION("""COMPUTED_VALUE"""),2.0)</f>
        <v>2</v>
      </c>
      <c r="G1189" s="2" t="str">
        <f>IFERROR(__xludf.DUMMYFUNCTION("""COMPUTED_VALUE"""),"PR004")</f>
        <v>PR004</v>
      </c>
      <c r="H1189" s="2" t="str">
        <f>IFERROR(__xludf.DUMMYFUNCTION("""COMPUTED_VALUE"""),"VD041")</f>
        <v>VD041</v>
      </c>
      <c r="I1189" s="2">
        <f>IFERROR(__xludf.DUMMYFUNCTION("""COMPUTED_VALUE"""),12.0)</f>
        <v>12</v>
      </c>
      <c r="J1189" s="2">
        <f>IFERROR(__xludf.DUMMYFUNCTION("""COMPUTED_VALUE"""),1879.2)</f>
        <v>1879.2</v>
      </c>
      <c r="K1189" s="2">
        <f>IFERROR(__xludf.DUMMYFUNCTION("""COMPUTED_VALUE"""),1879.2)</f>
        <v>1879.2</v>
      </c>
    </row>
    <row r="1190">
      <c r="A1190" s="2">
        <f>IFERROR(__xludf.DUMMYFUNCTION("""COMPUTED_VALUE"""),1000.0)</f>
        <v>1000</v>
      </c>
      <c r="B1190" s="2">
        <f>IFERROR(__xludf.DUMMYFUNCTION("""COMPUTED_VALUE"""),184325.0)</f>
        <v>184325</v>
      </c>
      <c r="C1190" s="2">
        <f>IFERROR(__xludf.DUMMYFUNCTION("""COMPUTED_VALUE"""),2026.0)</f>
        <v>2026</v>
      </c>
      <c r="D1190" s="2">
        <f>IFERROR(__xludf.DUMMYFUNCTION("""COMPUTED_VALUE"""),46141.0)</f>
        <v>46141</v>
      </c>
      <c r="E1190" s="2" t="str">
        <f>IFERROR(__xludf.DUMMYFUNCTION("""COMPUTED_VALUE"""),"VF")</f>
        <v>VF</v>
      </c>
      <c r="F1190" s="2">
        <f>IFERROR(__xludf.DUMMYFUNCTION("""COMPUTED_VALUE"""),1.0)</f>
        <v>1</v>
      </c>
      <c r="G1190" s="2" t="str">
        <f>IFERROR(__xludf.DUMMYFUNCTION("""COMPUTED_VALUE"""),"PR041")</f>
        <v>PR041</v>
      </c>
      <c r="H1190" s="2" t="str">
        <f>IFERROR(__xludf.DUMMYFUNCTION("""COMPUTED_VALUE"""),"VD033")</f>
        <v>VD033</v>
      </c>
      <c r="I1190" s="2">
        <f>IFERROR(__xludf.DUMMYFUNCTION("""COMPUTED_VALUE"""),6.0)</f>
        <v>6</v>
      </c>
      <c r="J1190" s="2">
        <f>IFERROR(__xludf.DUMMYFUNCTION("""COMPUTED_VALUE"""),335.99)</f>
        <v>335.99</v>
      </c>
      <c r="K1190" s="2">
        <f>IFERROR(__xludf.DUMMYFUNCTION("""COMPUTED_VALUE"""),335.99)</f>
        <v>335.99</v>
      </c>
    </row>
    <row r="1191">
      <c r="A1191" s="2">
        <f>IFERROR(__xludf.DUMMYFUNCTION("""COMPUTED_VALUE"""),1000.0)</f>
        <v>1000</v>
      </c>
      <c r="B1191" s="2">
        <f>IFERROR(__xludf.DUMMYFUNCTION("""COMPUTED_VALUE"""),184326.0)</f>
        <v>184326</v>
      </c>
      <c r="C1191" s="2">
        <f>IFERROR(__xludf.DUMMYFUNCTION("""COMPUTED_VALUE"""),2026.0)</f>
        <v>2026</v>
      </c>
      <c r="D1191" s="2">
        <f>IFERROR(__xludf.DUMMYFUNCTION("""COMPUTED_VALUE"""),46141.0)</f>
        <v>46141</v>
      </c>
      <c r="E1191" s="2" t="str">
        <f>IFERROR(__xludf.DUMMYFUNCTION("""COMPUTED_VALUE"""),"VF")</f>
        <v>VF</v>
      </c>
      <c r="F1191" s="2">
        <f>IFERROR(__xludf.DUMMYFUNCTION("""COMPUTED_VALUE"""),1.0)</f>
        <v>1</v>
      </c>
      <c r="G1191" s="2" t="str">
        <f>IFERROR(__xludf.DUMMYFUNCTION("""COMPUTED_VALUE"""),"PR048")</f>
        <v>PR048</v>
      </c>
      <c r="H1191" s="2" t="str">
        <f>IFERROR(__xludf.DUMMYFUNCTION("""COMPUTED_VALUE"""),"VD028")</f>
        <v>VD028</v>
      </c>
      <c r="I1191" s="2">
        <f>IFERROR(__xludf.DUMMYFUNCTION("""COMPUTED_VALUE"""),10.0)</f>
        <v>10</v>
      </c>
      <c r="J1191" s="2">
        <f>IFERROR(__xludf.DUMMYFUNCTION("""COMPUTED_VALUE"""),3101.93)</f>
        <v>3101.93</v>
      </c>
      <c r="K1191" s="2">
        <f>IFERROR(__xludf.DUMMYFUNCTION("""COMPUTED_VALUE"""),3101.93)</f>
        <v>3101.93</v>
      </c>
    </row>
    <row r="1192">
      <c r="A1192" s="2">
        <f>IFERROR(__xludf.DUMMYFUNCTION("""COMPUTED_VALUE"""),1000.0)</f>
        <v>1000</v>
      </c>
      <c r="B1192" s="2">
        <f>IFERROR(__xludf.DUMMYFUNCTION("""COMPUTED_VALUE"""),184327.0)</f>
        <v>184327</v>
      </c>
      <c r="C1192" s="2">
        <f>IFERROR(__xludf.DUMMYFUNCTION("""COMPUTED_VALUE"""),2026.0)</f>
        <v>2026</v>
      </c>
      <c r="D1192" s="2">
        <f>IFERROR(__xludf.DUMMYFUNCTION("""COMPUTED_VALUE"""),46141.0)</f>
        <v>46141</v>
      </c>
      <c r="E1192" s="2" t="str">
        <f>IFERROR(__xludf.DUMMYFUNCTION("""COMPUTED_VALUE"""),"VF")</f>
        <v>VF</v>
      </c>
      <c r="F1192" s="2">
        <f>IFERROR(__xludf.DUMMYFUNCTION("""COMPUTED_VALUE"""),1.0)</f>
        <v>1</v>
      </c>
      <c r="G1192" s="2" t="str">
        <f>IFERROR(__xludf.DUMMYFUNCTION("""COMPUTED_VALUE"""),"PR051")</f>
        <v>PR051</v>
      </c>
      <c r="H1192" s="2" t="str">
        <f>IFERROR(__xludf.DUMMYFUNCTION("""COMPUTED_VALUE"""),"VD025")</f>
        <v>VD025</v>
      </c>
      <c r="I1192" s="2">
        <f>IFERROR(__xludf.DUMMYFUNCTION("""COMPUTED_VALUE"""),14.0)</f>
        <v>14</v>
      </c>
      <c r="J1192" s="2">
        <f>IFERROR(__xludf.DUMMYFUNCTION("""COMPUTED_VALUE"""),502.05)</f>
        <v>502.05</v>
      </c>
      <c r="K1192" s="2">
        <f>IFERROR(__xludf.DUMMYFUNCTION("""COMPUTED_VALUE"""),502.05)</f>
        <v>502.05</v>
      </c>
    </row>
    <row r="1193">
      <c r="A1193" s="2">
        <f>IFERROR(__xludf.DUMMYFUNCTION("""COMPUTED_VALUE"""),1000.0)</f>
        <v>1000</v>
      </c>
      <c r="B1193" s="2">
        <f>IFERROR(__xludf.DUMMYFUNCTION("""COMPUTED_VALUE"""),184328.0)</f>
        <v>184328</v>
      </c>
      <c r="C1193" s="2">
        <f>IFERROR(__xludf.DUMMYFUNCTION("""COMPUTED_VALUE"""),2026.0)</f>
        <v>2026</v>
      </c>
      <c r="D1193" s="2">
        <f>IFERROR(__xludf.DUMMYFUNCTION("""COMPUTED_VALUE"""),46141.0)</f>
        <v>46141</v>
      </c>
      <c r="E1193" s="2" t="str">
        <f>IFERROR(__xludf.DUMMYFUNCTION("""COMPUTED_VALUE"""),"VF")</f>
        <v>VF</v>
      </c>
      <c r="F1193" s="2">
        <f>IFERROR(__xludf.DUMMYFUNCTION("""COMPUTED_VALUE"""),1.0)</f>
        <v>1</v>
      </c>
      <c r="G1193" s="2" t="str">
        <f>IFERROR(__xludf.DUMMYFUNCTION("""COMPUTED_VALUE"""),"PR025")</f>
        <v>PR025</v>
      </c>
      <c r="H1193" s="2" t="str">
        <f>IFERROR(__xludf.DUMMYFUNCTION("""COMPUTED_VALUE"""),"VD016")</f>
        <v>VD016</v>
      </c>
      <c r="I1193" s="2">
        <f>IFERROR(__xludf.DUMMYFUNCTION("""COMPUTED_VALUE"""),10.0)</f>
        <v>10</v>
      </c>
      <c r="J1193" s="2">
        <f>IFERROR(__xludf.DUMMYFUNCTION("""COMPUTED_VALUE"""),3058.98)</f>
        <v>3058.98</v>
      </c>
      <c r="K1193" s="2">
        <f>IFERROR(__xludf.DUMMYFUNCTION("""COMPUTED_VALUE"""),3058.98)</f>
        <v>3058.98</v>
      </c>
    </row>
    <row r="1194">
      <c r="A1194" s="2">
        <f>IFERROR(__xludf.DUMMYFUNCTION("""COMPUTED_VALUE"""),1000.0)</f>
        <v>1000</v>
      </c>
      <c r="B1194" s="2">
        <f>IFERROR(__xludf.DUMMYFUNCTION("""COMPUTED_VALUE"""),184329.0)</f>
        <v>184329</v>
      </c>
      <c r="C1194" s="2">
        <f>IFERROR(__xludf.DUMMYFUNCTION("""COMPUTED_VALUE"""),2026.0)</f>
        <v>2026</v>
      </c>
      <c r="D1194" s="2">
        <f>IFERROR(__xludf.DUMMYFUNCTION("""COMPUTED_VALUE"""),46141.0)</f>
        <v>46141</v>
      </c>
      <c r="E1194" s="2" t="str">
        <f>IFERROR(__xludf.DUMMYFUNCTION("""COMPUTED_VALUE"""),"VF")</f>
        <v>VF</v>
      </c>
      <c r="F1194" s="2">
        <f>IFERROR(__xludf.DUMMYFUNCTION("""COMPUTED_VALUE"""),1.0)</f>
        <v>1</v>
      </c>
      <c r="G1194" s="2" t="str">
        <f>IFERROR(__xludf.DUMMYFUNCTION("""COMPUTED_VALUE"""),"PR055")</f>
        <v>PR055</v>
      </c>
      <c r="H1194" s="2" t="str">
        <f>IFERROR(__xludf.DUMMYFUNCTION("""COMPUTED_VALUE"""),"VD029")</f>
        <v>VD029</v>
      </c>
      <c r="I1194" s="2">
        <f>IFERROR(__xludf.DUMMYFUNCTION("""COMPUTED_VALUE"""),2.0)</f>
        <v>2</v>
      </c>
      <c r="J1194" s="2">
        <f>IFERROR(__xludf.DUMMYFUNCTION("""COMPUTED_VALUE"""),195.98)</f>
        <v>195.98</v>
      </c>
      <c r="K1194" s="2">
        <f>IFERROR(__xludf.DUMMYFUNCTION("""COMPUTED_VALUE"""),195.98)</f>
        <v>195.98</v>
      </c>
    </row>
    <row r="1195">
      <c r="A1195" s="2">
        <f>IFERROR(__xludf.DUMMYFUNCTION("""COMPUTED_VALUE"""),1000.0)</f>
        <v>1000</v>
      </c>
      <c r="B1195" s="2">
        <f>IFERROR(__xludf.DUMMYFUNCTION("""COMPUTED_VALUE"""),184329.0)</f>
        <v>184329</v>
      </c>
      <c r="C1195" s="2">
        <f>IFERROR(__xludf.DUMMYFUNCTION("""COMPUTED_VALUE"""),2026.0)</f>
        <v>2026</v>
      </c>
      <c r="D1195" s="2">
        <f>IFERROR(__xludf.DUMMYFUNCTION("""COMPUTED_VALUE"""),46141.0)</f>
        <v>46141</v>
      </c>
      <c r="E1195" s="2" t="str">
        <f>IFERROR(__xludf.DUMMYFUNCTION("""COMPUTED_VALUE"""),"VF")</f>
        <v>VF</v>
      </c>
      <c r="F1195" s="2">
        <f>IFERROR(__xludf.DUMMYFUNCTION("""COMPUTED_VALUE"""),2.0)</f>
        <v>2</v>
      </c>
      <c r="G1195" s="2" t="str">
        <f>IFERROR(__xludf.DUMMYFUNCTION("""COMPUTED_VALUE"""),"PR043")</f>
        <v>PR043</v>
      </c>
      <c r="H1195" s="2" t="str">
        <f>IFERROR(__xludf.DUMMYFUNCTION("""COMPUTED_VALUE"""),"VD042")</f>
        <v>VD042</v>
      </c>
      <c r="I1195" s="2">
        <f>IFERROR(__xludf.DUMMYFUNCTION("""COMPUTED_VALUE"""),18.0)</f>
        <v>18</v>
      </c>
      <c r="J1195" s="2">
        <f>IFERROR(__xludf.DUMMYFUNCTION("""COMPUTED_VALUE"""),1318.05)</f>
        <v>1318.05</v>
      </c>
      <c r="K1195" s="2">
        <f>IFERROR(__xludf.DUMMYFUNCTION("""COMPUTED_VALUE"""),1318.05)</f>
        <v>1318.05</v>
      </c>
    </row>
    <row r="1196">
      <c r="A1196" s="2">
        <f>IFERROR(__xludf.DUMMYFUNCTION("""COMPUTED_VALUE"""),1000.0)</f>
        <v>1000</v>
      </c>
      <c r="B1196" s="2">
        <f>IFERROR(__xludf.DUMMYFUNCTION("""COMPUTED_VALUE"""),184330.0)</f>
        <v>184330</v>
      </c>
      <c r="C1196" s="2">
        <f>IFERROR(__xludf.DUMMYFUNCTION("""COMPUTED_VALUE"""),2026.0)</f>
        <v>2026</v>
      </c>
      <c r="D1196" s="2">
        <f>IFERROR(__xludf.DUMMYFUNCTION("""COMPUTED_VALUE"""),46141.0)</f>
        <v>46141</v>
      </c>
      <c r="E1196" s="2" t="str">
        <f>IFERROR(__xludf.DUMMYFUNCTION("""COMPUTED_VALUE"""),"VF")</f>
        <v>VF</v>
      </c>
      <c r="F1196" s="2">
        <f>IFERROR(__xludf.DUMMYFUNCTION("""COMPUTED_VALUE"""),1.0)</f>
        <v>1</v>
      </c>
      <c r="G1196" s="2" t="str">
        <f>IFERROR(__xludf.DUMMYFUNCTION("""COMPUTED_VALUE"""),"PR010")</f>
        <v>PR010</v>
      </c>
      <c r="H1196" s="2" t="str">
        <f>IFERROR(__xludf.DUMMYFUNCTION("""COMPUTED_VALUE"""),"VD015")</f>
        <v>VD015</v>
      </c>
      <c r="I1196" s="2">
        <f>IFERROR(__xludf.DUMMYFUNCTION("""COMPUTED_VALUE"""),12.0)</f>
        <v>12</v>
      </c>
      <c r="J1196" s="2">
        <f>IFERROR(__xludf.DUMMYFUNCTION("""COMPUTED_VALUE"""),538.8)</f>
        <v>538.8</v>
      </c>
      <c r="K1196" s="2">
        <f>IFERROR(__xludf.DUMMYFUNCTION("""COMPUTED_VALUE"""),538.8)</f>
        <v>538.8</v>
      </c>
    </row>
    <row r="1197">
      <c r="A1197" s="2">
        <f>IFERROR(__xludf.DUMMYFUNCTION("""COMPUTED_VALUE"""),1000.0)</f>
        <v>1000</v>
      </c>
      <c r="B1197" s="2">
        <f>IFERROR(__xludf.DUMMYFUNCTION("""COMPUTED_VALUE"""),184331.0)</f>
        <v>184331</v>
      </c>
      <c r="C1197" s="2">
        <f>IFERROR(__xludf.DUMMYFUNCTION("""COMPUTED_VALUE"""),2026.0)</f>
        <v>2026</v>
      </c>
      <c r="D1197" s="2">
        <f>IFERROR(__xludf.DUMMYFUNCTION("""COMPUTED_VALUE"""),46141.0)</f>
        <v>46141</v>
      </c>
      <c r="E1197" s="2" t="str">
        <f>IFERROR(__xludf.DUMMYFUNCTION("""COMPUTED_VALUE"""),"VF")</f>
        <v>VF</v>
      </c>
      <c r="F1197" s="2">
        <f>IFERROR(__xludf.DUMMYFUNCTION("""COMPUTED_VALUE"""),1.0)</f>
        <v>1</v>
      </c>
      <c r="G1197" s="2" t="str">
        <f>IFERROR(__xludf.DUMMYFUNCTION("""COMPUTED_VALUE"""),"PR043")</f>
        <v>PR043</v>
      </c>
      <c r="H1197" s="2" t="str">
        <f>IFERROR(__xludf.DUMMYFUNCTION("""COMPUTED_VALUE"""),"VD025")</f>
        <v>VD025</v>
      </c>
      <c r="I1197" s="2">
        <f>IFERROR(__xludf.DUMMYFUNCTION("""COMPUTED_VALUE"""),8.0)</f>
        <v>8</v>
      </c>
      <c r="J1197" s="2">
        <f>IFERROR(__xludf.DUMMYFUNCTION("""COMPUTED_VALUE"""),591.6)</f>
        <v>591.6</v>
      </c>
      <c r="K1197" s="2">
        <f>IFERROR(__xludf.DUMMYFUNCTION("""COMPUTED_VALUE"""),591.6)</f>
        <v>591.6</v>
      </c>
    </row>
    <row r="1198">
      <c r="A1198" s="2">
        <f>IFERROR(__xludf.DUMMYFUNCTION("""COMPUTED_VALUE"""),1000.0)</f>
        <v>1000</v>
      </c>
      <c r="B1198" s="2">
        <f>IFERROR(__xludf.DUMMYFUNCTION("""COMPUTED_VALUE"""),184332.0)</f>
        <v>184332</v>
      </c>
      <c r="C1198" s="2">
        <f>IFERROR(__xludf.DUMMYFUNCTION("""COMPUTED_VALUE"""),2026.0)</f>
        <v>2026</v>
      </c>
      <c r="D1198" s="2">
        <f>IFERROR(__xludf.DUMMYFUNCTION("""COMPUTED_VALUE"""),46141.0)</f>
        <v>46141</v>
      </c>
      <c r="E1198" s="2" t="str">
        <f>IFERROR(__xludf.DUMMYFUNCTION("""COMPUTED_VALUE"""),"VF")</f>
        <v>VF</v>
      </c>
      <c r="F1198" s="2">
        <f>IFERROR(__xludf.DUMMYFUNCTION("""COMPUTED_VALUE"""),1.0)</f>
        <v>1</v>
      </c>
      <c r="G1198" s="2" t="str">
        <f>IFERROR(__xludf.DUMMYFUNCTION("""COMPUTED_VALUE"""),"PR041")</f>
        <v>PR041</v>
      </c>
      <c r="H1198" s="2" t="str">
        <f>IFERROR(__xludf.DUMMYFUNCTION("""COMPUTED_VALUE"""),"VD028")</f>
        <v>VD028</v>
      </c>
      <c r="I1198" s="2">
        <f>IFERROR(__xludf.DUMMYFUNCTION("""COMPUTED_VALUE"""),6.0)</f>
        <v>6</v>
      </c>
      <c r="J1198" s="2">
        <f>IFERROR(__xludf.DUMMYFUNCTION("""COMPUTED_VALUE"""),335.99)</f>
        <v>335.99</v>
      </c>
      <c r="K1198" s="2">
        <f>IFERROR(__xludf.DUMMYFUNCTION("""COMPUTED_VALUE"""),335.99)</f>
        <v>335.99</v>
      </c>
    </row>
    <row r="1199">
      <c r="A1199" s="2">
        <f>IFERROR(__xludf.DUMMYFUNCTION("""COMPUTED_VALUE"""),1000.0)</f>
        <v>1000</v>
      </c>
      <c r="B1199" s="2">
        <f>IFERROR(__xludf.DUMMYFUNCTION("""COMPUTED_VALUE"""),184333.0)</f>
        <v>184333</v>
      </c>
      <c r="C1199" s="2">
        <f>IFERROR(__xludf.DUMMYFUNCTION("""COMPUTED_VALUE"""),2026.0)</f>
        <v>2026</v>
      </c>
      <c r="D1199" s="2">
        <f>IFERROR(__xludf.DUMMYFUNCTION("""COMPUTED_VALUE"""),46141.0)</f>
        <v>46141</v>
      </c>
      <c r="E1199" s="2" t="str">
        <f>IFERROR(__xludf.DUMMYFUNCTION("""COMPUTED_VALUE"""),"VF")</f>
        <v>VF</v>
      </c>
      <c r="F1199" s="2">
        <f>IFERROR(__xludf.DUMMYFUNCTION("""COMPUTED_VALUE"""),1.0)</f>
        <v>1</v>
      </c>
      <c r="G1199" s="2" t="str">
        <f>IFERROR(__xludf.DUMMYFUNCTION("""COMPUTED_VALUE"""),"PR001")</f>
        <v>PR001</v>
      </c>
      <c r="H1199" s="2" t="str">
        <f>IFERROR(__xludf.DUMMYFUNCTION("""COMPUTED_VALUE"""),"VD031")</f>
        <v>VD031</v>
      </c>
      <c r="I1199" s="2">
        <f>IFERROR(__xludf.DUMMYFUNCTION("""COMPUTED_VALUE"""),8.0)</f>
        <v>8</v>
      </c>
      <c r="J1199" s="2">
        <f>IFERROR(__xludf.DUMMYFUNCTION("""COMPUTED_VALUE"""),574.65)</f>
        <v>574.65</v>
      </c>
      <c r="K1199" s="2">
        <f>IFERROR(__xludf.DUMMYFUNCTION("""COMPUTED_VALUE"""),574.65)</f>
        <v>574.65</v>
      </c>
    </row>
    <row r="1200">
      <c r="A1200" s="2">
        <f>IFERROR(__xludf.DUMMYFUNCTION("""COMPUTED_VALUE"""),1000.0)</f>
        <v>1000</v>
      </c>
      <c r="B1200" s="2">
        <f>IFERROR(__xludf.DUMMYFUNCTION("""COMPUTED_VALUE"""),184334.0)</f>
        <v>184334</v>
      </c>
      <c r="C1200" s="2">
        <f>IFERROR(__xludf.DUMMYFUNCTION("""COMPUTED_VALUE"""),2026.0)</f>
        <v>2026</v>
      </c>
      <c r="D1200" s="2">
        <f>IFERROR(__xludf.DUMMYFUNCTION("""COMPUTED_VALUE"""),46140.0)</f>
        <v>46140</v>
      </c>
      <c r="E1200" s="2" t="str">
        <f>IFERROR(__xludf.DUMMYFUNCTION("""COMPUTED_VALUE"""),"VF")</f>
        <v>VF</v>
      </c>
      <c r="F1200" s="2">
        <f>IFERROR(__xludf.DUMMYFUNCTION("""COMPUTED_VALUE"""),1.0)</f>
        <v>1</v>
      </c>
      <c r="G1200" s="2" t="str">
        <f>IFERROR(__xludf.DUMMYFUNCTION("""COMPUTED_VALUE"""),"PR007")</f>
        <v>PR007</v>
      </c>
      <c r="H1200" s="2" t="str">
        <f>IFERROR(__xludf.DUMMYFUNCTION("""COMPUTED_VALUE"""),"VD044")</f>
        <v>VD044</v>
      </c>
      <c r="I1200" s="2">
        <f>IFERROR(__xludf.DUMMYFUNCTION("""COMPUTED_VALUE"""),3.0)</f>
        <v>3</v>
      </c>
      <c r="J1200" s="2">
        <f>IFERROR(__xludf.DUMMYFUNCTION("""COMPUTED_VALUE"""),257.7)</f>
        <v>257.7</v>
      </c>
      <c r="K1200" s="2">
        <f>IFERROR(__xludf.DUMMYFUNCTION("""COMPUTED_VALUE"""),257.7)</f>
        <v>257.7</v>
      </c>
    </row>
    <row r="1201">
      <c r="A1201" s="2">
        <f>IFERROR(__xludf.DUMMYFUNCTION("""COMPUTED_VALUE"""),2000.0)</f>
        <v>2000</v>
      </c>
      <c r="B1201" s="2">
        <f>IFERROR(__xludf.DUMMYFUNCTION("""COMPUTED_VALUE"""),184335.0)</f>
        <v>184335</v>
      </c>
      <c r="C1201" s="2">
        <f>IFERROR(__xludf.DUMMYFUNCTION("""COMPUTED_VALUE"""),2026.0)</f>
        <v>2026</v>
      </c>
      <c r="D1201" s="2">
        <f>IFERROR(__xludf.DUMMYFUNCTION("""COMPUTED_VALUE"""),46140.0)</f>
        <v>46140</v>
      </c>
      <c r="E1201" s="2" t="str">
        <f>IFERROR(__xludf.DUMMYFUNCTION("""COMPUTED_VALUE"""),"VF")</f>
        <v>VF</v>
      </c>
      <c r="F1201" s="2">
        <f>IFERROR(__xludf.DUMMYFUNCTION("""COMPUTED_VALUE"""),1.0)</f>
        <v>1</v>
      </c>
      <c r="G1201" s="2" t="str">
        <f>IFERROR(__xludf.DUMMYFUNCTION("""COMPUTED_VALUE"""),"PR032")</f>
        <v>PR032</v>
      </c>
      <c r="H1201" s="2" t="str">
        <f>IFERROR(__xludf.DUMMYFUNCTION("""COMPUTED_VALUE"""),"VD019")</f>
        <v>VD019</v>
      </c>
      <c r="I1201" s="2">
        <f>IFERROR(__xludf.DUMMYFUNCTION("""COMPUTED_VALUE"""),6.0)</f>
        <v>6</v>
      </c>
      <c r="J1201" s="2">
        <f>IFERROR(__xludf.DUMMYFUNCTION("""COMPUTED_VALUE"""),1515.0)</f>
        <v>1515</v>
      </c>
      <c r="K1201" s="2">
        <f>IFERROR(__xludf.DUMMYFUNCTION("""COMPUTED_VALUE"""),1515.0)</f>
        <v>1515</v>
      </c>
    </row>
    <row r="1202">
      <c r="A1202" s="2">
        <f>IFERROR(__xludf.DUMMYFUNCTION("""COMPUTED_VALUE"""),1000.0)</f>
        <v>1000</v>
      </c>
      <c r="B1202" s="2">
        <f>IFERROR(__xludf.DUMMYFUNCTION("""COMPUTED_VALUE"""),184336.0)</f>
        <v>184336</v>
      </c>
      <c r="C1202" s="2">
        <f>IFERROR(__xludf.DUMMYFUNCTION("""COMPUTED_VALUE"""),2026.0)</f>
        <v>2026</v>
      </c>
      <c r="D1202" s="2">
        <f>IFERROR(__xludf.DUMMYFUNCTION("""COMPUTED_VALUE"""),46140.0)</f>
        <v>46140</v>
      </c>
      <c r="E1202" s="2" t="str">
        <f>IFERROR(__xludf.DUMMYFUNCTION("""COMPUTED_VALUE"""),"VF")</f>
        <v>VF</v>
      </c>
      <c r="F1202" s="2">
        <f>IFERROR(__xludf.DUMMYFUNCTION("""COMPUTED_VALUE"""),1.0)</f>
        <v>1</v>
      </c>
      <c r="G1202" s="2" t="str">
        <f>IFERROR(__xludf.DUMMYFUNCTION("""COMPUTED_VALUE"""),"PR040")</f>
        <v>PR040</v>
      </c>
      <c r="H1202" s="2" t="str">
        <f>IFERROR(__xludf.DUMMYFUNCTION("""COMPUTED_VALUE"""),"VD035")</f>
        <v>VD035</v>
      </c>
      <c r="I1202" s="2">
        <f>IFERROR(__xludf.DUMMYFUNCTION("""COMPUTED_VALUE"""),2.0)</f>
        <v>2</v>
      </c>
      <c r="J1202" s="2">
        <f>IFERROR(__xludf.DUMMYFUNCTION("""COMPUTED_VALUE"""),142.8)</f>
        <v>142.8</v>
      </c>
      <c r="K1202" s="2">
        <f>IFERROR(__xludf.DUMMYFUNCTION("""COMPUTED_VALUE"""),142.8)</f>
        <v>142.8</v>
      </c>
    </row>
    <row r="1203">
      <c r="A1203" s="2">
        <f>IFERROR(__xludf.DUMMYFUNCTION("""COMPUTED_VALUE"""),1000.0)</f>
        <v>1000</v>
      </c>
      <c r="B1203" s="2">
        <f>IFERROR(__xludf.DUMMYFUNCTION("""COMPUTED_VALUE"""),184336.0)</f>
        <v>184336</v>
      </c>
      <c r="C1203" s="2">
        <f>IFERROR(__xludf.DUMMYFUNCTION("""COMPUTED_VALUE"""),2026.0)</f>
        <v>2026</v>
      </c>
      <c r="D1203" s="2">
        <f>IFERROR(__xludf.DUMMYFUNCTION("""COMPUTED_VALUE"""),46140.0)</f>
        <v>46140</v>
      </c>
      <c r="E1203" s="2" t="str">
        <f>IFERROR(__xludf.DUMMYFUNCTION("""COMPUTED_VALUE"""),"VF")</f>
        <v>VF</v>
      </c>
      <c r="F1203" s="2">
        <f>IFERROR(__xludf.DUMMYFUNCTION("""COMPUTED_VALUE"""),2.0)</f>
        <v>2</v>
      </c>
      <c r="G1203" s="2" t="str">
        <f>IFERROR(__xludf.DUMMYFUNCTION("""COMPUTED_VALUE"""),"PR027")</f>
        <v>PR027</v>
      </c>
      <c r="H1203" s="2" t="str">
        <f>IFERROR(__xludf.DUMMYFUNCTION("""COMPUTED_VALUE"""),"VD020")</f>
        <v>VD020</v>
      </c>
      <c r="I1203" s="2">
        <f>IFERROR(__xludf.DUMMYFUNCTION("""COMPUTED_VALUE"""),12.0)</f>
        <v>12</v>
      </c>
      <c r="J1203" s="2">
        <f>IFERROR(__xludf.DUMMYFUNCTION("""COMPUTED_VALUE"""),1555.2)</f>
        <v>1555.2</v>
      </c>
      <c r="K1203" s="2">
        <f>IFERROR(__xludf.DUMMYFUNCTION("""COMPUTED_VALUE"""),1555.2)</f>
        <v>1555.2</v>
      </c>
    </row>
    <row r="1204">
      <c r="A1204" s="2">
        <f>IFERROR(__xludf.DUMMYFUNCTION("""COMPUTED_VALUE"""),1000.0)</f>
        <v>1000</v>
      </c>
      <c r="B1204" s="2">
        <f>IFERROR(__xludf.DUMMYFUNCTION("""COMPUTED_VALUE"""),184336.0)</f>
        <v>184336</v>
      </c>
      <c r="C1204" s="2">
        <f>IFERROR(__xludf.DUMMYFUNCTION("""COMPUTED_VALUE"""),2026.0)</f>
        <v>2026</v>
      </c>
      <c r="D1204" s="2">
        <f>IFERROR(__xludf.DUMMYFUNCTION("""COMPUTED_VALUE"""),46140.0)</f>
        <v>46140</v>
      </c>
      <c r="E1204" s="2" t="str">
        <f>IFERROR(__xludf.DUMMYFUNCTION("""COMPUTED_VALUE"""),"VF")</f>
        <v>VF</v>
      </c>
      <c r="F1204" s="2">
        <f>IFERROR(__xludf.DUMMYFUNCTION("""COMPUTED_VALUE"""),3.0)</f>
        <v>3</v>
      </c>
      <c r="G1204" s="2" t="str">
        <f>IFERROR(__xludf.DUMMYFUNCTION("""COMPUTED_VALUE"""),"PR021")</f>
        <v>PR021</v>
      </c>
      <c r="H1204" s="2" t="str">
        <f>IFERROR(__xludf.DUMMYFUNCTION("""COMPUTED_VALUE"""),"VD025")</f>
        <v>VD025</v>
      </c>
      <c r="I1204" s="2">
        <f>IFERROR(__xludf.DUMMYFUNCTION("""COMPUTED_VALUE"""),8.0)</f>
        <v>8</v>
      </c>
      <c r="J1204" s="2">
        <f>IFERROR(__xludf.DUMMYFUNCTION("""COMPUTED_VALUE"""),2447.43)</f>
        <v>2447.43</v>
      </c>
      <c r="K1204" s="2">
        <f>IFERROR(__xludf.DUMMYFUNCTION("""COMPUTED_VALUE"""),2447.43)</f>
        <v>2447.43</v>
      </c>
    </row>
    <row r="1205">
      <c r="A1205" s="2">
        <f>IFERROR(__xludf.DUMMYFUNCTION("""COMPUTED_VALUE"""),2000.0)</f>
        <v>2000</v>
      </c>
      <c r="B1205" s="2">
        <f>IFERROR(__xludf.DUMMYFUNCTION("""COMPUTED_VALUE"""),184336.0)</f>
        <v>184336</v>
      </c>
      <c r="C1205" s="2">
        <f>IFERROR(__xludf.DUMMYFUNCTION("""COMPUTED_VALUE"""),2026.0)</f>
        <v>2026</v>
      </c>
      <c r="D1205" s="2">
        <f>IFERROR(__xludf.DUMMYFUNCTION("""COMPUTED_VALUE"""),46140.0)</f>
        <v>46140</v>
      </c>
      <c r="E1205" s="2" t="str">
        <f>IFERROR(__xludf.DUMMYFUNCTION("""COMPUTED_VALUE"""),"VF")</f>
        <v>VF</v>
      </c>
      <c r="F1205" s="2">
        <f>IFERROR(__xludf.DUMMYFUNCTION("""COMPUTED_VALUE"""),4.0)</f>
        <v>4</v>
      </c>
      <c r="G1205" s="2" t="str">
        <f>IFERROR(__xludf.DUMMYFUNCTION("""COMPUTED_VALUE"""),"PR007")</f>
        <v>PR007</v>
      </c>
      <c r="H1205" s="2" t="str">
        <f>IFERROR(__xludf.DUMMYFUNCTION("""COMPUTED_VALUE"""),"VD010")</f>
        <v>VD010</v>
      </c>
      <c r="I1205" s="2">
        <f>IFERROR(__xludf.DUMMYFUNCTION("""COMPUTED_VALUE"""),14.0)</f>
        <v>14</v>
      </c>
      <c r="J1205" s="2">
        <f>IFERROR(__xludf.DUMMYFUNCTION("""COMPUTED_VALUE"""),1310.83)</f>
        <v>1310.83</v>
      </c>
      <c r="K1205" s="2">
        <f>IFERROR(__xludf.DUMMYFUNCTION("""COMPUTED_VALUE"""),1310.83)</f>
        <v>1310.83</v>
      </c>
    </row>
    <row r="1206">
      <c r="A1206" s="2">
        <f>IFERROR(__xludf.DUMMYFUNCTION("""COMPUTED_VALUE"""),1000.0)</f>
        <v>1000</v>
      </c>
      <c r="B1206" s="2">
        <f>IFERROR(__xludf.DUMMYFUNCTION("""COMPUTED_VALUE"""),184337.0)</f>
        <v>184337</v>
      </c>
      <c r="C1206" s="2">
        <f>IFERROR(__xludf.DUMMYFUNCTION("""COMPUTED_VALUE"""),2026.0)</f>
        <v>2026</v>
      </c>
      <c r="D1206" s="2">
        <f>IFERROR(__xludf.DUMMYFUNCTION("""COMPUTED_VALUE"""),46139.0)</f>
        <v>46139</v>
      </c>
      <c r="E1206" s="2" t="str">
        <f>IFERROR(__xludf.DUMMYFUNCTION("""COMPUTED_VALUE"""),"VF")</f>
        <v>VF</v>
      </c>
      <c r="F1206" s="2">
        <f>IFERROR(__xludf.DUMMYFUNCTION("""COMPUTED_VALUE"""),1.0)</f>
        <v>1</v>
      </c>
      <c r="G1206" s="2" t="str">
        <f>IFERROR(__xludf.DUMMYFUNCTION("""COMPUTED_VALUE"""),"PR049")</f>
        <v>PR049</v>
      </c>
      <c r="H1206" s="2" t="str">
        <f>IFERROR(__xludf.DUMMYFUNCTION("""COMPUTED_VALUE"""),"VD023")</f>
        <v>VD023</v>
      </c>
      <c r="I1206" s="2">
        <f>IFERROR(__xludf.DUMMYFUNCTION("""COMPUTED_VALUE"""),4.0)</f>
        <v>4</v>
      </c>
      <c r="J1206" s="2">
        <f>IFERROR(__xludf.DUMMYFUNCTION("""COMPUTED_VALUE"""),138.18)</f>
        <v>138.18</v>
      </c>
      <c r="K1206" s="2">
        <f>IFERROR(__xludf.DUMMYFUNCTION("""COMPUTED_VALUE"""),138.18)</f>
        <v>138.18</v>
      </c>
    </row>
    <row r="1207">
      <c r="A1207" s="2">
        <f>IFERROR(__xludf.DUMMYFUNCTION("""COMPUTED_VALUE"""),1000.0)</f>
        <v>1000</v>
      </c>
      <c r="B1207" s="2">
        <f>IFERROR(__xludf.DUMMYFUNCTION("""COMPUTED_VALUE"""),184338.0)</f>
        <v>184338</v>
      </c>
      <c r="C1207" s="2">
        <f>IFERROR(__xludf.DUMMYFUNCTION("""COMPUTED_VALUE"""),2026.0)</f>
        <v>2026</v>
      </c>
      <c r="D1207" s="2">
        <f>IFERROR(__xludf.DUMMYFUNCTION("""COMPUTED_VALUE"""),46139.0)</f>
        <v>46139</v>
      </c>
      <c r="E1207" s="2" t="str">
        <f>IFERROR(__xludf.DUMMYFUNCTION("""COMPUTED_VALUE"""),"VF")</f>
        <v>VF</v>
      </c>
      <c r="F1207" s="2">
        <f>IFERROR(__xludf.DUMMYFUNCTION("""COMPUTED_VALUE"""),1.0)</f>
        <v>1</v>
      </c>
      <c r="G1207" s="2" t="str">
        <f>IFERROR(__xludf.DUMMYFUNCTION("""COMPUTED_VALUE"""),"PR011")</f>
        <v>PR011</v>
      </c>
      <c r="H1207" s="2" t="str">
        <f>IFERROR(__xludf.DUMMYFUNCTION("""COMPUTED_VALUE"""),"VD045")</f>
        <v>VD045</v>
      </c>
      <c r="I1207" s="2">
        <f>IFERROR(__xludf.DUMMYFUNCTION("""COMPUTED_VALUE"""),7.0)</f>
        <v>7</v>
      </c>
      <c r="J1207" s="2">
        <f>IFERROR(__xludf.DUMMYFUNCTION("""COMPUTED_VALUE"""),341.43)</f>
        <v>341.43</v>
      </c>
      <c r="K1207" s="2">
        <f>IFERROR(__xludf.DUMMYFUNCTION("""COMPUTED_VALUE"""),341.43)</f>
        <v>341.43</v>
      </c>
    </row>
    <row r="1208">
      <c r="A1208" s="2">
        <f>IFERROR(__xludf.DUMMYFUNCTION("""COMPUTED_VALUE"""),1000.0)</f>
        <v>1000</v>
      </c>
      <c r="B1208" s="2">
        <f>IFERROR(__xludf.DUMMYFUNCTION("""COMPUTED_VALUE"""),184339.0)</f>
        <v>184339</v>
      </c>
      <c r="C1208" s="2">
        <f>IFERROR(__xludf.DUMMYFUNCTION("""COMPUTED_VALUE"""),2026.0)</f>
        <v>2026</v>
      </c>
      <c r="D1208" s="2">
        <f>IFERROR(__xludf.DUMMYFUNCTION("""COMPUTED_VALUE"""),46139.0)</f>
        <v>46139</v>
      </c>
      <c r="E1208" s="2" t="str">
        <f>IFERROR(__xludf.DUMMYFUNCTION("""COMPUTED_VALUE"""),"VF")</f>
        <v>VF</v>
      </c>
      <c r="F1208" s="2">
        <f>IFERROR(__xludf.DUMMYFUNCTION("""COMPUTED_VALUE"""),1.0)</f>
        <v>1</v>
      </c>
      <c r="G1208" s="2" t="str">
        <f>IFERROR(__xludf.DUMMYFUNCTION("""COMPUTED_VALUE"""),"PR014")</f>
        <v>PR014</v>
      </c>
      <c r="H1208" s="2" t="str">
        <f>IFERROR(__xludf.DUMMYFUNCTION("""COMPUTED_VALUE"""),"VD015")</f>
        <v>VD015</v>
      </c>
      <c r="I1208" s="2">
        <f>IFERROR(__xludf.DUMMYFUNCTION("""COMPUTED_VALUE"""),16.0)</f>
        <v>16</v>
      </c>
      <c r="J1208" s="2">
        <f>IFERROR(__xludf.DUMMYFUNCTION("""COMPUTED_VALUE"""),644.78)</f>
        <v>644.78</v>
      </c>
      <c r="K1208" s="2">
        <f>IFERROR(__xludf.DUMMYFUNCTION("""COMPUTED_VALUE"""),644.78)</f>
        <v>644.78</v>
      </c>
    </row>
    <row r="1209">
      <c r="A1209" s="2">
        <f>IFERROR(__xludf.DUMMYFUNCTION("""COMPUTED_VALUE"""),1000.0)</f>
        <v>1000</v>
      </c>
      <c r="B1209" s="2">
        <f>IFERROR(__xludf.DUMMYFUNCTION("""COMPUTED_VALUE"""),184339.0)</f>
        <v>184339</v>
      </c>
      <c r="C1209" s="2">
        <f>IFERROR(__xludf.DUMMYFUNCTION("""COMPUTED_VALUE"""),2026.0)</f>
        <v>2026</v>
      </c>
      <c r="D1209" s="2">
        <f>IFERROR(__xludf.DUMMYFUNCTION("""COMPUTED_VALUE"""),46139.0)</f>
        <v>46139</v>
      </c>
      <c r="E1209" s="2" t="str">
        <f>IFERROR(__xludf.DUMMYFUNCTION("""COMPUTED_VALUE"""),"VF")</f>
        <v>VF</v>
      </c>
      <c r="F1209" s="2">
        <f>IFERROR(__xludf.DUMMYFUNCTION("""COMPUTED_VALUE"""),2.0)</f>
        <v>2</v>
      </c>
      <c r="G1209" s="2" t="str">
        <f>IFERROR(__xludf.DUMMYFUNCTION("""COMPUTED_VALUE"""),"PR021")</f>
        <v>PR021</v>
      </c>
      <c r="H1209" s="2" t="str">
        <f>IFERROR(__xludf.DUMMYFUNCTION("""COMPUTED_VALUE"""),"VD040")</f>
        <v>VD040</v>
      </c>
      <c r="I1209" s="2">
        <f>IFERROR(__xludf.DUMMYFUNCTION("""COMPUTED_VALUE"""),18.0)</f>
        <v>18</v>
      </c>
      <c r="J1209" s="2">
        <f>IFERROR(__xludf.DUMMYFUNCTION("""COMPUTED_VALUE"""),5942.9)</f>
        <v>5942.9</v>
      </c>
      <c r="K1209" s="2">
        <f>IFERROR(__xludf.DUMMYFUNCTION("""COMPUTED_VALUE"""),5942.9)</f>
        <v>5942.9</v>
      </c>
    </row>
    <row r="1210">
      <c r="A1210" s="2">
        <f>IFERROR(__xludf.DUMMYFUNCTION("""COMPUTED_VALUE"""),1000.0)</f>
        <v>1000</v>
      </c>
      <c r="B1210" s="2">
        <f>IFERROR(__xludf.DUMMYFUNCTION("""COMPUTED_VALUE"""),184339.0)</f>
        <v>184339</v>
      </c>
      <c r="C1210" s="2">
        <f>IFERROR(__xludf.DUMMYFUNCTION("""COMPUTED_VALUE"""),2026.0)</f>
        <v>2026</v>
      </c>
      <c r="D1210" s="2">
        <f>IFERROR(__xludf.DUMMYFUNCTION("""COMPUTED_VALUE"""),46139.0)</f>
        <v>46139</v>
      </c>
      <c r="E1210" s="2" t="str">
        <f>IFERROR(__xludf.DUMMYFUNCTION("""COMPUTED_VALUE"""),"VF")</f>
        <v>VF</v>
      </c>
      <c r="F1210" s="2">
        <f>IFERROR(__xludf.DUMMYFUNCTION("""COMPUTED_VALUE"""),3.0)</f>
        <v>3</v>
      </c>
      <c r="G1210" s="2" t="str">
        <f>IFERROR(__xludf.DUMMYFUNCTION("""COMPUTED_VALUE"""),"PR011")</f>
        <v>PR011</v>
      </c>
      <c r="H1210" s="2" t="str">
        <f>IFERROR(__xludf.DUMMYFUNCTION("""COMPUTED_VALUE"""),"VD027")</f>
        <v>VD027</v>
      </c>
      <c r="I1210" s="2">
        <f>IFERROR(__xludf.DUMMYFUNCTION("""COMPUTED_VALUE"""),8.0)</f>
        <v>8</v>
      </c>
      <c r="J1210" s="2">
        <f>IFERROR(__xludf.DUMMYFUNCTION("""COMPUTED_VALUE"""),408.97)</f>
        <v>408.97</v>
      </c>
      <c r="K1210" s="2">
        <f>IFERROR(__xludf.DUMMYFUNCTION("""COMPUTED_VALUE"""),408.97)</f>
        <v>408.97</v>
      </c>
    </row>
    <row r="1211">
      <c r="A1211" s="2">
        <f>IFERROR(__xludf.DUMMYFUNCTION("""COMPUTED_VALUE"""),1000.0)</f>
        <v>1000</v>
      </c>
      <c r="B1211" s="2">
        <f>IFERROR(__xludf.DUMMYFUNCTION("""COMPUTED_VALUE"""),184340.0)</f>
        <v>184340</v>
      </c>
      <c r="C1211" s="2">
        <f>IFERROR(__xludf.DUMMYFUNCTION("""COMPUTED_VALUE"""),2026.0)</f>
        <v>2026</v>
      </c>
      <c r="D1211" s="2">
        <f>IFERROR(__xludf.DUMMYFUNCTION("""COMPUTED_VALUE"""),46138.0)</f>
        <v>46138</v>
      </c>
      <c r="E1211" s="2" t="str">
        <f>IFERROR(__xludf.DUMMYFUNCTION("""COMPUTED_VALUE"""),"VF")</f>
        <v>VF</v>
      </c>
      <c r="F1211" s="2">
        <f>IFERROR(__xludf.DUMMYFUNCTION("""COMPUTED_VALUE"""),1.0)</f>
        <v>1</v>
      </c>
      <c r="G1211" s="2" t="str">
        <f>IFERROR(__xludf.DUMMYFUNCTION("""COMPUTED_VALUE"""),"PR003")</f>
        <v>PR003</v>
      </c>
      <c r="H1211" s="2" t="str">
        <f>IFERROR(__xludf.DUMMYFUNCTION("""COMPUTED_VALUE"""),"VD019")</f>
        <v>VD019</v>
      </c>
      <c r="I1211" s="2">
        <f>IFERROR(__xludf.DUMMYFUNCTION("""COMPUTED_VALUE"""),3.0)</f>
        <v>3</v>
      </c>
      <c r="J1211" s="2">
        <f>IFERROR(__xludf.DUMMYFUNCTION("""COMPUTED_VALUE"""),212.7)</f>
        <v>212.7</v>
      </c>
      <c r="K1211" s="2">
        <f>IFERROR(__xludf.DUMMYFUNCTION("""COMPUTED_VALUE"""),212.7)</f>
        <v>212.7</v>
      </c>
    </row>
    <row r="1212">
      <c r="A1212" s="2">
        <f>IFERROR(__xludf.DUMMYFUNCTION("""COMPUTED_VALUE"""),1000.0)</f>
        <v>1000</v>
      </c>
      <c r="B1212" s="2">
        <f>IFERROR(__xludf.DUMMYFUNCTION("""COMPUTED_VALUE"""),184340.0)</f>
        <v>184340</v>
      </c>
      <c r="C1212" s="2">
        <f>IFERROR(__xludf.DUMMYFUNCTION("""COMPUTED_VALUE"""),2026.0)</f>
        <v>2026</v>
      </c>
      <c r="D1212" s="2">
        <f>IFERROR(__xludf.DUMMYFUNCTION("""COMPUTED_VALUE"""),46138.0)</f>
        <v>46138</v>
      </c>
      <c r="E1212" s="2" t="str">
        <f>IFERROR(__xludf.DUMMYFUNCTION("""COMPUTED_VALUE"""),"VF")</f>
        <v>VF</v>
      </c>
      <c r="F1212" s="2">
        <f>IFERROR(__xludf.DUMMYFUNCTION("""COMPUTED_VALUE"""),2.0)</f>
        <v>2</v>
      </c>
      <c r="G1212" s="2" t="str">
        <f>IFERROR(__xludf.DUMMYFUNCTION("""COMPUTED_VALUE"""),"PR045")</f>
        <v>PR045</v>
      </c>
      <c r="H1212" s="2" t="str">
        <f>IFERROR(__xludf.DUMMYFUNCTION("""COMPUTED_VALUE"""),"VD016")</f>
        <v>VD016</v>
      </c>
      <c r="I1212" s="2">
        <f>IFERROR(__xludf.DUMMYFUNCTION("""COMPUTED_VALUE"""),5.0)</f>
        <v>5</v>
      </c>
      <c r="J1212" s="2">
        <f>IFERROR(__xludf.DUMMYFUNCTION("""COMPUTED_VALUE"""),380.63)</f>
        <v>380.63</v>
      </c>
      <c r="K1212" s="2">
        <f>IFERROR(__xludf.DUMMYFUNCTION("""COMPUTED_VALUE"""),380.63)</f>
        <v>380.63</v>
      </c>
    </row>
    <row r="1213">
      <c r="A1213" s="2">
        <f>IFERROR(__xludf.DUMMYFUNCTION("""COMPUTED_VALUE"""),1000.0)</f>
        <v>1000</v>
      </c>
      <c r="B1213" s="2">
        <f>IFERROR(__xludf.DUMMYFUNCTION("""COMPUTED_VALUE"""),184341.0)</f>
        <v>184341</v>
      </c>
      <c r="C1213" s="2">
        <f>IFERROR(__xludf.DUMMYFUNCTION("""COMPUTED_VALUE"""),2026.0)</f>
        <v>2026</v>
      </c>
      <c r="D1213" s="2">
        <f>IFERROR(__xludf.DUMMYFUNCTION("""COMPUTED_VALUE"""),46138.0)</f>
        <v>46138</v>
      </c>
      <c r="E1213" s="2" t="str">
        <f>IFERROR(__xludf.DUMMYFUNCTION("""COMPUTED_VALUE"""),"VF")</f>
        <v>VF</v>
      </c>
      <c r="F1213" s="2">
        <f>IFERROR(__xludf.DUMMYFUNCTION("""COMPUTED_VALUE"""),1.0)</f>
        <v>1</v>
      </c>
      <c r="G1213" s="2" t="str">
        <f>IFERROR(__xludf.DUMMYFUNCTION("""COMPUTED_VALUE"""),"PR056")</f>
        <v>PR056</v>
      </c>
      <c r="H1213" s="2" t="str">
        <f>IFERROR(__xludf.DUMMYFUNCTION("""COMPUTED_VALUE"""),"VD013")</f>
        <v>VD013</v>
      </c>
      <c r="I1213" s="2">
        <f>IFERROR(__xludf.DUMMYFUNCTION("""COMPUTED_VALUE"""),3.0)</f>
        <v>3</v>
      </c>
      <c r="J1213" s="2">
        <f>IFERROR(__xludf.DUMMYFUNCTION("""COMPUTED_VALUE"""),293.97)</f>
        <v>293.97</v>
      </c>
      <c r="K1213" s="2">
        <f>IFERROR(__xludf.DUMMYFUNCTION("""COMPUTED_VALUE"""),293.97)</f>
        <v>293.97</v>
      </c>
    </row>
    <row r="1214">
      <c r="A1214" s="2">
        <f>IFERROR(__xludf.DUMMYFUNCTION("""COMPUTED_VALUE"""),1000.0)</f>
        <v>1000</v>
      </c>
      <c r="B1214" s="2">
        <f>IFERROR(__xludf.DUMMYFUNCTION("""COMPUTED_VALUE"""),184342.0)</f>
        <v>184342</v>
      </c>
      <c r="C1214" s="2">
        <f>IFERROR(__xludf.DUMMYFUNCTION("""COMPUTED_VALUE"""),2026.0)</f>
        <v>2026</v>
      </c>
      <c r="D1214" s="2">
        <f>IFERROR(__xludf.DUMMYFUNCTION("""COMPUTED_VALUE"""),46138.0)</f>
        <v>46138</v>
      </c>
      <c r="E1214" s="2" t="str">
        <f>IFERROR(__xludf.DUMMYFUNCTION("""COMPUTED_VALUE"""),"VF")</f>
        <v>VF</v>
      </c>
      <c r="F1214" s="2">
        <f>IFERROR(__xludf.DUMMYFUNCTION("""COMPUTED_VALUE"""),1.0)</f>
        <v>1</v>
      </c>
      <c r="G1214" s="2" t="str">
        <f>IFERROR(__xludf.DUMMYFUNCTION("""COMPUTED_VALUE"""),"PR039")</f>
        <v>PR039</v>
      </c>
      <c r="H1214" s="2" t="str">
        <f>IFERROR(__xludf.DUMMYFUNCTION("""COMPUTED_VALUE"""),"VD025")</f>
        <v>VD025</v>
      </c>
      <c r="I1214" s="2">
        <f>IFERROR(__xludf.DUMMYFUNCTION("""COMPUTED_VALUE"""),18.0)</f>
        <v>18</v>
      </c>
      <c r="J1214" s="2">
        <f>IFERROR(__xludf.DUMMYFUNCTION("""COMPUTED_VALUE"""),2733.12)</f>
        <v>2733.12</v>
      </c>
      <c r="K1214" s="2">
        <f>IFERROR(__xludf.DUMMYFUNCTION("""COMPUTED_VALUE"""),2733.12)</f>
        <v>2733.12</v>
      </c>
    </row>
    <row r="1215">
      <c r="A1215" s="2">
        <f>IFERROR(__xludf.DUMMYFUNCTION("""COMPUTED_VALUE"""),1000.0)</f>
        <v>1000</v>
      </c>
      <c r="B1215" s="2">
        <f>IFERROR(__xludf.DUMMYFUNCTION("""COMPUTED_VALUE"""),184343.0)</f>
        <v>184343</v>
      </c>
      <c r="C1215" s="2">
        <f>IFERROR(__xludf.DUMMYFUNCTION("""COMPUTED_VALUE"""),2026.0)</f>
        <v>2026</v>
      </c>
      <c r="D1215" s="2">
        <f>IFERROR(__xludf.DUMMYFUNCTION("""COMPUTED_VALUE"""),46137.0)</f>
        <v>46137</v>
      </c>
      <c r="E1215" s="2" t="str">
        <f>IFERROR(__xludf.DUMMYFUNCTION("""COMPUTED_VALUE"""),"VF")</f>
        <v>VF</v>
      </c>
      <c r="F1215" s="2">
        <f>IFERROR(__xludf.DUMMYFUNCTION("""COMPUTED_VALUE"""),1.0)</f>
        <v>1</v>
      </c>
      <c r="G1215" s="2" t="str">
        <f>IFERROR(__xludf.DUMMYFUNCTION("""COMPUTED_VALUE"""),"PR001")</f>
        <v>PR001</v>
      </c>
      <c r="H1215" s="2" t="str">
        <f>IFERROR(__xludf.DUMMYFUNCTION("""COMPUTED_VALUE"""),"VD025")</f>
        <v>VD025</v>
      </c>
      <c r="I1215" s="2">
        <f>IFERROR(__xludf.DUMMYFUNCTION("""COMPUTED_VALUE"""),9.0)</f>
        <v>9</v>
      </c>
      <c r="J1215" s="2">
        <f>IFERROR(__xludf.DUMMYFUNCTION("""COMPUTED_VALUE"""),610.89)</f>
        <v>610.89</v>
      </c>
      <c r="K1215" s="2">
        <f>IFERROR(__xludf.DUMMYFUNCTION("""COMPUTED_VALUE"""),610.89)</f>
        <v>610.89</v>
      </c>
    </row>
    <row r="1216">
      <c r="A1216" s="2">
        <f>IFERROR(__xludf.DUMMYFUNCTION("""COMPUTED_VALUE"""),1000.0)</f>
        <v>1000</v>
      </c>
      <c r="B1216" s="2">
        <f>IFERROR(__xludf.DUMMYFUNCTION("""COMPUTED_VALUE"""),184344.0)</f>
        <v>184344</v>
      </c>
      <c r="C1216" s="2">
        <f>IFERROR(__xludf.DUMMYFUNCTION("""COMPUTED_VALUE"""),2026.0)</f>
        <v>2026</v>
      </c>
      <c r="D1216" s="2">
        <f>IFERROR(__xludf.DUMMYFUNCTION("""COMPUTED_VALUE"""),46137.0)</f>
        <v>46137</v>
      </c>
      <c r="E1216" s="2" t="str">
        <f>IFERROR(__xludf.DUMMYFUNCTION("""COMPUTED_VALUE"""),"VF")</f>
        <v>VF</v>
      </c>
      <c r="F1216" s="2">
        <f>IFERROR(__xludf.DUMMYFUNCTION("""COMPUTED_VALUE"""),1.0)</f>
        <v>1</v>
      </c>
      <c r="G1216" s="2" t="str">
        <f>IFERROR(__xludf.DUMMYFUNCTION("""COMPUTED_VALUE"""),"PR004")</f>
        <v>PR004</v>
      </c>
      <c r="H1216" s="2" t="str">
        <f>IFERROR(__xludf.DUMMYFUNCTION("""COMPUTED_VALUE"""),"VD021")</f>
        <v>VD021</v>
      </c>
      <c r="I1216" s="2">
        <f>IFERROR(__xludf.DUMMYFUNCTION("""COMPUTED_VALUE"""),10.0)</f>
        <v>10</v>
      </c>
      <c r="J1216" s="2">
        <f>IFERROR(__xludf.DUMMYFUNCTION("""COMPUTED_VALUE"""),1537.0)</f>
        <v>1537</v>
      </c>
      <c r="K1216" s="2">
        <f>IFERROR(__xludf.DUMMYFUNCTION("""COMPUTED_VALUE"""),1537.0)</f>
        <v>1537</v>
      </c>
    </row>
    <row r="1217">
      <c r="A1217" s="2">
        <f>IFERROR(__xludf.DUMMYFUNCTION("""COMPUTED_VALUE"""),1000.0)</f>
        <v>1000</v>
      </c>
      <c r="B1217" s="2">
        <f>IFERROR(__xludf.DUMMYFUNCTION("""COMPUTED_VALUE"""),184344.0)</f>
        <v>184344</v>
      </c>
      <c r="C1217" s="2">
        <f>IFERROR(__xludf.DUMMYFUNCTION("""COMPUTED_VALUE"""),2026.0)</f>
        <v>2026</v>
      </c>
      <c r="D1217" s="2">
        <f>IFERROR(__xludf.DUMMYFUNCTION("""COMPUTED_VALUE"""),46137.0)</f>
        <v>46137</v>
      </c>
      <c r="E1217" s="2" t="str">
        <f>IFERROR(__xludf.DUMMYFUNCTION("""COMPUTED_VALUE"""),"VF")</f>
        <v>VF</v>
      </c>
      <c r="F1217" s="2">
        <f>IFERROR(__xludf.DUMMYFUNCTION("""COMPUTED_VALUE"""),2.0)</f>
        <v>2</v>
      </c>
      <c r="G1217" s="2" t="str">
        <f>IFERROR(__xludf.DUMMYFUNCTION("""COMPUTED_VALUE"""),"PR026")</f>
        <v>PR026</v>
      </c>
      <c r="H1217" s="2" t="str">
        <f>IFERROR(__xludf.DUMMYFUNCTION("""COMPUTED_VALUE"""),"VD011")</f>
        <v>VD011</v>
      </c>
      <c r="I1217" s="2">
        <f>IFERROR(__xludf.DUMMYFUNCTION("""COMPUTED_VALUE"""),3.0)</f>
        <v>3</v>
      </c>
      <c r="J1217" s="2">
        <f>IFERROR(__xludf.DUMMYFUNCTION("""COMPUTED_VALUE"""),1060.2)</f>
        <v>1060.2</v>
      </c>
      <c r="K1217" s="2">
        <f>IFERROR(__xludf.DUMMYFUNCTION("""COMPUTED_VALUE"""),1060.2)</f>
        <v>1060.2</v>
      </c>
    </row>
    <row r="1218">
      <c r="A1218" s="2">
        <f>IFERROR(__xludf.DUMMYFUNCTION("""COMPUTED_VALUE"""),1000.0)</f>
        <v>1000</v>
      </c>
      <c r="B1218" s="2">
        <f>IFERROR(__xludf.DUMMYFUNCTION("""COMPUTED_VALUE"""),184345.0)</f>
        <v>184345</v>
      </c>
      <c r="C1218" s="2">
        <f>IFERROR(__xludf.DUMMYFUNCTION("""COMPUTED_VALUE"""),2026.0)</f>
        <v>2026</v>
      </c>
      <c r="D1218" s="2">
        <f>IFERROR(__xludf.DUMMYFUNCTION("""COMPUTED_VALUE"""),46137.0)</f>
        <v>46137</v>
      </c>
      <c r="E1218" s="2" t="str">
        <f>IFERROR(__xludf.DUMMYFUNCTION("""COMPUTED_VALUE"""),"VF")</f>
        <v>VF</v>
      </c>
      <c r="F1218" s="2">
        <f>IFERROR(__xludf.DUMMYFUNCTION("""COMPUTED_VALUE"""),1.0)</f>
        <v>1</v>
      </c>
      <c r="G1218" s="2" t="str">
        <f>IFERROR(__xludf.DUMMYFUNCTION("""COMPUTED_VALUE"""),"PR013")</f>
        <v>PR013</v>
      </c>
      <c r="H1218" s="2" t="str">
        <f>IFERROR(__xludf.DUMMYFUNCTION("""COMPUTED_VALUE"""),"VD025")</f>
        <v>VD025</v>
      </c>
      <c r="I1218" s="2">
        <f>IFERROR(__xludf.DUMMYFUNCTION("""COMPUTED_VALUE"""),18.0)</f>
        <v>18</v>
      </c>
      <c r="J1218" s="2">
        <f>IFERROR(__xludf.DUMMYFUNCTION("""COMPUTED_VALUE"""),732.56)</f>
        <v>732.56</v>
      </c>
      <c r="K1218" s="2">
        <f>IFERROR(__xludf.DUMMYFUNCTION("""COMPUTED_VALUE"""),732.56)</f>
        <v>732.56</v>
      </c>
    </row>
    <row r="1219">
      <c r="A1219" s="2">
        <f>IFERROR(__xludf.DUMMYFUNCTION("""COMPUTED_VALUE"""),1000.0)</f>
        <v>1000</v>
      </c>
      <c r="B1219" s="2">
        <f>IFERROR(__xludf.DUMMYFUNCTION("""COMPUTED_VALUE"""),184346.0)</f>
        <v>184346</v>
      </c>
      <c r="C1219" s="2">
        <f>IFERROR(__xludf.DUMMYFUNCTION("""COMPUTED_VALUE"""),2026.0)</f>
        <v>2026</v>
      </c>
      <c r="D1219" s="2">
        <f>IFERROR(__xludf.DUMMYFUNCTION("""COMPUTED_VALUE"""),46137.0)</f>
        <v>46137</v>
      </c>
      <c r="E1219" s="2" t="str">
        <f>IFERROR(__xludf.DUMMYFUNCTION("""COMPUTED_VALUE"""),"VF")</f>
        <v>VF</v>
      </c>
      <c r="F1219" s="2">
        <f>IFERROR(__xludf.DUMMYFUNCTION("""COMPUTED_VALUE"""),1.0)</f>
        <v>1</v>
      </c>
      <c r="G1219" s="2" t="str">
        <f>IFERROR(__xludf.DUMMYFUNCTION("""COMPUTED_VALUE"""),"PR033")</f>
        <v>PR033</v>
      </c>
      <c r="H1219" s="2" t="str">
        <f>IFERROR(__xludf.DUMMYFUNCTION("""COMPUTED_VALUE"""),"VD023")</f>
        <v>VD023</v>
      </c>
      <c r="I1219" s="2">
        <f>IFERROR(__xludf.DUMMYFUNCTION("""COMPUTED_VALUE"""),7.0)</f>
        <v>7</v>
      </c>
      <c r="J1219" s="2">
        <f>IFERROR(__xludf.DUMMYFUNCTION("""COMPUTED_VALUE"""),2001.23)</f>
        <v>2001.23</v>
      </c>
      <c r="K1219" s="2">
        <f>IFERROR(__xludf.DUMMYFUNCTION("""COMPUTED_VALUE"""),2001.23)</f>
        <v>2001.23</v>
      </c>
    </row>
    <row r="1220">
      <c r="A1220" s="2">
        <f>IFERROR(__xludf.DUMMYFUNCTION("""COMPUTED_VALUE"""),1000.0)</f>
        <v>1000</v>
      </c>
      <c r="B1220" s="2">
        <f>IFERROR(__xludf.DUMMYFUNCTION("""COMPUTED_VALUE"""),184347.0)</f>
        <v>184347</v>
      </c>
      <c r="C1220" s="2">
        <f>IFERROR(__xludf.DUMMYFUNCTION("""COMPUTED_VALUE"""),2026.0)</f>
        <v>2026</v>
      </c>
      <c r="D1220" s="2">
        <f>IFERROR(__xludf.DUMMYFUNCTION("""COMPUTED_VALUE"""),46136.0)</f>
        <v>46136</v>
      </c>
      <c r="E1220" s="2" t="str">
        <f>IFERROR(__xludf.DUMMYFUNCTION("""COMPUTED_VALUE"""),"VF")</f>
        <v>VF</v>
      </c>
      <c r="F1220" s="2">
        <f>IFERROR(__xludf.DUMMYFUNCTION("""COMPUTED_VALUE"""),1.0)</f>
        <v>1</v>
      </c>
      <c r="G1220" s="2" t="str">
        <f>IFERROR(__xludf.DUMMYFUNCTION("""COMPUTED_VALUE"""),"PR052")</f>
        <v>PR052</v>
      </c>
      <c r="H1220" s="2" t="str">
        <f>IFERROR(__xludf.DUMMYFUNCTION("""COMPUTED_VALUE"""),"VD022")</f>
        <v>VD022</v>
      </c>
      <c r="I1220" s="2">
        <f>IFERROR(__xludf.DUMMYFUNCTION("""COMPUTED_VALUE"""),5.0)</f>
        <v>5</v>
      </c>
      <c r="J1220" s="2">
        <f>IFERROR(__xludf.DUMMYFUNCTION("""COMPUTED_VALUE"""),254.49)</f>
        <v>254.49</v>
      </c>
      <c r="K1220" s="2">
        <f>IFERROR(__xludf.DUMMYFUNCTION("""COMPUTED_VALUE"""),254.49)</f>
        <v>254.49</v>
      </c>
    </row>
    <row r="1221">
      <c r="A1221" s="2">
        <f>IFERROR(__xludf.DUMMYFUNCTION("""COMPUTED_VALUE"""),2000.0)</f>
        <v>2000</v>
      </c>
      <c r="B1221" s="2">
        <f>IFERROR(__xludf.DUMMYFUNCTION("""COMPUTED_VALUE"""),184348.0)</f>
        <v>184348</v>
      </c>
      <c r="C1221" s="2">
        <f>IFERROR(__xludf.DUMMYFUNCTION("""COMPUTED_VALUE"""),2026.0)</f>
        <v>2026</v>
      </c>
      <c r="D1221" s="2">
        <f>IFERROR(__xludf.DUMMYFUNCTION("""COMPUTED_VALUE"""),46136.0)</f>
        <v>46136</v>
      </c>
      <c r="E1221" s="2" t="str">
        <f>IFERROR(__xludf.DUMMYFUNCTION("""COMPUTED_VALUE"""),"VF")</f>
        <v>VF</v>
      </c>
      <c r="F1221" s="2">
        <f>IFERROR(__xludf.DUMMYFUNCTION("""COMPUTED_VALUE"""),1.0)</f>
        <v>1</v>
      </c>
      <c r="G1221" s="2" t="str">
        <f>IFERROR(__xludf.DUMMYFUNCTION("""COMPUTED_VALUE"""),"PR028")</f>
        <v>PR028</v>
      </c>
      <c r="H1221" s="2" t="str">
        <f>IFERROR(__xludf.DUMMYFUNCTION("""COMPUTED_VALUE"""),"VD024")</f>
        <v>VD024</v>
      </c>
      <c r="I1221" s="2">
        <f>IFERROR(__xludf.DUMMYFUNCTION("""COMPUTED_VALUE"""),18.0)</f>
        <v>18</v>
      </c>
      <c r="J1221" s="2">
        <f>IFERROR(__xludf.DUMMYFUNCTION("""COMPUTED_VALUE"""),4498.2)</f>
        <v>4498.2</v>
      </c>
      <c r="K1221" s="2">
        <f>IFERROR(__xludf.DUMMYFUNCTION("""COMPUTED_VALUE"""),4498.2)</f>
        <v>4498.2</v>
      </c>
    </row>
    <row r="1222">
      <c r="A1222" s="2">
        <f>IFERROR(__xludf.DUMMYFUNCTION("""COMPUTED_VALUE"""),1000.0)</f>
        <v>1000</v>
      </c>
      <c r="B1222" s="2">
        <f>IFERROR(__xludf.DUMMYFUNCTION("""COMPUTED_VALUE"""),184349.0)</f>
        <v>184349</v>
      </c>
      <c r="C1222" s="2">
        <f>IFERROR(__xludf.DUMMYFUNCTION("""COMPUTED_VALUE"""),2026.0)</f>
        <v>2026</v>
      </c>
      <c r="D1222" s="2">
        <f>IFERROR(__xludf.DUMMYFUNCTION("""COMPUTED_VALUE"""),46136.0)</f>
        <v>46136</v>
      </c>
      <c r="E1222" s="2" t="str">
        <f>IFERROR(__xludf.DUMMYFUNCTION("""COMPUTED_VALUE"""),"VF")</f>
        <v>VF</v>
      </c>
      <c r="F1222" s="2">
        <f>IFERROR(__xludf.DUMMYFUNCTION("""COMPUTED_VALUE"""),1.0)</f>
        <v>1</v>
      </c>
      <c r="G1222" s="2" t="str">
        <f>IFERROR(__xludf.DUMMYFUNCTION("""COMPUTED_VALUE"""),"PR032")</f>
        <v>PR032</v>
      </c>
      <c r="H1222" s="2" t="str">
        <f>IFERROR(__xludf.DUMMYFUNCTION("""COMPUTED_VALUE"""),"VD026")</f>
        <v>VD026</v>
      </c>
      <c r="I1222" s="2">
        <f>IFERROR(__xludf.DUMMYFUNCTION("""COMPUTED_VALUE"""),7.0)</f>
        <v>7</v>
      </c>
      <c r="J1222" s="2">
        <f>IFERROR(__xludf.DUMMYFUNCTION("""COMPUTED_VALUE"""),1785.0)</f>
        <v>1785</v>
      </c>
      <c r="K1222" s="2">
        <f>IFERROR(__xludf.DUMMYFUNCTION("""COMPUTED_VALUE"""),1785.0)</f>
        <v>1785</v>
      </c>
    </row>
    <row r="1223">
      <c r="A1223" s="2">
        <f>IFERROR(__xludf.DUMMYFUNCTION("""COMPUTED_VALUE"""),1000.0)</f>
        <v>1000</v>
      </c>
      <c r="B1223" s="2">
        <f>IFERROR(__xludf.DUMMYFUNCTION("""COMPUTED_VALUE"""),184349.0)</f>
        <v>184349</v>
      </c>
      <c r="C1223" s="2">
        <f>IFERROR(__xludf.DUMMYFUNCTION("""COMPUTED_VALUE"""),2026.0)</f>
        <v>2026</v>
      </c>
      <c r="D1223" s="2">
        <f>IFERROR(__xludf.DUMMYFUNCTION("""COMPUTED_VALUE"""),46136.0)</f>
        <v>46136</v>
      </c>
      <c r="E1223" s="2" t="str">
        <f>IFERROR(__xludf.DUMMYFUNCTION("""COMPUTED_VALUE"""),"VF")</f>
        <v>VF</v>
      </c>
      <c r="F1223" s="2">
        <f>IFERROR(__xludf.DUMMYFUNCTION("""COMPUTED_VALUE"""),2.0)</f>
        <v>2</v>
      </c>
      <c r="G1223" s="2" t="str">
        <f>IFERROR(__xludf.DUMMYFUNCTION("""COMPUTED_VALUE"""),"PR014")</f>
        <v>PR014</v>
      </c>
      <c r="H1223" s="2" t="str">
        <f>IFERROR(__xludf.DUMMYFUNCTION("""COMPUTED_VALUE"""),"VD019")</f>
        <v>VD019</v>
      </c>
      <c r="I1223" s="2">
        <f>IFERROR(__xludf.DUMMYFUNCTION("""COMPUTED_VALUE"""),2.0)</f>
        <v>2</v>
      </c>
      <c r="J1223" s="2">
        <f>IFERROR(__xludf.DUMMYFUNCTION("""COMPUTED_VALUE"""),85.39)</f>
        <v>85.39</v>
      </c>
      <c r="K1223" s="2">
        <f>IFERROR(__xludf.DUMMYFUNCTION("""COMPUTED_VALUE"""),85.39)</f>
        <v>85.39</v>
      </c>
    </row>
    <row r="1224">
      <c r="A1224" s="2">
        <f>IFERROR(__xludf.DUMMYFUNCTION("""COMPUTED_VALUE"""),1000.0)</f>
        <v>1000</v>
      </c>
      <c r="B1224" s="2">
        <f>IFERROR(__xludf.DUMMYFUNCTION("""COMPUTED_VALUE"""),184350.0)</f>
        <v>184350</v>
      </c>
      <c r="C1224" s="2">
        <f>IFERROR(__xludf.DUMMYFUNCTION("""COMPUTED_VALUE"""),2026.0)</f>
        <v>2026</v>
      </c>
      <c r="D1224" s="2">
        <f>IFERROR(__xludf.DUMMYFUNCTION("""COMPUTED_VALUE"""),46135.0)</f>
        <v>46135</v>
      </c>
      <c r="E1224" s="2" t="str">
        <f>IFERROR(__xludf.DUMMYFUNCTION("""COMPUTED_VALUE"""),"VF")</f>
        <v>VF</v>
      </c>
      <c r="F1224" s="2">
        <f>IFERROR(__xludf.DUMMYFUNCTION("""COMPUTED_VALUE"""),1.0)</f>
        <v>1</v>
      </c>
      <c r="G1224" s="2" t="str">
        <f>IFERROR(__xludf.DUMMYFUNCTION("""COMPUTED_VALUE"""),"PR027")</f>
        <v>PR027</v>
      </c>
      <c r="H1224" s="2" t="str">
        <f>IFERROR(__xludf.DUMMYFUNCTION("""COMPUTED_VALUE"""),"VD011")</f>
        <v>VD011</v>
      </c>
      <c r="I1224" s="2">
        <f>IFERROR(__xludf.DUMMYFUNCTION("""COMPUTED_VALUE"""),4.0)</f>
        <v>4</v>
      </c>
      <c r="J1224" s="2">
        <f>IFERROR(__xludf.DUMMYFUNCTION("""COMPUTED_VALUE"""),513.6)</f>
        <v>513.6</v>
      </c>
      <c r="K1224" s="2">
        <f>IFERROR(__xludf.DUMMYFUNCTION("""COMPUTED_VALUE"""),513.6)</f>
        <v>513.6</v>
      </c>
    </row>
    <row r="1225">
      <c r="A1225" s="2">
        <f>IFERROR(__xludf.DUMMYFUNCTION("""COMPUTED_VALUE"""),1000.0)</f>
        <v>1000</v>
      </c>
      <c r="B1225" s="2">
        <f>IFERROR(__xludf.DUMMYFUNCTION("""COMPUTED_VALUE"""),184351.0)</f>
        <v>184351</v>
      </c>
      <c r="C1225" s="2">
        <f>IFERROR(__xludf.DUMMYFUNCTION("""COMPUTED_VALUE"""),2026.0)</f>
        <v>2026</v>
      </c>
      <c r="D1225" s="2">
        <f>IFERROR(__xludf.DUMMYFUNCTION("""COMPUTED_VALUE"""),46135.0)</f>
        <v>46135</v>
      </c>
      <c r="E1225" s="2" t="str">
        <f>IFERROR(__xludf.DUMMYFUNCTION("""COMPUTED_VALUE"""),"VF")</f>
        <v>VF</v>
      </c>
      <c r="F1225" s="2">
        <f>IFERROR(__xludf.DUMMYFUNCTION("""COMPUTED_VALUE"""),1.0)</f>
        <v>1</v>
      </c>
      <c r="G1225" s="2" t="str">
        <f>IFERROR(__xludf.DUMMYFUNCTION("""COMPUTED_VALUE"""),"PR054")</f>
        <v>PR054</v>
      </c>
      <c r="H1225" s="2" t="str">
        <f>IFERROR(__xludf.DUMMYFUNCTION("""COMPUTED_VALUE"""),"VD039")</f>
        <v>VD039</v>
      </c>
      <c r="I1225" s="2">
        <f>IFERROR(__xludf.DUMMYFUNCTION("""COMPUTED_VALUE"""),10.0)</f>
        <v>10</v>
      </c>
      <c r="J1225" s="2">
        <f>IFERROR(__xludf.DUMMYFUNCTION("""COMPUTED_VALUE"""),528.94)</f>
        <v>528.94</v>
      </c>
      <c r="K1225" s="2">
        <f>IFERROR(__xludf.DUMMYFUNCTION("""COMPUTED_VALUE"""),528.94)</f>
        <v>528.94</v>
      </c>
    </row>
    <row r="1226">
      <c r="A1226" s="2">
        <f>IFERROR(__xludf.DUMMYFUNCTION("""COMPUTED_VALUE"""),1000.0)</f>
        <v>1000</v>
      </c>
      <c r="B1226" s="2">
        <f>IFERROR(__xludf.DUMMYFUNCTION("""COMPUTED_VALUE"""),184352.0)</f>
        <v>184352</v>
      </c>
      <c r="C1226" s="2">
        <f>IFERROR(__xludf.DUMMYFUNCTION("""COMPUTED_VALUE"""),2026.0)</f>
        <v>2026</v>
      </c>
      <c r="D1226" s="2">
        <f>IFERROR(__xludf.DUMMYFUNCTION("""COMPUTED_VALUE"""),46134.0)</f>
        <v>46134</v>
      </c>
      <c r="E1226" s="2" t="str">
        <f>IFERROR(__xludf.DUMMYFUNCTION("""COMPUTED_VALUE"""),"VF")</f>
        <v>VF</v>
      </c>
      <c r="F1226" s="2">
        <f>IFERROR(__xludf.DUMMYFUNCTION("""COMPUTED_VALUE"""),1.0)</f>
        <v>1</v>
      </c>
      <c r="G1226" s="2" t="str">
        <f>IFERROR(__xludf.DUMMYFUNCTION("""COMPUTED_VALUE"""),"PR050")</f>
        <v>PR050</v>
      </c>
      <c r="H1226" s="2" t="str">
        <f>IFERROR(__xludf.DUMMYFUNCTION("""COMPUTED_VALUE"""),"VD016")</f>
        <v>VD016</v>
      </c>
      <c r="I1226" s="2">
        <f>IFERROR(__xludf.DUMMYFUNCTION("""COMPUTED_VALUE"""),4.0)</f>
        <v>4</v>
      </c>
      <c r="J1226" s="2">
        <f>IFERROR(__xludf.DUMMYFUNCTION("""COMPUTED_VALUE"""),139.5)</f>
        <v>139.5</v>
      </c>
      <c r="K1226" s="2">
        <f>IFERROR(__xludf.DUMMYFUNCTION("""COMPUTED_VALUE"""),139.5)</f>
        <v>139.5</v>
      </c>
    </row>
    <row r="1227">
      <c r="A1227" s="2">
        <f>IFERROR(__xludf.DUMMYFUNCTION("""COMPUTED_VALUE"""),1000.0)</f>
        <v>1000</v>
      </c>
      <c r="B1227" s="2">
        <f>IFERROR(__xludf.DUMMYFUNCTION("""COMPUTED_VALUE"""),184353.0)</f>
        <v>184353</v>
      </c>
      <c r="C1227" s="2">
        <f>IFERROR(__xludf.DUMMYFUNCTION("""COMPUTED_VALUE"""),2026.0)</f>
        <v>2026</v>
      </c>
      <c r="D1227" s="2">
        <f>IFERROR(__xludf.DUMMYFUNCTION("""COMPUTED_VALUE"""),46134.0)</f>
        <v>46134</v>
      </c>
      <c r="E1227" s="2" t="str">
        <f>IFERROR(__xludf.DUMMYFUNCTION("""COMPUTED_VALUE"""),"VF")</f>
        <v>VF</v>
      </c>
      <c r="F1227" s="2">
        <f>IFERROR(__xludf.DUMMYFUNCTION("""COMPUTED_VALUE"""),1.0)</f>
        <v>1</v>
      </c>
      <c r="G1227" s="2" t="str">
        <f>IFERROR(__xludf.DUMMYFUNCTION("""COMPUTED_VALUE"""),"PR041")</f>
        <v>PR041</v>
      </c>
      <c r="H1227" s="2" t="str">
        <f>IFERROR(__xludf.DUMMYFUNCTION("""COMPUTED_VALUE"""),"VD027")</f>
        <v>VD027</v>
      </c>
      <c r="I1227" s="2">
        <f>IFERROR(__xludf.DUMMYFUNCTION("""COMPUTED_VALUE"""),10.0)</f>
        <v>10</v>
      </c>
      <c r="J1227" s="2">
        <f>IFERROR(__xludf.DUMMYFUNCTION("""COMPUTED_VALUE"""),592.92)</f>
        <v>592.92</v>
      </c>
      <c r="K1227" s="2">
        <f>IFERROR(__xludf.DUMMYFUNCTION("""COMPUTED_VALUE"""),592.92)</f>
        <v>592.92</v>
      </c>
    </row>
    <row r="1228">
      <c r="A1228" s="2">
        <f>IFERROR(__xludf.DUMMYFUNCTION("""COMPUTED_VALUE"""),1000.0)</f>
        <v>1000</v>
      </c>
      <c r="B1228" s="2">
        <f>IFERROR(__xludf.DUMMYFUNCTION("""COMPUTED_VALUE"""),184354.0)</f>
        <v>184354</v>
      </c>
      <c r="C1228" s="2">
        <f>IFERROR(__xludf.DUMMYFUNCTION("""COMPUTED_VALUE"""),2026.0)</f>
        <v>2026</v>
      </c>
      <c r="D1228" s="2">
        <f>IFERROR(__xludf.DUMMYFUNCTION("""COMPUTED_VALUE"""),46134.0)</f>
        <v>46134</v>
      </c>
      <c r="E1228" s="2" t="str">
        <f>IFERROR(__xludf.DUMMYFUNCTION("""COMPUTED_VALUE"""),"VF")</f>
        <v>VF</v>
      </c>
      <c r="F1228" s="2">
        <f>IFERROR(__xludf.DUMMYFUNCTION("""COMPUTED_VALUE"""),1.0)</f>
        <v>1</v>
      </c>
      <c r="G1228" s="2" t="str">
        <f>IFERROR(__xludf.DUMMYFUNCTION("""COMPUTED_VALUE"""),"PR046")</f>
        <v>PR046</v>
      </c>
      <c r="H1228" s="2" t="str">
        <f>IFERROR(__xludf.DUMMYFUNCTION("""COMPUTED_VALUE"""),"VD020")</f>
        <v>VD020</v>
      </c>
      <c r="I1228" s="2">
        <f>IFERROR(__xludf.DUMMYFUNCTION("""COMPUTED_VALUE"""),12.0)</f>
        <v>12</v>
      </c>
      <c r="J1228" s="2">
        <f>IFERROR(__xludf.DUMMYFUNCTION("""COMPUTED_VALUE"""),3513.59)</f>
        <v>3513.59</v>
      </c>
      <c r="K1228" s="2">
        <f>IFERROR(__xludf.DUMMYFUNCTION("""COMPUTED_VALUE"""),3513.59)</f>
        <v>3513.59</v>
      </c>
    </row>
    <row r="1229">
      <c r="A1229" s="2">
        <f>IFERROR(__xludf.DUMMYFUNCTION("""COMPUTED_VALUE"""),1000.0)</f>
        <v>1000</v>
      </c>
      <c r="B1229" s="2">
        <f>IFERROR(__xludf.DUMMYFUNCTION("""COMPUTED_VALUE"""),184355.0)</f>
        <v>184355</v>
      </c>
      <c r="C1229" s="2">
        <f>IFERROR(__xludf.DUMMYFUNCTION("""COMPUTED_VALUE"""),2026.0)</f>
        <v>2026</v>
      </c>
      <c r="D1229" s="2">
        <f>IFERROR(__xludf.DUMMYFUNCTION("""COMPUTED_VALUE"""),46134.0)</f>
        <v>46134</v>
      </c>
      <c r="E1229" s="2" t="str">
        <f>IFERROR(__xludf.DUMMYFUNCTION("""COMPUTED_VALUE"""),"VF")</f>
        <v>VF</v>
      </c>
      <c r="F1229" s="2">
        <f>IFERROR(__xludf.DUMMYFUNCTION("""COMPUTED_VALUE"""),1.0)</f>
        <v>1</v>
      </c>
      <c r="G1229" s="2" t="str">
        <f>IFERROR(__xludf.DUMMYFUNCTION("""COMPUTED_VALUE"""),"PR039")</f>
        <v>PR039</v>
      </c>
      <c r="H1229" s="2" t="str">
        <f>IFERROR(__xludf.DUMMYFUNCTION("""COMPUTED_VALUE"""),"VD048")</f>
        <v>VD048</v>
      </c>
      <c r="I1229" s="2">
        <f>IFERROR(__xludf.DUMMYFUNCTION("""COMPUTED_VALUE"""),12.0)</f>
        <v>12</v>
      </c>
      <c r="J1229" s="2">
        <f>IFERROR(__xludf.DUMMYFUNCTION("""COMPUTED_VALUE"""),1752.0)</f>
        <v>1752</v>
      </c>
      <c r="K1229" s="2">
        <f>IFERROR(__xludf.DUMMYFUNCTION("""COMPUTED_VALUE"""),1752.0)</f>
        <v>1752</v>
      </c>
    </row>
    <row r="1230">
      <c r="A1230" s="2">
        <f>IFERROR(__xludf.DUMMYFUNCTION("""COMPUTED_VALUE"""),2000.0)</f>
        <v>2000</v>
      </c>
      <c r="B1230" s="2">
        <f>IFERROR(__xludf.DUMMYFUNCTION("""COMPUTED_VALUE"""),184356.0)</f>
        <v>184356</v>
      </c>
      <c r="C1230" s="2">
        <f>IFERROR(__xludf.DUMMYFUNCTION("""COMPUTED_VALUE"""),2026.0)</f>
        <v>2026</v>
      </c>
      <c r="D1230" s="2">
        <f>IFERROR(__xludf.DUMMYFUNCTION("""COMPUTED_VALUE"""),46134.0)</f>
        <v>46134</v>
      </c>
      <c r="E1230" s="2" t="str">
        <f>IFERROR(__xludf.DUMMYFUNCTION("""COMPUTED_VALUE"""),"VF")</f>
        <v>VF</v>
      </c>
      <c r="F1230" s="2">
        <f>IFERROR(__xludf.DUMMYFUNCTION("""COMPUTED_VALUE"""),1.0)</f>
        <v>1</v>
      </c>
      <c r="G1230" s="2" t="str">
        <f>IFERROR(__xludf.DUMMYFUNCTION("""COMPUTED_VALUE"""),"PR008")</f>
        <v>PR008</v>
      </c>
      <c r="H1230" s="2" t="str">
        <f>IFERROR(__xludf.DUMMYFUNCTION("""COMPUTED_VALUE"""),"VD033")</f>
        <v>VD033</v>
      </c>
      <c r="I1230" s="2">
        <f>IFERROR(__xludf.DUMMYFUNCTION("""COMPUTED_VALUE"""),8.0)</f>
        <v>8</v>
      </c>
      <c r="J1230" s="2">
        <f>IFERROR(__xludf.DUMMYFUNCTION("""COMPUTED_VALUE"""),776.74)</f>
        <v>776.74</v>
      </c>
      <c r="K1230" s="2">
        <f>IFERROR(__xludf.DUMMYFUNCTION("""COMPUTED_VALUE"""),776.74)</f>
        <v>776.74</v>
      </c>
    </row>
    <row r="1231">
      <c r="A1231" s="2">
        <f>IFERROR(__xludf.DUMMYFUNCTION("""COMPUTED_VALUE"""),1000.0)</f>
        <v>1000</v>
      </c>
      <c r="B1231" s="2">
        <f>IFERROR(__xludf.DUMMYFUNCTION("""COMPUTED_VALUE"""),184356.0)</f>
        <v>184356</v>
      </c>
      <c r="C1231" s="2">
        <f>IFERROR(__xludf.DUMMYFUNCTION("""COMPUTED_VALUE"""),2026.0)</f>
        <v>2026</v>
      </c>
      <c r="D1231" s="2">
        <f>IFERROR(__xludf.DUMMYFUNCTION("""COMPUTED_VALUE"""),46133.0)</f>
        <v>46133</v>
      </c>
      <c r="E1231" s="2" t="str">
        <f>IFERROR(__xludf.DUMMYFUNCTION("""COMPUTED_VALUE"""),"VF")</f>
        <v>VF</v>
      </c>
      <c r="F1231" s="2">
        <f>IFERROR(__xludf.DUMMYFUNCTION("""COMPUTED_VALUE"""),2.0)</f>
        <v>2</v>
      </c>
      <c r="G1231" s="2" t="str">
        <f>IFERROR(__xludf.DUMMYFUNCTION("""COMPUTED_VALUE"""),"PR035")</f>
        <v>PR035</v>
      </c>
      <c r="H1231" s="2" t="str">
        <f>IFERROR(__xludf.DUMMYFUNCTION("""COMPUTED_VALUE"""),"VD011")</f>
        <v>VD011</v>
      </c>
      <c r="I1231" s="2">
        <f>IFERROR(__xludf.DUMMYFUNCTION("""COMPUTED_VALUE"""),2.0)</f>
        <v>2</v>
      </c>
      <c r="J1231" s="2">
        <f>IFERROR(__xludf.DUMMYFUNCTION("""COMPUTED_VALUE"""),186.46)</f>
        <v>186.46</v>
      </c>
      <c r="K1231" s="2">
        <f>IFERROR(__xludf.DUMMYFUNCTION("""COMPUTED_VALUE"""),186.46)</f>
        <v>186.46</v>
      </c>
    </row>
    <row r="1232">
      <c r="A1232" s="2">
        <f>IFERROR(__xludf.DUMMYFUNCTION("""COMPUTED_VALUE"""),2000.0)</f>
        <v>2000</v>
      </c>
      <c r="B1232" s="2">
        <f>IFERROR(__xludf.DUMMYFUNCTION("""COMPUTED_VALUE"""),184356.0)</f>
        <v>184356</v>
      </c>
      <c r="C1232" s="2">
        <f>IFERROR(__xludf.DUMMYFUNCTION("""COMPUTED_VALUE"""),2026.0)</f>
        <v>2026</v>
      </c>
      <c r="D1232" s="2">
        <f>IFERROR(__xludf.DUMMYFUNCTION("""COMPUTED_VALUE"""),46133.0)</f>
        <v>46133</v>
      </c>
      <c r="E1232" s="2" t="str">
        <f>IFERROR(__xludf.DUMMYFUNCTION("""COMPUTED_VALUE"""),"VF")</f>
        <v>VF</v>
      </c>
      <c r="F1232" s="2">
        <f>IFERROR(__xludf.DUMMYFUNCTION("""COMPUTED_VALUE"""),3.0)</f>
        <v>3</v>
      </c>
      <c r="G1232" s="2" t="str">
        <f>IFERROR(__xludf.DUMMYFUNCTION("""COMPUTED_VALUE"""),"PR026")</f>
        <v>PR026</v>
      </c>
      <c r="H1232" s="2" t="str">
        <f>IFERROR(__xludf.DUMMYFUNCTION("""COMPUTED_VALUE"""),"VD025")</f>
        <v>VD025</v>
      </c>
      <c r="I1232" s="2">
        <f>IFERROR(__xludf.DUMMYFUNCTION("""COMPUTED_VALUE"""),16.0)</f>
        <v>16</v>
      </c>
      <c r="J1232" s="2">
        <f>IFERROR(__xludf.DUMMYFUNCTION("""COMPUTED_VALUE"""),5710.37)</f>
        <v>5710.37</v>
      </c>
      <c r="K1232" s="2">
        <f>IFERROR(__xludf.DUMMYFUNCTION("""COMPUTED_VALUE"""),5710.37)</f>
        <v>5710.37</v>
      </c>
    </row>
    <row r="1233">
      <c r="A1233" s="2">
        <f>IFERROR(__xludf.DUMMYFUNCTION("""COMPUTED_VALUE"""),2000.0)</f>
        <v>2000</v>
      </c>
      <c r="B1233" s="2">
        <f>IFERROR(__xludf.DUMMYFUNCTION("""COMPUTED_VALUE"""),184357.0)</f>
        <v>184357</v>
      </c>
      <c r="C1233" s="2">
        <f>IFERROR(__xludf.DUMMYFUNCTION("""COMPUTED_VALUE"""),2026.0)</f>
        <v>2026</v>
      </c>
      <c r="D1233" s="2">
        <f>IFERROR(__xludf.DUMMYFUNCTION("""COMPUTED_VALUE"""),46132.0)</f>
        <v>46132</v>
      </c>
      <c r="E1233" s="2" t="str">
        <f>IFERROR(__xludf.DUMMYFUNCTION("""COMPUTED_VALUE"""),"VF")</f>
        <v>VF</v>
      </c>
      <c r="F1233" s="2">
        <f>IFERROR(__xludf.DUMMYFUNCTION("""COMPUTED_VALUE"""),1.0)</f>
        <v>1</v>
      </c>
      <c r="G1233" s="2" t="str">
        <f>IFERROR(__xludf.DUMMYFUNCTION("""COMPUTED_VALUE"""),"PR059")</f>
        <v>PR059</v>
      </c>
      <c r="H1233" s="2" t="str">
        <f>IFERROR(__xludf.DUMMYFUNCTION("""COMPUTED_VALUE"""),"VD033")</f>
        <v>VD033</v>
      </c>
      <c r="I1233" s="2">
        <f>IFERROR(__xludf.DUMMYFUNCTION("""COMPUTED_VALUE"""),20.0)</f>
        <v>20</v>
      </c>
      <c r="J1233" s="2">
        <f>IFERROR(__xludf.DUMMYFUNCTION("""COMPUTED_VALUE"""),3924.0)</f>
        <v>3924</v>
      </c>
      <c r="K1233" s="2">
        <f>IFERROR(__xludf.DUMMYFUNCTION("""COMPUTED_VALUE"""),3924.0)</f>
        <v>3924</v>
      </c>
    </row>
    <row r="1234">
      <c r="A1234" s="2">
        <f>IFERROR(__xludf.DUMMYFUNCTION("""COMPUTED_VALUE"""),1000.0)</f>
        <v>1000</v>
      </c>
      <c r="B1234" s="2">
        <f>IFERROR(__xludf.DUMMYFUNCTION("""COMPUTED_VALUE"""),184358.0)</f>
        <v>184358</v>
      </c>
      <c r="C1234" s="2">
        <f>IFERROR(__xludf.DUMMYFUNCTION("""COMPUTED_VALUE"""),2026.0)</f>
        <v>2026</v>
      </c>
      <c r="D1234" s="2">
        <f>IFERROR(__xludf.DUMMYFUNCTION("""COMPUTED_VALUE"""),46132.0)</f>
        <v>46132</v>
      </c>
      <c r="E1234" s="2" t="str">
        <f>IFERROR(__xludf.DUMMYFUNCTION("""COMPUTED_VALUE"""),"VF")</f>
        <v>VF</v>
      </c>
      <c r="F1234" s="2">
        <f>IFERROR(__xludf.DUMMYFUNCTION("""COMPUTED_VALUE"""),1.0)</f>
        <v>1</v>
      </c>
      <c r="G1234" s="2" t="str">
        <f>IFERROR(__xludf.DUMMYFUNCTION("""COMPUTED_VALUE"""),"PR033")</f>
        <v>PR033</v>
      </c>
      <c r="H1234" s="2" t="str">
        <f>IFERROR(__xludf.DUMMYFUNCTION("""COMPUTED_VALUE"""),"VD035")</f>
        <v>VD035</v>
      </c>
      <c r="I1234" s="2">
        <f>IFERROR(__xludf.DUMMYFUNCTION("""COMPUTED_VALUE"""),6.0)</f>
        <v>6</v>
      </c>
      <c r="J1234" s="2">
        <f>IFERROR(__xludf.DUMMYFUNCTION("""COMPUTED_VALUE"""),1652.96)</f>
        <v>1652.96</v>
      </c>
      <c r="K1234" s="2">
        <f>IFERROR(__xludf.DUMMYFUNCTION("""COMPUTED_VALUE"""),1652.96)</f>
        <v>1652.96</v>
      </c>
    </row>
    <row r="1235">
      <c r="A1235" s="2">
        <f>IFERROR(__xludf.DUMMYFUNCTION("""COMPUTED_VALUE"""),1000.0)</f>
        <v>1000</v>
      </c>
      <c r="B1235" s="2">
        <f>IFERROR(__xludf.DUMMYFUNCTION("""COMPUTED_VALUE"""),184359.0)</f>
        <v>184359</v>
      </c>
      <c r="C1235" s="2">
        <f>IFERROR(__xludf.DUMMYFUNCTION("""COMPUTED_VALUE"""),2026.0)</f>
        <v>2026</v>
      </c>
      <c r="D1235" s="2">
        <f>IFERROR(__xludf.DUMMYFUNCTION("""COMPUTED_VALUE"""),46132.0)</f>
        <v>46132</v>
      </c>
      <c r="E1235" s="2" t="str">
        <f>IFERROR(__xludf.DUMMYFUNCTION("""COMPUTED_VALUE"""),"VF")</f>
        <v>VF</v>
      </c>
      <c r="F1235" s="2">
        <f>IFERROR(__xludf.DUMMYFUNCTION("""COMPUTED_VALUE"""),1.0)</f>
        <v>1</v>
      </c>
      <c r="G1235" s="2" t="str">
        <f>IFERROR(__xludf.DUMMYFUNCTION("""COMPUTED_VALUE"""),"PR044")</f>
        <v>PR044</v>
      </c>
      <c r="H1235" s="2" t="str">
        <f>IFERROR(__xludf.DUMMYFUNCTION("""COMPUTED_VALUE"""),"VD034")</f>
        <v>VD034</v>
      </c>
      <c r="I1235" s="2">
        <f>IFERROR(__xludf.DUMMYFUNCTION("""COMPUTED_VALUE"""),6.0)</f>
        <v>6</v>
      </c>
      <c r="J1235" s="2">
        <f>IFERROR(__xludf.DUMMYFUNCTION("""COMPUTED_VALUE"""),439.35)</f>
        <v>439.35</v>
      </c>
      <c r="K1235" s="2">
        <f>IFERROR(__xludf.DUMMYFUNCTION("""COMPUTED_VALUE"""),439.35)</f>
        <v>439.35</v>
      </c>
    </row>
    <row r="1236">
      <c r="A1236" s="2">
        <f>IFERROR(__xludf.DUMMYFUNCTION("""COMPUTED_VALUE"""),2000.0)</f>
        <v>2000</v>
      </c>
      <c r="B1236" s="2">
        <f>IFERROR(__xludf.DUMMYFUNCTION("""COMPUTED_VALUE"""),184360.0)</f>
        <v>184360</v>
      </c>
      <c r="C1236" s="2">
        <f>IFERROR(__xludf.DUMMYFUNCTION("""COMPUTED_VALUE"""),2026.0)</f>
        <v>2026</v>
      </c>
      <c r="D1236" s="2">
        <f>IFERROR(__xludf.DUMMYFUNCTION("""COMPUTED_VALUE"""),46132.0)</f>
        <v>46132</v>
      </c>
      <c r="E1236" s="2" t="str">
        <f>IFERROR(__xludf.DUMMYFUNCTION("""COMPUTED_VALUE"""),"VF")</f>
        <v>VF</v>
      </c>
      <c r="F1236" s="2">
        <f>IFERROR(__xludf.DUMMYFUNCTION("""COMPUTED_VALUE"""),1.0)</f>
        <v>1</v>
      </c>
      <c r="G1236" s="2" t="str">
        <f>IFERROR(__xludf.DUMMYFUNCTION("""COMPUTED_VALUE"""),"PR050")</f>
        <v>PR050</v>
      </c>
      <c r="H1236" s="2" t="str">
        <f>IFERROR(__xludf.DUMMYFUNCTION("""COMPUTED_VALUE"""),"VD026")</f>
        <v>VD026</v>
      </c>
      <c r="I1236" s="2">
        <f>IFERROR(__xludf.DUMMYFUNCTION("""COMPUTED_VALUE"""),1.0)</f>
        <v>1</v>
      </c>
      <c r="J1236" s="2">
        <f>IFERROR(__xludf.DUMMYFUNCTION("""COMPUTED_VALUE"""),33.56)</f>
        <v>33.56</v>
      </c>
      <c r="K1236" s="2">
        <f>IFERROR(__xludf.DUMMYFUNCTION("""COMPUTED_VALUE"""),33.56)</f>
        <v>33.56</v>
      </c>
    </row>
    <row r="1237">
      <c r="A1237" s="2">
        <f>IFERROR(__xludf.DUMMYFUNCTION("""COMPUTED_VALUE"""),1000.0)</f>
        <v>1000</v>
      </c>
      <c r="B1237" s="2">
        <f>IFERROR(__xludf.DUMMYFUNCTION("""COMPUTED_VALUE"""),184361.0)</f>
        <v>184361</v>
      </c>
      <c r="C1237" s="2">
        <f>IFERROR(__xludf.DUMMYFUNCTION("""COMPUTED_VALUE"""),2026.0)</f>
        <v>2026</v>
      </c>
      <c r="D1237" s="2">
        <f>IFERROR(__xludf.DUMMYFUNCTION("""COMPUTED_VALUE"""),46132.0)</f>
        <v>46132</v>
      </c>
      <c r="E1237" s="2" t="str">
        <f>IFERROR(__xludf.DUMMYFUNCTION("""COMPUTED_VALUE"""),"VF")</f>
        <v>VF</v>
      </c>
      <c r="F1237" s="2">
        <f>IFERROR(__xludf.DUMMYFUNCTION("""COMPUTED_VALUE"""),1.0)</f>
        <v>1</v>
      </c>
      <c r="G1237" s="2" t="str">
        <f>IFERROR(__xludf.DUMMYFUNCTION("""COMPUTED_VALUE"""),"PR019")</f>
        <v>PR019</v>
      </c>
      <c r="H1237" s="2" t="str">
        <f>IFERROR(__xludf.DUMMYFUNCTION("""COMPUTED_VALUE"""),"VD010")</f>
        <v>VD010</v>
      </c>
      <c r="I1237" s="2">
        <f>IFERROR(__xludf.DUMMYFUNCTION("""COMPUTED_VALUE"""),6.0)</f>
        <v>6</v>
      </c>
      <c r="J1237" s="2">
        <f>IFERROR(__xludf.DUMMYFUNCTION("""COMPUTED_VALUE"""),323.35)</f>
        <v>323.35</v>
      </c>
      <c r="K1237" s="2">
        <f>IFERROR(__xludf.DUMMYFUNCTION("""COMPUTED_VALUE"""),323.35)</f>
        <v>323.35</v>
      </c>
    </row>
    <row r="1238">
      <c r="A1238" s="2">
        <f>IFERROR(__xludf.DUMMYFUNCTION("""COMPUTED_VALUE"""),1000.0)</f>
        <v>1000</v>
      </c>
      <c r="B1238" s="2">
        <f>IFERROR(__xludf.DUMMYFUNCTION("""COMPUTED_VALUE"""),184362.0)</f>
        <v>184362</v>
      </c>
      <c r="C1238" s="2">
        <f>IFERROR(__xludf.DUMMYFUNCTION("""COMPUTED_VALUE"""),2026.0)</f>
        <v>2026</v>
      </c>
      <c r="D1238" s="2">
        <f>IFERROR(__xludf.DUMMYFUNCTION("""COMPUTED_VALUE"""),46132.0)</f>
        <v>46132</v>
      </c>
      <c r="E1238" s="2" t="str">
        <f>IFERROR(__xludf.DUMMYFUNCTION("""COMPUTED_VALUE"""),"VF")</f>
        <v>VF</v>
      </c>
      <c r="F1238" s="2">
        <f>IFERROR(__xludf.DUMMYFUNCTION("""COMPUTED_VALUE"""),1.0)</f>
        <v>1</v>
      </c>
      <c r="G1238" s="2" t="str">
        <f>IFERROR(__xludf.DUMMYFUNCTION("""COMPUTED_VALUE"""),"PR058")</f>
        <v>PR058</v>
      </c>
      <c r="H1238" s="2" t="str">
        <f>IFERROR(__xludf.DUMMYFUNCTION("""COMPUTED_VALUE"""),"VD019")</f>
        <v>VD019</v>
      </c>
      <c r="I1238" s="2">
        <f>IFERROR(__xludf.DUMMYFUNCTION("""COMPUTED_VALUE"""),16.0)</f>
        <v>16</v>
      </c>
      <c r="J1238" s="2">
        <f>IFERROR(__xludf.DUMMYFUNCTION("""COMPUTED_VALUE"""),2908.8)</f>
        <v>2908.8</v>
      </c>
      <c r="K1238" s="2">
        <f>IFERROR(__xludf.DUMMYFUNCTION("""COMPUTED_VALUE"""),2908.8)</f>
        <v>2908.8</v>
      </c>
    </row>
    <row r="1239">
      <c r="A1239" s="2">
        <f>IFERROR(__xludf.DUMMYFUNCTION("""COMPUTED_VALUE"""),1000.0)</f>
        <v>1000</v>
      </c>
      <c r="B1239" s="2">
        <f>IFERROR(__xludf.DUMMYFUNCTION("""COMPUTED_VALUE"""),184363.0)</f>
        <v>184363</v>
      </c>
      <c r="C1239" s="2">
        <f>IFERROR(__xludf.DUMMYFUNCTION("""COMPUTED_VALUE"""),2026.0)</f>
        <v>2026</v>
      </c>
      <c r="D1239" s="2">
        <f>IFERROR(__xludf.DUMMYFUNCTION("""COMPUTED_VALUE"""),46132.0)</f>
        <v>46132</v>
      </c>
      <c r="E1239" s="2" t="str">
        <f>IFERROR(__xludf.DUMMYFUNCTION("""COMPUTED_VALUE"""),"VF")</f>
        <v>VF</v>
      </c>
      <c r="F1239" s="2">
        <f>IFERROR(__xludf.DUMMYFUNCTION("""COMPUTED_VALUE"""),1.0)</f>
        <v>1</v>
      </c>
      <c r="G1239" s="2" t="str">
        <f>IFERROR(__xludf.DUMMYFUNCTION("""COMPUTED_VALUE"""),"PR024")</f>
        <v>PR024</v>
      </c>
      <c r="H1239" s="2" t="str">
        <f>IFERROR(__xludf.DUMMYFUNCTION("""COMPUTED_VALUE"""),"VD015")</f>
        <v>VD015</v>
      </c>
      <c r="I1239" s="2">
        <f>IFERROR(__xludf.DUMMYFUNCTION("""COMPUTED_VALUE"""),5.0)</f>
        <v>5</v>
      </c>
      <c r="J1239" s="2">
        <f>IFERROR(__xludf.DUMMYFUNCTION("""COMPUTED_VALUE"""),1390.47)</f>
        <v>1390.47</v>
      </c>
      <c r="K1239" s="2">
        <f>IFERROR(__xludf.DUMMYFUNCTION("""COMPUTED_VALUE"""),1390.47)</f>
        <v>1390.47</v>
      </c>
    </row>
    <row r="1240">
      <c r="A1240" s="2">
        <f>IFERROR(__xludf.DUMMYFUNCTION("""COMPUTED_VALUE"""),2000.0)</f>
        <v>2000</v>
      </c>
      <c r="B1240" s="2">
        <f>IFERROR(__xludf.DUMMYFUNCTION("""COMPUTED_VALUE"""),184363.0)</f>
        <v>184363</v>
      </c>
      <c r="C1240" s="2">
        <f>IFERROR(__xludf.DUMMYFUNCTION("""COMPUTED_VALUE"""),2026.0)</f>
        <v>2026</v>
      </c>
      <c r="D1240" s="2">
        <f>IFERROR(__xludf.DUMMYFUNCTION("""COMPUTED_VALUE"""),46132.0)</f>
        <v>46132</v>
      </c>
      <c r="E1240" s="2" t="str">
        <f>IFERROR(__xludf.DUMMYFUNCTION("""COMPUTED_VALUE"""),"VF")</f>
        <v>VF</v>
      </c>
      <c r="F1240" s="2">
        <f>IFERROR(__xludf.DUMMYFUNCTION("""COMPUTED_VALUE"""),2.0)</f>
        <v>2</v>
      </c>
      <c r="G1240" s="2" t="str">
        <f>IFERROR(__xludf.DUMMYFUNCTION("""COMPUTED_VALUE"""),"PR022")</f>
        <v>PR022</v>
      </c>
      <c r="H1240" s="2" t="str">
        <f>IFERROR(__xludf.DUMMYFUNCTION("""COMPUTED_VALUE"""),"VD049")</f>
        <v>VD049</v>
      </c>
      <c r="I1240" s="2">
        <f>IFERROR(__xludf.DUMMYFUNCTION("""COMPUTED_VALUE"""),20.0)</f>
        <v>20</v>
      </c>
      <c r="J1240" s="2">
        <f>IFERROR(__xludf.DUMMYFUNCTION("""COMPUTED_VALUE"""),6540.0)</f>
        <v>6540</v>
      </c>
      <c r="K1240" s="2">
        <f>IFERROR(__xludf.DUMMYFUNCTION("""COMPUTED_VALUE"""),6540.0)</f>
        <v>6540</v>
      </c>
    </row>
    <row r="1241">
      <c r="A1241" s="2">
        <f>IFERROR(__xludf.DUMMYFUNCTION("""COMPUTED_VALUE"""),1000.0)</f>
        <v>1000</v>
      </c>
      <c r="B1241" s="2">
        <f>IFERROR(__xludf.DUMMYFUNCTION("""COMPUTED_VALUE"""),184364.0)</f>
        <v>184364</v>
      </c>
      <c r="C1241" s="2">
        <f>IFERROR(__xludf.DUMMYFUNCTION("""COMPUTED_VALUE"""),2026.0)</f>
        <v>2026</v>
      </c>
      <c r="D1241" s="2">
        <f>IFERROR(__xludf.DUMMYFUNCTION("""COMPUTED_VALUE"""),46131.0)</f>
        <v>46131</v>
      </c>
      <c r="E1241" s="2" t="str">
        <f>IFERROR(__xludf.DUMMYFUNCTION("""COMPUTED_VALUE"""),"VF")</f>
        <v>VF</v>
      </c>
      <c r="F1241" s="2">
        <f>IFERROR(__xludf.DUMMYFUNCTION("""COMPUTED_VALUE"""),1.0)</f>
        <v>1</v>
      </c>
      <c r="G1241" s="2" t="str">
        <f>IFERROR(__xludf.DUMMYFUNCTION("""COMPUTED_VALUE"""),"PR015")</f>
        <v>PR015</v>
      </c>
      <c r="H1241" s="2" t="str">
        <f>IFERROR(__xludf.DUMMYFUNCTION("""COMPUTED_VALUE"""),"VD010")</f>
        <v>VD010</v>
      </c>
      <c r="I1241" s="2">
        <f>IFERROR(__xludf.DUMMYFUNCTION("""COMPUTED_VALUE"""),4.0)</f>
        <v>4</v>
      </c>
      <c r="J1241" s="2">
        <f>IFERROR(__xludf.DUMMYFUNCTION("""COMPUTED_VALUE"""),185.3)</f>
        <v>185.3</v>
      </c>
      <c r="K1241" s="2">
        <f>IFERROR(__xludf.DUMMYFUNCTION("""COMPUTED_VALUE"""),185.3)</f>
        <v>185.3</v>
      </c>
    </row>
    <row r="1242">
      <c r="A1242" s="2">
        <f>IFERROR(__xludf.DUMMYFUNCTION("""COMPUTED_VALUE"""),1000.0)</f>
        <v>1000</v>
      </c>
      <c r="B1242" s="2">
        <f>IFERROR(__xludf.DUMMYFUNCTION("""COMPUTED_VALUE"""),184365.0)</f>
        <v>184365</v>
      </c>
      <c r="C1242" s="2">
        <f>IFERROR(__xludf.DUMMYFUNCTION("""COMPUTED_VALUE"""),2026.0)</f>
        <v>2026</v>
      </c>
      <c r="D1242" s="2">
        <f>IFERROR(__xludf.DUMMYFUNCTION("""COMPUTED_VALUE"""),46131.0)</f>
        <v>46131</v>
      </c>
      <c r="E1242" s="2" t="str">
        <f>IFERROR(__xludf.DUMMYFUNCTION("""COMPUTED_VALUE"""),"VF")</f>
        <v>VF</v>
      </c>
      <c r="F1242" s="2">
        <f>IFERROR(__xludf.DUMMYFUNCTION("""COMPUTED_VALUE"""),1.0)</f>
        <v>1</v>
      </c>
      <c r="G1242" s="2" t="str">
        <f>IFERROR(__xludf.DUMMYFUNCTION("""COMPUTED_VALUE"""),"PR005")</f>
        <v>PR005</v>
      </c>
      <c r="H1242" s="2" t="str">
        <f>IFERROR(__xludf.DUMMYFUNCTION("""COMPUTED_VALUE"""),"VD043")</f>
        <v>VD043</v>
      </c>
      <c r="I1242" s="2">
        <f>IFERROR(__xludf.DUMMYFUNCTION("""COMPUTED_VALUE"""),7.0)</f>
        <v>7</v>
      </c>
      <c r="J1242" s="2">
        <f>IFERROR(__xludf.DUMMYFUNCTION("""COMPUTED_VALUE"""),1910.27)</f>
        <v>1910.27</v>
      </c>
      <c r="K1242" s="2">
        <f>IFERROR(__xludf.DUMMYFUNCTION("""COMPUTED_VALUE"""),1910.27)</f>
        <v>1910.27</v>
      </c>
    </row>
    <row r="1243">
      <c r="A1243" s="2">
        <f>IFERROR(__xludf.DUMMYFUNCTION("""COMPUTED_VALUE"""),1000.0)</f>
        <v>1000</v>
      </c>
      <c r="B1243" s="2">
        <f>IFERROR(__xludf.DUMMYFUNCTION("""COMPUTED_VALUE"""),184365.0)</f>
        <v>184365</v>
      </c>
      <c r="C1243" s="2">
        <f>IFERROR(__xludf.DUMMYFUNCTION("""COMPUTED_VALUE"""),2026.0)</f>
        <v>2026</v>
      </c>
      <c r="D1243" s="2">
        <f>IFERROR(__xludf.DUMMYFUNCTION("""COMPUTED_VALUE"""),46131.0)</f>
        <v>46131</v>
      </c>
      <c r="E1243" s="2" t="str">
        <f>IFERROR(__xludf.DUMMYFUNCTION("""COMPUTED_VALUE"""),"VF")</f>
        <v>VF</v>
      </c>
      <c r="F1243" s="2">
        <f>IFERROR(__xludf.DUMMYFUNCTION("""COMPUTED_VALUE"""),2.0)</f>
        <v>2</v>
      </c>
      <c r="G1243" s="2" t="str">
        <f>IFERROR(__xludf.DUMMYFUNCTION("""COMPUTED_VALUE"""),"PR048")</f>
        <v>PR048</v>
      </c>
      <c r="H1243" s="2" t="str">
        <f>IFERROR(__xludf.DUMMYFUNCTION("""COMPUTED_VALUE"""),"VD012")</f>
        <v>VD012</v>
      </c>
      <c r="I1243" s="2">
        <f>IFERROR(__xludf.DUMMYFUNCTION("""COMPUTED_VALUE"""),2.0)</f>
        <v>2</v>
      </c>
      <c r="J1243" s="2">
        <f>IFERROR(__xludf.DUMMYFUNCTION("""COMPUTED_VALUE"""),626.18)</f>
        <v>626.18</v>
      </c>
      <c r="K1243" s="2">
        <f>IFERROR(__xludf.DUMMYFUNCTION("""COMPUTED_VALUE"""),626.18)</f>
        <v>626.18</v>
      </c>
    </row>
    <row r="1244">
      <c r="A1244" s="2">
        <f>IFERROR(__xludf.DUMMYFUNCTION("""COMPUTED_VALUE"""),1000.0)</f>
        <v>1000</v>
      </c>
      <c r="B1244" s="2">
        <f>IFERROR(__xludf.DUMMYFUNCTION("""COMPUTED_VALUE"""),184365.0)</f>
        <v>184365</v>
      </c>
      <c r="C1244" s="2">
        <f>IFERROR(__xludf.DUMMYFUNCTION("""COMPUTED_VALUE"""),2026.0)</f>
        <v>2026</v>
      </c>
      <c r="D1244" s="2">
        <f>IFERROR(__xludf.DUMMYFUNCTION("""COMPUTED_VALUE"""),46131.0)</f>
        <v>46131</v>
      </c>
      <c r="E1244" s="2" t="str">
        <f>IFERROR(__xludf.DUMMYFUNCTION("""COMPUTED_VALUE"""),"VF")</f>
        <v>VF</v>
      </c>
      <c r="F1244" s="2">
        <f>IFERROR(__xludf.DUMMYFUNCTION("""COMPUTED_VALUE"""),3.0)</f>
        <v>3</v>
      </c>
      <c r="G1244" s="2" t="str">
        <f>IFERROR(__xludf.DUMMYFUNCTION("""COMPUTED_VALUE"""),"PR024")</f>
        <v>PR024</v>
      </c>
      <c r="H1244" s="2" t="str">
        <f>IFERROR(__xludf.DUMMYFUNCTION("""COMPUTED_VALUE"""),"VD025")</f>
        <v>VD025</v>
      </c>
      <c r="I1244" s="2">
        <f>IFERROR(__xludf.DUMMYFUNCTION("""COMPUTED_VALUE"""),10.0)</f>
        <v>10</v>
      </c>
      <c r="J1244" s="2">
        <f>IFERROR(__xludf.DUMMYFUNCTION("""COMPUTED_VALUE"""),2858.9)</f>
        <v>2858.9</v>
      </c>
      <c r="K1244" s="2">
        <f>IFERROR(__xludf.DUMMYFUNCTION("""COMPUTED_VALUE"""),2858.9)</f>
        <v>2858.9</v>
      </c>
    </row>
    <row r="1245">
      <c r="A1245" s="2">
        <f>IFERROR(__xludf.DUMMYFUNCTION("""COMPUTED_VALUE"""),1000.0)</f>
        <v>1000</v>
      </c>
      <c r="B1245" s="2">
        <f>IFERROR(__xludf.DUMMYFUNCTION("""COMPUTED_VALUE"""),184366.0)</f>
        <v>184366</v>
      </c>
      <c r="C1245" s="2">
        <f>IFERROR(__xludf.DUMMYFUNCTION("""COMPUTED_VALUE"""),2026.0)</f>
        <v>2026</v>
      </c>
      <c r="D1245" s="2">
        <f>IFERROR(__xludf.DUMMYFUNCTION("""COMPUTED_VALUE"""),46131.0)</f>
        <v>46131</v>
      </c>
      <c r="E1245" s="2" t="str">
        <f>IFERROR(__xludf.DUMMYFUNCTION("""COMPUTED_VALUE"""),"VF")</f>
        <v>VF</v>
      </c>
      <c r="F1245" s="2">
        <f>IFERROR(__xludf.DUMMYFUNCTION("""COMPUTED_VALUE"""),1.0)</f>
        <v>1</v>
      </c>
      <c r="G1245" s="2" t="str">
        <f>IFERROR(__xludf.DUMMYFUNCTION("""COMPUTED_VALUE"""),"PR019")</f>
        <v>PR019</v>
      </c>
      <c r="H1245" s="2" t="str">
        <f>IFERROR(__xludf.DUMMYFUNCTION("""COMPUTED_VALUE"""),"VD035")</f>
        <v>VD035</v>
      </c>
      <c r="I1245" s="2">
        <f>IFERROR(__xludf.DUMMYFUNCTION("""COMPUTED_VALUE"""),8.0)</f>
        <v>8</v>
      </c>
      <c r="J1245" s="2">
        <f>IFERROR(__xludf.DUMMYFUNCTION("""COMPUTED_VALUE"""),419.16)</f>
        <v>419.16</v>
      </c>
      <c r="K1245" s="2">
        <f>IFERROR(__xludf.DUMMYFUNCTION("""COMPUTED_VALUE"""),419.16)</f>
        <v>419.16</v>
      </c>
    </row>
    <row r="1246">
      <c r="A1246" s="2">
        <f>IFERROR(__xludf.DUMMYFUNCTION("""COMPUTED_VALUE"""),1000.0)</f>
        <v>1000</v>
      </c>
      <c r="B1246" s="2">
        <f>IFERROR(__xludf.DUMMYFUNCTION("""COMPUTED_VALUE"""),184366.0)</f>
        <v>184366</v>
      </c>
      <c r="C1246" s="2">
        <f>IFERROR(__xludf.DUMMYFUNCTION("""COMPUTED_VALUE"""),2026.0)</f>
        <v>2026</v>
      </c>
      <c r="D1246" s="2">
        <f>IFERROR(__xludf.DUMMYFUNCTION("""COMPUTED_VALUE"""),46131.0)</f>
        <v>46131</v>
      </c>
      <c r="E1246" s="2" t="str">
        <f>IFERROR(__xludf.DUMMYFUNCTION("""COMPUTED_VALUE"""),"VF")</f>
        <v>VF</v>
      </c>
      <c r="F1246" s="2">
        <f>IFERROR(__xludf.DUMMYFUNCTION("""COMPUTED_VALUE"""),2.0)</f>
        <v>2</v>
      </c>
      <c r="G1246" s="2" t="str">
        <f>IFERROR(__xludf.DUMMYFUNCTION("""COMPUTED_VALUE"""),"PR029")</f>
        <v>PR029</v>
      </c>
      <c r="H1246" s="2" t="str">
        <f>IFERROR(__xludf.DUMMYFUNCTION("""COMPUTED_VALUE"""),"VD038")</f>
        <v>VD038</v>
      </c>
      <c r="I1246" s="2">
        <f>IFERROR(__xludf.DUMMYFUNCTION("""COMPUTED_VALUE"""),9.0)</f>
        <v>9</v>
      </c>
      <c r="J1246" s="2">
        <f>IFERROR(__xludf.DUMMYFUNCTION("""COMPUTED_VALUE"""),2478.6)</f>
        <v>2478.6</v>
      </c>
      <c r="K1246" s="2">
        <f>IFERROR(__xludf.DUMMYFUNCTION("""COMPUTED_VALUE"""),2478.6)</f>
        <v>2478.6</v>
      </c>
    </row>
    <row r="1247">
      <c r="A1247" s="2">
        <f>IFERROR(__xludf.DUMMYFUNCTION("""COMPUTED_VALUE"""),1000.0)</f>
        <v>1000</v>
      </c>
      <c r="B1247" s="2">
        <f>IFERROR(__xludf.DUMMYFUNCTION("""COMPUTED_VALUE"""),184367.0)</f>
        <v>184367</v>
      </c>
      <c r="C1247" s="2">
        <f>IFERROR(__xludf.DUMMYFUNCTION("""COMPUTED_VALUE"""),2026.0)</f>
        <v>2026</v>
      </c>
      <c r="D1247" s="2">
        <f>IFERROR(__xludf.DUMMYFUNCTION("""COMPUTED_VALUE"""),46130.0)</f>
        <v>46130</v>
      </c>
      <c r="E1247" s="2" t="str">
        <f>IFERROR(__xludf.DUMMYFUNCTION("""COMPUTED_VALUE"""),"VF")</f>
        <v>VF</v>
      </c>
      <c r="F1247" s="2">
        <f>IFERROR(__xludf.DUMMYFUNCTION("""COMPUTED_VALUE"""),1.0)</f>
        <v>1</v>
      </c>
      <c r="G1247" s="2" t="str">
        <f>IFERROR(__xludf.DUMMYFUNCTION("""COMPUTED_VALUE"""),"PR043")</f>
        <v>PR043</v>
      </c>
      <c r="H1247" s="2" t="str">
        <f>IFERROR(__xludf.DUMMYFUNCTION("""COMPUTED_VALUE"""),"VD045")</f>
        <v>VD045</v>
      </c>
      <c r="I1247" s="2">
        <f>IFERROR(__xludf.DUMMYFUNCTION("""COMPUTED_VALUE"""),18.0)</f>
        <v>18</v>
      </c>
      <c r="J1247" s="2">
        <f>IFERROR(__xludf.DUMMYFUNCTION("""COMPUTED_VALUE"""),1396.35)</f>
        <v>1396.35</v>
      </c>
      <c r="K1247" s="2">
        <f>IFERROR(__xludf.DUMMYFUNCTION("""COMPUTED_VALUE"""),1396.35)</f>
        <v>1396.35</v>
      </c>
    </row>
    <row r="1248">
      <c r="A1248" s="2">
        <f>IFERROR(__xludf.DUMMYFUNCTION("""COMPUTED_VALUE"""),1000.0)</f>
        <v>1000</v>
      </c>
      <c r="B1248" s="2">
        <f>IFERROR(__xludf.DUMMYFUNCTION("""COMPUTED_VALUE"""),184368.0)</f>
        <v>184368</v>
      </c>
      <c r="C1248" s="2">
        <f>IFERROR(__xludf.DUMMYFUNCTION("""COMPUTED_VALUE"""),2026.0)</f>
        <v>2026</v>
      </c>
      <c r="D1248" s="2">
        <f>IFERROR(__xludf.DUMMYFUNCTION("""COMPUTED_VALUE"""),46130.0)</f>
        <v>46130</v>
      </c>
      <c r="E1248" s="2" t="str">
        <f>IFERROR(__xludf.DUMMYFUNCTION("""COMPUTED_VALUE"""),"VF")</f>
        <v>VF</v>
      </c>
      <c r="F1248" s="2">
        <f>IFERROR(__xludf.DUMMYFUNCTION("""COMPUTED_VALUE"""),1.0)</f>
        <v>1</v>
      </c>
      <c r="G1248" s="2" t="str">
        <f>IFERROR(__xludf.DUMMYFUNCTION("""COMPUTED_VALUE"""),"PR039")</f>
        <v>PR039</v>
      </c>
      <c r="H1248" s="2" t="str">
        <f>IFERROR(__xludf.DUMMYFUNCTION("""COMPUTED_VALUE"""),"VD042")</f>
        <v>VD042</v>
      </c>
      <c r="I1248" s="2">
        <f>IFERROR(__xludf.DUMMYFUNCTION("""COMPUTED_VALUE"""),2.0)</f>
        <v>2</v>
      </c>
      <c r="J1248" s="2">
        <f>IFERROR(__xludf.DUMMYFUNCTION("""COMPUTED_VALUE"""),315.36)</f>
        <v>315.36</v>
      </c>
      <c r="K1248" s="2">
        <f>IFERROR(__xludf.DUMMYFUNCTION("""COMPUTED_VALUE"""),315.36)</f>
        <v>315.36</v>
      </c>
    </row>
    <row r="1249">
      <c r="A1249" s="2">
        <f>IFERROR(__xludf.DUMMYFUNCTION("""COMPUTED_VALUE"""),1000.0)</f>
        <v>1000</v>
      </c>
      <c r="B1249" s="2">
        <f>IFERROR(__xludf.DUMMYFUNCTION("""COMPUTED_VALUE"""),184368.0)</f>
        <v>184368</v>
      </c>
      <c r="C1249" s="2">
        <f>IFERROR(__xludf.DUMMYFUNCTION("""COMPUTED_VALUE"""),2026.0)</f>
        <v>2026</v>
      </c>
      <c r="D1249" s="2">
        <f>IFERROR(__xludf.DUMMYFUNCTION("""COMPUTED_VALUE"""),46130.0)</f>
        <v>46130</v>
      </c>
      <c r="E1249" s="2" t="str">
        <f>IFERROR(__xludf.DUMMYFUNCTION("""COMPUTED_VALUE"""),"VF")</f>
        <v>VF</v>
      </c>
      <c r="F1249" s="2">
        <f>IFERROR(__xludf.DUMMYFUNCTION("""COMPUTED_VALUE"""),2.0)</f>
        <v>2</v>
      </c>
      <c r="G1249" s="2" t="str">
        <f>IFERROR(__xludf.DUMMYFUNCTION("""COMPUTED_VALUE"""),"PR003")</f>
        <v>PR003</v>
      </c>
      <c r="H1249" s="2" t="str">
        <f>IFERROR(__xludf.DUMMYFUNCTION("""COMPUTED_VALUE"""),"VD010")</f>
        <v>VD010</v>
      </c>
      <c r="I1249" s="2">
        <f>IFERROR(__xludf.DUMMYFUNCTION("""COMPUTED_VALUE"""),9.0)</f>
        <v>9</v>
      </c>
      <c r="J1249" s="2">
        <f>IFERROR(__xludf.DUMMYFUNCTION("""COMPUTED_VALUE"""),689.15)</f>
        <v>689.15</v>
      </c>
      <c r="K1249" s="2">
        <f>IFERROR(__xludf.DUMMYFUNCTION("""COMPUTED_VALUE"""),689.15)</f>
        <v>689.15</v>
      </c>
    </row>
    <row r="1250">
      <c r="A1250" s="2">
        <f>IFERROR(__xludf.DUMMYFUNCTION("""COMPUTED_VALUE"""),2000.0)</f>
        <v>2000</v>
      </c>
      <c r="B1250" s="2">
        <f>IFERROR(__xludf.DUMMYFUNCTION("""COMPUTED_VALUE"""),184369.0)</f>
        <v>184369</v>
      </c>
      <c r="C1250" s="2">
        <f>IFERROR(__xludf.DUMMYFUNCTION("""COMPUTED_VALUE"""),2026.0)</f>
        <v>2026</v>
      </c>
      <c r="D1250" s="2">
        <f>IFERROR(__xludf.DUMMYFUNCTION("""COMPUTED_VALUE"""),46130.0)</f>
        <v>46130</v>
      </c>
      <c r="E1250" s="2" t="str">
        <f>IFERROR(__xludf.DUMMYFUNCTION("""COMPUTED_VALUE"""),"VF")</f>
        <v>VF</v>
      </c>
      <c r="F1250" s="2">
        <f>IFERROR(__xludf.DUMMYFUNCTION("""COMPUTED_VALUE"""),1.0)</f>
        <v>1</v>
      </c>
      <c r="G1250" s="2" t="str">
        <f>IFERROR(__xludf.DUMMYFUNCTION("""COMPUTED_VALUE"""),"PR002")</f>
        <v>PR002</v>
      </c>
      <c r="H1250" s="2" t="str">
        <f>IFERROR(__xludf.DUMMYFUNCTION("""COMPUTED_VALUE"""),"VD042")</f>
        <v>VD042</v>
      </c>
      <c r="I1250" s="2">
        <f>IFERROR(__xludf.DUMMYFUNCTION("""COMPUTED_VALUE"""),10.0)</f>
        <v>10</v>
      </c>
      <c r="J1250" s="2">
        <f>IFERROR(__xludf.DUMMYFUNCTION("""COMPUTED_VALUE"""),726.96)</f>
        <v>726.96</v>
      </c>
      <c r="K1250" s="2">
        <f>IFERROR(__xludf.DUMMYFUNCTION("""COMPUTED_VALUE"""),726.96)</f>
        <v>726.96</v>
      </c>
    </row>
    <row r="1251">
      <c r="A1251" s="2">
        <f>IFERROR(__xludf.DUMMYFUNCTION("""COMPUTED_VALUE"""),1000.0)</f>
        <v>1000</v>
      </c>
      <c r="B1251" s="2">
        <f>IFERROR(__xludf.DUMMYFUNCTION("""COMPUTED_VALUE"""),184370.0)</f>
        <v>184370</v>
      </c>
      <c r="C1251" s="2">
        <f>IFERROR(__xludf.DUMMYFUNCTION("""COMPUTED_VALUE"""),2026.0)</f>
        <v>2026</v>
      </c>
      <c r="D1251" s="2">
        <f>IFERROR(__xludf.DUMMYFUNCTION("""COMPUTED_VALUE"""),46130.0)</f>
        <v>46130</v>
      </c>
      <c r="E1251" s="2" t="str">
        <f>IFERROR(__xludf.DUMMYFUNCTION("""COMPUTED_VALUE"""),"VF")</f>
        <v>VF</v>
      </c>
      <c r="F1251" s="2">
        <f>IFERROR(__xludf.DUMMYFUNCTION("""COMPUTED_VALUE"""),1.0)</f>
        <v>1</v>
      </c>
      <c r="G1251" s="2" t="str">
        <f>IFERROR(__xludf.DUMMYFUNCTION("""COMPUTED_VALUE"""),"PR015")</f>
        <v>PR015</v>
      </c>
      <c r="H1251" s="2" t="str">
        <f>IFERROR(__xludf.DUMMYFUNCTION("""COMPUTED_VALUE"""),"VD037")</f>
        <v>VD037</v>
      </c>
      <c r="I1251" s="2">
        <f>IFERROR(__xludf.DUMMYFUNCTION("""COMPUTED_VALUE"""),9.0)</f>
        <v>9</v>
      </c>
      <c r="J1251" s="2">
        <f>IFERROR(__xludf.DUMMYFUNCTION("""COMPUTED_VALUE"""),416.93)</f>
        <v>416.93</v>
      </c>
      <c r="K1251" s="2">
        <f>IFERROR(__xludf.DUMMYFUNCTION("""COMPUTED_VALUE"""),416.93)</f>
        <v>416.93</v>
      </c>
    </row>
    <row r="1252">
      <c r="A1252" s="2">
        <f>IFERROR(__xludf.DUMMYFUNCTION("""COMPUTED_VALUE"""),1000.0)</f>
        <v>1000</v>
      </c>
      <c r="B1252" s="2">
        <f>IFERROR(__xludf.DUMMYFUNCTION("""COMPUTED_VALUE"""),184371.0)</f>
        <v>184371</v>
      </c>
      <c r="C1252" s="2">
        <f>IFERROR(__xludf.DUMMYFUNCTION("""COMPUTED_VALUE"""),2026.0)</f>
        <v>2026</v>
      </c>
      <c r="D1252" s="2">
        <f>IFERROR(__xludf.DUMMYFUNCTION("""COMPUTED_VALUE"""),46130.0)</f>
        <v>46130</v>
      </c>
      <c r="E1252" s="2" t="str">
        <f>IFERROR(__xludf.DUMMYFUNCTION("""COMPUTED_VALUE"""),"VF")</f>
        <v>VF</v>
      </c>
      <c r="F1252" s="2">
        <f>IFERROR(__xludf.DUMMYFUNCTION("""COMPUTED_VALUE"""),1.0)</f>
        <v>1</v>
      </c>
      <c r="G1252" s="2" t="str">
        <f>IFERROR(__xludf.DUMMYFUNCTION("""COMPUTED_VALUE"""),"PR017")</f>
        <v>PR017</v>
      </c>
      <c r="H1252" s="2" t="str">
        <f>IFERROR(__xludf.DUMMYFUNCTION("""COMPUTED_VALUE"""),"VD049")</f>
        <v>VD049</v>
      </c>
      <c r="I1252" s="2">
        <f>IFERROR(__xludf.DUMMYFUNCTION("""COMPUTED_VALUE"""),6.0)</f>
        <v>6</v>
      </c>
      <c r="J1252" s="2">
        <f>IFERROR(__xludf.DUMMYFUNCTION("""COMPUTED_VALUE"""),182.99)</f>
        <v>182.99</v>
      </c>
      <c r="K1252" s="2">
        <f>IFERROR(__xludf.DUMMYFUNCTION("""COMPUTED_VALUE"""),182.99)</f>
        <v>182.99</v>
      </c>
    </row>
    <row r="1253">
      <c r="A1253" s="2">
        <f>IFERROR(__xludf.DUMMYFUNCTION("""COMPUTED_VALUE"""),1000.0)</f>
        <v>1000</v>
      </c>
      <c r="B1253" s="2">
        <f>IFERROR(__xludf.DUMMYFUNCTION("""COMPUTED_VALUE"""),184372.0)</f>
        <v>184372</v>
      </c>
      <c r="C1253" s="2">
        <f>IFERROR(__xludf.DUMMYFUNCTION("""COMPUTED_VALUE"""),2026.0)</f>
        <v>2026</v>
      </c>
      <c r="D1253" s="2">
        <f>IFERROR(__xludf.DUMMYFUNCTION("""COMPUTED_VALUE"""),46130.0)</f>
        <v>46130</v>
      </c>
      <c r="E1253" s="2" t="str">
        <f>IFERROR(__xludf.DUMMYFUNCTION("""COMPUTED_VALUE"""),"VF")</f>
        <v>VF</v>
      </c>
      <c r="F1253" s="2">
        <f>IFERROR(__xludf.DUMMYFUNCTION("""COMPUTED_VALUE"""),1.0)</f>
        <v>1</v>
      </c>
      <c r="G1253" s="2" t="str">
        <f>IFERROR(__xludf.DUMMYFUNCTION("""COMPUTED_VALUE"""),"PR031")</f>
        <v>PR031</v>
      </c>
      <c r="H1253" s="2" t="str">
        <f>IFERROR(__xludf.DUMMYFUNCTION("""COMPUTED_VALUE"""),"VD021")</f>
        <v>VD021</v>
      </c>
      <c r="I1253" s="2">
        <f>IFERROR(__xludf.DUMMYFUNCTION("""COMPUTED_VALUE"""),8.0)</f>
        <v>8</v>
      </c>
      <c r="J1253" s="2">
        <f>IFERROR(__xludf.DUMMYFUNCTION("""COMPUTED_VALUE"""),1999.2)</f>
        <v>1999.2</v>
      </c>
      <c r="K1253" s="2">
        <f>IFERROR(__xludf.DUMMYFUNCTION("""COMPUTED_VALUE"""),1999.2)</f>
        <v>1999.2</v>
      </c>
    </row>
    <row r="1254">
      <c r="A1254" s="2">
        <f>IFERROR(__xludf.DUMMYFUNCTION("""COMPUTED_VALUE"""),2000.0)</f>
        <v>2000</v>
      </c>
      <c r="B1254" s="2">
        <f>IFERROR(__xludf.DUMMYFUNCTION("""COMPUTED_VALUE"""),184373.0)</f>
        <v>184373</v>
      </c>
      <c r="C1254" s="2">
        <f>IFERROR(__xludf.DUMMYFUNCTION("""COMPUTED_VALUE"""),2026.0)</f>
        <v>2026</v>
      </c>
      <c r="D1254" s="2">
        <f>IFERROR(__xludf.DUMMYFUNCTION("""COMPUTED_VALUE"""),46130.0)</f>
        <v>46130</v>
      </c>
      <c r="E1254" s="2" t="str">
        <f>IFERROR(__xludf.DUMMYFUNCTION("""COMPUTED_VALUE"""),"VF")</f>
        <v>VF</v>
      </c>
      <c r="F1254" s="2">
        <f>IFERROR(__xludf.DUMMYFUNCTION("""COMPUTED_VALUE"""),1.0)</f>
        <v>1</v>
      </c>
      <c r="G1254" s="2" t="str">
        <f>IFERROR(__xludf.DUMMYFUNCTION("""COMPUTED_VALUE"""),"PR053")</f>
        <v>PR053</v>
      </c>
      <c r="H1254" s="2" t="str">
        <f>IFERROR(__xludf.DUMMYFUNCTION("""COMPUTED_VALUE"""),"VD041")</f>
        <v>VD041</v>
      </c>
      <c r="I1254" s="2">
        <f>IFERROR(__xludf.DUMMYFUNCTION("""COMPUTED_VALUE"""),1.0)</f>
        <v>1</v>
      </c>
      <c r="J1254" s="2">
        <f>IFERROR(__xludf.DUMMYFUNCTION("""COMPUTED_VALUE"""),54.39)</f>
        <v>54.39</v>
      </c>
      <c r="K1254" s="2">
        <f>IFERROR(__xludf.DUMMYFUNCTION("""COMPUTED_VALUE"""),54.39)</f>
        <v>54.39</v>
      </c>
    </row>
    <row r="1255">
      <c r="A1255" s="2">
        <f>IFERROR(__xludf.DUMMYFUNCTION("""COMPUTED_VALUE"""),1000.0)</f>
        <v>1000</v>
      </c>
      <c r="B1255" s="2">
        <f>IFERROR(__xludf.DUMMYFUNCTION("""COMPUTED_VALUE"""),184374.0)</f>
        <v>184374</v>
      </c>
      <c r="C1255" s="2">
        <f>IFERROR(__xludf.DUMMYFUNCTION("""COMPUTED_VALUE"""),2026.0)</f>
        <v>2026</v>
      </c>
      <c r="D1255" s="2">
        <f>IFERROR(__xludf.DUMMYFUNCTION("""COMPUTED_VALUE"""),46129.0)</f>
        <v>46129</v>
      </c>
      <c r="E1255" s="2" t="str">
        <f>IFERROR(__xludf.DUMMYFUNCTION("""COMPUTED_VALUE"""),"VF")</f>
        <v>VF</v>
      </c>
      <c r="F1255" s="2">
        <f>IFERROR(__xludf.DUMMYFUNCTION("""COMPUTED_VALUE"""),1.0)</f>
        <v>1</v>
      </c>
      <c r="G1255" s="2" t="str">
        <f>IFERROR(__xludf.DUMMYFUNCTION("""COMPUTED_VALUE"""),"PR016")</f>
        <v>PR016</v>
      </c>
      <c r="H1255" s="2" t="str">
        <f>IFERROR(__xludf.DUMMYFUNCTION("""COMPUTED_VALUE"""),"VD042")</f>
        <v>VD042</v>
      </c>
      <c r="I1255" s="2">
        <f>IFERROR(__xludf.DUMMYFUNCTION("""COMPUTED_VALUE"""),6.0)</f>
        <v>6</v>
      </c>
      <c r="J1255" s="2">
        <f>IFERROR(__xludf.DUMMYFUNCTION("""COMPUTED_VALUE"""),166.28)</f>
        <v>166.28</v>
      </c>
      <c r="K1255" s="2">
        <f>IFERROR(__xludf.DUMMYFUNCTION("""COMPUTED_VALUE"""),166.28)</f>
        <v>166.28</v>
      </c>
    </row>
    <row r="1256">
      <c r="A1256" s="2">
        <f>IFERROR(__xludf.DUMMYFUNCTION("""COMPUTED_VALUE"""),1000.0)</f>
        <v>1000</v>
      </c>
      <c r="B1256" s="2">
        <f>IFERROR(__xludf.DUMMYFUNCTION("""COMPUTED_VALUE"""),184374.0)</f>
        <v>184374</v>
      </c>
      <c r="C1256" s="2">
        <f>IFERROR(__xludf.DUMMYFUNCTION("""COMPUTED_VALUE"""),2026.0)</f>
        <v>2026</v>
      </c>
      <c r="D1256" s="2">
        <f>IFERROR(__xludf.DUMMYFUNCTION("""COMPUTED_VALUE"""),46129.0)</f>
        <v>46129</v>
      </c>
      <c r="E1256" s="2" t="str">
        <f>IFERROR(__xludf.DUMMYFUNCTION("""COMPUTED_VALUE"""),"VF")</f>
        <v>VF</v>
      </c>
      <c r="F1256" s="2">
        <f>IFERROR(__xludf.DUMMYFUNCTION("""COMPUTED_VALUE"""),2.0)</f>
        <v>2</v>
      </c>
      <c r="G1256" s="2" t="str">
        <f>IFERROR(__xludf.DUMMYFUNCTION("""COMPUTED_VALUE"""),"PR016")</f>
        <v>PR016</v>
      </c>
      <c r="H1256" s="2" t="str">
        <f>IFERROR(__xludf.DUMMYFUNCTION("""COMPUTED_VALUE"""),"VD048")</f>
        <v>VD048</v>
      </c>
      <c r="I1256" s="2">
        <f>IFERROR(__xludf.DUMMYFUNCTION("""COMPUTED_VALUE"""),5.0)</f>
        <v>5</v>
      </c>
      <c r="J1256" s="2">
        <f>IFERROR(__xludf.DUMMYFUNCTION("""COMPUTED_VALUE"""),132.09)</f>
        <v>132.09</v>
      </c>
      <c r="K1256" s="2">
        <f>IFERROR(__xludf.DUMMYFUNCTION("""COMPUTED_VALUE"""),132.09)</f>
        <v>132.09</v>
      </c>
    </row>
    <row r="1257">
      <c r="A1257" s="2">
        <f>IFERROR(__xludf.DUMMYFUNCTION("""COMPUTED_VALUE"""),1000.0)</f>
        <v>1000</v>
      </c>
      <c r="B1257" s="2">
        <f>IFERROR(__xludf.DUMMYFUNCTION("""COMPUTED_VALUE"""),184374.0)</f>
        <v>184374</v>
      </c>
      <c r="C1257" s="2">
        <f>IFERROR(__xludf.DUMMYFUNCTION("""COMPUTED_VALUE"""),2026.0)</f>
        <v>2026</v>
      </c>
      <c r="D1257" s="2">
        <f>IFERROR(__xludf.DUMMYFUNCTION("""COMPUTED_VALUE"""),46128.0)</f>
        <v>46128</v>
      </c>
      <c r="E1257" s="2" t="str">
        <f>IFERROR(__xludf.DUMMYFUNCTION("""COMPUTED_VALUE"""),"VF")</f>
        <v>VF</v>
      </c>
      <c r="F1257" s="2">
        <f>IFERROR(__xludf.DUMMYFUNCTION("""COMPUTED_VALUE"""),3.0)</f>
        <v>3</v>
      </c>
      <c r="G1257" s="2" t="str">
        <f>IFERROR(__xludf.DUMMYFUNCTION("""COMPUTED_VALUE"""),"PR002")</f>
        <v>PR002</v>
      </c>
      <c r="H1257" s="2" t="str">
        <f>IFERROR(__xludf.DUMMYFUNCTION("""COMPUTED_VALUE"""),"VD025")</f>
        <v>VD025</v>
      </c>
      <c r="I1257" s="2">
        <f>IFERROR(__xludf.DUMMYFUNCTION("""COMPUTED_VALUE"""),18.0)</f>
        <v>18</v>
      </c>
      <c r="J1257" s="2">
        <f>IFERROR(__xludf.DUMMYFUNCTION("""COMPUTED_VALUE"""),1295.95)</f>
        <v>1295.95</v>
      </c>
      <c r="K1257" s="2">
        <f>IFERROR(__xludf.DUMMYFUNCTION("""COMPUTED_VALUE"""),1295.95)</f>
        <v>1295.95</v>
      </c>
    </row>
    <row r="1258">
      <c r="A1258" s="2">
        <f>IFERROR(__xludf.DUMMYFUNCTION("""COMPUTED_VALUE"""),2000.0)</f>
        <v>2000</v>
      </c>
      <c r="B1258" s="2">
        <f>IFERROR(__xludf.DUMMYFUNCTION("""COMPUTED_VALUE"""),184375.0)</f>
        <v>184375</v>
      </c>
      <c r="C1258" s="2">
        <f>IFERROR(__xludf.DUMMYFUNCTION("""COMPUTED_VALUE"""),2026.0)</f>
        <v>2026</v>
      </c>
      <c r="D1258" s="2">
        <f>IFERROR(__xludf.DUMMYFUNCTION("""COMPUTED_VALUE"""),46128.0)</f>
        <v>46128</v>
      </c>
      <c r="E1258" s="2" t="str">
        <f>IFERROR(__xludf.DUMMYFUNCTION("""COMPUTED_VALUE"""),"VF")</f>
        <v>VF</v>
      </c>
      <c r="F1258" s="2">
        <f>IFERROR(__xludf.DUMMYFUNCTION("""COMPUTED_VALUE"""),1.0)</f>
        <v>1</v>
      </c>
      <c r="G1258" s="2" t="str">
        <f>IFERROR(__xludf.DUMMYFUNCTION("""COMPUTED_VALUE"""),"PR039")</f>
        <v>PR039</v>
      </c>
      <c r="H1258" s="2" t="str">
        <f>IFERROR(__xludf.DUMMYFUNCTION("""COMPUTED_VALUE"""),"VD046")</f>
        <v>VD046</v>
      </c>
      <c r="I1258" s="2">
        <f>IFERROR(__xludf.DUMMYFUNCTION("""COMPUTED_VALUE"""),8.0)</f>
        <v>8</v>
      </c>
      <c r="J1258" s="2">
        <f>IFERROR(__xludf.DUMMYFUNCTION("""COMPUTED_VALUE"""),1214.72)</f>
        <v>1214.72</v>
      </c>
      <c r="K1258" s="2">
        <f>IFERROR(__xludf.DUMMYFUNCTION("""COMPUTED_VALUE"""),1214.72)</f>
        <v>1214.72</v>
      </c>
    </row>
    <row r="1259">
      <c r="A1259" s="2">
        <f>IFERROR(__xludf.DUMMYFUNCTION("""COMPUTED_VALUE"""),1000.0)</f>
        <v>1000</v>
      </c>
      <c r="B1259" s="2">
        <f>IFERROR(__xludf.DUMMYFUNCTION("""COMPUTED_VALUE"""),184375.0)</f>
        <v>184375</v>
      </c>
      <c r="C1259" s="2">
        <f>IFERROR(__xludf.DUMMYFUNCTION("""COMPUTED_VALUE"""),2026.0)</f>
        <v>2026</v>
      </c>
      <c r="D1259" s="2">
        <f>IFERROR(__xludf.DUMMYFUNCTION("""COMPUTED_VALUE"""),46128.0)</f>
        <v>46128</v>
      </c>
      <c r="E1259" s="2" t="str">
        <f>IFERROR(__xludf.DUMMYFUNCTION("""COMPUTED_VALUE"""),"VF")</f>
        <v>VF</v>
      </c>
      <c r="F1259" s="2">
        <f>IFERROR(__xludf.DUMMYFUNCTION("""COMPUTED_VALUE"""),2.0)</f>
        <v>2</v>
      </c>
      <c r="G1259" s="2" t="str">
        <f>IFERROR(__xludf.DUMMYFUNCTION("""COMPUTED_VALUE"""),"PR020")</f>
        <v>PR020</v>
      </c>
      <c r="H1259" s="2" t="str">
        <f>IFERROR(__xludf.DUMMYFUNCTION("""COMPUTED_VALUE"""),"VD017")</f>
        <v>VD017</v>
      </c>
      <c r="I1259" s="2">
        <f>IFERROR(__xludf.DUMMYFUNCTION("""COMPUTED_VALUE"""),8.0)</f>
        <v>8</v>
      </c>
      <c r="J1259" s="2">
        <f>IFERROR(__xludf.DUMMYFUNCTION("""COMPUTED_VALUE"""),2423.19)</f>
        <v>2423.19</v>
      </c>
      <c r="K1259" s="2">
        <f>IFERROR(__xludf.DUMMYFUNCTION("""COMPUTED_VALUE"""),2423.19)</f>
        <v>2423.19</v>
      </c>
    </row>
    <row r="1260">
      <c r="A1260" s="2">
        <f>IFERROR(__xludf.DUMMYFUNCTION("""COMPUTED_VALUE"""),1000.0)</f>
        <v>1000</v>
      </c>
      <c r="B1260" s="2">
        <f>IFERROR(__xludf.DUMMYFUNCTION("""COMPUTED_VALUE"""),184376.0)</f>
        <v>184376</v>
      </c>
      <c r="C1260" s="2">
        <f>IFERROR(__xludf.DUMMYFUNCTION("""COMPUTED_VALUE"""),2026.0)</f>
        <v>2026</v>
      </c>
      <c r="D1260" s="2">
        <f>IFERROR(__xludf.DUMMYFUNCTION("""COMPUTED_VALUE"""),46128.0)</f>
        <v>46128</v>
      </c>
      <c r="E1260" s="2" t="str">
        <f>IFERROR(__xludf.DUMMYFUNCTION("""COMPUTED_VALUE"""),"VF")</f>
        <v>VF</v>
      </c>
      <c r="F1260" s="2">
        <f>IFERROR(__xludf.DUMMYFUNCTION("""COMPUTED_VALUE"""),1.0)</f>
        <v>1</v>
      </c>
      <c r="G1260" s="2" t="str">
        <f>IFERROR(__xludf.DUMMYFUNCTION("""COMPUTED_VALUE"""),"PR050")</f>
        <v>PR050</v>
      </c>
      <c r="H1260" s="2" t="str">
        <f>IFERROR(__xludf.DUMMYFUNCTION("""COMPUTED_VALUE"""),"VD028")</f>
        <v>VD028</v>
      </c>
      <c r="I1260" s="2">
        <f>IFERROR(__xludf.DUMMYFUNCTION("""COMPUTED_VALUE"""),10.0)</f>
        <v>10</v>
      </c>
      <c r="J1260" s="2">
        <f>IFERROR(__xludf.DUMMYFUNCTION("""COMPUTED_VALUE"""),345.45)</f>
        <v>345.45</v>
      </c>
      <c r="K1260" s="2">
        <f>IFERROR(__xludf.DUMMYFUNCTION("""COMPUTED_VALUE"""),345.45)</f>
        <v>345.45</v>
      </c>
    </row>
    <row r="1261">
      <c r="A1261" s="2">
        <f>IFERROR(__xludf.DUMMYFUNCTION("""COMPUTED_VALUE"""),1000.0)</f>
        <v>1000</v>
      </c>
      <c r="B1261" s="2">
        <f>IFERROR(__xludf.DUMMYFUNCTION("""COMPUTED_VALUE"""),184377.0)</f>
        <v>184377</v>
      </c>
      <c r="C1261" s="2">
        <f>IFERROR(__xludf.DUMMYFUNCTION("""COMPUTED_VALUE"""),2026.0)</f>
        <v>2026</v>
      </c>
      <c r="D1261" s="2">
        <f>IFERROR(__xludf.DUMMYFUNCTION("""COMPUTED_VALUE"""),46128.0)</f>
        <v>46128</v>
      </c>
      <c r="E1261" s="2" t="str">
        <f>IFERROR(__xludf.DUMMYFUNCTION("""COMPUTED_VALUE"""),"VF")</f>
        <v>VF</v>
      </c>
      <c r="F1261" s="2">
        <f>IFERROR(__xludf.DUMMYFUNCTION("""COMPUTED_VALUE"""),1.0)</f>
        <v>1</v>
      </c>
      <c r="G1261" s="2" t="str">
        <f>IFERROR(__xludf.DUMMYFUNCTION("""COMPUTED_VALUE"""),"PR018")</f>
        <v>PR018</v>
      </c>
      <c r="H1261" s="2" t="str">
        <f>IFERROR(__xludf.DUMMYFUNCTION("""COMPUTED_VALUE"""),"VD044")</f>
        <v>VD044</v>
      </c>
      <c r="I1261" s="2">
        <f>IFERROR(__xludf.DUMMYFUNCTION("""COMPUTED_VALUE"""),2.0)</f>
        <v>2</v>
      </c>
      <c r="J1261" s="2">
        <f>IFERROR(__xludf.DUMMYFUNCTION("""COMPUTED_VALUE"""),67.12)</f>
        <v>67.12</v>
      </c>
      <c r="K1261" s="2">
        <f>IFERROR(__xludf.DUMMYFUNCTION("""COMPUTED_VALUE"""),67.12)</f>
        <v>67.12</v>
      </c>
    </row>
    <row r="1262">
      <c r="A1262" s="2">
        <f>IFERROR(__xludf.DUMMYFUNCTION("""COMPUTED_VALUE"""),1000.0)</f>
        <v>1000</v>
      </c>
      <c r="B1262" s="2">
        <f>IFERROR(__xludf.DUMMYFUNCTION("""COMPUTED_VALUE"""),184378.0)</f>
        <v>184378</v>
      </c>
      <c r="C1262" s="2">
        <f>IFERROR(__xludf.DUMMYFUNCTION("""COMPUTED_VALUE"""),2026.0)</f>
        <v>2026</v>
      </c>
      <c r="D1262" s="2">
        <f>IFERROR(__xludf.DUMMYFUNCTION("""COMPUTED_VALUE"""),46128.0)</f>
        <v>46128</v>
      </c>
      <c r="E1262" s="2" t="str">
        <f>IFERROR(__xludf.DUMMYFUNCTION("""COMPUTED_VALUE"""),"VF")</f>
        <v>VF</v>
      </c>
      <c r="F1262" s="2">
        <f>IFERROR(__xludf.DUMMYFUNCTION("""COMPUTED_VALUE"""),1.0)</f>
        <v>1</v>
      </c>
      <c r="G1262" s="2" t="str">
        <f>IFERROR(__xludf.DUMMYFUNCTION("""COMPUTED_VALUE"""),"PR013")</f>
        <v>PR013</v>
      </c>
      <c r="H1262" s="2" t="str">
        <f>IFERROR(__xludf.DUMMYFUNCTION("""COMPUTED_VALUE"""),"VD035")</f>
        <v>VD035</v>
      </c>
      <c r="I1262" s="2">
        <f>IFERROR(__xludf.DUMMYFUNCTION("""COMPUTED_VALUE"""),9.0)</f>
        <v>9</v>
      </c>
      <c r="J1262" s="2">
        <f>IFERROR(__xludf.DUMMYFUNCTION("""COMPUTED_VALUE"""),395.01)</f>
        <v>395.01</v>
      </c>
      <c r="K1262" s="2">
        <f>IFERROR(__xludf.DUMMYFUNCTION("""COMPUTED_VALUE"""),395.01)</f>
        <v>395.01</v>
      </c>
    </row>
    <row r="1263">
      <c r="A1263" s="2">
        <f>IFERROR(__xludf.DUMMYFUNCTION("""COMPUTED_VALUE"""),1000.0)</f>
        <v>1000</v>
      </c>
      <c r="B1263" s="2">
        <f>IFERROR(__xludf.DUMMYFUNCTION("""COMPUTED_VALUE"""),184379.0)</f>
        <v>184379</v>
      </c>
      <c r="C1263" s="2">
        <f>IFERROR(__xludf.DUMMYFUNCTION("""COMPUTED_VALUE"""),2026.0)</f>
        <v>2026</v>
      </c>
      <c r="D1263" s="2">
        <f>IFERROR(__xludf.DUMMYFUNCTION("""COMPUTED_VALUE"""),46128.0)</f>
        <v>46128</v>
      </c>
      <c r="E1263" s="2" t="str">
        <f>IFERROR(__xludf.DUMMYFUNCTION("""COMPUTED_VALUE"""),"VF")</f>
        <v>VF</v>
      </c>
      <c r="F1263" s="2">
        <f>IFERROR(__xludf.DUMMYFUNCTION("""COMPUTED_VALUE"""),1.0)</f>
        <v>1</v>
      </c>
      <c r="G1263" s="2" t="str">
        <f>IFERROR(__xludf.DUMMYFUNCTION("""COMPUTED_VALUE"""),"PR059")</f>
        <v>PR059</v>
      </c>
      <c r="H1263" s="2" t="str">
        <f>IFERROR(__xludf.DUMMYFUNCTION("""COMPUTED_VALUE"""),"VD047")</f>
        <v>VD047</v>
      </c>
      <c r="I1263" s="2">
        <f>IFERROR(__xludf.DUMMYFUNCTION("""COMPUTED_VALUE"""),12.0)</f>
        <v>12</v>
      </c>
      <c r="J1263" s="2">
        <f>IFERROR(__xludf.DUMMYFUNCTION("""COMPUTED_VALUE"""),2311.2)</f>
        <v>2311.2</v>
      </c>
      <c r="K1263" s="2">
        <f>IFERROR(__xludf.DUMMYFUNCTION("""COMPUTED_VALUE"""),2311.2)</f>
        <v>2311.2</v>
      </c>
    </row>
    <row r="1264">
      <c r="A1264" s="2">
        <f>IFERROR(__xludf.DUMMYFUNCTION("""COMPUTED_VALUE"""),1000.0)</f>
        <v>1000</v>
      </c>
      <c r="B1264" s="2">
        <f>IFERROR(__xludf.DUMMYFUNCTION("""COMPUTED_VALUE"""),184379.0)</f>
        <v>184379</v>
      </c>
      <c r="C1264" s="2">
        <f>IFERROR(__xludf.DUMMYFUNCTION("""COMPUTED_VALUE"""),2026.0)</f>
        <v>2026</v>
      </c>
      <c r="D1264" s="2">
        <f>IFERROR(__xludf.DUMMYFUNCTION("""COMPUTED_VALUE"""),46128.0)</f>
        <v>46128</v>
      </c>
      <c r="E1264" s="2" t="str">
        <f>IFERROR(__xludf.DUMMYFUNCTION("""COMPUTED_VALUE"""),"VF")</f>
        <v>VF</v>
      </c>
      <c r="F1264" s="2">
        <f>IFERROR(__xludf.DUMMYFUNCTION("""COMPUTED_VALUE"""),2.0)</f>
        <v>2</v>
      </c>
      <c r="G1264" s="2" t="str">
        <f>IFERROR(__xludf.DUMMYFUNCTION("""COMPUTED_VALUE"""),"PR027")</f>
        <v>PR027</v>
      </c>
      <c r="H1264" s="2" t="str">
        <f>IFERROR(__xludf.DUMMYFUNCTION("""COMPUTED_VALUE"""),"VD026")</f>
        <v>VD026</v>
      </c>
      <c r="I1264" s="2">
        <f>IFERROR(__xludf.DUMMYFUNCTION("""COMPUTED_VALUE"""),1.0)</f>
        <v>1</v>
      </c>
      <c r="J1264" s="2">
        <f>IFERROR(__xludf.DUMMYFUNCTION("""COMPUTED_VALUE"""),127.2)</f>
        <v>127.2</v>
      </c>
      <c r="K1264" s="2">
        <f>IFERROR(__xludf.DUMMYFUNCTION("""COMPUTED_VALUE"""),127.2)</f>
        <v>127.2</v>
      </c>
    </row>
    <row r="1265">
      <c r="A1265" s="2">
        <f>IFERROR(__xludf.DUMMYFUNCTION("""COMPUTED_VALUE"""),1000.0)</f>
        <v>1000</v>
      </c>
      <c r="B1265" s="2">
        <f>IFERROR(__xludf.DUMMYFUNCTION("""COMPUTED_VALUE"""),184379.0)</f>
        <v>184379</v>
      </c>
      <c r="C1265" s="2">
        <f>IFERROR(__xludf.DUMMYFUNCTION("""COMPUTED_VALUE"""),2026.0)</f>
        <v>2026</v>
      </c>
      <c r="D1265" s="2">
        <f>IFERROR(__xludf.DUMMYFUNCTION("""COMPUTED_VALUE"""),46128.0)</f>
        <v>46128</v>
      </c>
      <c r="E1265" s="2" t="str">
        <f>IFERROR(__xludf.DUMMYFUNCTION("""COMPUTED_VALUE"""),"VF")</f>
        <v>VF</v>
      </c>
      <c r="F1265" s="2">
        <f>IFERROR(__xludf.DUMMYFUNCTION("""COMPUTED_VALUE"""),3.0)</f>
        <v>3</v>
      </c>
      <c r="G1265" s="2" t="str">
        <f>IFERROR(__xludf.DUMMYFUNCTION("""COMPUTED_VALUE"""),"PR011")</f>
        <v>PR011</v>
      </c>
      <c r="H1265" s="2" t="str">
        <f>IFERROR(__xludf.DUMMYFUNCTION("""COMPUTED_VALUE"""),"VD026")</f>
        <v>VD026</v>
      </c>
      <c r="I1265" s="2">
        <f>IFERROR(__xludf.DUMMYFUNCTION("""COMPUTED_VALUE"""),6.0)</f>
        <v>6</v>
      </c>
      <c r="J1265" s="2">
        <f>IFERROR(__xludf.DUMMYFUNCTION("""COMPUTED_VALUE"""),284.21)</f>
        <v>284.21</v>
      </c>
      <c r="K1265" s="2">
        <f>IFERROR(__xludf.DUMMYFUNCTION("""COMPUTED_VALUE"""),284.21)</f>
        <v>284.21</v>
      </c>
    </row>
    <row r="1266">
      <c r="A1266" s="2">
        <f>IFERROR(__xludf.DUMMYFUNCTION("""COMPUTED_VALUE"""),1000.0)</f>
        <v>1000</v>
      </c>
      <c r="B1266" s="2">
        <f>IFERROR(__xludf.DUMMYFUNCTION("""COMPUTED_VALUE"""),184380.0)</f>
        <v>184380</v>
      </c>
      <c r="C1266" s="2">
        <f>IFERROR(__xludf.DUMMYFUNCTION("""COMPUTED_VALUE"""),2026.0)</f>
        <v>2026</v>
      </c>
      <c r="D1266" s="2">
        <f>IFERROR(__xludf.DUMMYFUNCTION("""COMPUTED_VALUE"""),46128.0)</f>
        <v>46128</v>
      </c>
      <c r="E1266" s="2" t="str">
        <f>IFERROR(__xludf.DUMMYFUNCTION("""COMPUTED_VALUE"""),"VF")</f>
        <v>VF</v>
      </c>
      <c r="F1266" s="2">
        <f>IFERROR(__xludf.DUMMYFUNCTION("""COMPUTED_VALUE"""),1.0)</f>
        <v>1</v>
      </c>
      <c r="G1266" s="2" t="str">
        <f>IFERROR(__xludf.DUMMYFUNCTION("""COMPUTED_VALUE"""),"PR017")</f>
        <v>PR017</v>
      </c>
      <c r="H1266" s="2" t="str">
        <f>IFERROR(__xludf.DUMMYFUNCTION("""COMPUTED_VALUE"""),"VD033")</f>
        <v>VD033</v>
      </c>
      <c r="I1266" s="2">
        <f>IFERROR(__xludf.DUMMYFUNCTION("""COMPUTED_VALUE"""),6.0)</f>
        <v>6</v>
      </c>
      <c r="J1266" s="2">
        <f>IFERROR(__xludf.DUMMYFUNCTION("""COMPUTED_VALUE"""),188.37)</f>
        <v>188.37</v>
      </c>
      <c r="K1266" s="2">
        <f>IFERROR(__xludf.DUMMYFUNCTION("""COMPUTED_VALUE"""),188.37)</f>
        <v>188.37</v>
      </c>
    </row>
    <row r="1267">
      <c r="A1267" s="2">
        <f>IFERROR(__xludf.DUMMYFUNCTION("""COMPUTED_VALUE"""),1000.0)</f>
        <v>1000</v>
      </c>
      <c r="B1267" s="2">
        <f>IFERROR(__xludf.DUMMYFUNCTION("""COMPUTED_VALUE"""),184381.0)</f>
        <v>184381</v>
      </c>
      <c r="C1267" s="2">
        <f>IFERROR(__xludf.DUMMYFUNCTION("""COMPUTED_VALUE"""),2026.0)</f>
        <v>2026</v>
      </c>
      <c r="D1267" s="2">
        <f>IFERROR(__xludf.DUMMYFUNCTION("""COMPUTED_VALUE"""),46128.0)</f>
        <v>46128</v>
      </c>
      <c r="E1267" s="2" t="str">
        <f>IFERROR(__xludf.DUMMYFUNCTION("""COMPUTED_VALUE"""),"VF")</f>
        <v>VF</v>
      </c>
      <c r="F1267" s="2">
        <f>IFERROR(__xludf.DUMMYFUNCTION("""COMPUTED_VALUE"""),1.0)</f>
        <v>1</v>
      </c>
      <c r="G1267" s="2" t="str">
        <f>IFERROR(__xludf.DUMMYFUNCTION("""COMPUTED_VALUE"""),"PR003")</f>
        <v>PR003</v>
      </c>
      <c r="H1267" s="2" t="str">
        <f>IFERROR(__xludf.DUMMYFUNCTION("""COMPUTED_VALUE"""),"VD015")</f>
        <v>VD015</v>
      </c>
      <c r="I1267" s="2">
        <f>IFERROR(__xludf.DUMMYFUNCTION("""COMPUTED_VALUE"""),3.0)</f>
        <v>3</v>
      </c>
      <c r="J1267" s="2">
        <f>IFERROR(__xludf.DUMMYFUNCTION("""COMPUTED_VALUE"""),212.7)</f>
        <v>212.7</v>
      </c>
      <c r="K1267" s="2">
        <f>IFERROR(__xludf.DUMMYFUNCTION("""COMPUTED_VALUE"""),212.7)</f>
        <v>212.7</v>
      </c>
    </row>
    <row r="1268">
      <c r="A1268" s="2">
        <f>IFERROR(__xludf.DUMMYFUNCTION("""COMPUTED_VALUE"""),1000.0)</f>
        <v>1000</v>
      </c>
      <c r="B1268" s="2">
        <f>IFERROR(__xludf.DUMMYFUNCTION("""COMPUTED_VALUE"""),184381.0)</f>
        <v>184381</v>
      </c>
      <c r="C1268" s="2">
        <f>IFERROR(__xludf.DUMMYFUNCTION("""COMPUTED_VALUE"""),2026.0)</f>
        <v>2026</v>
      </c>
      <c r="D1268" s="2">
        <f>IFERROR(__xludf.DUMMYFUNCTION("""COMPUTED_VALUE"""),46127.0)</f>
        <v>46127</v>
      </c>
      <c r="E1268" s="2" t="str">
        <f>IFERROR(__xludf.DUMMYFUNCTION("""COMPUTED_VALUE"""),"VF")</f>
        <v>VF</v>
      </c>
      <c r="F1268" s="2">
        <f>IFERROR(__xludf.DUMMYFUNCTION("""COMPUTED_VALUE"""),2.0)</f>
        <v>2</v>
      </c>
      <c r="G1268" s="2" t="str">
        <f>IFERROR(__xludf.DUMMYFUNCTION("""COMPUTED_VALUE"""),"PR017")</f>
        <v>PR017</v>
      </c>
      <c r="H1268" s="2" t="str">
        <f>IFERROR(__xludf.DUMMYFUNCTION("""COMPUTED_VALUE"""),"VD017")</f>
        <v>VD017</v>
      </c>
      <c r="I1268" s="2">
        <f>IFERROR(__xludf.DUMMYFUNCTION("""COMPUTED_VALUE"""),10.0)</f>
        <v>10</v>
      </c>
      <c r="J1268" s="2">
        <f>IFERROR(__xludf.DUMMYFUNCTION("""COMPUTED_VALUE"""),307.97)</f>
        <v>307.97</v>
      </c>
      <c r="K1268" s="2">
        <f>IFERROR(__xludf.DUMMYFUNCTION("""COMPUTED_VALUE"""),307.97)</f>
        <v>307.97</v>
      </c>
    </row>
    <row r="1269">
      <c r="A1269" s="2">
        <f>IFERROR(__xludf.DUMMYFUNCTION("""COMPUTED_VALUE"""),2000.0)</f>
        <v>2000</v>
      </c>
      <c r="B1269" s="2">
        <f>IFERROR(__xludf.DUMMYFUNCTION("""COMPUTED_VALUE"""),184381.0)</f>
        <v>184381</v>
      </c>
      <c r="C1269" s="2">
        <f>IFERROR(__xludf.DUMMYFUNCTION("""COMPUTED_VALUE"""),2026.0)</f>
        <v>2026</v>
      </c>
      <c r="D1269" s="2">
        <f>IFERROR(__xludf.DUMMYFUNCTION("""COMPUTED_VALUE"""),46127.0)</f>
        <v>46127</v>
      </c>
      <c r="E1269" s="2" t="str">
        <f>IFERROR(__xludf.DUMMYFUNCTION("""COMPUTED_VALUE"""),"VF")</f>
        <v>VF</v>
      </c>
      <c r="F1269" s="2">
        <f>IFERROR(__xludf.DUMMYFUNCTION("""COMPUTED_VALUE"""),3.0)</f>
        <v>3</v>
      </c>
      <c r="G1269" s="2" t="str">
        <f>IFERROR(__xludf.DUMMYFUNCTION("""COMPUTED_VALUE"""),"PR011")</f>
        <v>PR011</v>
      </c>
      <c r="H1269" s="2" t="str">
        <f>IFERROR(__xludf.DUMMYFUNCTION("""COMPUTED_VALUE"""),"VD037")</f>
        <v>VD037</v>
      </c>
      <c r="I1269" s="2">
        <f>IFERROR(__xludf.DUMMYFUNCTION("""COMPUTED_VALUE"""),10.0)</f>
        <v>10</v>
      </c>
      <c r="J1269" s="2">
        <f>IFERROR(__xludf.DUMMYFUNCTION("""COMPUTED_VALUE"""),492.45)</f>
        <v>492.45</v>
      </c>
      <c r="K1269" s="2">
        <f>IFERROR(__xludf.DUMMYFUNCTION("""COMPUTED_VALUE"""),492.45)</f>
        <v>492.45</v>
      </c>
    </row>
    <row r="1270">
      <c r="A1270" s="2">
        <f>IFERROR(__xludf.DUMMYFUNCTION("""COMPUTED_VALUE"""),1000.0)</f>
        <v>1000</v>
      </c>
      <c r="B1270" s="2">
        <f>IFERROR(__xludf.DUMMYFUNCTION("""COMPUTED_VALUE"""),184382.0)</f>
        <v>184382</v>
      </c>
      <c r="C1270" s="2">
        <f>IFERROR(__xludf.DUMMYFUNCTION("""COMPUTED_VALUE"""),2026.0)</f>
        <v>2026</v>
      </c>
      <c r="D1270" s="2">
        <f>IFERROR(__xludf.DUMMYFUNCTION("""COMPUTED_VALUE"""),46127.0)</f>
        <v>46127</v>
      </c>
      <c r="E1270" s="2" t="str">
        <f>IFERROR(__xludf.DUMMYFUNCTION("""COMPUTED_VALUE"""),"VF")</f>
        <v>VF</v>
      </c>
      <c r="F1270" s="2">
        <f>IFERROR(__xludf.DUMMYFUNCTION("""COMPUTED_VALUE"""),1.0)</f>
        <v>1</v>
      </c>
      <c r="G1270" s="2" t="str">
        <f>IFERROR(__xludf.DUMMYFUNCTION("""COMPUTED_VALUE"""),"PR031")</f>
        <v>PR031</v>
      </c>
      <c r="H1270" s="2" t="str">
        <f>IFERROR(__xludf.DUMMYFUNCTION("""COMPUTED_VALUE"""),"VD024")</f>
        <v>VD024</v>
      </c>
      <c r="I1270" s="2">
        <f>IFERROR(__xludf.DUMMYFUNCTION("""COMPUTED_VALUE"""),4.0)</f>
        <v>4</v>
      </c>
      <c r="J1270" s="2">
        <f>IFERROR(__xludf.DUMMYFUNCTION("""COMPUTED_VALUE"""),1019.2)</f>
        <v>1019.2</v>
      </c>
      <c r="K1270" s="2">
        <f>IFERROR(__xludf.DUMMYFUNCTION("""COMPUTED_VALUE"""),1019.2)</f>
        <v>1019.2</v>
      </c>
    </row>
    <row r="1271">
      <c r="A1271" s="2">
        <f>IFERROR(__xludf.DUMMYFUNCTION("""COMPUTED_VALUE"""),1000.0)</f>
        <v>1000</v>
      </c>
      <c r="B1271" s="2">
        <f>IFERROR(__xludf.DUMMYFUNCTION("""COMPUTED_VALUE"""),184382.0)</f>
        <v>184382</v>
      </c>
      <c r="C1271" s="2">
        <f>IFERROR(__xludf.DUMMYFUNCTION("""COMPUTED_VALUE"""),2026.0)</f>
        <v>2026</v>
      </c>
      <c r="D1271" s="2">
        <f>IFERROR(__xludf.DUMMYFUNCTION("""COMPUTED_VALUE"""),46126.0)</f>
        <v>46126</v>
      </c>
      <c r="E1271" s="2" t="str">
        <f>IFERROR(__xludf.DUMMYFUNCTION("""COMPUTED_VALUE"""),"VF")</f>
        <v>VF</v>
      </c>
      <c r="F1271" s="2">
        <f>IFERROR(__xludf.DUMMYFUNCTION("""COMPUTED_VALUE"""),2.0)</f>
        <v>2</v>
      </c>
      <c r="G1271" s="2" t="str">
        <f>IFERROR(__xludf.DUMMYFUNCTION("""COMPUTED_VALUE"""),"PR011")</f>
        <v>PR011</v>
      </c>
      <c r="H1271" s="2" t="str">
        <f>IFERROR(__xludf.DUMMYFUNCTION("""COMPUTED_VALUE"""),"VD030")</f>
        <v>VD030</v>
      </c>
      <c r="I1271" s="2">
        <f>IFERROR(__xludf.DUMMYFUNCTION("""COMPUTED_VALUE"""),16.0)</f>
        <v>16</v>
      </c>
      <c r="J1271" s="2">
        <f>IFERROR(__xludf.DUMMYFUNCTION("""COMPUTED_VALUE"""),825.44)</f>
        <v>825.44</v>
      </c>
      <c r="K1271" s="2">
        <f>IFERROR(__xludf.DUMMYFUNCTION("""COMPUTED_VALUE"""),825.44)</f>
        <v>825.44</v>
      </c>
    </row>
    <row r="1272">
      <c r="A1272" s="2">
        <f>IFERROR(__xludf.DUMMYFUNCTION("""COMPUTED_VALUE"""),2000.0)</f>
        <v>2000</v>
      </c>
      <c r="B1272" s="2">
        <f>IFERROR(__xludf.DUMMYFUNCTION("""COMPUTED_VALUE"""),184382.0)</f>
        <v>184382</v>
      </c>
      <c r="C1272" s="2">
        <f>IFERROR(__xludf.DUMMYFUNCTION("""COMPUTED_VALUE"""),2026.0)</f>
        <v>2026</v>
      </c>
      <c r="D1272" s="2">
        <f>IFERROR(__xludf.DUMMYFUNCTION("""COMPUTED_VALUE"""),46126.0)</f>
        <v>46126</v>
      </c>
      <c r="E1272" s="2" t="str">
        <f>IFERROR(__xludf.DUMMYFUNCTION("""COMPUTED_VALUE"""),"VF")</f>
        <v>VF</v>
      </c>
      <c r="F1272" s="2">
        <f>IFERROR(__xludf.DUMMYFUNCTION("""COMPUTED_VALUE"""),3.0)</f>
        <v>3</v>
      </c>
      <c r="G1272" s="2" t="str">
        <f>IFERROR(__xludf.DUMMYFUNCTION("""COMPUTED_VALUE"""),"PR035")</f>
        <v>PR035</v>
      </c>
      <c r="H1272" s="2" t="str">
        <f>IFERROR(__xludf.DUMMYFUNCTION("""COMPUTED_VALUE"""),"VD025")</f>
        <v>VD025</v>
      </c>
      <c r="I1272" s="2">
        <f>IFERROR(__xludf.DUMMYFUNCTION("""COMPUTED_VALUE"""),9.0)</f>
        <v>9</v>
      </c>
      <c r="J1272" s="2">
        <f>IFERROR(__xludf.DUMMYFUNCTION("""COMPUTED_VALUE"""),888.41)</f>
        <v>888.41</v>
      </c>
      <c r="K1272" s="2">
        <f>IFERROR(__xludf.DUMMYFUNCTION("""COMPUTED_VALUE"""),888.41)</f>
        <v>888.41</v>
      </c>
    </row>
    <row r="1273">
      <c r="A1273" s="2">
        <f>IFERROR(__xludf.DUMMYFUNCTION("""COMPUTED_VALUE"""),1000.0)</f>
        <v>1000</v>
      </c>
      <c r="B1273" s="2">
        <f>IFERROR(__xludf.DUMMYFUNCTION("""COMPUTED_VALUE"""),184383.0)</f>
        <v>184383</v>
      </c>
      <c r="C1273" s="2">
        <f>IFERROR(__xludf.DUMMYFUNCTION("""COMPUTED_VALUE"""),2026.0)</f>
        <v>2026</v>
      </c>
      <c r="D1273" s="2">
        <f>IFERROR(__xludf.DUMMYFUNCTION("""COMPUTED_VALUE"""),46126.0)</f>
        <v>46126</v>
      </c>
      <c r="E1273" s="2" t="str">
        <f>IFERROR(__xludf.DUMMYFUNCTION("""COMPUTED_VALUE"""),"VF")</f>
        <v>VF</v>
      </c>
      <c r="F1273" s="2">
        <f>IFERROR(__xludf.DUMMYFUNCTION("""COMPUTED_VALUE"""),1.0)</f>
        <v>1</v>
      </c>
      <c r="G1273" s="2" t="str">
        <f>IFERROR(__xludf.DUMMYFUNCTION("""COMPUTED_VALUE"""),"PR043")</f>
        <v>PR043</v>
      </c>
      <c r="H1273" s="2" t="str">
        <f>IFERROR(__xludf.DUMMYFUNCTION("""COMPUTED_VALUE"""),"VD030")</f>
        <v>VD030</v>
      </c>
      <c r="I1273" s="2">
        <f>IFERROR(__xludf.DUMMYFUNCTION("""COMPUTED_VALUE"""),20.0)</f>
        <v>20</v>
      </c>
      <c r="J1273" s="2">
        <f>IFERROR(__xludf.DUMMYFUNCTION("""COMPUTED_VALUE"""),1464.5)</f>
        <v>1464.5</v>
      </c>
      <c r="K1273" s="2">
        <f>IFERROR(__xludf.DUMMYFUNCTION("""COMPUTED_VALUE"""),1464.5)</f>
        <v>1464.5</v>
      </c>
    </row>
    <row r="1274">
      <c r="A1274" s="2">
        <f>IFERROR(__xludf.DUMMYFUNCTION("""COMPUTED_VALUE"""),1000.0)</f>
        <v>1000</v>
      </c>
      <c r="B1274" s="2">
        <f>IFERROR(__xludf.DUMMYFUNCTION("""COMPUTED_VALUE"""),184384.0)</f>
        <v>184384</v>
      </c>
      <c r="C1274" s="2">
        <f>IFERROR(__xludf.DUMMYFUNCTION("""COMPUTED_VALUE"""),2026.0)</f>
        <v>2026</v>
      </c>
      <c r="D1274" s="2">
        <f>IFERROR(__xludf.DUMMYFUNCTION("""COMPUTED_VALUE"""),46126.0)</f>
        <v>46126</v>
      </c>
      <c r="E1274" s="2" t="str">
        <f>IFERROR(__xludf.DUMMYFUNCTION("""COMPUTED_VALUE"""),"VF")</f>
        <v>VF</v>
      </c>
      <c r="F1274" s="2">
        <f>IFERROR(__xludf.DUMMYFUNCTION("""COMPUTED_VALUE"""),1.0)</f>
        <v>1</v>
      </c>
      <c r="G1274" s="2" t="str">
        <f>IFERROR(__xludf.DUMMYFUNCTION("""COMPUTED_VALUE"""),"PR060")</f>
        <v>PR060</v>
      </c>
      <c r="H1274" s="2" t="str">
        <f>IFERROR(__xludf.DUMMYFUNCTION("""COMPUTED_VALUE"""),"VD017")</f>
        <v>VD017</v>
      </c>
      <c r="I1274" s="2">
        <f>IFERROR(__xludf.DUMMYFUNCTION("""COMPUTED_VALUE"""),7.0)</f>
        <v>7</v>
      </c>
      <c r="J1274" s="2">
        <f>IFERROR(__xludf.DUMMYFUNCTION("""COMPUTED_VALUE"""),1373.4)</f>
        <v>1373.4</v>
      </c>
      <c r="K1274" s="2">
        <f>IFERROR(__xludf.DUMMYFUNCTION("""COMPUTED_VALUE"""),1373.4)</f>
        <v>1373.4</v>
      </c>
    </row>
    <row r="1275">
      <c r="A1275" s="2">
        <f>IFERROR(__xludf.DUMMYFUNCTION("""COMPUTED_VALUE"""),1000.0)</f>
        <v>1000</v>
      </c>
      <c r="B1275" s="2">
        <f>IFERROR(__xludf.DUMMYFUNCTION("""COMPUTED_VALUE"""),184385.0)</f>
        <v>184385</v>
      </c>
      <c r="C1275" s="2">
        <f>IFERROR(__xludf.DUMMYFUNCTION("""COMPUTED_VALUE"""),2026.0)</f>
        <v>2026</v>
      </c>
      <c r="D1275" s="2">
        <f>IFERROR(__xludf.DUMMYFUNCTION("""COMPUTED_VALUE"""),46126.0)</f>
        <v>46126</v>
      </c>
      <c r="E1275" s="2" t="str">
        <f>IFERROR(__xludf.DUMMYFUNCTION("""COMPUTED_VALUE"""),"VF")</f>
        <v>VF</v>
      </c>
      <c r="F1275" s="2">
        <f>IFERROR(__xludf.DUMMYFUNCTION("""COMPUTED_VALUE"""),1.0)</f>
        <v>1</v>
      </c>
      <c r="G1275" s="2" t="str">
        <f>IFERROR(__xludf.DUMMYFUNCTION("""COMPUTED_VALUE"""),"PR026")</f>
        <v>PR026</v>
      </c>
      <c r="H1275" s="2" t="str">
        <f>IFERROR(__xludf.DUMMYFUNCTION("""COMPUTED_VALUE"""),"VD049")</f>
        <v>VD049</v>
      </c>
      <c r="I1275" s="2">
        <f>IFERROR(__xludf.DUMMYFUNCTION("""COMPUTED_VALUE"""),14.0)</f>
        <v>14</v>
      </c>
      <c r="J1275" s="2">
        <f>IFERROR(__xludf.DUMMYFUNCTION("""COMPUTED_VALUE"""),5094.54)</f>
        <v>5094.54</v>
      </c>
      <c r="K1275" s="2">
        <f>IFERROR(__xludf.DUMMYFUNCTION("""COMPUTED_VALUE"""),5094.54)</f>
        <v>5094.54</v>
      </c>
    </row>
    <row r="1276">
      <c r="A1276" s="2">
        <f>IFERROR(__xludf.DUMMYFUNCTION("""COMPUTED_VALUE"""),2000.0)</f>
        <v>2000</v>
      </c>
      <c r="B1276" s="2">
        <f>IFERROR(__xludf.DUMMYFUNCTION("""COMPUTED_VALUE"""),184385.0)</f>
        <v>184385</v>
      </c>
      <c r="C1276" s="2">
        <f>IFERROR(__xludf.DUMMYFUNCTION("""COMPUTED_VALUE"""),2026.0)</f>
        <v>2026</v>
      </c>
      <c r="D1276" s="2">
        <f>IFERROR(__xludf.DUMMYFUNCTION("""COMPUTED_VALUE"""),46125.0)</f>
        <v>46125</v>
      </c>
      <c r="E1276" s="2" t="str">
        <f>IFERROR(__xludf.DUMMYFUNCTION("""COMPUTED_VALUE"""),"VF")</f>
        <v>VF</v>
      </c>
      <c r="F1276" s="2">
        <f>IFERROR(__xludf.DUMMYFUNCTION("""COMPUTED_VALUE"""),2.0)</f>
        <v>2</v>
      </c>
      <c r="G1276" s="2" t="str">
        <f>IFERROR(__xludf.DUMMYFUNCTION("""COMPUTED_VALUE"""),"PR040")</f>
        <v>PR040</v>
      </c>
      <c r="H1276" s="2" t="str">
        <f>IFERROR(__xludf.DUMMYFUNCTION("""COMPUTED_VALUE"""),"VD026")</f>
        <v>VD026</v>
      </c>
      <c r="I1276" s="2">
        <f>IFERROR(__xludf.DUMMYFUNCTION("""COMPUTED_VALUE"""),1.0)</f>
        <v>1</v>
      </c>
      <c r="J1276" s="2">
        <f>IFERROR(__xludf.DUMMYFUNCTION("""COMPUTED_VALUE"""),74.2)</f>
        <v>74.2</v>
      </c>
      <c r="K1276" s="2">
        <f>IFERROR(__xludf.DUMMYFUNCTION("""COMPUTED_VALUE"""),74.2)</f>
        <v>74.2</v>
      </c>
    </row>
    <row r="1277">
      <c r="A1277" s="2">
        <f>IFERROR(__xludf.DUMMYFUNCTION("""COMPUTED_VALUE"""),1000.0)</f>
        <v>1000</v>
      </c>
      <c r="B1277" s="2">
        <f>IFERROR(__xludf.DUMMYFUNCTION("""COMPUTED_VALUE"""),184386.0)</f>
        <v>184386</v>
      </c>
      <c r="C1277" s="2">
        <f>IFERROR(__xludf.DUMMYFUNCTION("""COMPUTED_VALUE"""),2026.0)</f>
        <v>2026</v>
      </c>
      <c r="D1277" s="2">
        <f>IFERROR(__xludf.DUMMYFUNCTION("""COMPUTED_VALUE"""),46125.0)</f>
        <v>46125</v>
      </c>
      <c r="E1277" s="2" t="str">
        <f>IFERROR(__xludf.DUMMYFUNCTION("""COMPUTED_VALUE"""),"VF")</f>
        <v>VF</v>
      </c>
      <c r="F1277" s="2">
        <f>IFERROR(__xludf.DUMMYFUNCTION("""COMPUTED_VALUE"""),1.0)</f>
        <v>1</v>
      </c>
      <c r="G1277" s="2" t="str">
        <f>IFERROR(__xludf.DUMMYFUNCTION("""COMPUTED_VALUE"""),"PR029")</f>
        <v>PR029</v>
      </c>
      <c r="H1277" s="2" t="str">
        <f>IFERROR(__xludf.DUMMYFUNCTION("""COMPUTED_VALUE"""),"VD024")</f>
        <v>VD024</v>
      </c>
      <c r="I1277" s="2">
        <f>IFERROR(__xludf.DUMMYFUNCTION("""COMPUTED_VALUE"""),9.0)</f>
        <v>9</v>
      </c>
      <c r="J1277" s="2">
        <f>IFERROR(__xludf.DUMMYFUNCTION("""COMPUTED_VALUE"""),2363.85)</f>
        <v>2363.85</v>
      </c>
      <c r="K1277" s="2">
        <f>IFERROR(__xludf.DUMMYFUNCTION("""COMPUTED_VALUE"""),2363.85)</f>
        <v>2363.85</v>
      </c>
    </row>
    <row r="1278">
      <c r="A1278" s="2">
        <f>IFERROR(__xludf.DUMMYFUNCTION("""COMPUTED_VALUE"""),1000.0)</f>
        <v>1000</v>
      </c>
      <c r="B1278" s="2">
        <f>IFERROR(__xludf.DUMMYFUNCTION("""COMPUTED_VALUE"""),184386.0)</f>
        <v>184386</v>
      </c>
      <c r="C1278" s="2">
        <f>IFERROR(__xludf.DUMMYFUNCTION("""COMPUTED_VALUE"""),2026.0)</f>
        <v>2026</v>
      </c>
      <c r="D1278" s="2">
        <f>IFERROR(__xludf.DUMMYFUNCTION("""COMPUTED_VALUE"""),46125.0)</f>
        <v>46125</v>
      </c>
      <c r="E1278" s="2" t="str">
        <f>IFERROR(__xludf.DUMMYFUNCTION("""COMPUTED_VALUE"""),"VF")</f>
        <v>VF</v>
      </c>
      <c r="F1278" s="2">
        <f>IFERROR(__xludf.DUMMYFUNCTION("""COMPUTED_VALUE"""),2.0)</f>
        <v>2</v>
      </c>
      <c r="G1278" s="2" t="str">
        <f>IFERROR(__xludf.DUMMYFUNCTION("""COMPUTED_VALUE"""),"PR002")</f>
        <v>PR002</v>
      </c>
      <c r="H1278" s="2" t="str">
        <f>IFERROR(__xludf.DUMMYFUNCTION("""COMPUTED_VALUE"""),"VD040")</f>
        <v>VD040</v>
      </c>
      <c r="I1278" s="2">
        <f>IFERROR(__xludf.DUMMYFUNCTION("""COMPUTED_VALUE"""),8.0)</f>
        <v>8</v>
      </c>
      <c r="J1278" s="2">
        <f>IFERROR(__xludf.DUMMYFUNCTION("""COMPUTED_VALUE"""),570.38)</f>
        <v>570.38</v>
      </c>
      <c r="K1278" s="2">
        <f>IFERROR(__xludf.DUMMYFUNCTION("""COMPUTED_VALUE"""),570.38)</f>
        <v>570.38</v>
      </c>
    </row>
    <row r="1279">
      <c r="A1279" s="2">
        <f>IFERROR(__xludf.DUMMYFUNCTION("""COMPUTED_VALUE"""),2000.0)</f>
        <v>2000</v>
      </c>
      <c r="B1279" s="2">
        <f>IFERROR(__xludf.DUMMYFUNCTION("""COMPUTED_VALUE"""),184386.0)</f>
        <v>184386</v>
      </c>
      <c r="C1279" s="2">
        <f>IFERROR(__xludf.DUMMYFUNCTION("""COMPUTED_VALUE"""),2026.0)</f>
        <v>2026</v>
      </c>
      <c r="D1279" s="2">
        <f>IFERROR(__xludf.DUMMYFUNCTION("""COMPUTED_VALUE"""),46125.0)</f>
        <v>46125</v>
      </c>
      <c r="E1279" s="2" t="str">
        <f>IFERROR(__xludf.DUMMYFUNCTION("""COMPUTED_VALUE"""),"VF")</f>
        <v>VF</v>
      </c>
      <c r="F1279" s="2">
        <f>IFERROR(__xludf.DUMMYFUNCTION("""COMPUTED_VALUE"""),3.0)</f>
        <v>3</v>
      </c>
      <c r="G1279" s="2" t="str">
        <f>IFERROR(__xludf.DUMMYFUNCTION("""COMPUTED_VALUE"""),"PR016")</f>
        <v>PR016</v>
      </c>
      <c r="H1279" s="2" t="str">
        <f>IFERROR(__xludf.DUMMYFUNCTION("""COMPUTED_VALUE"""),"VD026")</f>
        <v>VD026</v>
      </c>
      <c r="I1279" s="2">
        <f>IFERROR(__xludf.DUMMYFUNCTION("""COMPUTED_VALUE"""),10.0)</f>
        <v>10</v>
      </c>
      <c r="J1279" s="2">
        <f>IFERROR(__xludf.DUMMYFUNCTION("""COMPUTED_VALUE"""),259.0)</f>
        <v>259</v>
      </c>
      <c r="K1279" s="2">
        <f>IFERROR(__xludf.DUMMYFUNCTION("""COMPUTED_VALUE"""),259.0)</f>
        <v>259</v>
      </c>
    </row>
    <row r="1280">
      <c r="A1280" s="2">
        <f>IFERROR(__xludf.DUMMYFUNCTION("""COMPUTED_VALUE"""),1000.0)</f>
        <v>1000</v>
      </c>
      <c r="B1280" s="2">
        <f>IFERROR(__xludf.DUMMYFUNCTION("""COMPUTED_VALUE"""),184386.0)</f>
        <v>184386</v>
      </c>
      <c r="C1280" s="2">
        <f>IFERROR(__xludf.DUMMYFUNCTION("""COMPUTED_VALUE"""),2026.0)</f>
        <v>2026</v>
      </c>
      <c r="D1280" s="2">
        <f>IFERROR(__xludf.DUMMYFUNCTION("""COMPUTED_VALUE"""),46125.0)</f>
        <v>46125</v>
      </c>
      <c r="E1280" s="2" t="str">
        <f>IFERROR(__xludf.DUMMYFUNCTION("""COMPUTED_VALUE"""),"VF")</f>
        <v>VF</v>
      </c>
      <c r="F1280" s="2">
        <f>IFERROR(__xludf.DUMMYFUNCTION("""COMPUTED_VALUE"""),4.0)</f>
        <v>4</v>
      </c>
      <c r="G1280" s="2" t="str">
        <f>IFERROR(__xludf.DUMMYFUNCTION("""COMPUTED_VALUE"""),"PR018")</f>
        <v>PR018</v>
      </c>
      <c r="H1280" s="2" t="str">
        <f>IFERROR(__xludf.DUMMYFUNCTION("""COMPUTED_VALUE"""),"VD029")</f>
        <v>VD029</v>
      </c>
      <c r="I1280" s="2">
        <f>IFERROR(__xludf.DUMMYFUNCTION("""COMPUTED_VALUE"""),9.0)</f>
        <v>9</v>
      </c>
      <c r="J1280" s="2">
        <f>IFERROR(__xludf.DUMMYFUNCTION("""COMPUTED_VALUE"""),307.94)</f>
        <v>307.94</v>
      </c>
      <c r="K1280" s="2">
        <f>IFERROR(__xludf.DUMMYFUNCTION("""COMPUTED_VALUE"""),307.94)</f>
        <v>307.94</v>
      </c>
    </row>
    <row r="1281">
      <c r="A1281" s="2">
        <f>IFERROR(__xludf.DUMMYFUNCTION("""COMPUTED_VALUE"""),1000.0)</f>
        <v>1000</v>
      </c>
      <c r="B1281" s="2">
        <f>IFERROR(__xludf.DUMMYFUNCTION("""COMPUTED_VALUE"""),184387.0)</f>
        <v>184387</v>
      </c>
      <c r="C1281" s="2">
        <f>IFERROR(__xludf.DUMMYFUNCTION("""COMPUTED_VALUE"""),2026.0)</f>
        <v>2026</v>
      </c>
      <c r="D1281" s="2">
        <f>IFERROR(__xludf.DUMMYFUNCTION("""COMPUTED_VALUE"""),46124.0)</f>
        <v>46124</v>
      </c>
      <c r="E1281" s="2" t="str">
        <f>IFERROR(__xludf.DUMMYFUNCTION("""COMPUTED_VALUE"""),"VF")</f>
        <v>VF</v>
      </c>
      <c r="F1281" s="2">
        <f>IFERROR(__xludf.DUMMYFUNCTION("""COMPUTED_VALUE"""),1.0)</f>
        <v>1</v>
      </c>
      <c r="G1281" s="2" t="str">
        <f>IFERROR(__xludf.DUMMYFUNCTION("""COMPUTED_VALUE"""),"PR021")</f>
        <v>PR021</v>
      </c>
      <c r="H1281" s="2" t="str">
        <f>IFERROR(__xludf.DUMMYFUNCTION("""COMPUTED_VALUE"""),"VD010")</f>
        <v>VD010</v>
      </c>
      <c r="I1281" s="2">
        <f>IFERROR(__xludf.DUMMYFUNCTION("""COMPUTED_VALUE"""),3.0)</f>
        <v>3</v>
      </c>
      <c r="J1281" s="2">
        <f>IFERROR(__xludf.DUMMYFUNCTION("""COMPUTED_VALUE"""),935.96)</f>
        <v>935.96</v>
      </c>
      <c r="K1281" s="2">
        <f>IFERROR(__xludf.DUMMYFUNCTION("""COMPUTED_VALUE"""),935.96)</f>
        <v>935.96</v>
      </c>
    </row>
    <row r="1282">
      <c r="A1282" s="2">
        <f>IFERROR(__xludf.DUMMYFUNCTION("""COMPUTED_VALUE"""),2000.0)</f>
        <v>2000</v>
      </c>
      <c r="B1282" s="2">
        <f>IFERROR(__xludf.DUMMYFUNCTION("""COMPUTED_VALUE"""),184388.0)</f>
        <v>184388</v>
      </c>
      <c r="C1282" s="2">
        <f>IFERROR(__xludf.DUMMYFUNCTION("""COMPUTED_VALUE"""),2026.0)</f>
        <v>2026</v>
      </c>
      <c r="D1282" s="2">
        <f>IFERROR(__xludf.DUMMYFUNCTION("""COMPUTED_VALUE"""),46124.0)</f>
        <v>46124</v>
      </c>
      <c r="E1282" s="2" t="str">
        <f>IFERROR(__xludf.DUMMYFUNCTION("""COMPUTED_VALUE"""),"VF")</f>
        <v>VF</v>
      </c>
      <c r="F1282" s="2">
        <f>IFERROR(__xludf.DUMMYFUNCTION("""COMPUTED_VALUE"""),1.0)</f>
        <v>1</v>
      </c>
      <c r="G1282" s="2" t="str">
        <f>IFERROR(__xludf.DUMMYFUNCTION("""COMPUTED_VALUE"""),"PR004")</f>
        <v>PR004</v>
      </c>
      <c r="H1282" s="2" t="str">
        <f>IFERROR(__xludf.DUMMYFUNCTION("""COMPUTED_VALUE"""),"VD041")</f>
        <v>VD041</v>
      </c>
      <c r="I1282" s="2">
        <f>IFERROR(__xludf.DUMMYFUNCTION("""COMPUTED_VALUE"""),12.0)</f>
        <v>12</v>
      </c>
      <c r="J1282" s="2">
        <f>IFERROR(__xludf.DUMMYFUNCTION("""COMPUTED_VALUE"""),1809.6)</f>
        <v>1809.6</v>
      </c>
      <c r="K1282" s="2">
        <f>IFERROR(__xludf.DUMMYFUNCTION("""COMPUTED_VALUE"""),1809.6)</f>
        <v>1809.6</v>
      </c>
    </row>
    <row r="1283">
      <c r="A1283" s="2">
        <f>IFERROR(__xludf.DUMMYFUNCTION("""COMPUTED_VALUE"""),2000.0)</f>
        <v>2000</v>
      </c>
      <c r="B1283" s="2">
        <f>IFERROR(__xludf.DUMMYFUNCTION("""COMPUTED_VALUE"""),184389.0)</f>
        <v>184389</v>
      </c>
      <c r="C1283" s="2">
        <f>IFERROR(__xludf.DUMMYFUNCTION("""COMPUTED_VALUE"""),2026.0)</f>
        <v>2026</v>
      </c>
      <c r="D1283" s="2">
        <f>IFERROR(__xludf.DUMMYFUNCTION("""COMPUTED_VALUE"""),46124.0)</f>
        <v>46124</v>
      </c>
      <c r="E1283" s="2" t="str">
        <f>IFERROR(__xludf.DUMMYFUNCTION("""COMPUTED_VALUE"""),"VF")</f>
        <v>VF</v>
      </c>
      <c r="F1283" s="2">
        <f>IFERROR(__xludf.DUMMYFUNCTION("""COMPUTED_VALUE"""),1.0)</f>
        <v>1</v>
      </c>
      <c r="G1283" s="2" t="str">
        <f>IFERROR(__xludf.DUMMYFUNCTION("""COMPUTED_VALUE"""),"PR044")</f>
        <v>PR044</v>
      </c>
      <c r="H1283" s="2" t="str">
        <f>IFERROR(__xludf.DUMMYFUNCTION("""COMPUTED_VALUE"""),"VD039")</f>
        <v>VD039</v>
      </c>
      <c r="I1283" s="2">
        <f>IFERROR(__xludf.DUMMYFUNCTION("""COMPUTED_VALUE"""),5.0)</f>
        <v>5</v>
      </c>
      <c r="J1283" s="2">
        <f>IFERROR(__xludf.DUMMYFUNCTION("""COMPUTED_VALUE"""),387.88)</f>
        <v>387.88</v>
      </c>
      <c r="K1283" s="2">
        <f>IFERROR(__xludf.DUMMYFUNCTION("""COMPUTED_VALUE"""),387.88)</f>
        <v>387.88</v>
      </c>
    </row>
    <row r="1284">
      <c r="A1284" s="2">
        <f>IFERROR(__xludf.DUMMYFUNCTION("""COMPUTED_VALUE"""),1000.0)</f>
        <v>1000</v>
      </c>
      <c r="B1284" s="2">
        <f>IFERROR(__xludf.DUMMYFUNCTION("""COMPUTED_VALUE"""),184390.0)</f>
        <v>184390</v>
      </c>
      <c r="C1284" s="2">
        <f>IFERROR(__xludf.DUMMYFUNCTION("""COMPUTED_VALUE"""),2026.0)</f>
        <v>2026</v>
      </c>
      <c r="D1284" s="2">
        <f>IFERROR(__xludf.DUMMYFUNCTION("""COMPUTED_VALUE"""),46124.0)</f>
        <v>46124</v>
      </c>
      <c r="E1284" s="2" t="str">
        <f>IFERROR(__xludf.DUMMYFUNCTION("""COMPUTED_VALUE"""),"VF")</f>
        <v>VF</v>
      </c>
      <c r="F1284" s="2">
        <f>IFERROR(__xludf.DUMMYFUNCTION("""COMPUTED_VALUE"""),1.0)</f>
        <v>1</v>
      </c>
      <c r="G1284" s="2" t="str">
        <f>IFERROR(__xludf.DUMMYFUNCTION("""COMPUTED_VALUE"""),"PR028")</f>
        <v>PR028</v>
      </c>
      <c r="H1284" s="2" t="str">
        <f>IFERROR(__xludf.DUMMYFUNCTION("""COMPUTED_VALUE"""),"VD026")</f>
        <v>VD026</v>
      </c>
      <c r="I1284" s="2">
        <f>IFERROR(__xludf.DUMMYFUNCTION("""COMPUTED_VALUE"""),1.0)</f>
        <v>1</v>
      </c>
      <c r="J1284" s="2">
        <f>IFERROR(__xludf.DUMMYFUNCTION("""COMPUTED_VALUE"""),259.9)</f>
        <v>259.9</v>
      </c>
      <c r="K1284" s="2">
        <f>IFERROR(__xludf.DUMMYFUNCTION("""COMPUTED_VALUE"""),259.9)</f>
        <v>259.9</v>
      </c>
    </row>
    <row r="1285">
      <c r="A1285" s="2">
        <f>IFERROR(__xludf.DUMMYFUNCTION("""COMPUTED_VALUE"""),1000.0)</f>
        <v>1000</v>
      </c>
      <c r="B1285" s="2">
        <f>IFERROR(__xludf.DUMMYFUNCTION("""COMPUTED_VALUE"""),184391.0)</f>
        <v>184391</v>
      </c>
      <c r="C1285" s="2">
        <f>IFERROR(__xludf.DUMMYFUNCTION("""COMPUTED_VALUE"""),2026.0)</f>
        <v>2026</v>
      </c>
      <c r="D1285" s="2">
        <f>IFERROR(__xludf.DUMMYFUNCTION("""COMPUTED_VALUE"""),46124.0)</f>
        <v>46124</v>
      </c>
      <c r="E1285" s="2" t="str">
        <f>IFERROR(__xludf.DUMMYFUNCTION("""COMPUTED_VALUE"""),"VF")</f>
        <v>VF</v>
      </c>
      <c r="F1285" s="2">
        <f>IFERROR(__xludf.DUMMYFUNCTION("""COMPUTED_VALUE"""),1.0)</f>
        <v>1</v>
      </c>
      <c r="G1285" s="2" t="str">
        <f>IFERROR(__xludf.DUMMYFUNCTION("""COMPUTED_VALUE"""),"PR024")</f>
        <v>PR024</v>
      </c>
      <c r="H1285" s="2" t="str">
        <f>IFERROR(__xludf.DUMMYFUNCTION("""COMPUTED_VALUE"""),"VD036")</f>
        <v>VD036</v>
      </c>
      <c r="I1285" s="2">
        <f>IFERROR(__xludf.DUMMYFUNCTION("""COMPUTED_VALUE"""),2.0)</f>
        <v>2</v>
      </c>
      <c r="J1285" s="2">
        <f>IFERROR(__xludf.DUMMYFUNCTION("""COMPUTED_VALUE"""),540.59)</f>
        <v>540.59</v>
      </c>
      <c r="K1285" s="2">
        <f>IFERROR(__xludf.DUMMYFUNCTION("""COMPUTED_VALUE"""),540.59)</f>
        <v>540.59</v>
      </c>
    </row>
    <row r="1286">
      <c r="A1286" s="2">
        <f>IFERROR(__xludf.DUMMYFUNCTION("""COMPUTED_VALUE"""),1000.0)</f>
        <v>1000</v>
      </c>
      <c r="B1286" s="2">
        <f>IFERROR(__xludf.DUMMYFUNCTION("""COMPUTED_VALUE"""),184392.0)</f>
        <v>184392</v>
      </c>
      <c r="C1286" s="2">
        <f>IFERROR(__xludf.DUMMYFUNCTION("""COMPUTED_VALUE"""),2026.0)</f>
        <v>2026</v>
      </c>
      <c r="D1286" s="2">
        <f>IFERROR(__xludf.DUMMYFUNCTION("""COMPUTED_VALUE"""),46124.0)</f>
        <v>46124</v>
      </c>
      <c r="E1286" s="2" t="str">
        <f>IFERROR(__xludf.DUMMYFUNCTION("""COMPUTED_VALUE"""),"VF")</f>
        <v>VF</v>
      </c>
      <c r="F1286" s="2">
        <f>IFERROR(__xludf.DUMMYFUNCTION("""COMPUTED_VALUE"""),1.0)</f>
        <v>1</v>
      </c>
      <c r="G1286" s="2" t="str">
        <f>IFERROR(__xludf.DUMMYFUNCTION("""COMPUTED_VALUE"""),"PR004")</f>
        <v>PR004</v>
      </c>
      <c r="H1286" s="2" t="str">
        <f>IFERROR(__xludf.DUMMYFUNCTION("""COMPUTED_VALUE"""),"VD020")</f>
        <v>VD020</v>
      </c>
      <c r="I1286" s="2">
        <f>IFERROR(__xludf.DUMMYFUNCTION("""COMPUTED_VALUE"""),10.0)</f>
        <v>10</v>
      </c>
      <c r="J1286" s="2">
        <f>IFERROR(__xludf.DUMMYFUNCTION("""COMPUTED_VALUE"""),1464.5)</f>
        <v>1464.5</v>
      </c>
      <c r="K1286" s="2">
        <f>IFERROR(__xludf.DUMMYFUNCTION("""COMPUTED_VALUE"""),1464.5)</f>
        <v>1464.5</v>
      </c>
    </row>
    <row r="1287">
      <c r="A1287" s="2">
        <f>IFERROR(__xludf.DUMMYFUNCTION("""COMPUTED_VALUE"""),1000.0)</f>
        <v>1000</v>
      </c>
      <c r="B1287" s="2">
        <f>IFERROR(__xludf.DUMMYFUNCTION("""COMPUTED_VALUE"""),184393.0)</f>
        <v>184393</v>
      </c>
      <c r="C1287" s="2">
        <f>IFERROR(__xludf.DUMMYFUNCTION("""COMPUTED_VALUE"""),2026.0)</f>
        <v>2026</v>
      </c>
      <c r="D1287" s="2">
        <f>IFERROR(__xludf.DUMMYFUNCTION("""COMPUTED_VALUE"""),46123.0)</f>
        <v>46123</v>
      </c>
      <c r="E1287" s="2" t="str">
        <f>IFERROR(__xludf.DUMMYFUNCTION("""COMPUTED_VALUE"""),"VF")</f>
        <v>VF</v>
      </c>
      <c r="F1287" s="2">
        <f>IFERROR(__xludf.DUMMYFUNCTION("""COMPUTED_VALUE"""),1.0)</f>
        <v>1</v>
      </c>
      <c r="G1287" s="2" t="str">
        <f>IFERROR(__xludf.DUMMYFUNCTION("""COMPUTED_VALUE"""),"PR004")</f>
        <v>PR004</v>
      </c>
      <c r="H1287" s="2" t="str">
        <f>IFERROR(__xludf.DUMMYFUNCTION("""COMPUTED_VALUE"""),"VD011")</f>
        <v>VD011</v>
      </c>
      <c r="I1287" s="2">
        <f>IFERROR(__xludf.DUMMYFUNCTION("""COMPUTED_VALUE"""),16.0)</f>
        <v>16</v>
      </c>
      <c r="J1287" s="2">
        <f>IFERROR(__xludf.DUMMYFUNCTION("""COMPUTED_VALUE"""),2528.8)</f>
        <v>2528.8</v>
      </c>
      <c r="K1287" s="2">
        <f>IFERROR(__xludf.DUMMYFUNCTION("""COMPUTED_VALUE"""),2528.8)</f>
        <v>2528.8</v>
      </c>
    </row>
    <row r="1288">
      <c r="A1288" s="2">
        <f>IFERROR(__xludf.DUMMYFUNCTION("""COMPUTED_VALUE"""),1000.0)</f>
        <v>1000</v>
      </c>
      <c r="B1288" s="2">
        <f>IFERROR(__xludf.DUMMYFUNCTION("""COMPUTED_VALUE"""),184393.0)</f>
        <v>184393</v>
      </c>
      <c r="C1288" s="2">
        <f>IFERROR(__xludf.DUMMYFUNCTION("""COMPUTED_VALUE"""),2026.0)</f>
        <v>2026</v>
      </c>
      <c r="D1288" s="2">
        <f>IFERROR(__xludf.DUMMYFUNCTION("""COMPUTED_VALUE"""),46123.0)</f>
        <v>46123</v>
      </c>
      <c r="E1288" s="2" t="str">
        <f>IFERROR(__xludf.DUMMYFUNCTION("""COMPUTED_VALUE"""),"VF")</f>
        <v>VF</v>
      </c>
      <c r="F1288" s="2">
        <f>IFERROR(__xludf.DUMMYFUNCTION("""COMPUTED_VALUE"""),2.0)</f>
        <v>2</v>
      </c>
      <c r="G1288" s="2" t="str">
        <f>IFERROR(__xludf.DUMMYFUNCTION("""COMPUTED_VALUE"""),"PR007")</f>
        <v>PR007</v>
      </c>
      <c r="H1288" s="2" t="str">
        <f>IFERROR(__xludf.DUMMYFUNCTION("""COMPUTED_VALUE"""),"VD023")</f>
        <v>VD023</v>
      </c>
      <c r="I1288" s="2">
        <f>IFERROR(__xludf.DUMMYFUNCTION("""COMPUTED_VALUE"""),4.0)</f>
        <v>4</v>
      </c>
      <c r="J1288" s="2">
        <f>IFERROR(__xludf.DUMMYFUNCTION("""COMPUTED_VALUE"""),343.6)</f>
        <v>343.6</v>
      </c>
      <c r="K1288" s="2">
        <f>IFERROR(__xludf.DUMMYFUNCTION("""COMPUTED_VALUE"""),343.6)</f>
        <v>343.6</v>
      </c>
    </row>
    <row r="1289">
      <c r="A1289" s="2">
        <f>IFERROR(__xludf.DUMMYFUNCTION("""COMPUTED_VALUE"""),2000.0)</f>
        <v>2000</v>
      </c>
      <c r="B1289" s="2">
        <f>IFERROR(__xludf.DUMMYFUNCTION("""COMPUTED_VALUE"""),184393.0)</f>
        <v>184393</v>
      </c>
      <c r="C1289" s="2">
        <f>IFERROR(__xludf.DUMMYFUNCTION("""COMPUTED_VALUE"""),2026.0)</f>
        <v>2026</v>
      </c>
      <c r="D1289" s="2">
        <f>IFERROR(__xludf.DUMMYFUNCTION("""COMPUTED_VALUE"""),46123.0)</f>
        <v>46123</v>
      </c>
      <c r="E1289" s="2" t="str">
        <f>IFERROR(__xludf.DUMMYFUNCTION("""COMPUTED_VALUE"""),"VF")</f>
        <v>VF</v>
      </c>
      <c r="F1289" s="2">
        <f>IFERROR(__xludf.DUMMYFUNCTION("""COMPUTED_VALUE"""),3.0)</f>
        <v>3</v>
      </c>
      <c r="G1289" s="2" t="str">
        <f>IFERROR(__xludf.DUMMYFUNCTION("""COMPUTED_VALUE"""),"PR020")</f>
        <v>PR020</v>
      </c>
      <c r="H1289" s="2" t="str">
        <f>IFERROR(__xludf.DUMMYFUNCTION("""COMPUTED_VALUE"""),"VD015")</f>
        <v>VD015</v>
      </c>
      <c r="I1289" s="2">
        <f>IFERROR(__xludf.DUMMYFUNCTION("""COMPUTED_VALUE"""),18.0)</f>
        <v>18</v>
      </c>
      <c r="J1289" s="2">
        <f>IFERROR(__xludf.DUMMYFUNCTION("""COMPUTED_VALUE"""),5830.06)</f>
        <v>5830.06</v>
      </c>
      <c r="K1289" s="2">
        <f>IFERROR(__xludf.DUMMYFUNCTION("""COMPUTED_VALUE"""),5830.06)</f>
        <v>5830.06</v>
      </c>
    </row>
    <row r="1290">
      <c r="A1290" s="2">
        <f>IFERROR(__xludf.DUMMYFUNCTION("""COMPUTED_VALUE"""),1000.0)</f>
        <v>1000</v>
      </c>
      <c r="B1290" s="2">
        <f>IFERROR(__xludf.DUMMYFUNCTION("""COMPUTED_VALUE"""),184394.0)</f>
        <v>184394</v>
      </c>
      <c r="C1290" s="2">
        <f>IFERROR(__xludf.DUMMYFUNCTION("""COMPUTED_VALUE"""),2026.0)</f>
        <v>2026</v>
      </c>
      <c r="D1290" s="2">
        <f>IFERROR(__xludf.DUMMYFUNCTION("""COMPUTED_VALUE"""),46123.0)</f>
        <v>46123</v>
      </c>
      <c r="E1290" s="2" t="str">
        <f>IFERROR(__xludf.DUMMYFUNCTION("""COMPUTED_VALUE"""),"VF")</f>
        <v>VF</v>
      </c>
      <c r="F1290" s="2">
        <f>IFERROR(__xludf.DUMMYFUNCTION("""COMPUTED_VALUE"""),1.0)</f>
        <v>1</v>
      </c>
      <c r="G1290" s="2" t="str">
        <f>IFERROR(__xludf.DUMMYFUNCTION("""COMPUTED_VALUE"""),"PR051")</f>
        <v>PR051</v>
      </c>
      <c r="H1290" s="2" t="str">
        <f>IFERROR(__xludf.DUMMYFUNCTION("""COMPUTED_VALUE"""),"VD046")</f>
        <v>VD046</v>
      </c>
      <c r="I1290" s="2">
        <f>IFERROR(__xludf.DUMMYFUNCTION("""COMPUTED_VALUE"""),6.0)</f>
        <v>6</v>
      </c>
      <c r="J1290" s="2">
        <f>IFERROR(__xludf.DUMMYFUNCTION("""COMPUTED_VALUE"""),213.19)</f>
        <v>213.19</v>
      </c>
      <c r="K1290" s="2">
        <f>IFERROR(__xludf.DUMMYFUNCTION("""COMPUTED_VALUE"""),213.19)</f>
        <v>213.19</v>
      </c>
    </row>
    <row r="1291">
      <c r="A1291" s="2">
        <f>IFERROR(__xludf.DUMMYFUNCTION("""COMPUTED_VALUE"""),1000.0)</f>
        <v>1000</v>
      </c>
      <c r="B1291" s="2">
        <f>IFERROR(__xludf.DUMMYFUNCTION("""COMPUTED_VALUE"""),184395.0)</f>
        <v>184395</v>
      </c>
      <c r="C1291" s="2">
        <f>IFERROR(__xludf.DUMMYFUNCTION("""COMPUTED_VALUE"""),2026.0)</f>
        <v>2026</v>
      </c>
      <c r="D1291" s="2">
        <f>IFERROR(__xludf.DUMMYFUNCTION("""COMPUTED_VALUE"""),46122.0)</f>
        <v>46122</v>
      </c>
      <c r="E1291" s="2" t="str">
        <f>IFERROR(__xludf.DUMMYFUNCTION("""COMPUTED_VALUE"""),"VF")</f>
        <v>VF</v>
      </c>
      <c r="F1291" s="2">
        <f>IFERROR(__xludf.DUMMYFUNCTION("""COMPUTED_VALUE"""),1.0)</f>
        <v>1</v>
      </c>
      <c r="G1291" s="2" t="str">
        <f>IFERROR(__xludf.DUMMYFUNCTION("""COMPUTED_VALUE"""),"PR057")</f>
        <v>PR057</v>
      </c>
      <c r="H1291" s="2" t="str">
        <f>IFERROR(__xludf.DUMMYFUNCTION("""COMPUTED_VALUE"""),"VD017")</f>
        <v>VD017</v>
      </c>
      <c r="I1291" s="2">
        <f>IFERROR(__xludf.DUMMYFUNCTION("""COMPUTED_VALUE"""),5.0)</f>
        <v>5</v>
      </c>
      <c r="J1291" s="2">
        <f>IFERROR(__xludf.DUMMYFUNCTION("""COMPUTED_VALUE"""),454.0)</f>
        <v>454</v>
      </c>
      <c r="K1291" s="2">
        <f>IFERROR(__xludf.DUMMYFUNCTION("""COMPUTED_VALUE"""),454.0)</f>
        <v>454</v>
      </c>
    </row>
    <row r="1292">
      <c r="A1292" s="2">
        <f>IFERROR(__xludf.DUMMYFUNCTION("""COMPUTED_VALUE"""),1000.0)</f>
        <v>1000</v>
      </c>
      <c r="B1292" s="2">
        <f>IFERROR(__xludf.DUMMYFUNCTION("""COMPUTED_VALUE"""),184396.0)</f>
        <v>184396</v>
      </c>
      <c r="C1292" s="2">
        <f>IFERROR(__xludf.DUMMYFUNCTION("""COMPUTED_VALUE"""),2026.0)</f>
        <v>2026</v>
      </c>
      <c r="D1292" s="2">
        <f>IFERROR(__xludf.DUMMYFUNCTION("""COMPUTED_VALUE"""),46122.0)</f>
        <v>46122</v>
      </c>
      <c r="E1292" s="2" t="str">
        <f>IFERROR(__xludf.DUMMYFUNCTION("""COMPUTED_VALUE"""),"VF")</f>
        <v>VF</v>
      </c>
      <c r="F1292" s="2">
        <f>IFERROR(__xludf.DUMMYFUNCTION("""COMPUTED_VALUE"""),1.0)</f>
        <v>1</v>
      </c>
      <c r="G1292" s="2" t="str">
        <f>IFERROR(__xludf.DUMMYFUNCTION("""COMPUTED_VALUE"""),"PR035")</f>
        <v>PR035</v>
      </c>
      <c r="H1292" s="2" t="str">
        <f>IFERROR(__xludf.DUMMYFUNCTION("""COMPUTED_VALUE"""),"VD017")</f>
        <v>VD017</v>
      </c>
      <c r="I1292" s="2">
        <f>IFERROR(__xludf.DUMMYFUNCTION("""COMPUTED_VALUE"""),12.0)</f>
        <v>12</v>
      </c>
      <c r="J1292" s="2">
        <f>IFERROR(__xludf.DUMMYFUNCTION("""COMPUTED_VALUE"""),1173.58)</f>
        <v>1173.58</v>
      </c>
      <c r="K1292" s="2">
        <f>IFERROR(__xludf.DUMMYFUNCTION("""COMPUTED_VALUE"""),1173.58)</f>
        <v>1173.58</v>
      </c>
    </row>
    <row r="1293">
      <c r="A1293" s="2">
        <f>IFERROR(__xludf.DUMMYFUNCTION("""COMPUTED_VALUE"""),1000.0)</f>
        <v>1000</v>
      </c>
      <c r="B1293" s="2">
        <f>IFERROR(__xludf.DUMMYFUNCTION("""COMPUTED_VALUE"""),184397.0)</f>
        <v>184397</v>
      </c>
      <c r="C1293" s="2">
        <f>IFERROR(__xludf.DUMMYFUNCTION("""COMPUTED_VALUE"""),2026.0)</f>
        <v>2026</v>
      </c>
      <c r="D1293" s="2">
        <f>IFERROR(__xludf.DUMMYFUNCTION("""COMPUTED_VALUE"""),46122.0)</f>
        <v>46122</v>
      </c>
      <c r="E1293" s="2" t="str">
        <f>IFERROR(__xludf.DUMMYFUNCTION("""COMPUTED_VALUE"""),"VF")</f>
        <v>VF</v>
      </c>
      <c r="F1293" s="2">
        <f>IFERROR(__xludf.DUMMYFUNCTION("""COMPUTED_VALUE"""),1.0)</f>
        <v>1</v>
      </c>
      <c r="G1293" s="2" t="str">
        <f>IFERROR(__xludf.DUMMYFUNCTION("""COMPUTED_VALUE"""),"PR049")</f>
        <v>PR049</v>
      </c>
      <c r="H1293" s="2" t="str">
        <f>IFERROR(__xludf.DUMMYFUNCTION("""COMPUTED_VALUE"""),"VD023")</f>
        <v>VD023</v>
      </c>
      <c r="I1293" s="2">
        <f>IFERROR(__xludf.DUMMYFUNCTION("""COMPUTED_VALUE"""),9.0)</f>
        <v>9</v>
      </c>
      <c r="J1293" s="2">
        <f>IFERROR(__xludf.DUMMYFUNCTION("""COMPUTED_VALUE"""),302.02)</f>
        <v>302.02</v>
      </c>
      <c r="K1293" s="2">
        <f>IFERROR(__xludf.DUMMYFUNCTION("""COMPUTED_VALUE"""),302.02)</f>
        <v>302.02</v>
      </c>
    </row>
    <row r="1294">
      <c r="A1294" s="2">
        <f>IFERROR(__xludf.DUMMYFUNCTION("""COMPUTED_VALUE"""),1000.0)</f>
        <v>1000</v>
      </c>
      <c r="B1294" s="2">
        <f>IFERROR(__xludf.DUMMYFUNCTION("""COMPUTED_VALUE"""),184398.0)</f>
        <v>184398</v>
      </c>
      <c r="C1294" s="2">
        <f>IFERROR(__xludf.DUMMYFUNCTION("""COMPUTED_VALUE"""),2026.0)</f>
        <v>2026</v>
      </c>
      <c r="D1294" s="2">
        <f>IFERROR(__xludf.DUMMYFUNCTION("""COMPUTED_VALUE"""),46121.0)</f>
        <v>46121</v>
      </c>
      <c r="E1294" s="2" t="str">
        <f>IFERROR(__xludf.DUMMYFUNCTION("""COMPUTED_VALUE"""),"VF")</f>
        <v>VF</v>
      </c>
      <c r="F1294" s="2">
        <f>IFERROR(__xludf.DUMMYFUNCTION("""COMPUTED_VALUE"""),1.0)</f>
        <v>1</v>
      </c>
      <c r="G1294" s="2" t="str">
        <f>IFERROR(__xludf.DUMMYFUNCTION("""COMPUTED_VALUE"""),"PR054")</f>
        <v>PR054</v>
      </c>
      <c r="H1294" s="2" t="str">
        <f>IFERROR(__xludf.DUMMYFUNCTION("""COMPUTED_VALUE"""),"VD036")</f>
        <v>VD036</v>
      </c>
      <c r="I1294" s="2">
        <f>IFERROR(__xludf.DUMMYFUNCTION("""COMPUTED_VALUE"""),18.0)</f>
        <v>18</v>
      </c>
      <c r="J1294" s="2">
        <f>IFERROR(__xludf.DUMMYFUNCTION("""COMPUTED_VALUE"""),952.09)</f>
        <v>952.09</v>
      </c>
      <c r="K1294" s="2">
        <f>IFERROR(__xludf.DUMMYFUNCTION("""COMPUTED_VALUE"""),952.09)</f>
        <v>952.09</v>
      </c>
    </row>
    <row r="1295">
      <c r="A1295" s="2">
        <f>IFERROR(__xludf.DUMMYFUNCTION("""COMPUTED_VALUE"""),1000.0)</f>
        <v>1000</v>
      </c>
      <c r="B1295" s="2">
        <f>IFERROR(__xludf.DUMMYFUNCTION("""COMPUTED_VALUE"""),184399.0)</f>
        <v>184399</v>
      </c>
      <c r="C1295" s="2">
        <f>IFERROR(__xludf.DUMMYFUNCTION("""COMPUTED_VALUE"""),2026.0)</f>
        <v>2026</v>
      </c>
      <c r="D1295" s="2">
        <f>IFERROR(__xludf.DUMMYFUNCTION("""COMPUTED_VALUE"""),46121.0)</f>
        <v>46121</v>
      </c>
      <c r="E1295" s="2" t="str">
        <f>IFERROR(__xludf.DUMMYFUNCTION("""COMPUTED_VALUE"""),"VF")</f>
        <v>VF</v>
      </c>
      <c r="F1295" s="2">
        <f>IFERROR(__xludf.DUMMYFUNCTION("""COMPUTED_VALUE"""),1.0)</f>
        <v>1</v>
      </c>
      <c r="G1295" s="2" t="str">
        <f>IFERROR(__xludf.DUMMYFUNCTION("""COMPUTED_VALUE"""),"PR056")</f>
        <v>PR056</v>
      </c>
      <c r="H1295" s="2" t="str">
        <f>IFERROR(__xludf.DUMMYFUNCTION("""COMPUTED_VALUE"""),"VD032")</f>
        <v>VD032</v>
      </c>
      <c r="I1295" s="2">
        <f>IFERROR(__xludf.DUMMYFUNCTION("""COMPUTED_VALUE"""),2.0)</f>
        <v>2</v>
      </c>
      <c r="J1295" s="2">
        <f>IFERROR(__xludf.DUMMYFUNCTION("""COMPUTED_VALUE"""),188.79)</f>
        <v>188.79</v>
      </c>
      <c r="K1295" s="2">
        <f>IFERROR(__xludf.DUMMYFUNCTION("""COMPUTED_VALUE"""),188.79)</f>
        <v>188.79</v>
      </c>
    </row>
    <row r="1296">
      <c r="A1296" s="2">
        <f>IFERROR(__xludf.DUMMYFUNCTION("""COMPUTED_VALUE"""),2000.0)</f>
        <v>2000</v>
      </c>
      <c r="B1296" s="2">
        <f>IFERROR(__xludf.DUMMYFUNCTION("""COMPUTED_VALUE"""),184400.0)</f>
        <v>184400</v>
      </c>
      <c r="C1296" s="2">
        <f>IFERROR(__xludf.DUMMYFUNCTION("""COMPUTED_VALUE"""),2026.0)</f>
        <v>2026</v>
      </c>
      <c r="D1296" s="2">
        <f>IFERROR(__xludf.DUMMYFUNCTION("""COMPUTED_VALUE"""),46121.0)</f>
        <v>46121</v>
      </c>
      <c r="E1296" s="2" t="str">
        <f>IFERROR(__xludf.DUMMYFUNCTION("""COMPUTED_VALUE"""),"VF")</f>
        <v>VF</v>
      </c>
      <c r="F1296" s="2">
        <f>IFERROR(__xludf.DUMMYFUNCTION("""COMPUTED_VALUE"""),1.0)</f>
        <v>1</v>
      </c>
      <c r="G1296" s="2" t="str">
        <f>IFERROR(__xludf.DUMMYFUNCTION("""COMPUTED_VALUE"""),"PR055")</f>
        <v>PR055</v>
      </c>
      <c r="H1296" s="2" t="str">
        <f>IFERROR(__xludf.DUMMYFUNCTION("""COMPUTED_VALUE"""),"VD025")</f>
        <v>VD025</v>
      </c>
      <c r="I1296" s="2">
        <f>IFERROR(__xludf.DUMMYFUNCTION("""COMPUTED_VALUE"""),1.0)</f>
        <v>1</v>
      </c>
      <c r="J1296" s="2">
        <f>IFERROR(__xludf.DUMMYFUNCTION("""COMPUTED_VALUE"""),89.9)</f>
        <v>89.9</v>
      </c>
      <c r="K1296" s="2">
        <f>IFERROR(__xludf.DUMMYFUNCTION("""COMPUTED_VALUE"""),89.9)</f>
        <v>89.9</v>
      </c>
    </row>
    <row r="1297">
      <c r="A1297" s="2">
        <f>IFERROR(__xludf.DUMMYFUNCTION("""COMPUTED_VALUE"""),1000.0)</f>
        <v>1000</v>
      </c>
      <c r="B1297" s="2">
        <f>IFERROR(__xludf.DUMMYFUNCTION("""COMPUTED_VALUE"""),184401.0)</f>
        <v>184401</v>
      </c>
      <c r="C1297" s="2">
        <f>IFERROR(__xludf.DUMMYFUNCTION("""COMPUTED_VALUE"""),2026.0)</f>
        <v>2026</v>
      </c>
      <c r="D1297" s="2">
        <f>IFERROR(__xludf.DUMMYFUNCTION("""COMPUTED_VALUE"""),46121.0)</f>
        <v>46121</v>
      </c>
      <c r="E1297" s="2" t="str">
        <f>IFERROR(__xludf.DUMMYFUNCTION("""COMPUTED_VALUE"""),"VF")</f>
        <v>VF</v>
      </c>
      <c r="F1297" s="2">
        <f>IFERROR(__xludf.DUMMYFUNCTION("""COMPUTED_VALUE"""),1.0)</f>
        <v>1</v>
      </c>
      <c r="G1297" s="2" t="str">
        <f>IFERROR(__xludf.DUMMYFUNCTION("""COMPUTED_VALUE"""),"PR027")</f>
        <v>PR027</v>
      </c>
      <c r="H1297" s="2" t="str">
        <f>IFERROR(__xludf.DUMMYFUNCTION("""COMPUTED_VALUE"""),"VD021")</f>
        <v>VD021</v>
      </c>
      <c r="I1297" s="2">
        <f>IFERROR(__xludf.DUMMYFUNCTION("""COMPUTED_VALUE"""),12.0)</f>
        <v>12</v>
      </c>
      <c r="J1297" s="2">
        <f>IFERROR(__xludf.DUMMYFUNCTION("""COMPUTED_VALUE"""),1555.2)</f>
        <v>1555.2</v>
      </c>
      <c r="K1297" s="2">
        <f>IFERROR(__xludf.DUMMYFUNCTION("""COMPUTED_VALUE"""),1555.2)</f>
        <v>1555.2</v>
      </c>
    </row>
    <row r="1298">
      <c r="A1298" s="2">
        <f>IFERROR(__xludf.DUMMYFUNCTION("""COMPUTED_VALUE"""),2000.0)</f>
        <v>2000</v>
      </c>
      <c r="B1298" s="2">
        <f>IFERROR(__xludf.DUMMYFUNCTION("""COMPUTED_VALUE"""),184402.0)</f>
        <v>184402</v>
      </c>
      <c r="C1298" s="2">
        <f>IFERROR(__xludf.DUMMYFUNCTION("""COMPUTED_VALUE"""),2026.0)</f>
        <v>2026</v>
      </c>
      <c r="D1298" s="2">
        <f>IFERROR(__xludf.DUMMYFUNCTION("""COMPUTED_VALUE"""),46121.0)</f>
        <v>46121</v>
      </c>
      <c r="E1298" s="2" t="str">
        <f>IFERROR(__xludf.DUMMYFUNCTION("""COMPUTED_VALUE"""),"VF")</f>
        <v>VF</v>
      </c>
      <c r="F1298" s="2">
        <f>IFERROR(__xludf.DUMMYFUNCTION("""COMPUTED_VALUE"""),1.0)</f>
        <v>1</v>
      </c>
      <c r="G1298" s="2" t="str">
        <f>IFERROR(__xludf.DUMMYFUNCTION("""COMPUTED_VALUE"""),"PR013")</f>
        <v>PR013</v>
      </c>
      <c r="H1298" s="2" t="str">
        <f>IFERROR(__xludf.DUMMYFUNCTION("""COMPUTED_VALUE"""),"VD044")</f>
        <v>VD044</v>
      </c>
      <c r="I1298" s="2">
        <f>IFERROR(__xludf.DUMMYFUNCTION("""COMPUTED_VALUE"""),4.0)</f>
        <v>4</v>
      </c>
      <c r="J1298" s="2">
        <f>IFERROR(__xludf.DUMMYFUNCTION("""COMPUTED_VALUE"""),173.96)</f>
        <v>173.96</v>
      </c>
      <c r="K1298" s="2">
        <f>IFERROR(__xludf.DUMMYFUNCTION("""COMPUTED_VALUE"""),173.96)</f>
        <v>173.96</v>
      </c>
    </row>
    <row r="1299">
      <c r="A1299" s="2">
        <f>IFERROR(__xludf.DUMMYFUNCTION("""COMPUTED_VALUE"""),1000.0)</f>
        <v>1000</v>
      </c>
      <c r="B1299" s="2">
        <f>IFERROR(__xludf.DUMMYFUNCTION("""COMPUTED_VALUE"""),184403.0)</f>
        <v>184403</v>
      </c>
      <c r="C1299" s="2">
        <f>IFERROR(__xludf.DUMMYFUNCTION("""COMPUTED_VALUE"""),2026.0)</f>
        <v>2026</v>
      </c>
      <c r="D1299" s="2">
        <f>IFERROR(__xludf.DUMMYFUNCTION("""COMPUTED_VALUE"""),46120.0)</f>
        <v>46120</v>
      </c>
      <c r="E1299" s="2" t="str">
        <f>IFERROR(__xludf.DUMMYFUNCTION("""COMPUTED_VALUE"""),"VF")</f>
        <v>VF</v>
      </c>
      <c r="F1299" s="2">
        <f>IFERROR(__xludf.DUMMYFUNCTION("""COMPUTED_VALUE"""),1.0)</f>
        <v>1</v>
      </c>
      <c r="G1299" s="2" t="str">
        <f>IFERROR(__xludf.DUMMYFUNCTION("""COMPUTED_VALUE"""),"PR050")</f>
        <v>PR050</v>
      </c>
      <c r="H1299" s="2" t="str">
        <f>IFERROR(__xludf.DUMMYFUNCTION("""COMPUTED_VALUE"""),"VD024")</f>
        <v>VD024</v>
      </c>
      <c r="I1299" s="2">
        <f>IFERROR(__xludf.DUMMYFUNCTION("""COMPUTED_VALUE"""),9.0)</f>
        <v>9</v>
      </c>
      <c r="J1299" s="2">
        <f>IFERROR(__xludf.DUMMYFUNCTION("""COMPUTED_VALUE"""),310.91)</f>
        <v>310.91</v>
      </c>
      <c r="K1299" s="2">
        <f>IFERROR(__xludf.DUMMYFUNCTION("""COMPUTED_VALUE"""),310.91)</f>
        <v>310.91</v>
      </c>
    </row>
    <row r="1300">
      <c r="A1300" s="2">
        <f>IFERROR(__xludf.DUMMYFUNCTION("""COMPUTED_VALUE"""),1000.0)</f>
        <v>1000</v>
      </c>
      <c r="B1300" s="2">
        <f>IFERROR(__xludf.DUMMYFUNCTION("""COMPUTED_VALUE"""),184403.0)</f>
        <v>184403</v>
      </c>
      <c r="C1300" s="2">
        <f>IFERROR(__xludf.DUMMYFUNCTION("""COMPUTED_VALUE"""),2026.0)</f>
        <v>2026</v>
      </c>
      <c r="D1300" s="2">
        <f>IFERROR(__xludf.DUMMYFUNCTION("""COMPUTED_VALUE"""),46120.0)</f>
        <v>46120</v>
      </c>
      <c r="E1300" s="2" t="str">
        <f>IFERROR(__xludf.DUMMYFUNCTION("""COMPUTED_VALUE"""),"VF")</f>
        <v>VF</v>
      </c>
      <c r="F1300" s="2">
        <f>IFERROR(__xludf.DUMMYFUNCTION("""COMPUTED_VALUE"""),2.0)</f>
        <v>2</v>
      </c>
      <c r="G1300" s="2" t="str">
        <f>IFERROR(__xludf.DUMMYFUNCTION("""COMPUTED_VALUE"""),"PR036")</f>
        <v>PR036</v>
      </c>
      <c r="H1300" s="2" t="str">
        <f>IFERROR(__xludf.DUMMYFUNCTION("""COMPUTED_VALUE"""),"VD016")</f>
        <v>VD016</v>
      </c>
      <c r="I1300" s="2">
        <f>IFERROR(__xludf.DUMMYFUNCTION("""COMPUTED_VALUE"""),6.0)</f>
        <v>6</v>
      </c>
      <c r="J1300" s="2">
        <f>IFERROR(__xludf.DUMMYFUNCTION("""COMPUTED_VALUE"""),566.61)</f>
        <v>566.61</v>
      </c>
      <c r="K1300" s="2">
        <f>IFERROR(__xludf.DUMMYFUNCTION("""COMPUTED_VALUE"""),566.61)</f>
        <v>566.61</v>
      </c>
    </row>
    <row r="1301">
      <c r="A1301" s="2">
        <f>IFERROR(__xludf.DUMMYFUNCTION("""COMPUTED_VALUE"""),1000.0)</f>
        <v>1000</v>
      </c>
      <c r="B1301" s="2">
        <f>IFERROR(__xludf.DUMMYFUNCTION("""COMPUTED_VALUE"""),184404.0)</f>
        <v>184404</v>
      </c>
      <c r="C1301" s="2">
        <f>IFERROR(__xludf.DUMMYFUNCTION("""COMPUTED_VALUE"""),2026.0)</f>
        <v>2026</v>
      </c>
      <c r="D1301" s="2">
        <f>IFERROR(__xludf.DUMMYFUNCTION("""COMPUTED_VALUE"""),46119.0)</f>
        <v>46119</v>
      </c>
      <c r="E1301" s="2" t="str">
        <f>IFERROR(__xludf.DUMMYFUNCTION("""COMPUTED_VALUE"""),"VF")</f>
        <v>VF</v>
      </c>
      <c r="F1301" s="2">
        <f>IFERROR(__xludf.DUMMYFUNCTION("""COMPUTED_VALUE"""),1.0)</f>
        <v>1</v>
      </c>
      <c r="G1301" s="2" t="str">
        <f>IFERROR(__xludf.DUMMYFUNCTION("""COMPUTED_VALUE"""),"PR005")</f>
        <v>PR005</v>
      </c>
      <c r="H1301" s="2" t="str">
        <f>IFERROR(__xludf.DUMMYFUNCTION("""COMPUTED_VALUE"""),"VD028")</f>
        <v>VD028</v>
      </c>
      <c r="I1301" s="2">
        <f>IFERROR(__xludf.DUMMYFUNCTION("""COMPUTED_VALUE"""),10.0)</f>
        <v>10</v>
      </c>
      <c r="J1301" s="2">
        <f>IFERROR(__xludf.DUMMYFUNCTION("""COMPUTED_VALUE"""),2832.91)</f>
        <v>2832.91</v>
      </c>
      <c r="K1301" s="2">
        <f>IFERROR(__xludf.DUMMYFUNCTION("""COMPUTED_VALUE"""),2832.91)</f>
        <v>2832.91</v>
      </c>
    </row>
    <row r="1302">
      <c r="A1302" s="2">
        <f>IFERROR(__xludf.DUMMYFUNCTION("""COMPUTED_VALUE"""),1000.0)</f>
        <v>1000</v>
      </c>
      <c r="B1302" s="2">
        <f>IFERROR(__xludf.DUMMYFUNCTION("""COMPUTED_VALUE"""),184404.0)</f>
        <v>184404</v>
      </c>
      <c r="C1302" s="2">
        <f>IFERROR(__xludf.DUMMYFUNCTION("""COMPUTED_VALUE"""),2026.0)</f>
        <v>2026</v>
      </c>
      <c r="D1302" s="2">
        <f>IFERROR(__xludf.DUMMYFUNCTION("""COMPUTED_VALUE"""),46119.0)</f>
        <v>46119</v>
      </c>
      <c r="E1302" s="2" t="str">
        <f>IFERROR(__xludf.DUMMYFUNCTION("""COMPUTED_VALUE"""),"VF")</f>
        <v>VF</v>
      </c>
      <c r="F1302" s="2">
        <f>IFERROR(__xludf.DUMMYFUNCTION("""COMPUTED_VALUE"""),2.0)</f>
        <v>2</v>
      </c>
      <c r="G1302" s="2" t="str">
        <f>IFERROR(__xludf.DUMMYFUNCTION("""COMPUTED_VALUE"""),"PR032")</f>
        <v>PR032</v>
      </c>
      <c r="H1302" s="2" t="str">
        <f>IFERROR(__xludf.DUMMYFUNCTION("""COMPUTED_VALUE"""),"VD035")</f>
        <v>VD035</v>
      </c>
      <c r="I1302" s="2">
        <f>IFERROR(__xludf.DUMMYFUNCTION("""COMPUTED_VALUE"""),6.0)</f>
        <v>6</v>
      </c>
      <c r="J1302" s="2">
        <f>IFERROR(__xludf.DUMMYFUNCTION("""COMPUTED_VALUE"""),1605.0)</f>
        <v>1605</v>
      </c>
      <c r="K1302" s="2">
        <f>IFERROR(__xludf.DUMMYFUNCTION("""COMPUTED_VALUE"""),1605.0)</f>
        <v>1605</v>
      </c>
    </row>
    <row r="1303">
      <c r="A1303" s="2">
        <f>IFERROR(__xludf.DUMMYFUNCTION("""COMPUTED_VALUE"""),1000.0)</f>
        <v>1000</v>
      </c>
      <c r="B1303" s="2">
        <f>IFERROR(__xludf.DUMMYFUNCTION("""COMPUTED_VALUE"""),184405.0)</f>
        <v>184405</v>
      </c>
      <c r="C1303" s="2">
        <f>IFERROR(__xludf.DUMMYFUNCTION("""COMPUTED_VALUE"""),2026.0)</f>
        <v>2026</v>
      </c>
      <c r="D1303" s="2">
        <f>IFERROR(__xludf.DUMMYFUNCTION("""COMPUTED_VALUE"""),46119.0)</f>
        <v>46119</v>
      </c>
      <c r="E1303" s="2" t="str">
        <f>IFERROR(__xludf.DUMMYFUNCTION("""COMPUTED_VALUE"""),"VF")</f>
        <v>VF</v>
      </c>
      <c r="F1303" s="2">
        <f>IFERROR(__xludf.DUMMYFUNCTION("""COMPUTED_VALUE"""),1.0)</f>
        <v>1</v>
      </c>
      <c r="G1303" s="2" t="str">
        <f>IFERROR(__xludf.DUMMYFUNCTION("""COMPUTED_VALUE"""),"PR002")</f>
        <v>PR002</v>
      </c>
      <c r="H1303" s="2" t="str">
        <f>IFERROR(__xludf.DUMMYFUNCTION("""COMPUTED_VALUE"""),"VD012")</f>
        <v>VD012</v>
      </c>
      <c r="I1303" s="2">
        <f>IFERROR(__xludf.DUMMYFUNCTION("""COMPUTED_VALUE"""),14.0)</f>
        <v>14</v>
      </c>
      <c r="J1303" s="2">
        <f>IFERROR(__xludf.DUMMYFUNCTION("""COMPUTED_VALUE"""),1037.32)</f>
        <v>1037.32</v>
      </c>
      <c r="K1303" s="2">
        <f>IFERROR(__xludf.DUMMYFUNCTION("""COMPUTED_VALUE"""),1037.32)</f>
        <v>1037.32</v>
      </c>
    </row>
    <row r="1304">
      <c r="A1304" s="2">
        <f>IFERROR(__xludf.DUMMYFUNCTION("""COMPUTED_VALUE"""),1000.0)</f>
        <v>1000</v>
      </c>
      <c r="B1304" s="2">
        <f>IFERROR(__xludf.DUMMYFUNCTION("""COMPUTED_VALUE"""),184406.0)</f>
        <v>184406</v>
      </c>
      <c r="C1304" s="2">
        <f>IFERROR(__xludf.DUMMYFUNCTION("""COMPUTED_VALUE"""),2026.0)</f>
        <v>2026</v>
      </c>
      <c r="D1304" s="2">
        <f>IFERROR(__xludf.DUMMYFUNCTION("""COMPUTED_VALUE"""),46119.0)</f>
        <v>46119</v>
      </c>
      <c r="E1304" s="2" t="str">
        <f>IFERROR(__xludf.DUMMYFUNCTION("""COMPUTED_VALUE"""),"VF")</f>
        <v>VF</v>
      </c>
      <c r="F1304" s="2">
        <f>IFERROR(__xludf.DUMMYFUNCTION("""COMPUTED_VALUE"""),1.0)</f>
        <v>1</v>
      </c>
      <c r="G1304" s="2" t="str">
        <f>IFERROR(__xludf.DUMMYFUNCTION("""COMPUTED_VALUE"""),"PR015")</f>
        <v>PR015</v>
      </c>
      <c r="H1304" s="2" t="str">
        <f>IFERROR(__xludf.DUMMYFUNCTION("""COMPUTED_VALUE"""),"VD032")</f>
        <v>VD032</v>
      </c>
      <c r="I1304" s="2">
        <f>IFERROR(__xludf.DUMMYFUNCTION("""COMPUTED_VALUE"""),10.0)</f>
        <v>10</v>
      </c>
      <c r="J1304" s="2">
        <f>IFERROR(__xludf.DUMMYFUNCTION("""COMPUTED_VALUE"""),437.75)</f>
        <v>437.75</v>
      </c>
      <c r="K1304" s="2">
        <f>IFERROR(__xludf.DUMMYFUNCTION("""COMPUTED_VALUE"""),437.75)</f>
        <v>437.75</v>
      </c>
    </row>
    <row r="1305">
      <c r="A1305" s="2">
        <f>IFERROR(__xludf.DUMMYFUNCTION("""COMPUTED_VALUE"""),1000.0)</f>
        <v>1000</v>
      </c>
      <c r="B1305" s="2">
        <f>IFERROR(__xludf.DUMMYFUNCTION("""COMPUTED_VALUE"""),184407.0)</f>
        <v>184407</v>
      </c>
      <c r="C1305" s="2">
        <f>IFERROR(__xludf.DUMMYFUNCTION("""COMPUTED_VALUE"""),2026.0)</f>
        <v>2026</v>
      </c>
      <c r="D1305" s="2">
        <f>IFERROR(__xludf.DUMMYFUNCTION("""COMPUTED_VALUE"""),46119.0)</f>
        <v>46119</v>
      </c>
      <c r="E1305" s="2" t="str">
        <f>IFERROR(__xludf.DUMMYFUNCTION("""COMPUTED_VALUE"""),"VF")</f>
        <v>VF</v>
      </c>
      <c r="F1305" s="2">
        <f>IFERROR(__xludf.DUMMYFUNCTION("""COMPUTED_VALUE"""),1.0)</f>
        <v>1</v>
      </c>
      <c r="G1305" s="2" t="str">
        <f>IFERROR(__xludf.DUMMYFUNCTION("""COMPUTED_VALUE"""),"PR038")</f>
        <v>PR038</v>
      </c>
      <c r="H1305" s="2" t="str">
        <f>IFERROR(__xludf.DUMMYFUNCTION("""COMPUTED_VALUE"""),"VD021")</f>
        <v>VD021</v>
      </c>
      <c r="I1305" s="2">
        <f>IFERROR(__xludf.DUMMYFUNCTION("""COMPUTED_VALUE"""),4.0)</f>
        <v>4</v>
      </c>
      <c r="J1305" s="2">
        <f>IFERROR(__xludf.DUMMYFUNCTION("""COMPUTED_VALUE"""),571.6)</f>
        <v>571.6</v>
      </c>
      <c r="K1305" s="2">
        <f>IFERROR(__xludf.DUMMYFUNCTION("""COMPUTED_VALUE"""),571.6)</f>
        <v>571.6</v>
      </c>
    </row>
    <row r="1306">
      <c r="A1306" s="2">
        <f>IFERROR(__xludf.DUMMYFUNCTION("""COMPUTED_VALUE"""),1000.0)</f>
        <v>1000</v>
      </c>
      <c r="B1306" s="2">
        <f>IFERROR(__xludf.DUMMYFUNCTION("""COMPUTED_VALUE"""),184408.0)</f>
        <v>184408</v>
      </c>
      <c r="C1306" s="2">
        <f>IFERROR(__xludf.DUMMYFUNCTION("""COMPUTED_VALUE"""),2026.0)</f>
        <v>2026</v>
      </c>
      <c r="D1306" s="2">
        <f>IFERROR(__xludf.DUMMYFUNCTION("""COMPUTED_VALUE"""),46119.0)</f>
        <v>46119</v>
      </c>
      <c r="E1306" s="2" t="str">
        <f>IFERROR(__xludf.DUMMYFUNCTION("""COMPUTED_VALUE"""),"VF")</f>
        <v>VF</v>
      </c>
      <c r="F1306" s="2">
        <f>IFERROR(__xludf.DUMMYFUNCTION("""COMPUTED_VALUE"""),1.0)</f>
        <v>1</v>
      </c>
      <c r="G1306" s="2" t="str">
        <f>IFERROR(__xludf.DUMMYFUNCTION("""COMPUTED_VALUE"""),"PR043")</f>
        <v>PR043</v>
      </c>
      <c r="H1306" s="2" t="str">
        <f>IFERROR(__xludf.DUMMYFUNCTION("""COMPUTED_VALUE"""),"VD040")</f>
        <v>VD040</v>
      </c>
      <c r="I1306" s="2">
        <f>IFERROR(__xludf.DUMMYFUNCTION("""COMPUTED_VALUE"""),8.0)</f>
        <v>8</v>
      </c>
      <c r="J1306" s="2">
        <f>IFERROR(__xludf.DUMMYFUNCTION("""COMPUTED_VALUE"""),580.0)</f>
        <v>580</v>
      </c>
      <c r="K1306" s="2">
        <f>IFERROR(__xludf.DUMMYFUNCTION("""COMPUTED_VALUE"""),580.0)</f>
        <v>580</v>
      </c>
    </row>
    <row r="1307">
      <c r="A1307" s="2">
        <f>IFERROR(__xludf.DUMMYFUNCTION("""COMPUTED_VALUE"""),1000.0)</f>
        <v>1000</v>
      </c>
      <c r="B1307" s="2">
        <f>IFERROR(__xludf.DUMMYFUNCTION("""COMPUTED_VALUE"""),184409.0)</f>
        <v>184409</v>
      </c>
      <c r="C1307" s="2">
        <f>IFERROR(__xludf.DUMMYFUNCTION("""COMPUTED_VALUE"""),2026.0)</f>
        <v>2026</v>
      </c>
      <c r="D1307" s="2">
        <f>IFERROR(__xludf.DUMMYFUNCTION("""COMPUTED_VALUE"""),46119.0)</f>
        <v>46119</v>
      </c>
      <c r="E1307" s="2" t="str">
        <f>IFERROR(__xludf.DUMMYFUNCTION("""COMPUTED_VALUE"""),"VF")</f>
        <v>VF</v>
      </c>
      <c r="F1307" s="2">
        <f>IFERROR(__xludf.DUMMYFUNCTION("""COMPUTED_VALUE"""),1.0)</f>
        <v>1</v>
      </c>
      <c r="G1307" s="2" t="str">
        <f>IFERROR(__xludf.DUMMYFUNCTION("""COMPUTED_VALUE"""),"PR060")</f>
        <v>PR060</v>
      </c>
      <c r="H1307" s="2" t="str">
        <f>IFERROR(__xludf.DUMMYFUNCTION("""COMPUTED_VALUE"""),"VD035")</f>
        <v>VD035</v>
      </c>
      <c r="I1307" s="2">
        <f>IFERROR(__xludf.DUMMYFUNCTION("""COMPUTED_VALUE"""),8.0)</f>
        <v>8</v>
      </c>
      <c r="J1307" s="2">
        <f>IFERROR(__xludf.DUMMYFUNCTION("""COMPUTED_VALUE"""),1440.0)</f>
        <v>1440</v>
      </c>
      <c r="K1307" s="2">
        <f>IFERROR(__xludf.DUMMYFUNCTION("""COMPUTED_VALUE"""),1440.0)</f>
        <v>1440</v>
      </c>
    </row>
    <row r="1308">
      <c r="A1308" s="2">
        <f>IFERROR(__xludf.DUMMYFUNCTION("""COMPUTED_VALUE"""),1000.0)</f>
        <v>1000</v>
      </c>
      <c r="B1308" s="2">
        <f>IFERROR(__xludf.DUMMYFUNCTION("""COMPUTED_VALUE"""),184410.0)</f>
        <v>184410</v>
      </c>
      <c r="C1308" s="2">
        <f>IFERROR(__xludf.DUMMYFUNCTION("""COMPUTED_VALUE"""),2026.0)</f>
        <v>2026</v>
      </c>
      <c r="D1308" s="2">
        <f>IFERROR(__xludf.DUMMYFUNCTION("""COMPUTED_VALUE"""),46119.0)</f>
        <v>46119</v>
      </c>
      <c r="E1308" s="2" t="str">
        <f>IFERROR(__xludf.DUMMYFUNCTION("""COMPUTED_VALUE"""),"VF")</f>
        <v>VF</v>
      </c>
      <c r="F1308" s="2">
        <f>IFERROR(__xludf.DUMMYFUNCTION("""COMPUTED_VALUE"""),1.0)</f>
        <v>1</v>
      </c>
      <c r="G1308" s="2" t="str">
        <f>IFERROR(__xludf.DUMMYFUNCTION("""COMPUTED_VALUE"""),"PR056")</f>
        <v>PR056</v>
      </c>
      <c r="H1308" s="2" t="str">
        <f>IFERROR(__xludf.DUMMYFUNCTION("""COMPUTED_VALUE"""),"VD045")</f>
        <v>VD045</v>
      </c>
      <c r="I1308" s="2">
        <f>IFERROR(__xludf.DUMMYFUNCTION("""COMPUTED_VALUE"""),6.0)</f>
        <v>6</v>
      </c>
      <c r="J1308" s="2">
        <f>IFERROR(__xludf.DUMMYFUNCTION("""COMPUTED_VALUE"""),560.98)</f>
        <v>560.98</v>
      </c>
      <c r="K1308" s="2">
        <f>IFERROR(__xludf.DUMMYFUNCTION("""COMPUTED_VALUE"""),560.98)</f>
        <v>560.98</v>
      </c>
    </row>
    <row r="1309">
      <c r="A1309" s="2">
        <f>IFERROR(__xludf.DUMMYFUNCTION("""COMPUTED_VALUE"""),1000.0)</f>
        <v>1000</v>
      </c>
      <c r="B1309" s="2">
        <f>IFERROR(__xludf.DUMMYFUNCTION("""COMPUTED_VALUE"""),184410.0)</f>
        <v>184410</v>
      </c>
      <c r="C1309" s="2">
        <f>IFERROR(__xludf.DUMMYFUNCTION("""COMPUTED_VALUE"""),2026.0)</f>
        <v>2026</v>
      </c>
      <c r="D1309" s="2">
        <f>IFERROR(__xludf.DUMMYFUNCTION("""COMPUTED_VALUE"""),46119.0)</f>
        <v>46119</v>
      </c>
      <c r="E1309" s="2" t="str">
        <f>IFERROR(__xludf.DUMMYFUNCTION("""COMPUTED_VALUE"""),"VF")</f>
        <v>VF</v>
      </c>
      <c r="F1309" s="2">
        <f>IFERROR(__xludf.DUMMYFUNCTION("""COMPUTED_VALUE"""),2.0)</f>
        <v>2</v>
      </c>
      <c r="G1309" s="2" t="str">
        <f>IFERROR(__xludf.DUMMYFUNCTION("""COMPUTED_VALUE"""),"PR053")</f>
        <v>PR053</v>
      </c>
      <c r="H1309" s="2" t="str">
        <f>IFERROR(__xludf.DUMMYFUNCTION("""COMPUTED_VALUE"""),"VD028")</f>
        <v>VD028</v>
      </c>
      <c r="I1309" s="2">
        <f>IFERROR(__xludf.DUMMYFUNCTION("""COMPUTED_VALUE"""),6.0)</f>
        <v>6</v>
      </c>
      <c r="J1309" s="2">
        <f>IFERROR(__xludf.DUMMYFUNCTION("""COMPUTED_VALUE"""),311.38)</f>
        <v>311.38</v>
      </c>
      <c r="K1309" s="2">
        <f>IFERROR(__xludf.DUMMYFUNCTION("""COMPUTED_VALUE"""),311.38)</f>
        <v>311.38</v>
      </c>
    </row>
    <row r="1310">
      <c r="A1310" s="2">
        <f>IFERROR(__xludf.DUMMYFUNCTION("""COMPUTED_VALUE"""),1000.0)</f>
        <v>1000</v>
      </c>
      <c r="B1310" s="2">
        <f>IFERROR(__xludf.DUMMYFUNCTION("""COMPUTED_VALUE"""),184411.0)</f>
        <v>184411</v>
      </c>
      <c r="C1310" s="2">
        <f>IFERROR(__xludf.DUMMYFUNCTION("""COMPUTED_VALUE"""),2026.0)</f>
        <v>2026</v>
      </c>
      <c r="D1310" s="2">
        <f>IFERROR(__xludf.DUMMYFUNCTION("""COMPUTED_VALUE"""),46118.0)</f>
        <v>46118</v>
      </c>
      <c r="E1310" s="2" t="str">
        <f>IFERROR(__xludf.DUMMYFUNCTION("""COMPUTED_VALUE"""),"VF")</f>
        <v>VF</v>
      </c>
      <c r="F1310" s="2">
        <f>IFERROR(__xludf.DUMMYFUNCTION("""COMPUTED_VALUE"""),1.0)</f>
        <v>1</v>
      </c>
      <c r="G1310" s="2" t="str">
        <f>IFERROR(__xludf.DUMMYFUNCTION("""COMPUTED_VALUE"""),"PR015")</f>
        <v>PR015</v>
      </c>
      <c r="H1310" s="2" t="str">
        <f>IFERROR(__xludf.DUMMYFUNCTION("""COMPUTED_VALUE"""),"VD037")</f>
        <v>VD037</v>
      </c>
      <c r="I1310" s="2">
        <f>IFERROR(__xludf.DUMMYFUNCTION("""COMPUTED_VALUE"""),2.0)</f>
        <v>2</v>
      </c>
      <c r="J1310" s="2">
        <f>IFERROR(__xludf.DUMMYFUNCTION("""COMPUTED_VALUE"""),85.0)</f>
        <v>85</v>
      </c>
      <c r="K1310" s="2">
        <f>IFERROR(__xludf.DUMMYFUNCTION("""COMPUTED_VALUE"""),85.0)</f>
        <v>85</v>
      </c>
    </row>
    <row r="1311">
      <c r="A1311" s="2">
        <f>IFERROR(__xludf.DUMMYFUNCTION("""COMPUTED_VALUE"""),1000.0)</f>
        <v>1000</v>
      </c>
      <c r="B1311" s="2">
        <f>IFERROR(__xludf.DUMMYFUNCTION("""COMPUTED_VALUE"""),184412.0)</f>
        <v>184412</v>
      </c>
      <c r="C1311" s="2">
        <f>IFERROR(__xludf.DUMMYFUNCTION("""COMPUTED_VALUE"""),2026.0)</f>
        <v>2026</v>
      </c>
      <c r="D1311" s="2">
        <f>IFERROR(__xludf.DUMMYFUNCTION("""COMPUTED_VALUE"""),46118.0)</f>
        <v>46118</v>
      </c>
      <c r="E1311" s="2" t="str">
        <f>IFERROR(__xludf.DUMMYFUNCTION("""COMPUTED_VALUE"""),"VF")</f>
        <v>VF</v>
      </c>
      <c r="F1311" s="2">
        <f>IFERROR(__xludf.DUMMYFUNCTION("""COMPUTED_VALUE"""),1.0)</f>
        <v>1</v>
      </c>
      <c r="G1311" s="2" t="str">
        <f>IFERROR(__xludf.DUMMYFUNCTION("""COMPUTED_VALUE"""),"PR044")</f>
        <v>PR044</v>
      </c>
      <c r="H1311" s="2" t="str">
        <f>IFERROR(__xludf.DUMMYFUNCTION("""COMPUTED_VALUE"""),"VD043")</f>
        <v>VD043</v>
      </c>
      <c r="I1311" s="2">
        <f>IFERROR(__xludf.DUMMYFUNCTION("""COMPUTED_VALUE"""),4.0)</f>
        <v>4</v>
      </c>
      <c r="J1311" s="2">
        <f>IFERROR(__xludf.DUMMYFUNCTION("""COMPUTED_VALUE"""),310.3)</f>
        <v>310.3</v>
      </c>
      <c r="K1311" s="2">
        <f>IFERROR(__xludf.DUMMYFUNCTION("""COMPUTED_VALUE"""),310.3)</f>
        <v>310.3</v>
      </c>
    </row>
    <row r="1312">
      <c r="A1312" s="2">
        <f>IFERROR(__xludf.DUMMYFUNCTION("""COMPUTED_VALUE"""),1000.0)</f>
        <v>1000</v>
      </c>
      <c r="B1312" s="2">
        <f>IFERROR(__xludf.DUMMYFUNCTION("""COMPUTED_VALUE"""),184413.0)</f>
        <v>184413</v>
      </c>
      <c r="C1312" s="2">
        <f>IFERROR(__xludf.DUMMYFUNCTION("""COMPUTED_VALUE"""),2026.0)</f>
        <v>2026</v>
      </c>
      <c r="D1312" s="2">
        <f>IFERROR(__xludf.DUMMYFUNCTION("""COMPUTED_VALUE"""),46118.0)</f>
        <v>46118</v>
      </c>
      <c r="E1312" s="2" t="str">
        <f>IFERROR(__xludf.DUMMYFUNCTION("""COMPUTED_VALUE"""),"VF")</f>
        <v>VF</v>
      </c>
      <c r="F1312" s="2">
        <f>IFERROR(__xludf.DUMMYFUNCTION("""COMPUTED_VALUE"""),1.0)</f>
        <v>1</v>
      </c>
      <c r="G1312" s="2" t="str">
        <f>IFERROR(__xludf.DUMMYFUNCTION("""COMPUTED_VALUE"""),"PR058")</f>
        <v>PR058</v>
      </c>
      <c r="H1312" s="2" t="str">
        <f>IFERROR(__xludf.DUMMYFUNCTION("""COMPUTED_VALUE"""),"VD013")</f>
        <v>VD013</v>
      </c>
      <c r="I1312" s="2">
        <f>IFERROR(__xludf.DUMMYFUNCTION("""COMPUTED_VALUE"""),5.0)</f>
        <v>5</v>
      </c>
      <c r="J1312" s="2">
        <f>IFERROR(__xludf.DUMMYFUNCTION("""COMPUTED_VALUE"""),954.0)</f>
        <v>954</v>
      </c>
      <c r="K1312" s="2">
        <f>IFERROR(__xludf.DUMMYFUNCTION("""COMPUTED_VALUE"""),954.0)</f>
        <v>954</v>
      </c>
    </row>
    <row r="1313">
      <c r="A1313" s="2">
        <f>IFERROR(__xludf.DUMMYFUNCTION("""COMPUTED_VALUE"""),2000.0)</f>
        <v>2000</v>
      </c>
      <c r="B1313" s="2">
        <f>IFERROR(__xludf.DUMMYFUNCTION("""COMPUTED_VALUE"""),184414.0)</f>
        <v>184414</v>
      </c>
      <c r="C1313" s="2">
        <f>IFERROR(__xludf.DUMMYFUNCTION("""COMPUTED_VALUE"""),2026.0)</f>
        <v>2026</v>
      </c>
      <c r="D1313" s="2">
        <f>IFERROR(__xludf.DUMMYFUNCTION("""COMPUTED_VALUE"""),46117.0)</f>
        <v>46117</v>
      </c>
      <c r="E1313" s="2" t="str">
        <f>IFERROR(__xludf.DUMMYFUNCTION("""COMPUTED_VALUE"""),"VF")</f>
        <v>VF</v>
      </c>
      <c r="F1313" s="2">
        <f>IFERROR(__xludf.DUMMYFUNCTION("""COMPUTED_VALUE"""),1.0)</f>
        <v>1</v>
      </c>
      <c r="G1313" s="2" t="str">
        <f>IFERROR(__xludf.DUMMYFUNCTION("""COMPUTED_VALUE"""),"PR006")</f>
        <v>PR006</v>
      </c>
      <c r="H1313" s="2" t="str">
        <f>IFERROR(__xludf.DUMMYFUNCTION("""COMPUTED_VALUE"""),"VD016")</f>
        <v>VD016</v>
      </c>
      <c r="I1313" s="2">
        <f>IFERROR(__xludf.DUMMYFUNCTION("""COMPUTED_VALUE"""),7.0)</f>
        <v>7</v>
      </c>
      <c r="J1313" s="2">
        <f>IFERROR(__xludf.DUMMYFUNCTION("""COMPUTED_VALUE"""),296.06)</f>
        <v>296.06</v>
      </c>
      <c r="K1313" s="2">
        <f>IFERROR(__xludf.DUMMYFUNCTION("""COMPUTED_VALUE"""),296.06)</f>
        <v>296.06</v>
      </c>
    </row>
    <row r="1314">
      <c r="A1314" s="2">
        <f>IFERROR(__xludf.DUMMYFUNCTION("""COMPUTED_VALUE"""),1000.0)</f>
        <v>1000</v>
      </c>
      <c r="B1314" s="2">
        <f>IFERROR(__xludf.DUMMYFUNCTION("""COMPUTED_VALUE"""),184415.0)</f>
        <v>184415</v>
      </c>
      <c r="C1314" s="2">
        <f>IFERROR(__xludf.DUMMYFUNCTION("""COMPUTED_VALUE"""),2026.0)</f>
        <v>2026</v>
      </c>
      <c r="D1314" s="2">
        <f>IFERROR(__xludf.DUMMYFUNCTION("""COMPUTED_VALUE"""),46117.0)</f>
        <v>46117</v>
      </c>
      <c r="E1314" s="2" t="str">
        <f>IFERROR(__xludf.DUMMYFUNCTION("""COMPUTED_VALUE"""),"VF")</f>
        <v>VF</v>
      </c>
      <c r="F1314" s="2">
        <f>IFERROR(__xludf.DUMMYFUNCTION("""COMPUTED_VALUE"""),1.0)</f>
        <v>1</v>
      </c>
      <c r="G1314" s="2" t="str">
        <f>IFERROR(__xludf.DUMMYFUNCTION("""COMPUTED_VALUE"""),"PR023")</f>
        <v>PR023</v>
      </c>
      <c r="H1314" s="2" t="str">
        <f>IFERROR(__xludf.DUMMYFUNCTION("""COMPUTED_VALUE"""),"VD021")</f>
        <v>VD021</v>
      </c>
      <c r="I1314" s="2">
        <f>IFERROR(__xludf.DUMMYFUNCTION("""COMPUTED_VALUE"""),14.0)</f>
        <v>14</v>
      </c>
      <c r="J1314" s="2">
        <f>IFERROR(__xludf.DUMMYFUNCTION("""COMPUTED_VALUE"""),3638.54)</f>
        <v>3638.54</v>
      </c>
      <c r="K1314" s="2">
        <f>IFERROR(__xludf.DUMMYFUNCTION("""COMPUTED_VALUE"""),3638.54)</f>
        <v>3638.54</v>
      </c>
    </row>
    <row r="1315">
      <c r="A1315" s="2">
        <f>IFERROR(__xludf.DUMMYFUNCTION("""COMPUTED_VALUE"""),2000.0)</f>
        <v>2000</v>
      </c>
      <c r="B1315" s="2">
        <f>IFERROR(__xludf.DUMMYFUNCTION("""COMPUTED_VALUE"""),184416.0)</f>
        <v>184416</v>
      </c>
      <c r="C1315" s="2">
        <f>IFERROR(__xludf.DUMMYFUNCTION("""COMPUTED_VALUE"""),2026.0)</f>
        <v>2026</v>
      </c>
      <c r="D1315" s="2">
        <f>IFERROR(__xludf.DUMMYFUNCTION("""COMPUTED_VALUE"""),46116.0)</f>
        <v>46116</v>
      </c>
      <c r="E1315" s="2" t="str">
        <f>IFERROR(__xludf.DUMMYFUNCTION("""COMPUTED_VALUE"""),"VF")</f>
        <v>VF</v>
      </c>
      <c r="F1315" s="2">
        <f>IFERROR(__xludf.DUMMYFUNCTION("""COMPUTED_VALUE"""),1.0)</f>
        <v>1</v>
      </c>
      <c r="G1315" s="2" t="str">
        <f>IFERROR(__xludf.DUMMYFUNCTION("""COMPUTED_VALUE"""),"PR055")</f>
        <v>PR055</v>
      </c>
      <c r="H1315" s="2" t="str">
        <f>IFERROR(__xludf.DUMMYFUNCTION("""COMPUTED_VALUE"""),"VD038")</f>
        <v>VD038</v>
      </c>
      <c r="I1315" s="2">
        <f>IFERROR(__xludf.DUMMYFUNCTION("""COMPUTED_VALUE"""),5.0)</f>
        <v>5</v>
      </c>
      <c r="J1315" s="2">
        <f>IFERROR(__xludf.DUMMYFUNCTION("""COMPUTED_VALUE"""),449.5)</f>
        <v>449.5</v>
      </c>
      <c r="K1315" s="2">
        <f>IFERROR(__xludf.DUMMYFUNCTION("""COMPUTED_VALUE"""),449.5)</f>
        <v>449.5</v>
      </c>
    </row>
    <row r="1316">
      <c r="A1316" s="2">
        <f>IFERROR(__xludf.DUMMYFUNCTION("""COMPUTED_VALUE"""),1000.0)</f>
        <v>1000</v>
      </c>
      <c r="B1316" s="2">
        <f>IFERROR(__xludf.DUMMYFUNCTION("""COMPUTED_VALUE"""),184417.0)</f>
        <v>184417</v>
      </c>
      <c r="C1316" s="2">
        <f>IFERROR(__xludf.DUMMYFUNCTION("""COMPUTED_VALUE"""),2026.0)</f>
        <v>2026</v>
      </c>
      <c r="D1316" s="2">
        <f>IFERROR(__xludf.DUMMYFUNCTION("""COMPUTED_VALUE"""),46116.0)</f>
        <v>46116</v>
      </c>
      <c r="E1316" s="2" t="str">
        <f>IFERROR(__xludf.DUMMYFUNCTION("""COMPUTED_VALUE"""),"VF")</f>
        <v>VF</v>
      </c>
      <c r="F1316" s="2">
        <f>IFERROR(__xludf.DUMMYFUNCTION("""COMPUTED_VALUE"""),1.0)</f>
        <v>1</v>
      </c>
      <c r="G1316" s="2" t="str">
        <f>IFERROR(__xludf.DUMMYFUNCTION("""COMPUTED_VALUE"""),"PR006")</f>
        <v>PR006</v>
      </c>
      <c r="H1316" s="2" t="str">
        <f>IFERROR(__xludf.DUMMYFUNCTION("""COMPUTED_VALUE"""),"VD046")</f>
        <v>VD046</v>
      </c>
      <c r="I1316" s="2">
        <f>IFERROR(__xludf.DUMMYFUNCTION("""COMPUTED_VALUE"""),7.0)</f>
        <v>7</v>
      </c>
      <c r="J1316" s="2">
        <f>IFERROR(__xludf.DUMMYFUNCTION("""COMPUTED_VALUE"""),293.27)</f>
        <v>293.27</v>
      </c>
      <c r="K1316" s="2">
        <f>IFERROR(__xludf.DUMMYFUNCTION("""COMPUTED_VALUE"""),293.27)</f>
        <v>293.27</v>
      </c>
    </row>
    <row r="1317">
      <c r="A1317" s="2">
        <f>IFERROR(__xludf.DUMMYFUNCTION("""COMPUTED_VALUE"""),2000.0)</f>
        <v>2000</v>
      </c>
      <c r="B1317" s="2">
        <f>IFERROR(__xludf.DUMMYFUNCTION("""COMPUTED_VALUE"""),184418.0)</f>
        <v>184418</v>
      </c>
      <c r="C1317" s="2">
        <f>IFERROR(__xludf.DUMMYFUNCTION("""COMPUTED_VALUE"""),2026.0)</f>
        <v>2026</v>
      </c>
      <c r="D1317" s="2">
        <f>IFERROR(__xludf.DUMMYFUNCTION("""COMPUTED_VALUE"""),46116.0)</f>
        <v>46116</v>
      </c>
      <c r="E1317" s="2" t="str">
        <f>IFERROR(__xludf.DUMMYFUNCTION("""COMPUTED_VALUE"""),"VF")</f>
        <v>VF</v>
      </c>
      <c r="F1317" s="2">
        <f>IFERROR(__xludf.DUMMYFUNCTION("""COMPUTED_VALUE"""),1.0)</f>
        <v>1</v>
      </c>
      <c r="G1317" s="2" t="str">
        <f>IFERROR(__xludf.DUMMYFUNCTION("""COMPUTED_VALUE"""),"PR033")</f>
        <v>PR033</v>
      </c>
      <c r="H1317" s="2" t="str">
        <f>IFERROR(__xludf.DUMMYFUNCTION("""COMPUTED_VALUE"""),"VD049")</f>
        <v>VD049</v>
      </c>
      <c r="I1317" s="2">
        <f>IFERROR(__xludf.DUMMYFUNCTION("""COMPUTED_VALUE"""),8.0)</f>
        <v>8</v>
      </c>
      <c r="J1317" s="2">
        <f>IFERROR(__xludf.DUMMYFUNCTION("""COMPUTED_VALUE"""),2287.12)</f>
        <v>2287.12</v>
      </c>
      <c r="K1317" s="2">
        <f>IFERROR(__xludf.DUMMYFUNCTION("""COMPUTED_VALUE"""),2287.12)</f>
        <v>2287.12</v>
      </c>
    </row>
    <row r="1318">
      <c r="A1318" s="2">
        <f>IFERROR(__xludf.DUMMYFUNCTION("""COMPUTED_VALUE"""),2000.0)</f>
        <v>2000</v>
      </c>
      <c r="B1318" s="2">
        <f>IFERROR(__xludf.DUMMYFUNCTION("""COMPUTED_VALUE"""),184418.0)</f>
        <v>184418</v>
      </c>
      <c r="C1318" s="2">
        <f>IFERROR(__xludf.DUMMYFUNCTION("""COMPUTED_VALUE"""),2026.0)</f>
        <v>2026</v>
      </c>
      <c r="D1318" s="2">
        <f>IFERROR(__xludf.DUMMYFUNCTION("""COMPUTED_VALUE"""),46116.0)</f>
        <v>46116</v>
      </c>
      <c r="E1318" s="2" t="str">
        <f>IFERROR(__xludf.DUMMYFUNCTION("""COMPUTED_VALUE"""),"VF")</f>
        <v>VF</v>
      </c>
      <c r="F1318" s="2">
        <f>IFERROR(__xludf.DUMMYFUNCTION("""COMPUTED_VALUE"""),2.0)</f>
        <v>2</v>
      </c>
      <c r="G1318" s="2" t="str">
        <f>IFERROR(__xludf.DUMMYFUNCTION("""COMPUTED_VALUE"""),"PR028")</f>
        <v>PR028</v>
      </c>
      <c r="H1318" s="2" t="str">
        <f>IFERROR(__xludf.DUMMYFUNCTION("""COMPUTED_VALUE"""),"VD039")</f>
        <v>VD039</v>
      </c>
      <c r="I1318" s="2">
        <f>IFERROR(__xludf.DUMMYFUNCTION("""COMPUTED_VALUE"""),8.0)</f>
        <v>8</v>
      </c>
      <c r="J1318" s="2">
        <f>IFERROR(__xludf.DUMMYFUNCTION("""COMPUTED_VALUE"""),2119.15)</f>
        <v>2119.15</v>
      </c>
      <c r="K1318" s="2">
        <f>IFERROR(__xludf.DUMMYFUNCTION("""COMPUTED_VALUE"""),2119.15)</f>
        <v>2119.15</v>
      </c>
    </row>
    <row r="1319">
      <c r="A1319" s="2">
        <f>IFERROR(__xludf.DUMMYFUNCTION("""COMPUTED_VALUE"""),1000.0)</f>
        <v>1000</v>
      </c>
      <c r="B1319" s="2">
        <f>IFERROR(__xludf.DUMMYFUNCTION("""COMPUTED_VALUE"""),184418.0)</f>
        <v>184418</v>
      </c>
      <c r="C1319" s="2">
        <f>IFERROR(__xludf.DUMMYFUNCTION("""COMPUTED_VALUE"""),2026.0)</f>
        <v>2026</v>
      </c>
      <c r="D1319" s="2">
        <f>IFERROR(__xludf.DUMMYFUNCTION("""COMPUTED_VALUE"""),46116.0)</f>
        <v>46116</v>
      </c>
      <c r="E1319" s="2" t="str">
        <f>IFERROR(__xludf.DUMMYFUNCTION("""COMPUTED_VALUE"""),"VF")</f>
        <v>VF</v>
      </c>
      <c r="F1319" s="2">
        <f>IFERROR(__xludf.DUMMYFUNCTION("""COMPUTED_VALUE"""),3.0)</f>
        <v>3</v>
      </c>
      <c r="G1319" s="2" t="str">
        <f>IFERROR(__xludf.DUMMYFUNCTION("""COMPUTED_VALUE"""),"PR047")</f>
        <v>PR047</v>
      </c>
      <c r="H1319" s="2" t="str">
        <f>IFERROR(__xludf.DUMMYFUNCTION("""COMPUTED_VALUE"""),"VD049")</f>
        <v>VD049</v>
      </c>
      <c r="I1319" s="2">
        <f>IFERROR(__xludf.DUMMYFUNCTION("""COMPUTED_VALUE"""),2.0)</f>
        <v>2</v>
      </c>
      <c r="J1319" s="2">
        <f>IFERROR(__xludf.DUMMYFUNCTION("""COMPUTED_VALUE"""),608.79)</f>
        <v>608.79</v>
      </c>
      <c r="K1319" s="2">
        <f>IFERROR(__xludf.DUMMYFUNCTION("""COMPUTED_VALUE"""),608.79)</f>
        <v>608.79</v>
      </c>
    </row>
    <row r="1320">
      <c r="A1320" s="2">
        <f>IFERROR(__xludf.DUMMYFUNCTION("""COMPUTED_VALUE"""),1000.0)</f>
        <v>1000</v>
      </c>
      <c r="B1320" s="2">
        <f>IFERROR(__xludf.DUMMYFUNCTION("""COMPUTED_VALUE"""),184419.0)</f>
        <v>184419</v>
      </c>
      <c r="C1320" s="2">
        <f>IFERROR(__xludf.DUMMYFUNCTION("""COMPUTED_VALUE"""),2026.0)</f>
        <v>2026</v>
      </c>
      <c r="D1320" s="2">
        <f>IFERROR(__xludf.DUMMYFUNCTION("""COMPUTED_VALUE"""),46116.0)</f>
        <v>46116</v>
      </c>
      <c r="E1320" s="2" t="str">
        <f>IFERROR(__xludf.DUMMYFUNCTION("""COMPUTED_VALUE"""),"VF")</f>
        <v>VF</v>
      </c>
      <c r="F1320" s="2">
        <f>IFERROR(__xludf.DUMMYFUNCTION("""COMPUTED_VALUE"""),1.0)</f>
        <v>1</v>
      </c>
      <c r="G1320" s="2" t="str">
        <f>IFERROR(__xludf.DUMMYFUNCTION("""COMPUTED_VALUE"""),"PR030")</f>
        <v>PR030</v>
      </c>
      <c r="H1320" s="2" t="str">
        <f>IFERROR(__xludf.DUMMYFUNCTION("""COMPUTED_VALUE"""),"VD040")</f>
        <v>VD040</v>
      </c>
      <c r="I1320" s="2">
        <f>IFERROR(__xludf.DUMMYFUNCTION("""COMPUTED_VALUE"""),10.0)</f>
        <v>10</v>
      </c>
      <c r="J1320" s="2">
        <f>IFERROR(__xludf.DUMMYFUNCTION("""COMPUTED_VALUE"""),2728.95)</f>
        <v>2728.95</v>
      </c>
      <c r="K1320" s="2">
        <f>IFERROR(__xludf.DUMMYFUNCTION("""COMPUTED_VALUE"""),2728.95)</f>
        <v>2728.95</v>
      </c>
    </row>
    <row r="1321">
      <c r="A1321" s="2">
        <f>IFERROR(__xludf.DUMMYFUNCTION("""COMPUTED_VALUE"""),1000.0)</f>
        <v>1000</v>
      </c>
      <c r="B1321" s="2">
        <f>IFERROR(__xludf.DUMMYFUNCTION("""COMPUTED_VALUE"""),184420.0)</f>
        <v>184420</v>
      </c>
      <c r="C1321" s="2">
        <f>IFERROR(__xludf.DUMMYFUNCTION("""COMPUTED_VALUE"""),2026.0)</f>
        <v>2026</v>
      </c>
      <c r="D1321" s="2">
        <f>IFERROR(__xludf.DUMMYFUNCTION("""COMPUTED_VALUE"""),46116.0)</f>
        <v>46116</v>
      </c>
      <c r="E1321" s="2" t="str">
        <f>IFERROR(__xludf.DUMMYFUNCTION("""COMPUTED_VALUE"""),"VF")</f>
        <v>VF</v>
      </c>
      <c r="F1321" s="2">
        <f>IFERROR(__xludf.DUMMYFUNCTION("""COMPUTED_VALUE"""),1.0)</f>
        <v>1</v>
      </c>
      <c r="G1321" s="2" t="str">
        <f>IFERROR(__xludf.DUMMYFUNCTION("""COMPUTED_VALUE"""),"PR017")</f>
        <v>PR017</v>
      </c>
      <c r="H1321" s="2" t="str">
        <f>IFERROR(__xludf.DUMMYFUNCTION("""COMPUTED_VALUE"""),"VD043")</f>
        <v>VD043</v>
      </c>
      <c r="I1321" s="2">
        <f>IFERROR(__xludf.DUMMYFUNCTION("""COMPUTED_VALUE"""),2.0)</f>
        <v>2</v>
      </c>
      <c r="J1321" s="2">
        <f>IFERROR(__xludf.DUMMYFUNCTION("""COMPUTED_VALUE"""),61.59)</f>
        <v>61.59</v>
      </c>
      <c r="K1321" s="2">
        <f>IFERROR(__xludf.DUMMYFUNCTION("""COMPUTED_VALUE"""),61.59)</f>
        <v>61.59</v>
      </c>
    </row>
    <row r="1322">
      <c r="A1322" s="2">
        <f>IFERROR(__xludf.DUMMYFUNCTION("""COMPUTED_VALUE"""),2000.0)</f>
        <v>2000</v>
      </c>
      <c r="B1322" s="2">
        <f>IFERROR(__xludf.DUMMYFUNCTION("""COMPUTED_VALUE"""),184421.0)</f>
        <v>184421</v>
      </c>
      <c r="C1322" s="2">
        <f>IFERROR(__xludf.DUMMYFUNCTION("""COMPUTED_VALUE"""),2026.0)</f>
        <v>2026</v>
      </c>
      <c r="D1322" s="2">
        <f>IFERROR(__xludf.DUMMYFUNCTION("""COMPUTED_VALUE"""),46116.0)</f>
        <v>46116</v>
      </c>
      <c r="E1322" s="2" t="str">
        <f>IFERROR(__xludf.DUMMYFUNCTION("""COMPUTED_VALUE"""),"VF")</f>
        <v>VF</v>
      </c>
      <c r="F1322" s="2">
        <f>IFERROR(__xludf.DUMMYFUNCTION("""COMPUTED_VALUE"""),1.0)</f>
        <v>1</v>
      </c>
      <c r="G1322" s="2" t="str">
        <f>IFERROR(__xludf.DUMMYFUNCTION("""COMPUTED_VALUE"""),"PR018")</f>
        <v>PR018</v>
      </c>
      <c r="H1322" s="2" t="str">
        <f>IFERROR(__xludf.DUMMYFUNCTION("""COMPUTED_VALUE"""),"VD012")</f>
        <v>VD012</v>
      </c>
      <c r="I1322" s="2">
        <f>IFERROR(__xludf.DUMMYFUNCTION("""COMPUTED_VALUE"""),16.0)</f>
        <v>16</v>
      </c>
      <c r="J1322" s="2">
        <f>IFERROR(__xludf.DUMMYFUNCTION("""COMPUTED_VALUE"""),536.93)</f>
        <v>536.93</v>
      </c>
      <c r="K1322" s="2">
        <f>IFERROR(__xludf.DUMMYFUNCTION("""COMPUTED_VALUE"""),536.93)</f>
        <v>536.93</v>
      </c>
    </row>
    <row r="1323">
      <c r="A1323" s="2">
        <f>IFERROR(__xludf.DUMMYFUNCTION("""COMPUTED_VALUE"""),1000.0)</f>
        <v>1000</v>
      </c>
      <c r="B1323" s="2">
        <f>IFERROR(__xludf.DUMMYFUNCTION("""COMPUTED_VALUE"""),184422.0)</f>
        <v>184422</v>
      </c>
      <c r="C1323" s="2">
        <f>IFERROR(__xludf.DUMMYFUNCTION("""COMPUTED_VALUE"""),2026.0)</f>
        <v>2026</v>
      </c>
      <c r="D1323" s="2">
        <f>IFERROR(__xludf.DUMMYFUNCTION("""COMPUTED_VALUE"""),46115.0)</f>
        <v>46115</v>
      </c>
      <c r="E1323" s="2" t="str">
        <f>IFERROR(__xludf.DUMMYFUNCTION("""COMPUTED_VALUE"""),"VF")</f>
        <v>VF</v>
      </c>
      <c r="F1323" s="2">
        <f>IFERROR(__xludf.DUMMYFUNCTION("""COMPUTED_VALUE"""),1.0)</f>
        <v>1</v>
      </c>
      <c r="G1323" s="2" t="str">
        <f>IFERROR(__xludf.DUMMYFUNCTION("""COMPUTED_VALUE"""),"PR044")</f>
        <v>PR044</v>
      </c>
      <c r="H1323" s="2" t="str">
        <f>IFERROR(__xludf.DUMMYFUNCTION("""COMPUTED_VALUE"""),"VD023")</f>
        <v>VD023</v>
      </c>
      <c r="I1323" s="2">
        <f>IFERROR(__xludf.DUMMYFUNCTION("""COMPUTED_VALUE"""),10.0)</f>
        <v>10</v>
      </c>
      <c r="J1323" s="2">
        <f>IFERROR(__xludf.DUMMYFUNCTION("""COMPUTED_VALUE"""),768.5)</f>
        <v>768.5</v>
      </c>
      <c r="K1323" s="2">
        <f>IFERROR(__xludf.DUMMYFUNCTION("""COMPUTED_VALUE"""),768.5)</f>
        <v>768.5</v>
      </c>
    </row>
    <row r="1324">
      <c r="A1324" s="2">
        <f>IFERROR(__xludf.DUMMYFUNCTION("""COMPUTED_VALUE"""),1000.0)</f>
        <v>1000</v>
      </c>
      <c r="B1324" s="2">
        <f>IFERROR(__xludf.DUMMYFUNCTION("""COMPUTED_VALUE"""),184423.0)</f>
        <v>184423</v>
      </c>
      <c r="C1324" s="2">
        <f>IFERROR(__xludf.DUMMYFUNCTION("""COMPUTED_VALUE"""),2026.0)</f>
        <v>2026</v>
      </c>
      <c r="D1324" s="2">
        <f>IFERROR(__xludf.DUMMYFUNCTION("""COMPUTED_VALUE"""),46115.0)</f>
        <v>46115</v>
      </c>
      <c r="E1324" s="2" t="str">
        <f>IFERROR(__xludf.DUMMYFUNCTION("""COMPUTED_VALUE"""),"VF")</f>
        <v>VF</v>
      </c>
      <c r="F1324" s="2">
        <f>IFERROR(__xludf.DUMMYFUNCTION("""COMPUTED_VALUE"""),1.0)</f>
        <v>1</v>
      </c>
      <c r="G1324" s="2" t="str">
        <f>IFERROR(__xludf.DUMMYFUNCTION("""COMPUTED_VALUE"""),"PR053")</f>
        <v>PR053</v>
      </c>
      <c r="H1324" s="2" t="str">
        <f>IFERROR(__xludf.DUMMYFUNCTION("""COMPUTED_VALUE"""),"VD029")</f>
        <v>VD029</v>
      </c>
      <c r="I1324" s="2">
        <f>IFERROR(__xludf.DUMMYFUNCTION("""COMPUTED_VALUE"""),12.0)</f>
        <v>12</v>
      </c>
      <c r="J1324" s="2">
        <f>IFERROR(__xludf.DUMMYFUNCTION("""COMPUTED_VALUE"""),628.74)</f>
        <v>628.74</v>
      </c>
      <c r="K1324" s="2">
        <f>IFERROR(__xludf.DUMMYFUNCTION("""COMPUTED_VALUE"""),628.74)</f>
        <v>628.74</v>
      </c>
    </row>
    <row r="1325">
      <c r="A1325" s="2">
        <f>IFERROR(__xludf.DUMMYFUNCTION("""COMPUTED_VALUE"""),1000.0)</f>
        <v>1000</v>
      </c>
      <c r="B1325" s="2">
        <f>IFERROR(__xludf.DUMMYFUNCTION("""COMPUTED_VALUE"""),184424.0)</f>
        <v>184424</v>
      </c>
      <c r="C1325" s="2">
        <f>IFERROR(__xludf.DUMMYFUNCTION("""COMPUTED_VALUE"""),2026.0)</f>
        <v>2026</v>
      </c>
      <c r="D1325" s="2">
        <f>IFERROR(__xludf.DUMMYFUNCTION("""COMPUTED_VALUE"""),46114.0)</f>
        <v>46114</v>
      </c>
      <c r="E1325" s="2" t="str">
        <f>IFERROR(__xludf.DUMMYFUNCTION("""COMPUTED_VALUE"""),"VF")</f>
        <v>VF</v>
      </c>
      <c r="F1325" s="2">
        <f>IFERROR(__xludf.DUMMYFUNCTION("""COMPUTED_VALUE"""),1.0)</f>
        <v>1</v>
      </c>
      <c r="G1325" s="2" t="str">
        <f>IFERROR(__xludf.DUMMYFUNCTION("""COMPUTED_VALUE"""),"PR025")</f>
        <v>PR025</v>
      </c>
      <c r="H1325" s="2" t="str">
        <f>IFERROR(__xludf.DUMMYFUNCTION("""COMPUTED_VALUE"""),"VD015")</f>
        <v>VD015</v>
      </c>
      <c r="I1325" s="2">
        <f>IFERROR(__xludf.DUMMYFUNCTION("""COMPUTED_VALUE"""),7.0)</f>
        <v>7</v>
      </c>
      <c r="J1325" s="2">
        <f>IFERROR(__xludf.DUMMYFUNCTION("""COMPUTED_VALUE"""),2183.27)</f>
        <v>2183.27</v>
      </c>
      <c r="K1325" s="2">
        <f>IFERROR(__xludf.DUMMYFUNCTION("""COMPUTED_VALUE"""),2183.27)</f>
        <v>2183.27</v>
      </c>
    </row>
    <row r="1326">
      <c r="A1326" s="2">
        <f>IFERROR(__xludf.DUMMYFUNCTION("""COMPUTED_VALUE"""),1000.0)</f>
        <v>1000</v>
      </c>
      <c r="B1326" s="2">
        <f>IFERROR(__xludf.DUMMYFUNCTION("""COMPUTED_VALUE"""),184425.0)</f>
        <v>184425</v>
      </c>
      <c r="C1326" s="2">
        <f>IFERROR(__xludf.DUMMYFUNCTION("""COMPUTED_VALUE"""),2026.0)</f>
        <v>2026</v>
      </c>
      <c r="D1326" s="2">
        <f>IFERROR(__xludf.DUMMYFUNCTION("""COMPUTED_VALUE"""),46114.0)</f>
        <v>46114</v>
      </c>
      <c r="E1326" s="2" t="str">
        <f>IFERROR(__xludf.DUMMYFUNCTION("""COMPUTED_VALUE"""),"VF")</f>
        <v>VF</v>
      </c>
      <c r="F1326" s="2">
        <f>IFERROR(__xludf.DUMMYFUNCTION("""COMPUTED_VALUE"""),1.0)</f>
        <v>1</v>
      </c>
      <c r="G1326" s="2" t="str">
        <f>IFERROR(__xludf.DUMMYFUNCTION("""COMPUTED_VALUE"""),"PR021")</f>
        <v>PR021</v>
      </c>
      <c r="H1326" s="2" t="str">
        <f>IFERROR(__xludf.DUMMYFUNCTION("""COMPUTED_VALUE"""),"VD030")</f>
        <v>VD030</v>
      </c>
      <c r="I1326" s="2">
        <f>IFERROR(__xludf.DUMMYFUNCTION("""COMPUTED_VALUE"""),18.0)</f>
        <v>18</v>
      </c>
      <c r="J1326" s="2">
        <f>IFERROR(__xludf.DUMMYFUNCTION("""COMPUTED_VALUE"""),5670.29)</f>
        <v>5670.29</v>
      </c>
      <c r="K1326" s="2">
        <f>IFERROR(__xludf.DUMMYFUNCTION("""COMPUTED_VALUE"""),5670.29)</f>
        <v>5670.29</v>
      </c>
    </row>
    <row r="1327">
      <c r="A1327" s="2">
        <f>IFERROR(__xludf.DUMMYFUNCTION("""COMPUTED_VALUE"""),1000.0)</f>
        <v>1000</v>
      </c>
      <c r="B1327" s="2">
        <f>IFERROR(__xludf.DUMMYFUNCTION("""COMPUTED_VALUE"""),184426.0)</f>
        <v>184426</v>
      </c>
      <c r="C1327" s="2">
        <f>IFERROR(__xludf.DUMMYFUNCTION("""COMPUTED_VALUE"""),2026.0)</f>
        <v>2026</v>
      </c>
      <c r="D1327" s="2">
        <f>IFERROR(__xludf.DUMMYFUNCTION("""COMPUTED_VALUE"""),46114.0)</f>
        <v>46114</v>
      </c>
      <c r="E1327" s="2" t="str">
        <f>IFERROR(__xludf.DUMMYFUNCTION("""COMPUTED_VALUE"""),"VF")</f>
        <v>VF</v>
      </c>
      <c r="F1327" s="2">
        <f>IFERROR(__xludf.DUMMYFUNCTION("""COMPUTED_VALUE"""),1.0)</f>
        <v>1</v>
      </c>
      <c r="G1327" s="2" t="str">
        <f>IFERROR(__xludf.DUMMYFUNCTION("""COMPUTED_VALUE"""),"PR054")</f>
        <v>PR054</v>
      </c>
      <c r="H1327" s="2" t="str">
        <f>IFERROR(__xludf.DUMMYFUNCTION("""COMPUTED_VALUE"""),"VD026")</f>
        <v>VD026</v>
      </c>
      <c r="I1327" s="2">
        <f>IFERROR(__xludf.DUMMYFUNCTION("""COMPUTED_VALUE"""),10.0)</f>
        <v>10</v>
      </c>
      <c r="J1327" s="2">
        <f>IFERROR(__xludf.DUMMYFUNCTION("""COMPUTED_VALUE"""),523.95)</f>
        <v>523.95</v>
      </c>
      <c r="K1327" s="2">
        <f>IFERROR(__xludf.DUMMYFUNCTION("""COMPUTED_VALUE"""),523.95)</f>
        <v>523.95</v>
      </c>
    </row>
    <row r="1328">
      <c r="A1328" s="2">
        <f>IFERROR(__xludf.DUMMYFUNCTION("""COMPUTED_VALUE"""),1000.0)</f>
        <v>1000</v>
      </c>
      <c r="B1328" s="2">
        <f>IFERROR(__xludf.DUMMYFUNCTION("""COMPUTED_VALUE"""),184426.0)</f>
        <v>184426</v>
      </c>
      <c r="C1328" s="2">
        <f>IFERROR(__xludf.DUMMYFUNCTION("""COMPUTED_VALUE"""),2026.0)</f>
        <v>2026</v>
      </c>
      <c r="D1328" s="2">
        <f>IFERROR(__xludf.DUMMYFUNCTION("""COMPUTED_VALUE"""),46114.0)</f>
        <v>46114</v>
      </c>
      <c r="E1328" s="2" t="str">
        <f>IFERROR(__xludf.DUMMYFUNCTION("""COMPUTED_VALUE"""),"VF")</f>
        <v>VF</v>
      </c>
      <c r="F1328" s="2">
        <f>IFERROR(__xludf.DUMMYFUNCTION("""COMPUTED_VALUE"""),2.0)</f>
        <v>2</v>
      </c>
      <c r="G1328" s="2" t="str">
        <f>IFERROR(__xludf.DUMMYFUNCTION("""COMPUTED_VALUE"""),"PR002")</f>
        <v>PR002</v>
      </c>
      <c r="H1328" s="2" t="str">
        <f>IFERROR(__xludf.DUMMYFUNCTION("""COMPUTED_VALUE"""),"VD019")</f>
        <v>VD019</v>
      </c>
      <c r="I1328" s="2">
        <f>IFERROR(__xludf.DUMMYFUNCTION("""COMPUTED_VALUE"""),2.0)</f>
        <v>2</v>
      </c>
      <c r="J1328" s="2">
        <f>IFERROR(__xludf.DUMMYFUNCTION("""COMPUTED_VALUE"""),153.78)</f>
        <v>153.78</v>
      </c>
      <c r="K1328" s="2">
        <f>IFERROR(__xludf.DUMMYFUNCTION("""COMPUTED_VALUE"""),153.78)</f>
        <v>153.78</v>
      </c>
    </row>
    <row r="1329">
      <c r="A1329" s="2">
        <f>IFERROR(__xludf.DUMMYFUNCTION("""COMPUTED_VALUE"""),1000.0)</f>
        <v>1000</v>
      </c>
      <c r="B1329" s="2">
        <f>IFERROR(__xludf.DUMMYFUNCTION("""COMPUTED_VALUE"""),184426.0)</f>
        <v>184426</v>
      </c>
      <c r="C1329" s="2">
        <f>IFERROR(__xludf.DUMMYFUNCTION("""COMPUTED_VALUE"""),2026.0)</f>
        <v>2026</v>
      </c>
      <c r="D1329" s="2">
        <f>IFERROR(__xludf.DUMMYFUNCTION("""COMPUTED_VALUE"""),46113.0)</f>
        <v>46113</v>
      </c>
      <c r="E1329" s="2" t="str">
        <f>IFERROR(__xludf.DUMMYFUNCTION("""COMPUTED_VALUE"""),"VF")</f>
        <v>VF</v>
      </c>
      <c r="F1329" s="2">
        <f>IFERROR(__xludf.DUMMYFUNCTION("""COMPUTED_VALUE"""),3.0)</f>
        <v>3</v>
      </c>
      <c r="G1329" s="2" t="str">
        <f>IFERROR(__xludf.DUMMYFUNCTION("""COMPUTED_VALUE"""),"PR022")</f>
        <v>PR022</v>
      </c>
      <c r="H1329" s="2" t="str">
        <f>IFERROR(__xludf.DUMMYFUNCTION("""COMPUTED_VALUE"""),"VD029")</f>
        <v>VD029</v>
      </c>
      <c r="I1329" s="2">
        <f>IFERROR(__xludf.DUMMYFUNCTION("""COMPUTED_VALUE"""),6.0)</f>
        <v>6</v>
      </c>
      <c r="J1329" s="2">
        <f>IFERROR(__xludf.DUMMYFUNCTION("""COMPUTED_VALUE"""),1980.0)</f>
        <v>1980</v>
      </c>
      <c r="K1329" s="2">
        <f>IFERROR(__xludf.DUMMYFUNCTION("""COMPUTED_VALUE"""),1980.0)</f>
        <v>1980</v>
      </c>
    </row>
    <row r="1330">
      <c r="A1330" s="2">
        <f>IFERROR(__xludf.DUMMYFUNCTION("""COMPUTED_VALUE"""),1000.0)</f>
        <v>1000</v>
      </c>
      <c r="B1330" s="2">
        <f>IFERROR(__xludf.DUMMYFUNCTION("""COMPUTED_VALUE"""),184426.0)</f>
        <v>184426</v>
      </c>
      <c r="C1330" s="2">
        <f>IFERROR(__xludf.DUMMYFUNCTION("""COMPUTED_VALUE"""),2026.0)</f>
        <v>2026</v>
      </c>
      <c r="D1330" s="2">
        <f>IFERROR(__xludf.DUMMYFUNCTION("""COMPUTED_VALUE"""),46113.0)</f>
        <v>46113</v>
      </c>
      <c r="E1330" s="2" t="str">
        <f>IFERROR(__xludf.DUMMYFUNCTION("""COMPUTED_VALUE"""),"VF")</f>
        <v>VF</v>
      </c>
      <c r="F1330" s="2">
        <f>IFERROR(__xludf.DUMMYFUNCTION("""COMPUTED_VALUE"""),4.0)</f>
        <v>4</v>
      </c>
      <c r="G1330" s="2" t="str">
        <f>IFERROR(__xludf.DUMMYFUNCTION("""COMPUTED_VALUE"""),"PR058")</f>
        <v>PR058</v>
      </c>
      <c r="H1330" s="2" t="str">
        <f>IFERROR(__xludf.DUMMYFUNCTION("""COMPUTED_VALUE"""),"VD024")</f>
        <v>VD024</v>
      </c>
      <c r="I1330" s="2">
        <f>IFERROR(__xludf.DUMMYFUNCTION("""COMPUTED_VALUE"""),5.0)</f>
        <v>5</v>
      </c>
      <c r="J1330" s="2">
        <f>IFERROR(__xludf.DUMMYFUNCTION("""COMPUTED_VALUE"""),954.0)</f>
        <v>954</v>
      </c>
      <c r="K1330" s="2">
        <f>IFERROR(__xludf.DUMMYFUNCTION("""COMPUTED_VALUE"""),954.0)</f>
        <v>954</v>
      </c>
    </row>
    <row r="1331">
      <c r="A1331" s="2">
        <f>IFERROR(__xludf.DUMMYFUNCTION("""COMPUTED_VALUE"""),2000.0)</f>
        <v>2000</v>
      </c>
      <c r="B1331" s="2">
        <f>IFERROR(__xludf.DUMMYFUNCTION("""COMPUTED_VALUE"""),184427.0)</f>
        <v>184427</v>
      </c>
      <c r="C1331" s="2">
        <f>IFERROR(__xludf.DUMMYFUNCTION("""COMPUTED_VALUE"""),2026.0)</f>
        <v>2026</v>
      </c>
      <c r="D1331" s="2">
        <f>IFERROR(__xludf.DUMMYFUNCTION("""COMPUTED_VALUE"""),46112.0)</f>
        <v>46112</v>
      </c>
      <c r="E1331" s="2" t="str">
        <f>IFERROR(__xludf.DUMMYFUNCTION("""COMPUTED_VALUE"""),"VF")</f>
        <v>VF</v>
      </c>
      <c r="F1331" s="2">
        <f>IFERROR(__xludf.DUMMYFUNCTION("""COMPUTED_VALUE"""),1.0)</f>
        <v>1</v>
      </c>
      <c r="G1331" s="2" t="str">
        <f>IFERROR(__xludf.DUMMYFUNCTION("""COMPUTED_VALUE"""),"PR055")</f>
        <v>PR055</v>
      </c>
      <c r="H1331" s="2" t="str">
        <f>IFERROR(__xludf.DUMMYFUNCTION("""COMPUTED_VALUE"""),"VD044")</f>
        <v>VD044</v>
      </c>
      <c r="I1331" s="2">
        <f>IFERROR(__xludf.DUMMYFUNCTION("""COMPUTED_VALUE"""),10.0)</f>
        <v>10</v>
      </c>
      <c r="J1331" s="2">
        <f>IFERROR(__xludf.DUMMYFUNCTION("""COMPUTED_VALUE"""),970.92)</f>
        <v>970.92</v>
      </c>
      <c r="K1331" s="2">
        <f>IFERROR(__xludf.DUMMYFUNCTION("""COMPUTED_VALUE"""),970.92)</f>
        <v>970.92</v>
      </c>
    </row>
    <row r="1332">
      <c r="A1332" s="2">
        <f>IFERROR(__xludf.DUMMYFUNCTION("""COMPUTED_VALUE"""),1000.0)</f>
        <v>1000</v>
      </c>
      <c r="B1332" s="2">
        <f>IFERROR(__xludf.DUMMYFUNCTION("""COMPUTED_VALUE"""),184427.0)</f>
        <v>184427</v>
      </c>
      <c r="C1332" s="2">
        <f>IFERROR(__xludf.DUMMYFUNCTION("""COMPUTED_VALUE"""),2026.0)</f>
        <v>2026</v>
      </c>
      <c r="D1332" s="2">
        <f>IFERROR(__xludf.DUMMYFUNCTION("""COMPUTED_VALUE"""),46112.0)</f>
        <v>46112</v>
      </c>
      <c r="E1332" s="2" t="str">
        <f>IFERROR(__xludf.DUMMYFUNCTION("""COMPUTED_VALUE"""),"VF")</f>
        <v>VF</v>
      </c>
      <c r="F1332" s="2">
        <f>IFERROR(__xludf.DUMMYFUNCTION("""COMPUTED_VALUE"""),2.0)</f>
        <v>2</v>
      </c>
      <c r="G1332" s="2" t="str">
        <f>IFERROR(__xludf.DUMMYFUNCTION("""COMPUTED_VALUE"""),"PR027")</f>
        <v>PR027</v>
      </c>
      <c r="H1332" s="2" t="str">
        <f>IFERROR(__xludf.DUMMYFUNCTION("""COMPUTED_VALUE"""),"VD018")</f>
        <v>VD018</v>
      </c>
      <c r="I1332" s="2">
        <f>IFERROR(__xludf.DUMMYFUNCTION("""COMPUTED_VALUE"""),4.0)</f>
        <v>4</v>
      </c>
      <c r="J1332" s="2">
        <f>IFERROR(__xludf.DUMMYFUNCTION("""COMPUTED_VALUE"""),480.0)</f>
        <v>480</v>
      </c>
      <c r="K1332" s="2">
        <f>IFERROR(__xludf.DUMMYFUNCTION("""COMPUTED_VALUE"""),480.0)</f>
        <v>480</v>
      </c>
    </row>
    <row r="1333">
      <c r="A1333" s="2">
        <f>IFERROR(__xludf.DUMMYFUNCTION("""COMPUTED_VALUE"""),1000.0)</f>
        <v>1000</v>
      </c>
      <c r="B1333" s="2">
        <f>IFERROR(__xludf.DUMMYFUNCTION("""COMPUTED_VALUE"""),184428.0)</f>
        <v>184428</v>
      </c>
      <c r="C1333" s="2">
        <f>IFERROR(__xludf.DUMMYFUNCTION("""COMPUTED_VALUE"""),2026.0)</f>
        <v>2026</v>
      </c>
      <c r="D1333" s="2">
        <f>IFERROR(__xludf.DUMMYFUNCTION("""COMPUTED_VALUE"""),46112.0)</f>
        <v>46112</v>
      </c>
      <c r="E1333" s="2" t="str">
        <f>IFERROR(__xludf.DUMMYFUNCTION("""COMPUTED_VALUE"""),"VF")</f>
        <v>VF</v>
      </c>
      <c r="F1333" s="2">
        <f>IFERROR(__xludf.DUMMYFUNCTION("""COMPUTED_VALUE"""),1.0)</f>
        <v>1</v>
      </c>
      <c r="G1333" s="2" t="str">
        <f>IFERROR(__xludf.DUMMYFUNCTION("""COMPUTED_VALUE"""),"PR031")</f>
        <v>PR031</v>
      </c>
      <c r="H1333" s="2" t="str">
        <f>IFERROR(__xludf.DUMMYFUNCTION("""COMPUTED_VALUE"""),"VD046")</f>
        <v>VD046</v>
      </c>
      <c r="I1333" s="2">
        <f>IFERROR(__xludf.DUMMYFUNCTION("""COMPUTED_VALUE"""),5.0)</f>
        <v>5</v>
      </c>
      <c r="J1333" s="2">
        <f>IFERROR(__xludf.DUMMYFUNCTION("""COMPUTED_VALUE"""),1249.5)</f>
        <v>1249.5</v>
      </c>
      <c r="K1333" s="2">
        <f>IFERROR(__xludf.DUMMYFUNCTION("""COMPUTED_VALUE"""),1249.5)</f>
        <v>1249.5</v>
      </c>
    </row>
    <row r="1334">
      <c r="A1334" s="2">
        <f>IFERROR(__xludf.DUMMYFUNCTION("""COMPUTED_VALUE"""),2000.0)</f>
        <v>2000</v>
      </c>
      <c r="B1334" s="2">
        <f>IFERROR(__xludf.DUMMYFUNCTION("""COMPUTED_VALUE"""),184429.0)</f>
        <v>184429</v>
      </c>
      <c r="C1334" s="2">
        <f>IFERROR(__xludf.DUMMYFUNCTION("""COMPUTED_VALUE"""),2026.0)</f>
        <v>2026</v>
      </c>
      <c r="D1334" s="2">
        <f>IFERROR(__xludf.DUMMYFUNCTION("""COMPUTED_VALUE"""),46111.0)</f>
        <v>46111</v>
      </c>
      <c r="E1334" s="2" t="str">
        <f>IFERROR(__xludf.DUMMYFUNCTION("""COMPUTED_VALUE"""),"VF")</f>
        <v>VF</v>
      </c>
      <c r="F1334" s="2">
        <f>IFERROR(__xludf.DUMMYFUNCTION("""COMPUTED_VALUE"""),1.0)</f>
        <v>1</v>
      </c>
      <c r="G1334" s="2" t="str">
        <f>IFERROR(__xludf.DUMMYFUNCTION("""COMPUTED_VALUE"""),"PR021")</f>
        <v>PR021</v>
      </c>
      <c r="H1334" s="2" t="str">
        <f>IFERROR(__xludf.DUMMYFUNCTION("""COMPUTED_VALUE"""),"VD019")</f>
        <v>VD019</v>
      </c>
      <c r="I1334" s="2">
        <f>IFERROR(__xludf.DUMMYFUNCTION("""COMPUTED_VALUE"""),20.0)</f>
        <v>20</v>
      </c>
      <c r="J1334" s="2">
        <f>IFERROR(__xludf.DUMMYFUNCTION("""COMPUTED_VALUE"""),6300.32)</f>
        <v>6300.32</v>
      </c>
      <c r="K1334" s="2">
        <f>IFERROR(__xludf.DUMMYFUNCTION("""COMPUTED_VALUE"""),6300.32)</f>
        <v>6300.32</v>
      </c>
    </row>
    <row r="1335">
      <c r="A1335" s="2">
        <f>IFERROR(__xludf.DUMMYFUNCTION("""COMPUTED_VALUE"""),1000.0)</f>
        <v>1000</v>
      </c>
      <c r="B1335" s="2">
        <f>IFERROR(__xludf.DUMMYFUNCTION("""COMPUTED_VALUE"""),184429.0)</f>
        <v>184429</v>
      </c>
      <c r="C1335" s="2">
        <f>IFERROR(__xludf.DUMMYFUNCTION("""COMPUTED_VALUE"""),2026.0)</f>
        <v>2026</v>
      </c>
      <c r="D1335" s="2">
        <f>IFERROR(__xludf.DUMMYFUNCTION("""COMPUTED_VALUE"""),46111.0)</f>
        <v>46111</v>
      </c>
      <c r="E1335" s="2" t="str">
        <f>IFERROR(__xludf.DUMMYFUNCTION("""COMPUTED_VALUE"""),"VF")</f>
        <v>VF</v>
      </c>
      <c r="F1335" s="2">
        <f>IFERROR(__xludf.DUMMYFUNCTION("""COMPUTED_VALUE"""),2.0)</f>
        <v>2</v>
      </c>
      <c r="G1335" s="2" t="str">
        <f>IFERROR(__xludf.DUMMYFUNCTION("""COMPUTED_VALUE"""),"PR001")</f>
        <v>PR001</v>
      </c>
      <c r="H1335" s="2" t="str">
        <f>IFERROR(__xludf.DUMMYFUNCTION("""COMPUTED_VALUE"""),"VD029")</f>
        <v>VD029</v>
      </c>
      <c r="I1335" s="2">
        <f>IFERROR(__xludf.DUMMYFUNCTION("""COMPUTED_VALUE"""),2.0)</f>
        <v>2</v>
      </c>
      <c r="J1335" s="2">
        <f>IFERROR(__xludf.DUMMYFUNCTION("""COMPUTED_VALUE"""),135.75)</f>
        <v>135.75</v>
      </c>
      <c r="K1335" s="2">
        <f>IFERROR(__xludf.DUMMYFUNCTION("""COMPUTED_VALUE"""),135.75)</f>
        <v>135.75</v>
      </c>
    </row>
    <row r="1336">
      <c r="A1336" s="2">
        <f>IFERROR(__xludf.DUMMYFUNCTION("""COMPUTED_VALUE"""),1000.0)</f>
        <v>1000</v>
      </c>
      <c r="B1336" s="2">
        <f>IFERROR(__xludf.DUMMYFUNCTION("""COMPUTED_VALUE"""),184429.0)</f>
        <v>184429</v>
      </c>
      <c r="C1336" s="2">
        <f>IFERROR(__xludf.DUMMYFUNCTION("""COMPUTED_VALUE"""),2026.0)</f>
        <v>2026</v>
      </c>
      <c r="D1336" s="2">
        <f>IFERROR(__xludf.DUMMYFUNCTION("""COMPUTED_VALUE"""),46111.0)</f>
        <v>46111</v>
      </c>
      <c r="E1336" s="2" t="str">
        <f>IFERROR(__xludf.DUMMYFUNCTION("""COMPUTED_VALUE"""),"VF")</f>
        <v>VF</v>
      </c>
      <c r="F1336" s="2">
        <f>IFERROR(__xludf.DUMMYFUNCTION("""COMPUTED_VALUE"""),3.0)</f>
        <v>3</v>
      </c>
      <c r="G1336" s="2" t="str">
        <f>IFERROR(__xludf.DUMMYFUNCTION("""COMPUTED_VALUE"""),"PR055")</f>
        <v>PR055</v>
      </c>
      <c r="H1336" s="2" t="str">
        <f>IFERROR(__xludf.DUMMYFUNCTION("""COMPUTED_VALUE"""),"VD043")</f>
        <v>VD043</v>
      </c>
      <c r="I1336" s="2">
        <f>IFERROR(__xludf.DUMMYFUNCTION("""COMPUTED_VALUE"""),4.0)</f>
        <v>4</v>
      </c>
      <c r="J1336" s="2">
        <f>IFERROR(__xludf.DUMMYFUNCTION("""COMPUTED_VALUE"""),377.58)</f>
        <v>377.58</v>
      </c>
      <c r="K1336" s="2">
        <f>IFERROR(__xludf.DUMMYFUNCTION("""COMPUTED_VALUE"""),377.58)</f>
        <v>377.58</v>
      </c>
    </row>
    <row r="1337">
      <c r="A1337" s="2">
        <f>IFERROR(__xludf.DUMMYFUNCTION("""COMPUTED_VALUE"""),1000.0)</f>
        <v>1000</v>
      </c>
      <c r="B1337" s="2">
        <f>IFERROR(__xludf.DUMMYFUNCTION("""COMPUTED_VALUE"""),184430.0)</f>
        <v>184430</v>
      </c>
      <c r="C1337" s="2">
        <f>IFERROR(__xludf.DUMMYFUNCTION("""COMPUTED_VALUE"""),2026.0)</f>
        <v>2026</v>
      </c>
      <c r="D1337" s="2">
        <f>IFERROR(__xludf.DUMMYFUNCTION("""COMPUTED_VALUE"""),46110.0)</f>
        <v>46110</v>
      </c>
      <c r="E1337" s="2" t="str">
        <f>IFERROR(__xludf.DUMMYFUNCTION("""COMPUTED_VALUE"""),"VF")</f>
        <v>VF</v>
      </c>
      <c r="F1337" s="2">
        <f>IFERROR(__xludf.DUMMYFUNCTION("""COMPUTED_VALUE"""),1.0)</f>
        <v>1</v>
      </c>
      <c r="G1337" s="2" t="str">
        <f>IFERROR(__xludf.DUMMYFUNCTION("""COMPUTED_VALUE"""),"PR053")</f>
        <v>PR053</v>
      </c>
      <c r="H1337" s="2" t="str">
        <f>IFERROR(__xludf.DUMMYFUNCTION("""COMPUTED_VALUE"""),"VD033")</f>
        <v>VD033</v>
      </c>
      <c r="I1337" s="2">
        <f>IFERROR(__xludf.DUMMYFUNCTION("""COMPUTED_VALUE"""),3.0)</f>
        <v>3</v>
      </c>
      <c r="J1337" s="2">
        <f>IFERROR(__xludf.DUMMYFUNCTION("""COMPUTED_VALUE"""),164.67)</f>
        <v>164.67</v>
      </c>
      <c r="K1337" s="2">
        <f>IFERROR(__xludf.DUMMYFUNCTION("""COMPUTED_VALUE"""),164.67)</f>
        <v>164.67</v>
      </c>
    </row>
    <row r="1338">
      <c r="A1338" s="2">
        <f>IFERROR(__xludf.DUMMYFUNCTION("""COMPUTED_VALUE"""),1000.0)</f>
        <v>1000</v>
      </c>
      <c r="B1338" s="2">
        <f>IFERROR(__xludf.DUMMYFUNCTION("""COMPUTED_VALUE"""),184430.0)</f>
        <v>184430</v>
      </c>
      <c r="C1338" s="2">
        <f>IFERROR(__xludf.DUMMYFUNCTION("""COMPUTED_VALUE"""),2026.0)</f>
        <v>2026</v>
      </c>
      <c r="D1338" s="2">
        <f>IFERROR(__xludf.DUMMYFUNCTION("""COMPUTED_VALUE"""),46110.0)</f>
        <v>46110</v>
      </c>
      <c r="E1338" s="2" t="str">
        <f>IFERROR(__xludf.DUMMYFUNCTION("""COMPUTED_VALUE"""),"VF")</f>
        <v>VF</v>
      </c>
      <c r="F1338" s="2">
        <f>IFERROR(__xludf.DUMMYFUNCTION("""COMPUTED_VALUE"""),2.0)</f>
        <v>2</v>
      </c>
      <c r="G1338" s="2" t="str">
        <f>IFERROR(__xludf.DUMMYFUNCTION("""COMPUTED_VALUE"""),"PR024")</f>
        <v>PR024</v>
      </c>
      <c r="H1338" s="2" t="str">
        <f>IFERROR(__xludf.DUMMYFUNCTION("""COMPUTED_VALUE"""),"VD032")</f>
        <v>VD032</v>
      </c>
      <c r="I1338" s="2">
        <f>IFERROR(__xludf.DUMMYFUNCTION("""COMPUTED_VALUE"""),8.0)</f>
        <v>8</v>
      </c>
      <c r="J1338" s="2">
        <f>IFERROR(__xludf.DUMMYFUNCTION("""COMPUTED_VALUE"""),2183.16)</f>
        <v>2183.16</v>
      </c>
      <c r="K1338" s="2">
        <f>IFERROR(__xludf.DUMMYFUNCTION("""COMPUTED_VALUE"""),2183.16)</f>
        <v>2183.16</v>
      </c>
    </row>
    <row r="1339">
      <c r="A1339" s="2">
        <f>IFERROR(__xludf.DUMMYFUNCTION("""COMPUTED_VALUE"""),1000.0)</f>
        <v>1000</v>
      </c>
      <c r="B1339" s="2">
        <f>IFERROR(__xludf.DUMMYFUNCTION("""COMPUTED_VALUE"""),184430.0)</f>
        <v>184430</v>
      </c>
      <c r="C1339" s="2">
        <f>IFERROR(__xludf.DUMMYFUNCTION("""COMPUTED_VALUE"""),2026.0)</f>
        <v>2026</v>
      </c>
      <c r="D1339" s="2">
        <f>IFERROR(__xludf.DUMMYFUNCTION("""COMPUTED_VALUE"""),46109.0)</f>
        <v>46109</v>
      </c>
      <c r="E1339" s="2" t="str">
        <f>IFERROR(__xludf.DUMMYFUNCTION("""COMPUTED_VALUE"""),"VF")</f>
        <v>VF</v>
      </c>
      <c r="F1339" s="2">
        <f>IFERROR(__xludf.DUMMYFUNCTION("""COMPUTED_VALUE"""),3.0)</f>
        <v>3</v>
      </c>
      <c r="G1339" s="2" t="str">
        <f>IFERROR(__xludf.DUMMYFUNCTION("""COMPUTED_VALUE"""),"PR042")</f>
        <v>PR042</v>
      </c>
      <c r="H1339" s="2" t="str">
        <f>IFERROR(__xludf.DUMMYFUNCTION("""COMPUTED_VALUE"""),"VD041")</f>
        <v>VD041</v>
      </c>
      <c r="I1339" s="2">
        <f>IFERROR(__xludf.DUMMYFUNCTION("""COMPUTED_VALUE"""),16.0)</f>
        <v>16</v>
      </c>
      <c r="J1339" s="2">
        <f>IFERROR(__xludf.DUMMYFUNCTION("""COMPUTED_VALUE"""),931.1)</f>
        <v>931.1</v>
      </c>
      <c r="K1339" s="2">
        <f>IFERROR(__xludf.DUMMYFUNCTION("""COMPUTED_VALUE"""),931.1)</f>
        <v>931.1</v>
      </c>
    </row>
    <row r="1340">
      <c r="A1340" s="2">
        <f>IFERROR(__xludf.DUMMYFUNCTION("""COMPUTED_VALUE"""),1000.0)</f>
        <v>1000</v>
      </c>
      <c r="B1340" s="2">
        <f>IFERROR(__xludf.DUMMYFUNCTION("""COMPUTED_VALUE"""),184431.0)</f>
        <v>184431</v>
      </c>
      <c r="C1340" s="2">
        <f>IFERROR(__xludf.DUMMYFUNCTION("""COMPUTED_VALUE"""),2026.0)</f>
        <v>2026</v>
      </c>
      <c r="D1340" s="2">
        <f>IFERROR(__xludf.DUMMYFUNCTION("""COMPUTED_VALUE"""),46109.0)</f>
        <v>46109</v>
      </c>
      <c r="E1340" s="2" t="str">
        <f>IFERROR(__xludf.DUMMYFUNCTION("""COMPUTED_VALUE"""),"VF")</f>
        <v>VF</v>
      </c>
      <c r="F1340" s="2">
        <f>IFERROR(__xludf.DUMMYFUNCTION("""COMPUTED_VALUE"""),1.0)</f>
        <v>1</v>
      </c>
      <c r="G1340" s="2" t="str">
        <f>IFERROR(__xludf.DUMMYFUNCTION("""COMPUTED_VALUE"""),"PR021")</f>
        <v>PR021</v>
      </c>
      <c r="H1340" s="2" t="str">
        <f>IFERROR(__xludf.DUMMYFUNCTION("""COMPUTED_VALUE"""),"VD032")</f>
        <v>VD032</v>
      </c>
      <c r="I1340" s="2">
        <f>IFERROR(__xludf.DUMMYFUNCTION("""COMPUTED_VALUE"""),14.0)</f>
        <v>14</v>
      </c>
      <c r="J1340" s="2">
        <f>IFERROR(__xludf.DUMMYFUNCTION("""COMPUTED_VALUE"""),4240.6)</f>
        <v>4240.6</v>
      </c>
      <c r="K1340" s="2">
        <f>IFERROR(__xludf.DUMMYFUNCTION("""COMPUTED_VALUE"""),4240.6)</f>
        <v>4240.6</v>
      </c>
    </row>
    <row r="1341">
      <c r="A1341" s="2">
        <f>IFERROR(__xludf.DUMMYFUNCTION("""COMPUTED_VALUE"""),1000.0)</f>
        <v>1000</v>
      </c>
      <c r="B1341" s="2">
        <f>IFERROR(__xludf.DUMMYFUNCTION("""COMPUTED_VALUE"""),184432.0)</f>
        <v>184432</v>
      </c>
      <c r="C1341" s="2">
        <f>IFERROR(__xludf.DUMMYFUNCTION("""COMPUTED_VALUE"""),2026.0)</f>
        <v>2026</v>
      </c>
      <c r="D1341" s="2">
        <f>IFERROR(__xludf.DUMMYFUNCTION("""COMPUTED_VALUE"""),46109.0)</f>
        <v>46109</v>
      </c>
      <c r="E1341" s="2" t="str">
        <f>IFERROR(__xludf.DUMMYFUNCTION("""COMPUTED_VALUE"""),"VF")</f>
        <v>VF</v>
      </c>
      <c r="F1341" s="2">
        <f>IFERROR(__xludf.DUMMYFUNCTION("""COMPUTED_VALUE"""),1.0)</f>
        <v>1</v>
      </c>
      <c r="G1341" s="2" t="str">
        <f>IFERROR(__xludf.DUMMYFUNCTION("""COMPUTED_VALUE"""),"PR056")</f>
        <v>PR056</v>
      </c>
      <c r="H1341" s="2" t="str">
        <f>IFERROR(__xludf.DUMMYFUNCTION("""COMPUTED_VALUE"""),"VD016")</f>
        <v>VD016</v>
      </c>
      <c r="I1341" s="2">
        <f>IFERROR(__xludf.DUMMYFUNCTION("""COMPUTED_VALUE"""),12.0)</f>
        <v>12</v>
      </c>
      <c r="J1341" s="2">
        <f>IFERROR(__xludf.DUMMYFUNCTION("""COMPUTED_VALUE"""),1175.89)</f>
        <v>1175.89</v>
      </c>
      <c r="K1341" s="2">
        <f>IFERROR(__xludf.DUMMYFUNCTION("""COMPUTED_VALUE"""),1175.89)</f>
        <v>1175.89</v>
      </c>
    </row>
    <row r="1342">
      <c r="A1342" s="2">
        <f>IFERROR(__xludf.DUMMYFUNCTION("""COMPUTED_VALUE"""),2000.0)</f>
        <v>2000</v>
      </c>
      <c r="B1342" s="2">
        <f>IFERROR(__xludf.DUMMYFUNCTION("""COMPUTED_VALUE"""),184433.0)</f>
        <v>184433</v>
      </c>
      <c r="C1342" s="2">
        <f>IFERROR(__xludf.DUMMYFUNCTION("""COMPUTED_VALUE"""),2026.0)</f>
        <v>2026</v>
      </c>
      <c r="D1342" s="2">
        <f>IFERROR(__xludf.DUMMYFUNCTION("""COMPUTED_VALUE"""),46109.0)</f>
        <v>46109</v>
      </c>
      <c r="E1342" s="2" t="str">
        <f>IFERROR(__xludf.DUMMYFUNCTION("""COMPUTED_VALUE"""),"VF")</f>
        <v>VF</v>
      </c>
      <c r="F1342" s="2">
        <f>IFERROR(__xludf.DUMMYFUNCTION("""COMPUTED_VALUE"""),1.0)</f>
        <v>1</v>
      </c>
      <c r="G1342" s="2" t="str">
        <f>IFERROR(__xludf.DUMMYFUNCTION("""COMPUTED_VALUE"""),"PR006")</f>
        <v>PR006</v>
      </c>
      <c r="H1342" s="2" t="str">
        <f>IFERROR(__xludf.DUMMYFUNCTION("""COMPUTED_VALUE"""),"VD012")</f>
        <v>VD012</v>
      </c>
      <c r="I1342" s="2">
        <f>IFERROR(__xludf.DUMMYFUNCTION("""COMPUTED_VALUE"""),14.0)</f>
        <v>14</v>
      </c>
      <c r="J1342" s="2">
        <f>IFERROR(__xludf.DUMMYFUNCTION("""COMPUTED_VALUE"""),592.12)</f>
        <v>592.12</v>
      </c>
      <c r="K1342" s="2">
        <f>IFERROR(__xludf.DUMMYFUNCTION("""COMPUTED_VALUE"""),592.12)</f>
        <v>592.12</v>
      </c>
    </row>
    <row r="1343">
      <c r="A1343" s="2">
        <f>IFERROR(__xludf.DUMMYFUNCTION("""COMPUTED_VALUE"""),1000.0)</f>
        <v>1000</v>
      </c>
      <c r="B1343" s="2">
        <f>IFERROR(__xludf.DUMMYFUNCTION("""COMPUTED_VALUE"""),184434.0)</f>
        <v>184434</v>
      </c>
      <c r="C1343" s="2">
        <f>IFERROR(__xludf.DUMMYFUNCTION("""COMPUTED_VALUE"""),2026.0)</f>
        <v>2026</v>
      </c>
      <c r="D1343" s="2">
        <f>IFERROR(__xludf.DUMMYFUNCTION("""COMPUTED_VALUE"""),46108.0)</f>
        <v>46108</v>
      </c>
      <c r="E1343" s="2" t="str">
        <f>IFERROR(__xludf.DUMMYFUNCTION("""COMPUTED_VALUE"""),"VF")</f>
        <v>VF</v>
      </c>
      <c r="F1343" s="2">
        <f>IFERROR(__xludf.DUMMYFUNCTION("""COMPUTED_VALUE"""),1.0)</f>
        <v>1</v>
      </c>
      <c r="G1343" s="2" t="str">
        <f>IFERROR(__xludf.DUMMYFUNCTION("""COMPUTED_VALUE"""),"PR029")</f>
        <v>PR029</v>
      </c>
      <c r="H1343" s="2" t="str">
        <f>IFERROR(__xludf.DUMMYFUNCTION("""COMPUTED_VALUE"""),"VD043")</f>
        <v>VD043</v>
      </c>
      <c r="I1343" s="2">
        <f>IFERROR(__xludf.DUMMYFUNCTION("""COMPUTED_VALUE"""),2.0)</f>
        <v>2</v>
      </c>
      <c r="J1343" s="2">
        <f>IFERROR(__xludf.DUMMYFUNCTION("""COMPUTED_VALUE"""),515.1)</f>
        <v>515.1</v>
      </c>
      <c r="K1343" s="2">
        <f>IFERROR(__xludf.DUMMYFUNCTION("""COMPUTED_VALUE"""),515.1)</f>
        <v>515.1</v>
      </c>
    </row>
    <row r="1344">
      <c r="A1344" s="2">
        <f>IFERROR(__xludf.DUMMYFUNCTION("""COMPUTED_VALUE"""),2000.0)</f>
        <v>2000</v>
      </c>
      <c r="B1344" s="2">
        <f>IFERROR(__xludf.DUMMYFUNCTION("""COMPUTED_VALUE"""),184435.0)</f>
        <v>184435</v>
      </c>
      <c r="C1344" s="2">
        <f>IFERROR(__xludf.DUMMYFUNCTION("""COMPUTED_VALUE"""),2026.0)</f>
        <v>2026</v>
      </c>
      <c r="D1344" s="2">
        <f>IFERROR(__xludf.DUMMYFUNCTION("""COMPUTED_VALUE"""),46108.0)</f>
        <v>46108</v>
      </c>
      <c r="E1344" s="2" t="str">
        <f>IFERROR(__xludf.DUMMYFUNCTION("""COMPUTED_VALUE"""),"VF")</f>
        <v>VF</v>
      </c>
      <c r="F1344" s="2">
        <f>IFERROR(__xludf.DUMMYFUNCTION("""COMPUTED_VALUE"""),1.0)</f>
        <v>1</v>
      </c>
      <c r="G1344" s="2" t="str">
        <f>IFERROR(__xludf.DUMMYFUNCTION("""COMPUTED_VALUE"""),"PR037")</f>
        <v>PR037</v>
      </c>
      <c r="H1344" s="2" t="str">
        <f>IFERROR(__xludf.DUMMYFUNCTION("""COMPUTED_VALUE"""),"VD039")</f>
        <v>VD039</v>
      </c>
      <c r="I1344" s="2">
        <f>IFERROR(__xludf.DUMMYFUNCTION("""COMPUTED_VALUE"""),9.0)</f>
        <v>9</v>
      </c>
      <c r="J1344" s="2">
        <f>IFERROR(__xludf.DUMMYFUNCTION("""COMPUTED_VALUE"""),1335.6)</f>
        <v>1335.6</v>
      </c>
      <c r="K1344" s="2">
        <f>IFERROR(__xludf.DUMMYFUNCTION("""COMPUTED_VALUE"""),1335.6)</f>
        <v>1335.6</v>
      </c>
    </row>
    <row r="1345">
      <c r="A1345" s="2">
        <f>IFERROR(__xludf.DUMMYFUNCTION("""COMPUTED_VALUE"""),2000.0)</f>
        <v>2000</v>
      </c>
      <c r="B1345" s="2">
        <f>IFERROR(__xludf.DUMMYFUNCTION("""COMPUTED_VALUE"""),184435.0)</f>
        <v>184435</v>
      </c>
      <c r="C1345" s="2">
        <f>IFERROR(__xludf.DUMMYFUNCTION("""COMPUTED_VALUE"""),2026.0)</f>
        <v>2026</v>
      </c>
      <c r="D1345" s="2">
        <f>IFERROR(__xludf.DUMMYFUNCTION("""COMPUTED_VALUE"""),46108.0)</f>
        <v>46108</v>
      </c>
      <c r="E1345" s="2" t="str">
        <f>IFERROR(__xludf.DUMMYFUNCTION("""COMPUTED_VALUE"""),"VF")</f>
        <v>VF</v>
      </c>
      <c r="F1345" s="2">
        <f>IFERROR(__xludf.DUMMYFUNCTION("""COMPUTED_VALUE"""),2.0)</f>
        <v>2</v>
      </c>
      <c r="G1345" s="2" t="str">
        <f>IFERROR(__xludf.DUMMYFUNCTION("""COMPUTED_VALUE"""),"PR028")</f>
        <v>PR028</v>
      </c>
      <c r="H1345" s="2" t="str">
        <f>IFERROR(__xludf.DUMMYFUNCTION("""COMPUTED_VALUE"""),"VD040")</f>
        <v>VD040</v>
      </c>
      <c r="I1345" s="2">
        <f>IFERROR(__xludf.DUMMYFUNCTION("""COMPUTED_VALUE"""),2.0)</f>
        <v>2</v>
      </c>
      <c r="J1345" s="2">
        <f>IFERROR(__xludf.DUMMYFUNCTION("""COMPUTED_VALUE"""),499.8)</f>
        <v>499.8</v>
      </c>
      <c r="K1345" s="2">
        <f>IFERROR(__xludf.DUMMYFUNCTION("""COMPUTED_VALUE"""),499.8)</f>
        <v>499.8</v>
      </c>
    </row>
    <row r="1346">
      <c r="A1346" s="2">
        <f>IFERROR(__xludf.DUMMYFUNCTION("""COMPUTED_VALUE"""),1000.0)</f>
        <v>1000</v>
      </c>
      <c r="B1346" s="2">
        <f>IFERROR(__xludf.DUMMYFUNCTION("""COMPUTED_VALUE"""),184435.0)</f>
        <v>184435</v>
      </c>
      <c r="C1346" s="2">
        <f>IFERROR(__xludf.DUMMYFUNCTION("""COMPUTED_VALUE"""),2026.0)</f>
        <v>2026</v>
      </c>
      <c r="D1346" s="2">
        <f>IFERROR(__xludf.DUMMYFUNCTION("""COMPUTED_VALUE"""),46108.0)</f>
        <v>46108</v>
      </c>
      <c r="E1346" s="2" t="str">
        <f>IFERROR(__xludf.DUMMYFUNCTION("""COMPUTED_VALUE"""),"VF")</f>
        <v>VF</v>
      </c>
      <c r="F1346" s="2">
        <f>IFERROR(__xludf.DUMMYFUNCTION("""COMPUTED_VALUE"""),3.0)</f>
        <v>3</v>
      </c>
      <c r="G1346" s="2" t="str">
        <f>IFERROR(__xludf.DUMMYFUNCTION("""COMPUTED_VALUE"""),"PR054")</f>
        <v>PR054</v>
      </c>
      <c r="H1346" s="2" t="str">
        <f>IFERROR(__xludf.DUMMYFUNCTION("""COMPUTED_VALUE"""),"VD012")</f>
        <v>VD012</v>
      </c>
      <c r="I1346" s="2">
        <f>IFERROR(__xludf.DUMMYFUNCTION("""COMPUTED_VALUE"""),18.0)</f>
        <v>18</v>
      </c>
      <c r="J1346" s="2">
        <f>IFERROR(__xludf.DUMMYFUNCTION("""COMPUTED_VALUE"""),961.07)</f>
        <v>961.07</v>
      </c>
      <c r="K1346" s="2">
        <f>IFERROR(__xludf.DUMMYFUNCTION("""COMPUTED_VALUE"""),961.07)</f>
        <v>961.07</v>
      </c>
    </row>
    <row r="1347">
      <c r="A1347" s="2">
        <f>IFERROR(__xludf.DUMMYFUNCTION("""COMPUTED_VALUE"""),1000.0)</f>
        <v>1000</v>
      </c>
      <c r="B1347" s="2">
        <f>IFERROR(__xludf.DUMMYFUNCTION("""COMPUTED_VALUE"""),184436.0)</f>
        <v>184436</v>
      </c>
      <c r="C1347" s="2">
        <f>IFERROR(__xludf.DUMMYFUNCTION("""COMPUTED_VALUE"""),2026.0)</f>
        <v>2026</v>
      </c>
      <c r="D1347" s="2">
        <f>IFERROR(__xludf.DUMMYFUNCTION("""COMPUTED_VALUE"""),46108.0)</f>
        <v>46108</v>
      </c>
      <c r="E1347" s="2" t="str">
        <f>IFERROR(__xludf.DUMMYFUNCTION("""COMPUTED_VALUE"""),"VF")</f>
        <v>VF</v>
      </c>
      <c r="F1347" s="2">
        <f>IFERROR(__xludf.DUMMYFUNCTION("""COMPUTED_VALUE"""),1.0)</f>
        <v>1</v>
      </c>
      <c r="G1347" s="2" t="str">
        <f>IFERROR(__xludf.DUMMYFUNCTION("""COMPUTED_VALUE"""),"PR023")</f>
        <v>PR023</v>
      </c>
      <c r="H1347" s="2" t="str">
        <f>IFERROR(__xludf.DUMMYFUNCTION("""COMPUTED_VALUE"""),"VD036")</f>
        <v>VD036</v>
      </c>
      <c r="I1347" s="2">
        <f>IFERROR(__xludf.DUMMYFUNCTION("""COMPUTED_VALUE"""),6.0)</f>
        <v>6</v>
      </c>
      <c r="J1347" s="2">
        <f>IFERROR(__xludf.DUMMYFUNCTION("""COMPUTED_VALUE"""),1514.39)</f>
        <v>1514.39</v>
      </c>
      <c r="K1347" s="2">
        <f>IFERROR(__xludf.DUMMYFUNCTION("""COMPUTED_VALUE"""),1514.39)</f>
        <v>1514.39</v>
      </c>
    </row>
    <row r="1348">
      <c r="A1348" s="2">
        <f>IFERROR(__xludf.DUMMYFUNCTION("""COMPUTED_VALUE"""),1000.0)</f>
        <v>1000</v>
      </c>
      <c r="B1348" s="2">
        <f>IFERROR(__xludf.DUMMYFUNCTION("""COMPUTED_VALUE"""),184437.0)</f>
        <v>184437</v>
      </c>
      <c r="C1348" s="2">
        <f>IFERROR(__xludf.DUMMYFUNCTION("""COMPUTED_VALUE"""),2026.0)</f>
        <v>2026</v>
      </c>
      <c r="D1348" s="2">
        <f>IFERROR(__xludf.DUMMYFUNCTION("""COMPUTED_VALUE"""),46108.0)</f>
        <v>46108</v>
      </c>
      <c r="E1348" s="2" t="str">
        <f>IFERROR(__xludf.DUMMYFUNCTION("""COMPUTED_VALUE"""),"VF")</f>
        <v>VF</v>
      </c>
      <c r="F1348" s="2">
        <f>IFERROR(__xludf.DUMMYFUNCTION("""COMPUTED_VALUE"""),1.0)</f>
        <v>1</v>
      </c>
      <c r="G1348" s="2" t="str">
        <f>IFERROR(__xludf.DUMMYFUNCTION("""COMPUTED_VALUE"""),"PR041")</f>
        <v>PR041</v>
      </c>
      <c r="H1348" s="2" t="str">
        <f>IFERROR(__xludf.DUMMYFUNCTION("""COMPUTED_VALUE"""),"VD013")</f>
        <v>VD013</v>
      </c>
      <c r="I1348" s="2">
        <f>IFERROR(__xludf.DUMMYFUNCTION("""COMPUTED_VALUE"""),9.0)</f>
        <v>9</v>
      </c>
      <c r="J1348" s="2">
        <f>IFERROR(__xludf.DUMMYFUNCTION("""COMPUTED_VALUE"""),503.98)</f>
        <v>503.98</v>
      </c>
      <c r="K1348" s="2">
        <f>IFERROR(__xludf.DUMMYFUNCTION("""COMPUTED_VALUE"""),503.98)</f>
        <v>503.98</v>
      </c>
    </row>
    <row r="1349">
      <c r="A1349" s="2">
        <f>IFERROR(__xludf.DUMMYFUNCTION("""COMPUTED_VALUE"""),2000.0)</f>
        <v>2000</v>
      </c>
      <c r="B1349" s="2">
        <f>IFERROR(__xludf.DUMMYFUNCTION("""COMPUTED_VALUE"""),184438.0)</f>
        <v>184438</v>
      </c>
      <c r="C1349" s="2">
        <f>IFERROR(__xludf.DUMMYFUNCTION("""COMPUTED_VALUE"""),2026.0)</f>
        <v>2026</v>
      </c>
      <c r="D1349" s="2">
        <f>IFERROR(__xludf.DUMMYFUNCTION("""COMPUTED_VALUE"""),46108.0)</f>
        <v>46108</v>
      </c>
      <c r="E1349" s="2" t="str">
        <f>IFERROR(__xludf.DUMMYFUNCTION("""COMPUTED_VALUE"""),"VF")</f>
        <v>VF</v>
      </c>
      <c r="F1349" s="2">
        <f>IFERROR(__xludf.DUMMYFUNCTION("""COMPUTED_VALUE"""),1.0)</f>
        <v>1</v>
      </c>
      <c r="G1349" s="2" t="str">
        <f>IFERROR(__xludf.DUMMYFUNCTION("""COMPUTED_VALUE"""),"PR012")</f>
        <v>PR012</v>
      </c>
      <c r="H1349" s="2" t="str">
        <f>IFERROR(__xludf.DUMMYFUNCTION("""COMPUTED_VALUE"""),"VD015")</f>
        <v>VD015</v>
      </c>
      <c r="I1349" s="2">
        <f>IFERROR(__xludf.DUMMYFUNCTION("""COMPUTED_VALUE"""),10.0)</f>
        <v>10</v>
      </c>
      <c r="J1349" s="2">
        <f>IFERROR(__xludf.DUMMYFUNCTION("""COMPUTED_VALUE"""),518.34)</f>
        <v>518.34</v>
      </c>
      <c r="K1349" s="2">
        <f>IFERROR(__xludf.DUMMYFUNCTION("""COMPUTED_VALUE"""),518.34)</f>
        <v>518.34</v>
      </c>
    </row>
    <row r="1350">
      <c r="A1350" s="2">
        <f>IFERROR(__xludf.DUMMYFUNCTION("""COMPUTED_VALUE"""),1000.0)</f>
        <v>1000</v>
      </c>
      <c r="B1350" s="2">
        <f>IFERROR(__xludf.DUMMYFUNCTION("""COMPUTED_VALUE"""),184439.0)</f>
        <v>184439</v>
      </c>
      <c r="C1350" s="2">
        <f>IFERROR(__xludf.DUMMYFUNCTION("""COMPUTED_VALUE"""),2026.0)</f>
        <v>2026</v>
      </c>
      <c r="D1350" s="2">
        <f>IFERROR(__xludf.DUMMYFUNCTION("""COMPUTED_VALUE"""),46108.0)</f>
        <v>46108</v>
      </c>
      <c r="E1350" s="2" t="str">
        <f>IFERROR(__xludf.DUMMYFUNCTION("""COMPUTED_VALUE"""),"VF")</f>
        <v>VF</v>
      </c>
      <c r="F1350" s="2">
        <f>IFERROR(__xludf.DUMMYFUNCTION("""COMPUTED_VALUE"""),1.0)</f>
        <v>1</v>
      </c>
      <c r="G1350" s="2" t="str">
        <f>IFERROR(__xludf.DUMMYFUNCTION("""COMPUTED_VALUE"""),"PR053")</f>
        <v>PR053</v>
      </c>
      <c r="H1350" s="2" t="str">
        <f>IFERROR(__xludf.DUMMYFUNCTION("""COMPUTED_VALUE"""),"VD021")</f>
        <v>VD021</v>
      </c>
      <c r="I1350" s="2">
        <f>IFERROR(__xludf.DUMMYFUNCTION("""COMPUTED_VALUE"""),18.0)</f>
        <v>18</v>
      </c>
      <c r="J1350" s="2">
        <f>IFERROR(__xludf.DUMMYFUNCTION("""COMPUTED_VALUE"""),898.2)</f>
        <v>898.2</v>
      </c>
      <c r="K1350" s="2">
        <f>IFERROR(__xludf.DUMMYFUNCTION("""COMPUTED_VALUE"""),898.2)</f>
        <v>898.2</v>
      </c>
    </row>
    <row r="1351">
      <c r="A1351" s="2">
        <f>IFERROR(__xludf.DUMMYFUNCTION("""COMPUTED_VALUE"""),1000.0)</f>
        <v>1000</v>
      </c>
      <c r="B1351" s="2">
        <f>IFERROR(__xludf.DUMMYFUNCTION("""COMPUTED_VALUE"""),184440.0)</f>
        <v>184440</v>
      </c>
      <c r="C1351" s="2">
        <f>IFERROR(__xludf.DUMMYFUNCTION("""COMPUTED_VALUE"""),2026.0)</f>
        <v>2026</v>
      </c>
      <c r="D1351" s="2">
        <f>IFERROR(__xludf.DUMMYFUNCTION("""COMPUTED_VALUE"""),46108.0)</f>
        <v>46108</v>
      </c>
      <c r="E1351" s="2" t="str">
        <f>IFERROR(__xludf.DUMMYFUNCTION("""COMPUTED_VALUE"""),"VF")</f>
        <v>VF</v>
      </c>
      <c r="F1351" s="2">
        <f>IFERROR(__xludf.DUMMYFUNCTION("""COMPUTED_VALUE"""),1.0)</f>
        <v>1</v>
      </c>
      <c r="G1351" s="2" t="str">
        <f>IFERROR(__xludf.DUMMYFUNCTION("""COMPUTED_VALUE"""),"PR038")</f>
        <v>PR038</v>
      </c>
      <c r="H1351" s="2" t="str">
        <f>IFERROR(__xludf.DUMMYFUNCTION("""COMPUTED_VALUE"""),"VD013")</f>
        <v>VD013</v>
      </c>
      <c r="I1351" s="2">
        <f>IFERROR(__xludf.DUMMYFUNCTION("""COMPUTED_VALUE"""),2.0)</f>
        <v>2</v>
      </c>
      <c r="J1351" s="2">
        <f>IFERROR(__xludf.DUMMYFUNCTION("""COMPUTED_VALUE"""),311.52)</f>
        <v>311.52</v>
      </c>
      <c r="K1351" s="2">
        <f>IFERROR(__xludf.DUMMYFUNCTION("""COMPUTED_VALUE"""),311.52)</f>
        <v>311.52</v>
      </c>
    </row>
    <row r="1352">
      <c r="A1352" s="2">
        <f>IFERROR(__xludf.DUMMYFUNCTION("""COMPUTED_VALUE"""),1000.0)</f>
        <v>1000</v>
      </c>
      <c r="B1352" s="2">
        <f>IFERROR(__xludf.DUMMYFUNCTION("""COMPUTED_VALUE"""),184440.0)</f>
        <v>184440</v>
      </c>
      <c r="C1352" s="2">
        <f>IFERROR(__xludf.DUMMYFUNCTION("""COMPUTED_VALUE"""),2026.0)</f>
        <v>2026</v>
      </c>
      <c r="D1352" s="2">
        <f>IFERROR(__xludf.DUMMYFUNCTION("""COMPUTED_VALUE"""),46107.0)</f>
        <v>46107</v>
      </c>
      <c r="E1352" s="2" t="str">
        <f>IFERROR(__xludf.DUMMYFUNCTION("""COMPUTED_VALUE"""),"VF")</f>
        <v>VF</v>
      </c>
      <c r="F1352" s="2">
        <f>IFERROR(__xludf.DUMMYFUNCTION("""COMPUTED_VALUE"""),2.0)</f>
        <v>2</v>
      </c>
      <c r="G1352" s="2" t="str">
        <f>IFERROR(__xludf.DUMMYFUNCTION("""COMPUTED_VALUE"""),"PR009")</f>
        <v>PR009</v>
      </c>
      <c r="H1352" s="2" t="str">
        <f>IFERROR(__xludf.DUMMYFUNCTION("""COMPUTED_VALUE"""),"VD022")</f>
        <v>VD022</v>
      </c>
      <c r="I1352" s="2">
        <f>IFERROR(__xludf.DUMMYFUNCTION("""COMPUTED_VALUE"""),12.0)</f>
        <v>12</v>
      </c>
      <c r="J1352" s="2">
        <f>IFERROR(__xludf.DUMMYFUNCTION("""COMPUTED_VALUE"""),1181.69)</f>
        <v>1181.69</v>
      </c>
      <c r="K1352" s="2">
        <f>IFERROR(__xludf.DUMMYFUNCTION("""COMPUTED_VALUE"""),1181.69)</f>
        <v>1181.69</v>
      </c>
    </row>
    <row r="1353">
      <c r="A1353" s="2">
        <f>IFERROR(__xludf.DUMMYFUNCTION("""COMPUTED_VALUE"""),1000.0)</f>
        <v>1000</v>
      </c>
      <c r="B1353" s="2">
        <f>IFERROR(__xludf.DUMMYFUNCTION("""COMPUTED_VALUE"""),184441.0)</f>
        <v>184441</v>
      </c>
      <c r="C1353" s="2">
        <f>IFERROR(__xludf.DUMMYFUNCTION("""COMPUTED_VALUE"""),2026.0)</f>
        <v>2026</v>
      </c>
      <c r="D1353" s="2">
        <f>IFERROR(__xludf.DUMMYFUNCTION("""COMPUTED_VALUE"""),46107.0)</f>
        <v>46107</v>
      </c>
      <c r="E1353" s="2" t="str">
        <f>IFERROR(__xludf.DUMMYFUNCTION("""COMPUTED_VALUE"""),"VF")</f>
        <v>VF</v>
      </c>
      <c r="F1353" s="2">
        <f>IFERROR(__xludf.DUMMYFUNCTION("""COMPUTED_VALUE"""),1.0)</f>
        <v>1</v>
      </c>
      <c r="G1353" s="2" t="str">
        <f>IFERROR(__xludf.DUMMYFUNCTION("""COMPUTED_VALUE"""),"PR019")</f>
        <v>PR019</v>
      </c>
      <c r="H1353" s="2" t="str">
        <f>IFERROR(__xludf.DUMMYFUNCTION("""COMPUTED_VALUE"""),"VD025")</f>
        <v>VD025</v>
      </c>
      <c r="I1353" s="2">
        <f>IFERROR(__xludf.DUMMYFUNCTION("""COMPUTED_VALUE"""),14.0)</f>
        <v>14</v>
      </c>
      <c r="J1353" s="2">
        <f>IFERROR(__xludf.DUMMYFUNCTION("""COMPUTED_VALUE"""),705.59)</f>
        <v>705.59</v>
      </c>
      <c r="K1353" s="2">
        <f>IFERROR(__xludf.DUMMYFUNCTION("""COMPUTED_VALUE"""),705.59)</f>
        <v>705.59</v>
      </c>
    </row>
    <row r="1354">
      <c r="A1354" s="2">
        <f>IFERROR(__xludf.DUMMYFUNCTION("""COMPUTED_VALUE"""),1000.0)</f>
        <v>1000</v>
      </c>
      <c r="B1354" s="2">
        <f>IFERROR(__xludf.DUMMYFUNCTION("""COMPUTED_VALUE"""),184442.0)</f>
        <v>184442</v>
      </c>
      <c r="C1354" s="2">
        <f>IFERROR(__xludf.DUMMYFUNCTION("""COMPUTED_VALUE"""),2026.0)</f>
        <v>2026</v>
      </c>
      <c r="D1354" s="2">
        <f>IFERROR(__xludf.DUMMYFUNCTION("""COMPUTED_VALUE"""),46106.0)</f>
        <v>46106</v>
      </c>
      <c r="E1354" s="2" t="str">
        <f>IFERROR(__xludf.DUMMYFUNCTION("""COMPUTED_VALUE"""),"VF")</f>
        <v>VF</v>
      </c>
      <c r="F1354" s="2">
        <f>IFERROR(__xludf.DUMMYFUNCTION("""COMPUTED_VALUE"""),1.0)</f>
        <v>1</v>
      </c>
      <c r="G1354" s="2" t="str">
        <f>IFERROR(__xludf.DUMMYFUNCTION("""COMPUTED_VALUE"""),"PR029")</f>
        <v>PR029</v>
      </c>
      <c r="H1354" s="2" t="str">
        <f>IFERROR(__xludf.DUMMYFUNCTION("""COMPUTED_VALUE"""),"VD018")</f>
        <v>VD018</v>
      </c>
      <c r="I1354" s="2">
        <f>IFERROR(__xludf.DUMMYFUNCTION("""COMPUTED_VALUE"""),1.0)</f>
        <v>1</v>
      </c>
      <c r="J1354" s="2">
        <f>IFERROR(__xludf.DUMMYFUNCTION("""COMPUTED_VALUE"""),257.55)</f>
        <v>257.55</v>
      </c>
      <c r="K1354" s="2">
        <f>IFERROR(__xludf.DUMMYFUNCTION("""COMPUTED_VALUE"""),257.55)</f>
        <v>257.55</v>
      </c>
    </row>
    <row r="1355">
      <c r="A1355" s="2">
        <f>IFERROR(__xludf.DUMMYFUNCTION("""COMPUTED_VALUE"""),1000.0)</f>
        <v>1000</v>
      </c>
      <c r="B1355" s="2">
        <f>IFERROR(__xludf.DUMMYFUNCTION("""COMPUTED_VALUE"""),184443.0)</f>
        <v>184443</v>
      </c>
      <c r="C1355" s="2">
        <f>IFERROR(__xludf.DUMMYFUNCTION("""COMPUTED_VALUE"""),2026.0)</f>
        <v>2026</v>
      </c>
      <c r="D1355" s="2">
        <f>IFERROR(__xludf.DUMMYFUNCTION("""COMPUTED_VALUE"""),46106.0)</f>
        <v>46106</v>
      </c>
      <c r="E1355" s="2" t="str">
        <f>IFERROR(__xludf.DUMMYFUNCTION("""COMPUTED_VALUE"""),"VF")</f>
        <v>VF</v>
      </c>
      <c r="F1355" s="2">
        <f>IFERROR(__xludf.DUMMYFUNCTION("""COMPUTED_VALUE"""),1.0)</f>
        <v>1</v>
      </c>
      <c r="G1355" s="2" t="str">
        <f>IFERROR(__xludf.DUMMYFUNCTION("""COMPUTED_VALUE"""),"PR032")</f>
        <v>PR032</v>
      </c>
      <c r="H1355" s="2" t="str">
        <f>IFERROR(__xludf.DUMMYFUNCTION("""COMPUTED_VALUE"""),"VD018")</f>
        <v>VD018</v>
      </c>
      <c r="I1355" s="2">
        <f>IFERROR(__xludf.DUMMYFUNCTION("""COMPUTED_VALUE"""),2.0)</f>
        <v>2</v>
      </c>
      <c r="J1355" s="2">
        <f>IFERROR(__xludf.DUMMYFUNCTION("""COMPUTED_VALUE"""),520.0)</f>
        <v>520</v>
      </c>
      <c r="K1355" s="2">
        <f>IFERROR(__xludf.DUMMYFUNCTION("""COMPUTED_VALUE"""),520.0)</f>
        <v>520</v>
      </c>
    </row>
    <row r="1356">
      <c r="A1356" s="2">
        <f>IFERROR(__xludf.DUMMYFUNCTION("""COMPUTED_VALUE"""),1000.0)</f>
        <v>1000</v>
      </c>
      <c r="B1356" s="2">
        <f>IFERROR(__xludf.DUMMYFUNCTION("""COMPUTED_VALUE"""),184443.0)</f>
        <v>184443</v>
      </c>
      <c r="C1356" s="2">
        <f>IFERROR(__xludf.DUMMYFUNCTION("""COMPUTED_VALUE"""),2026.0)</f>
        <v>2026</v>
      </c>
      <c r="D1356" s="2">
        <f>IFERROR(__xludf.DUMMYFUNCTION("""COMPUTED_VALUE"""),46106.0)</f>
        <v>46106</v>
      </c>
      <c r="E1356" s="2" t="str">
        <f>IFERROR(__xludf.DUMMYFUNCTION("""COMPUTED_VALUE"""),"VF")</f>
        <v>VF</v>
      </c>
      <c r="F1356" s="2">
        <f>IFERROR(__xludf.DUMMYFUNCTION("""COMPUTED_VALUE"""),2.0)</f>
        <v>2</v>
      </c>
      <c r="G1356" s="2" t="str">
        <f>IFERROR(__xludf.DUMMYFUNCTION("""COMPUTED_VALUE"""),"PR048")</f>
        <v>PR048</v>
      </c>
      <c r="H1356" s="2" t="str">
        <f>IFERROR(__xludf.DUMMYFUNCTION("""COMPUTED_VALUE"""),"VD042")</f>
        <v>VD042</v>
      </c>
      <c r="I1356" s="2">
        <f>IFERROR(__xludf.DUMMYFUNCTION("""COMPUTED_VALUE"""),2.0)</f>
        <v>2</v>
      </c>
      <c r="J1356" s="2">
        <f>IFERROR(__xludf.DUMMYFUNCTION("""COMPUTED_VALUE"""),585.6)</f>
        <v>585.6</v>
      </c>
      <c r="K1356" s="2">
        <f>IFERROR(__xludf.DUMMYFUNCTION("""COMPUTED_VALUE"""),585.6)</f>
        <v>585.6</v>
      </c>
    </row>
    <row r="1357">
      <c r="A1357" s="2">
        <f>IFERROR(__xludf.DUMMYFUNCTION("""COMPUTED_VALUE"""),2000.0)</f>
        <v>2000</v>
      </c>
      <c r="B1357" s="2">
        <f>IFERROR(__xludf.DUMMYFUNCTION("""COMPUTED_VALUE"""),184443.0)</f>
        <v>184443</v>
      </c>
      <c r="C1357" s="2">
        <f>IFERROR(__xludf.DUMMYFUNCTION("""COMPUTED_VALUE"""),2026.0)</f>
        <v>2026</v>
      </c>
      <c r="D1357" s="2">
        <f>IFERROR(__xludf.DUMMYFUNCTION("""COMPUTED_VALUE"""),46105.0)</f>
        <v>46105</v>
      </c>
      <c r="E1357" s="2" t="str">
        <f>IFERROR(__xludf.DUMMYFUNCTION("""COMPUTED_VALUE"""),"VF")</f>
        <v>VF</v>
      </c>
      <c r="F1357" s="2">
        <f>IFERROR(__xludf.DUMMYFUNCTION("""COMPUTED_VALUE"""),3.0)</f>
        <v>3</v>
      </c>
      <c r="G1357" s="2" t="str">
        <f>IFERROR(__xludf.DUMMYFUNCTION("""COMPUTED_VALUE"""),"PR044")</f>
        <v>PR044</v>
      </c>
      <c r="H1357" s="2" t="str">
        <f>IFERROR(__xludf.DUMMYFUNCTION("""COMPUTED_VALUE"""),"VD042")</f>
        <v>VD042</v>
      </c>
      <c r="I1357" s="2">
        <f>IFERROR(__xludf.DUMMYFUNCTION("""COMPUTED_VALUE"""),8.0)</f>
        <v>8</v>
      </c>
      <c r="J1357" s="2">
        <f>IFERROR(__xludf.DUMMYFUNCTION("""COMPUTED_VALUE"""),626.4)</f>
        <v>626.4</v>
      </c>
      <c r="K1357" s="2">
        <f>IFERROR(__xludf.DUMMYFUNCTION("""COMPUTED_VALUE"""),626.4)</f>
        <v>626.4</v>
      </c>
    </row>
    <row r="1358">
      <c r="A1358" s="2">
        <f>IFERROR(__xludf.DUMMYFUNCTION("""COMPUTED_VALUE"""),1000.0)</f>
        <v>1000</v>
      </c>
      <c r="B1358" s="2">
        <f>IFERROR(__xludf.DUMMYFUNCTION("""COMPUTED_VALUE"""),184444.0)</f>
        <v>184444</v>
      </c>
      <c r="C1358" s="2">
        <f>IFERROR(__xludf.DUMMYFUNCTION("""COMPUTED_VALUE"""),2026.0)</f>
        <v>2026</v>
      </c>
      <c r="D1358" s="2">
        <f>IFERROR(__xludf.DUMMYFUNCTION("""COMPUTED_VALUE"""),46105.0)</f>
        <v>46105</v>
      </c>
      <c r="E1358" s="2" t="str">
        <f>IFERROR(__xludf.DUMMYFUNCTION("""COMPUTED_VALUE"""),"VF")</f>
        <v>VF</v>
      </c>
      <c r="F1358" s="2">
        <f>IFERROR(__xludf.DUMMYFUNCTION("""COMPUTED_VALUE"""),1.0)</f>
        <v>1</v>
      </c>
      <c r="G1358" s="2" t="str">
        <f>IFERROR(__xludf.DUMMYFUNCTION("""COMPUTED_VALUE"""),"PR007")</f>
        <v>PR007</v>
      </c>
      <c r="H1358" s="2" t="str">
        <f>IFERROR(__xludf.DUMMYFUNCTION("""COMPUTED_VALUE"""),"VD019")</f>
        <v>VD019</v>
      </c>
      <c r="I1358" s="2">
        <f>IFERROR(__xludf.DUMMYFUNCTION("""COMPUTED_VALUE"""),3.0)</f>
        <v>3</v>
      </c>
      <c r="J1358" s="2">
        <f>IFERROR(__xludf.DUMMYFUNCTION("""COMPUTED_VALUE"""),280.89)</f>
        <v>280.89</v>
      </c>
      <c r="K1358" s="2">
        <f>IFERROR(__xludf.DUMMYFUNCTION("""COMPUTED_VALUE"""),280.89)</f>
        <v>280.89</v>
      </c>
    </row>
    <row r="1359">
      <c r="A1359" s="2">
        <f>IFERROR(__xludf.DUMMYFUNCTION("""COMPUTED_VALUE"""),1000.0)</f>
        <v>1000</v>
      </c>
      <c r="B1359" s="2">
        <f>IFERROR(__xludf.DUMMYFUNCTION("""COMPUTED_VALUE"""),184445.0)</f>
        <v>184445</v>
      </c>
      <c r="C1359" s="2">
        <f>IFERROR(__xludf.DUMMYFUNCTION("""COMPUTED_VALUE"""),2026.0)</f>
        <v>2026</v>
      </c>
      <c r="D1359" s="2">
        <f>IFERROR(__xludf.DUMMYFUNCTION("""COMPUTED_VALUE"""),46105.0)</f>
        <v>46105</v>
      </c>
      <c r="E1359" s="2" t="str">
        <f>IFERROR(__xludf.DUMMYFUNCTION("""COMPUTED_VALUE"""),"VF")</f>
        <v>VF</v>
      </c>
      <c r="F1359" s="2">
        <f>IFERROR(__xludf.DUMMYFUNCTION("""COMPUTED_VALUE"""),1.0)</f>
        <v>1</v>
      </c>
      <c r="G1359" s="2" t="str">
        <f>IFERROR(__xludf.DUMMYFUNCTION("""COMPUTED_VALUE"""),"PR018")</f>
        <v>PR018</v>
      </c>
      <c r="H1359" s="2" t="str">
        <f>IFERROR(__xludf.DUMMYFUNCTION("""COMPUTED_VALUE"""),"VD029")</f>
        <v>VD029</v>
      </c>
      <c r="I1359" s="2">
        <f>IFERROR(__xludf.DUMMYFUNCTION("""COMPUTED_VALUE"""),20.0)</f>
        <v>20</v>
      </c>
      <c r="J1359" s="2">
        <f>IFERROR(__xludf.DUMMYFUNCTION("""COMPUTED_VALUE"""),717.22)</f>
        <v>717.22</v>
      </c>
      <c r="K1359" s="2">
        <f>IFERROR(__xludf.DUMMYFUNCTION("""COMPUTED_VALUE"""),717.22)</f>
        <v>717.22</v>
      </c>
    </row>
    <row r="1360">
      <c r="A1360" s="2">
        <f>IFERROR(__xludf.DUMMYFUNCTION("""COMPUTED_VALUE"""),1000.0)</f>
        <v>1000</v>
      </c>
      <c r="B1360" s="2">
        <f>IFERROR(__xludf.DUMMYFUNCTION("""COMPUTED_VALUE"""),184446.0)</f>
        <v>184446</v>
      </c>
      <c r="C1360" s="2">
        <f>IFERROR(__xludf.DUMMYFUNCTION("""COMPUTED_VALUE"""),2026.0)</f>
        <v>2026</v>
      </c>
      <c r="D1360" s="2">
        <f>IFERROR(__xludf.DUMMYFUNCTION("""COMPUTED_VALUE"""),46104.0)</f>
        <v>46104</v>
      </c>
      <c r="E1360" s="2" t="str">
        <f>IFERROR(__xludf.DUMMYFUNCTION("""COMPUTED_VALUE"""),"VF")</f>
        <v>VF</v>
      </c>
      <c r="F1360" s="2">
        <f>IFERROR(__xludf.DUMMYFUNCTION("""COMPUTED_VALUE"""),1.0)</f>
        <v>1</v>
      </c>
      <c r="G1360" s="2" t="str">
        <f>IFERROR(__xludf.DUMMYFUNCTION("""COMPUTED_VALUE"""),"PR017")</f>
        <v>PR017</v>
      </c>
      <c r="H1360" s="2" t="str">
        <f>IFERROR(__xludf.DUMMYFUNCTION("""COMPUTED_VALUE"""),"VD028")</f>
        <v>VD028</v>
      </c>
      <c r="I1360" s="2">
        <f>IFERROR(__xludf.DUMMYFUNCTION("""COMPUTED_VALUE"""),9.0)</f>
        <v>9</v>
      </c>
      <c r="J1360" s="2">
        <f>IFERROR(__xludf.DUMMYFUNCTION("""COMPUTED_VALUE"""),279.86)</f>
        <v>279.86</v>
      </c>
      <c r="K1360" s="2">
        <f>IFERROR(__xludf.DUMMYFUNCTION("""COMPUTED_VALUE"""),279.86)</f>
        <v>279.86</v>
      </c>
    </row>
    <row r="1361">
      <c r="A1361" s="2">
        <f>IFERROR(__xludf.DUMMYFUNCTION("""COMPUTED_VALUE"""),1000.0)</f>
        <v>1000</v>
      </c>
      <c r="B1361" s="2">
        <f>IFERROR(__xludf.DUMMYFUNCTION("""COMPUTED_VALUE"""),184447.0)</f>
        <v>184447</v>
      </c>
      <c r="C1361" s="2">
        <f>IFERROR(__xludf.DUMMYFUNCTION("""COMPUTED_VALUE"""),2026.0)</f>
        <v>2026</v>
      </c>
      <c r="D1361" s="2">
        <f>IFERROR(__xludf.DUMMYFUNCTION("""COMPUTED_VALUE"""),46104.0)</f>
        <v>46104</v>
      </c>
      <c r="E1361" s="2" t="str">
        <f>IFERROR(__xludf.DUMMYFUNCTION("""COMPUTED_VALUE"""),"VF")</f>
        <v>VF</v>
      </c>
      <c r="F1361" s="2">
        <f>IFERROR(__xludf.DUMMYFUNCTION("""COMPUTED_VALUE"""),1.0)</f>
        <v>1</v>
      </c>
      <c r="G1361" s="2" t="str">
        <f>IFERROR(__xludf.DUMMYFUNCTION("""COMPUTED_VALUE"""),"PR053")</f>
        <v>PR053</v>
      </c>
      <c r="H1361" s="2" t="str">
        <f>IFERROR(__xludf.DUMMYFUNCTION("""COMPUTED_VALUE"""),"VD014")</f>
        <v>VD014</v>
      </c>
      <c r="I1361" s="2">
        <f>IFERROR(__xludf.DUMMYFUNCTION("""COMPUTED_VALUE"""),8.0)</f>
        <v>8</v>
      </c>
      <c r="J1361" s="2">
        <f>IFERROR(__xludf.DUMMYFUNCTION("""COMPUTED_VALUE"""),419.16)</f>
        <v>419.16</v>
      </c>
      <c r="K1361" s="2">
        <f>IFERROR(__xludf.DUMMYFUNCTION("""COMPUTED_VALUE"""),419.16)</f>
        <v>419.16</v>
      </c>
    </row>
    <row r="1362">
      <c r="A1362" s="2">
        <f>IFERROR(__xludf.DUMMYFUNCTION("""COMPUTED_VALUE"""),2000.0)</f>
        <v>2000</v>
      </c>
      <c r="B1362" s="2">
        <f>IFERROR(__xludf.DUMMYFUNCTION("""COMPUTED_VALUE"""),184448.0)</f>
        <v>184448</v>
      </c>
      <c r="C1362" s="2">
        <f>IFERROR(__xludf.DUMMYFUNCTION("""COMPUTED_VALUE"""),2026.0)</f>
        <v>2026</v>
      </c>
      <c r="D1362" s="2">
        <f>IFERROR(__xludf.DUMMYFUNCTION("""COMPUTED_VALUE"""),46104.0)</f>
        <v>46104</v>
      </c>
      <c r="E1362" s="2" t="str">
        <f>IFERROR(__xludf.DUMMYFUNCTION("""COMPUTED_VALUE"""),"VF")</f>
        <v>VF</v>
      </c>
      <c r="F1362" s="2">
        <f>IFERROR(__xludf.DUMMYFUNCTION("""COMPUTED_VALUE"""),1.0)</f>
        <v>1</v>
      </c>
      <c r="G1362" s="2" t="str">
        <f>IFERROR(__xludf.DUMMYFUNCTION("""COMPUTED_VALUE"""),"PR059")</f>
        <v>PR059</v>
      </c>
      <c r="H1362" s="2" t="str">
        <f>IFERROR(__xludf.DUMMYFUNCTION("""COMPUTED_VALUE"""),"VD015")</f>
        <v>VD015</v>
      </c>
      <c r="I1362" s="2">
        <f>IFERROR(__xludf.DUMMYFUNCTION("""COMPUTED_VALUE"""),1.0)</f>
        <v>1</v>
      </c>
      <c r="J1362" s="2">
        <f>IFERROR(__xludf.DUMMYFUNCTION("""COMPUTED_VALUE"""),181.8)</f>
        <v>181.8</v>
      </c>
      <c r="K1362" s="2">
        <f>IFERROR(__xludf.DUMMYFUNCTION("""COMPUTED_VALUE"""),181.8)</f>
        <v>181.8</v>
      </c>
    </row>
    <row r="1363">
      <c r="A1363" s="2">
        <f>IFERROR(__xludf.DUMMYFUNCTION("""COMPUTED_VALUE"""),2000.0)</f>
        <v>2000</v>
      </c>
      <c r="B1363" s="2">
        <f>IFERROR(__xludf.DUMMYFUNCTION("""COMPUTED_VALUE"""),184449.0)</f>
        <v>184449</v>
      </c>
      <c r="C1363" s="2">
        <f>IFERROR(__xludf.DUMMYFUNCTION("""COMPUTED_VALUE"""),2026.0)</f>
        <v>2026</v>
      </c>
      <c r="D1363" s="2">
        <f>IFERROR(__xludf.DUMMYFUNCTION("""COMPUTED_VALUE"""),46103.0)</f>
        <v>46103</v>
      </c>
      <c r="E1363" s="2" t="str">
        <f>IFERROR(__xludf.DUMMYFUNCTION("""COMPUTED_VALUE"""),"VF")</f>
        <v>VF</v>
      </c>
      <c r="F1363" s="2">
        <f>IFERROR(__xludf.DUMMYFUNCTION("""COMPUTED_VALUE"""),1.0)</f>
        <v>1</v>
      </c>
      <c r="G1363" s="2" t="str">
        <f>IFERROR(__xludf.DUMMYFUNCTION("""COMPUTED_VALUE"""),"PR014")</f>
        <v>PR014</v>
      </c>
      <c r="H1363" s="2" t="str">
        <f>IFERROR(__xludf.DUMMYFUNCTION("""COMPUTED_VALUE"""),"VD018")</f>
        <v>VD018</v>
      </c>
      <c r="I1363" s="2">
        <f>IFERROR(__xludf.DUMMYFUNCTION("""COMPUTED_VALUE"""),16.0)</f>
        <v>16</v>
      </c>
      <c r="J1363" s="2">
        <f>IFERROR(__xludf.DUMMYFUNCTION("""COMPUTED_VALUE"""),651.17)</f>
        <v>651.17</v>
      </c>
      <c r="K1363" s="2">
        <f>IFERROR(__xludf.DUMMYFUNCTION("""COMPUTED_VALUE"""),651.17)</f>
        <v>651.17</v>
      </c>
    </row>
    <row r="1364">
      <c r="A1364" s="2">
        <f>IFERROR(__xludf.DUMMYFUNCTION("""COMPUTED_VALUE"""),1000.0)</f>
        <v>1000</v>
      </c>
      <c r="B1364" s="2">
        <f>IFERROR(__xludf.DUMMYFUNCTION("""COMPUTED_VALUE"""),184449.0)</f>
        <v>184449</v>
      </c>
      <c r="C1364" s="2">
        <f>IFERROR(__xludf.DUMMYFUNCTION("""COMPUTED_VALUE"""),2026.0)</f>
        <v>2026</v>
      </c>
      <c r="D1364" s="2">
        <f>IFERROR(__xludf.DUMMYFUNCTION("""COMPUTED_VALUE"""),46103.0)</f>
        <v>46103</v>
      </c>
      <c r="E1364" s="2" t="str">
        <f>IFERROR(__xludf.DUMMYFUNCTION("""COMPUTED_VALUE"""),"VF")</f>
        <v>VF</v>
      </c>
      <c r="F1364" s="2">
        <f>IFERROR(__xludf.DUMMYFUNCTION("""COMPUTED_VALUE"""),2.0)</f>
        <v>2</v>
      </c>
      <c r="G1364" s="2" t="str">
        <f>IFERROR(__xludf.DUMMYFUNCTION("""COMPUTED_VALUE"""),"PR022")</f>
        <v>PR022</v>
      </c>
      <c r="H1364" s="2" t="str">
        <f>IFERROR(__xludf.DUMMYFUNCTION("""COMPUTED_VALUE"""),"VD032")</f>
        <v>VD032</v>
      </c>
      <c r="I1364" s="2">
        <f>IFERROR(__xludf.DUMMYFUNCTION("""COMPUTED_VALUE"""),10.0)</f>
        <v>10</v>
      </c>
      <c r="J1364" s="2">
        <f>IFERROR(__xludf.DUMMYFUNCTION("""COMPUTED_VALUE"""),3150.0)</f>
        <v>3150</v>
      </c>
      <c r="K1364" s="2">
        <f>IFERROR(__xludf.DUMMYFUNCTION("""COMPUTED_VALUE"""),3150.0)</f>
        <v>3150</v>
      </c>
    </row>
    <row r="1365">
      <c r="A1365" s="2">
        <f>IFERROR(__xludf.DUMMYFUNCTION("""COMPUTED_VALUE"""),2000.0)</f>
        <v>2000</v>
      </c>
      <c r="B1365" s="2">
        <f>IFERROR(__xludf.DUMMYFUNCTION("""COMPUTED_VALUE"""),184450.0)</f>
        <v>184450</v>
      </c>
      <c r="C1365" s="2">
        <f>IFERROR(__xludf.DUMMYFUNCTION("""COMPUTED_VALUE"""),2026.0)</f>
        <v>2026</v>
      </c>
      <c r="D1365" s="2">
        <f>IFERROR(__xludf.DUMMYFUNCTION("""COMPUTED_VALUE"""),46102.0)</f>
        <v>46102</v>
      </c>
      <c r="E1365" s="2" t="str">
        <f>IFERROR(__xludf.DUMMYFUNCTION("""COMPUTED_VALUE"""),"VF")</f>
        <v>VF</v>
      </c>
      <c r="F1365" s="2">
        <f>IFERROR(__xludf.DUMMYFUNCTION("""COMPUTED_VALUE"""),1.0)</f>
        <v>1</v>
      </c>
      <c r="G1365" s="2" t="str">
        <f>IFERROR(__xludf.DUMMYFUNCTION("""COMPUTED_VALUE"""),"PR007")</f>
        <v>PR007</v>
      </c>
      <c r="H1365" s="2" t="str">
        <f>IFERROR(__xludf.DUMMYFUNCTION("""COMPUTED_VALUE"""),"VD028")</f>
        <v>VD028</v>
      </c>
      <c r="I1365" s="2">
        <f>IFERROR(__xludf.DUMMYFUNCTION("""COMPUTED_VALUE"""),10.0)</f>
        <v>10</v>
      </c>
      <c r="J1365" s="2">
        <f>IFERROR(__xludf.DUMMYFUNCTION("""COMPUTED_VALUE"""),859.0)</f>
        <v>859</v>
      </c>
      <c r="K1365" s="2">
        <f>IFERROR(__xludf.DUMMYFUNCTION("""COMPUTED_VALUE"""),859.0)</f>
        <v>859</v>
      </c>
    </row>
    <row r="1366">
      <c r="A1366" s="2">
        <f>IFERROR(__xludf.DUMMYFUNCTION("""COMPUTED_VALUE"""),1000.0)</f>
        <v>1000</v>
      </c>
      <c r="B1366" s="2">
        <f>IFERROR(__xludf.DUMMYFUNCTION("""COMPUTED_VALUE"""),184451.0)</f>
        <v>184451</v>
      </c>
      <c r="C1366" s="2">
        <f>IFERROR(__xludf.DUMMYFUNCTION("""COMPUTED_VALUE"""),2026.0)</f>
        <v>2026</v>
      </c>
      <c r="D1366" s="2">
        <f>IFERROR(__xludf.DUMMYFUNCTION("""COMPUTED_VALUE"""),46102.0)</f>
        <v>46102</v>
      </c>
      <c r="E1366" s="2" t="str">
        <f>IFERROR(__xludf.DUMMYFUNCTION("""COMPUTED_VALUE"""),"VF")</f>
        <v>VF</v>
      </c>
      <c r="F1366" s="2">
        <f>IFERROR(__xludf.DUMMYFUNCTION("""COMPUTED_VALUE"""),1.0)</f>
        <v>1</v>
      </c>
      <c r="G1366" s="2" t="str">
        <f>IFERROR(__xludf.DUMMYFUNCTION("""COMPUTED_VALUE"""),"PR035")</f>
        <v>PR035</v>
      </c>
      <c r="H1366" s="2" t="str">
        <f>IFERROR(__xludf.DUMMYFUNCTION("""COMPUTED_VALUE"""),"VD049")</f>
        <v>VD049</v>
      </c>
      <c r="I1366" s="2">
        <f>IFERROR(__xludf.DUMMYFUNCTION("""COMPUTED_VALUE"""),8.0)</f>
        <v>8</v>
      </c>
      <c r="J1366" s="2">
        <f>IFERROR(__xludf.DUMMYFUNCTION("""COMPUTED_VALUE"""),775.07)</f>
        <v>775.07</v>
      </c>
      <c r="K1366" s="2">
        <f>IFERROR(__xludf.DUMMYFUNCTION("""COMPUTED_VALUE"""),775.07)</f>
        <v>775.07</v>
      </c>
    </row>
    <row r="1367">
      <c r="A1367" s="2">
        <f>IFERROR(__xludf.DUMMYFUNCTION("""COMPUTED_VALUE"""),2000.0)</f>
        <v>2000</v>
      </c>
      <c r="B1367" s="2">
        <f>IFERROR(__xludf.DUMMYFUNCTION("""COMPUTED_VALUE"""),184452.0)</f>
        <v>184452</v>
      </c>
      <c r="C1367" s="2">
        <f>IFERROR(__xludf.DUMMYFUNCTION("""COMPUTED_VALUE"""),2026.0)</f>
        <v>2026</v>
      </c>
      <c r="D1367" s="2">
        <f>IFERROR(__xludf.DUMMYFUNCTION("""COMPUTED_VALUE"""),46101.0)</f>
        <v>46101</v>
      </c>
      <c r="E1367" s="2" t="str">
        <f>IFERROR(__xludf.DUMMYFUNCTION("""COMPUTED_VALUE"""),"VF")</f>
        <v>VF</v>
      </c>
      <c r="F1367" s="2">
        <f>IFERROR(__xludf.DUMMYFUNCTION("""COMPUTED_VALUE"""),1.0)</f>
        <v>1</v>
      </c>
      <c r="G1367" s="2" t="str">
        <f>IFERROR(__xludf.DUMMYFUNCTION("""COMPUTED_VALUE"""),"PR024")</f>
        <v>PR024</v>
      </c>
      <c r="H1367" s="2" t="str">
        <f>IFERROR(__xludf.DUMMYFUNCTION("""COMPUTED_VALUE"""),"VD037")</f>
        <v>VD037</v>
      </c>
      <c r="I1367" s="2">
        <f>IFERROR(__xludf.DUMMYFUNCTION("""COMPUTED_VALUE"""),5.0)</f>
        <v>5</v>
      </c>
      <c r="J1367" s="2">
        <f>IFERROR(__xludf.DUMMYFUNCTION("""COMPUTED_VALUE"""),1299.5)</f>
        <v>1299.5</v>
      </c>
      <c r="K1367" s="2">
        <f>IFERROR(__xludf.DUMMYFUNCTION("""COMPUTED_VALUE"""),1299.5)</f>
        <v>1299.5</v>
      </c>
    </row>
    <row r="1368">
      <c r="A1368" s="2">
        <f>IFERROR(__xludf.DUMMYFUNCTION("""COMPUTED_VALUE"""),1000.0)</f>
        <v>1000</v>
      </c>
      <c r="B1368" s="2">
        <f>IFERROR(__xludf.DUMMYFUNCTION("""COMPUTED_VALUE"""),184453.0)</f>
        <v>184453</v>
      </c>
      <c r="C1368" s="2">
        <f>IFERROR(__xludf.DUMMYFUNCTION("""COMPUTED_VALUE"""),2026.0)</f>
        <v>2026</v>
      </c>
      <c r="D1368" s="2">
        <f>IFERROR(__xludf.DUMMYFUNCTION("""COMPUTED_VALUE"""),46101.0)</f>
        <v>46101</v>
      </c>
      <c r="E1368" s="2" t="str">
        <f>IFERROR(__xludf.DUMMYFUNCTION("""COMPUTED_VALUE"""),"VF")</f>
        <v>VF</v>
      </c>
      <c r="F1368" s="2">
        <f>IFERROR(__xludf.DUMMYFUNCTION("""COMPUTED_VALUE"""),1.0)</f>
        <v>1</v>
      </c>
      <c r="G1368" s="2" t="str">
        <f>IFERROR(__xludf.DUMMYFUNCTION("""COMPUTED_VALUE"""),"PR057")</f>
        <v>PR057</v>
      </c>
      <c r="H1368" s="2" t="str">
        <f>IFERROR(__xludf.DUMMYFUNCTION("""COMPUTED_VALUE"""),"VD033")</f>
        <v>VD033</v>
      </c>
      <c r="I1368" s="2">
        <f>IFERROR(__xludf.DUMMYFUNCTION("""COMPUTED_VALUE"""),14.0)</f>
        <v>14</v>
      </c>
      <c r="J1368" s="2">
        <f>IFERROR(__xludf.DUMMYFUNCTION("""COMPUTED_VALUE"""),1296.36)</f>
        <v>1296.36</v>
      </c>
      <c r="K1368" s="2">
        <f>IFERROR(__xludf.DUMMYFUNCTION("""COMPUTED_VALUE"""),1296.36)</f>
        <v>1296.36</v>
      </c>
    </row>
    <row r="1369">
      <c r="A1369" s="2">
        <f>IFERROR(__xludf.DUMMYFUNCTION("""COMPUTED_VALUE"""),1000.0)</f>
        <v>1000</v>
      </c>
      <c r="B1369" s="2">
        <f>IFERROR(__xludf.DUMMYFUNCTION("""COMPUTED_VALUE"""),184453.0)</f>
        <v>184453</v>
      </c>
      <c r="C1369" s="2">
        <f>IFERROR(__xludf.DUMMYFUNCTION("""COMPUTED_VALUE"""),2026.0)</f>
        <v>2026</v>
      </c>
      <c r="D1369" s="2">
        <f>IFERROR(__xludf.DUMMYFUNCTION("""COMPUTED_VALUE"""),46100.0)</f>
        <v>46100</v>
      </c>
      <c r="E1369" s="2" t="str">
        <f>IFERROR(__xludf.DUMMYFUNCTION("""COMPUTED_VALUE"""),"VF")</f>
        <v>VF</v>
      </c>
      <c r="F1369" s="2">
        <f>IFERROR(__xludf.DUMMYFUNCTION("""COMPUTED_VALUE"""),2.0)</f>
        <v>2</v>
      </c>
      <c r="G1369" s="2" t="str">
        <f>IFERROR(__xludf.DUMMYFUNCTION("""COMPUTED_VALUE"""),"PR047")</f>
        <v>PR047</v>
      </c>
      <c r="H1369" s="2" t="str">
        <f>IFERROR(__xludf.DUMMYFUNCTION("""COMPUTED_VALUE"""),"VD037")</f>
        <v>VD037</v>
      </c>
      <c r="I1369" s="2">
        <f>IFERROR(__xludf.DUMMYFUNCTION("""COMPUTED_VALUE"""),3.0)</f>
        <v>3</v>
      </c>
      <c r="J1369" s="2">
        <f>IFERROR(__xludf.DUMMYFUNCTION("""COMPUTED_VALUE"""),913.19)</f>
        <v>913.19</v>
      </c>
      <c r="K1369" s="2">
        <f>IFERROR(__xludf.DUMMYFUNCTION("""COMPUTED_VALUE"""),913.19)</f>
        <v>913.19</v>
      </c>
    </row>
    <row r="1370">
      <c r="A1370" s="2">
        <f>IFERROR(__xludf.DUMMYFUNCTION("""COMPUTED_VALUE"""),1000.0)</f>
        <v>1000</v>
      </c>
      <c r="B1370" s="2">
        <f>IFERROR(__xludf.DUMMYFUNCTION("""COMPUTED_VALUE"""),184453.0)</f>
        <v>184453</v>
      </c>
      <c r="C1370" s="2">
        <f>IFERROR(__xludf.DUMMYFUNCTION("""COMPUTED_VALUE"""),2026.0)</f>
        <v>2026</v>
      </c>
      <c r="D1370" s="2">
        <f>IFERROR(__xludf.DUMMYFUNCTION("""COMPUTED_VALUE"""),46100.0)</f>
        <v>46100</v>
      </c>
      <c r="E1370" s="2" t="str">
        <f>IFERROR(__xludf.DUMMYFUNCTION("""COMPUTED_VALUE"""),"VF")</f>
        <v>VF</v>
      </c>
      <c r="F1370" s="2">
        <f>IFERROR(__xludf.DUMMYFUNCTION("""COMPUTED_VALUE"""),3.0)</f>
        <v>3</v>
      </c>
      <c r="G1370" s="2" t="str">
        <f>IFERROR(__xludf.DUMMYFUNCTION("""COMPUTED_VALUE"""),"PR035")</f>
        <v>PR035</v>
      </c>
      <c r="H1370" s="2" t="str">
        <f>IFERROR(__xludf.DUMMYFUNCTION("""COMPUTED_VALUE"""),"VD042")</f>
        <v>VD042</v>
      </c>
      <c r="I1370" s="2">
        <f>IFERROR(__xludf.DUMMYFUNCTION("""COMPUTED_VALUE"""),20.0)</f>
        <v>20</v>
      </c>
      <c r="J1370" s="2">
        <f>IFERROR(__xludf.DUMMYFUNCTION("""COMPUTED_VALUE"""),1937.68)</f>
        <v>1937.68</v>
      </c>
      <c r="K1370" s="2">
        <f>IFERROR(__xludf.DUMMYFUNCTION("""COMPUTED_VALUE"""),1937.68)</f>
        <v>1937.68</v>
      </c>
    </row>
    <row r="1371">
      <c r="A1371" s="2">
        <f>IFERROR(__xludf.DUMMYFUNCTION("""COMPUTED_VALUE"""),1000.0)</f>
        <v>1000</v>
      </c>
      <c r="B1371" s="2">
        <f>IFERROR(__xludf.DUMMYFUNCTION("""COMPUTED_VALUE"""),184453.0)</f>
        <v>184453</v>
      </c>
      <c r="C1371" s="2">
        <f>IFERROR(__xludf.DUMMYFUNCTION("""COMPUTED_VALUE"""),2026.0)</f>
        <v>2026</v>
      </c>
      <c r="D1371" s="2">
        <f>IFERROR(__xludf.DUMMYFUNCTION("""COMPUTED_VALUE"""),46100.0)</f>
        <v>46100</v>
      </c>
      <c r="E1371" s="2" t="str">
        <f>IFERROR(__xludf.DUMMYFUNCTION("""COMPUTED_VALUE"""),"VF")</f>
        <v>VF</v>
      </c>
      <c r="F1371" s="2">
        <f>IFERROR(__xludf.DUMMYFUNCTION("""COMPUTED_VALUE"""),4.0)</f>
        <v>4</v>
      </c>
      <c r="G1371" s="2" t="str">
        <f>IFERROR(__xludf.DUMMYFUNCTION("""COMPUTED_VALUE"""),"PR007")</f>
        <v>PR007</v>
      </c>
      <c r="H1371" s="2" t="str">
        <f>IFERROR(__xludf.DUMMYFUNCTION("""COMPUTED_VALUE"""),"VD026")</f>
        <v>VD026</v>
      </c>
      <c r="I1371" s="2">
        <f>IFERROR(__xludf.DUMMYFUNCTION("""COMPUTED_VALUE"""),3.0)</f>
        <v>3</v>
      </c>
      <c r="J1371" s="2">
        <f>IFERROR(__xludf.DUMMYFUNCTION("""COMPUTED_VALUE"""),270.59)</f>
        <v>270.59</v>
      </c>
      <c r="K1371" s="2">
        <f>IFERROR(__xludf.DUMMYFUNCTION("""COMPUTED_VALUE"""),270.59)</f>
        <v>270.59</v>
      </c>
    </row>
    <row r="1372">
      <c r="A1372" s="2">
        <f>IFERROR(__xludf.DUMMYFUNCTION("""COMPUTED_VALUE"""),1000.0)</f>
        <v>1000</v>
      </c>
      <c r="B1372" s="2">
        <f>IFERROR(__xludf.DUMMYFUNCTION("""COMPUTED_VALUE"""),184454.0)</f>
        <v>184454</v>
      </c>
      <c r="C1372" s="2">
        <f>IFERROR(__xludf.DUMMYFUNCTION("""COMPUTED_VALUE"""),2026.0)</f>
        <v>2026</v>
      </c>
      <c r="D1372" s="2">
        <f>IFERROR(__xludf.DUMMYFUNCTION("""COMPUTED_VALUE"""),46100.0)</f>
        <v>46100</v>
      </c>
      <c r="E1372" s="2" t="str">
        <f>IFERROR(__xludf.DUMMYFUNCTION("""COMPUTED_VALUE"""),"VF")</f>
        <v>VF</v>
      </c>
      <c r="F1372" s="2">
        <f>IFERROR(__xludf.DUMMYFUNCTION("""COMPUTED_VALUE"""),1.0)</f>
        <v>1</v>
      </c>
      <c r="G1372" s="2" t="str">
        <f>IFERROR(__xludf.DUMMYFUNCTION("""COMPUTED_VALUE"""),"PR002")</f>
        <v>PR002</v>
      </c>
      <c r="H1372" s="2" t="str">
        <f>IFERROR(__xludf.DUMMYFUNCTION("""COMPUTED_VALUE"""),"VD013")</f>
        <v>VD013</v>
      </c>
      <c r="I1372" s="2">
        <f>IFERROR(__xludf.DUMMYFUNCTION("""COMPUTED_VALUE"""),5.0)</f>
        <v>5</v>
      </c>
      <c r="J1372" s="2">
        <f>IFERROR(__xludf.DUMMYFUNCTION("""COMPUTED_VALUE"""),373.97)</f>
        <v>373.97</v>
      </c>
      <c r="K1372" s="2">
        <f>IFERROR(__xludf.DUMMYFUNCTION("""COMPUTED_VALUE"""),373.97)</f>
        <v>373.97</v>
      </c>
    </row>
    <row r="1373">
      <c r="A1373" s="2">
        <f>IFERROR(__xludf.DUMMYFUNCTION("""COMPUTED_VALUE"""),1000.0)</f>
        <v>1000</v>
      </c>
      <c r="B1373" s="2">
        <f>IFERROR(__xludf.DUMMYFUNCTION("""COMPUTED_VALUE"""),184455.0)</f>
        <v>184455</v>
      </c>
      <c r="C1373" s="2">
        <f>IFERROR(__xludf.DUMMYFUNCTION("""COMPUTED_VALUE"""),2026.0)</f>
        <v>2026</v>
      </c>
      <c r="D1373" s="2">
        <f>IFERROR(__xludf.DUMMYFUNCTION("""COMPUTED_VALUE"""),46100.0)</f>
        <v>46100</v>
      </c>
      <c r="E1373" s="2" t="str">
        <f>IFERROR(__xludf.DUMMYFUNCTION("""COMPUTED_VALUE"""),"VF")</f>
        <v>VF</v>
      </c>
      <c r="F1373" s="2">
        <f>IFERROR(__xludf.DUMMYFUNCTION("""COMPUTED_VALUE"""),1.0)</f>
        <v>1</v>
      </c>
      <c r="G1373" s="2" t="str">
        <f>IFERROR(__xludf.DUMMYFUNCTION("""COMPUTED_VALUE"""),"PR035")</f>
        <v>PR035</v>
      </c>
      <c r="H1373" s="2" t="str">
        <f>IFERROR(__xludf.DUMMYFUNCTION("""COMPUTED_VALUE"""),"VD036")</f>
        <v>VD036</v>
      </c>
      <c r="I1373" s="2">
        <f>IFERROR(__xludf.DUMMYFUNCTION("""COMPUTED_VALUE"""),2.0)</f>
        <v>2</v>
      </c>
      <c r="J1373" s="2">
        <f>IFERROR(__xludf.DUMMYFUNCTION("""COMPUTED_VALUE"""),184.63)</f>
        <v>184.63</v>
      </c>
      <c r="K1373" s="2">
        <f>IFERROR(__xludf.DUMMYFUNCTION("""COMPUTED_VALUE"""),184.63)</f>
        <v>184.63</v>
      </c>
    </row>
    <row r="1374">
      <c r="A1374" s="2">
        <f>IFERROR(__xludf.DUMMYFUNCTION("""COMPUTED_VALUE"""),1000.0)</f>
        <v>1000</v>
      </c>
      <c r="B1374" s="2">
        <f>IFERROR(__xludf.DUMMYFUNCTION("""COMPUTED_VALUE"""),184456.0)</f>
        <v>184456</v>
      </c>
      <c r="C1374" s="2">
        <f>IFERROR(__xludf.DUMMYFUNCTION("""COMPUTED_VALUE"""),2026.0)</f>
        <v>2026</v>
      </c>
      <c r="D1374" s="2">
        <f>IFERROR(__xludf.DUMMYFUNCTION("""COMPUTED_VALUE"""),46100.0)</f>
        <v>46100</v>
      </c>
      <c r="E1374" s="2" t="str">
        <f>IFERROR(__xludf.DUMMYFUNCTION("""COMPUTED_VALUE"""),"VF")</f>
        <v>VF</v>
      </c>
      <c r="F1374" s="2">
        <f>IFERROR(__xludf.DUMMYFUNCTION("""COMPUTED_VALUE"""),1.0)</f>
        <v>1</v>
      </c>
      <c r="G1374" s="2" t="str">
        <f>IFERROR(__xludf.DUMMYFUNCTION("""COMPUTED_VALUE"""),"PR049")</f>
        <v>PR049</v>
      </c>
      <c r="H1374" s="2" t="str">
        <f>IFERROR(__xludf.DUMMYFUNCTION("""COMPUTED_VALUE"""),"VD026")</f>
        <v>VD026</v>
      </c>
      <c r="I1374" s="2">
        <f>IFERROR(__xludf.DUMMYFUNCTION("""COMPUTED_VALUE"""),10.0)</f>
        <v>10</v>
      </c>
      <c r="J1374" s="2">
        <f>IFERROR(__xludf.DUMMYFUNCTION("""COMPUTED_VALUE"""),348.74)</f>
        <v>348.74</v>
      </c>
      <c r="K1374" s="2">
        <f>IFERROR(__xludf.DUMMYFUNCTION("""COMPUTED_VALUE"""),348.74)</f>
        <v>348.74</v>
      </c>
    </row>
    <row r="1375">
      <c r="A1375" s="2">
        <f>IFERROR(__xludf.DUMMYFUNCTION("""COMPUTED_VALUE"""),1000.0)</f>
        <v>1000</v>
      </c>
      <c r="B1375" s="2">
        <f>IFERROR(__xludf.DUMMYFUNCTION("""COMPUTED_VALUE"""),184457.0)</f>
        <v>184457</v>
      </c>
      <c r="C1375" s="2">
        <f>IFERROR(__xludf.DUMMYFUNCTION("""COMPUTED_VALUE"""),2026.0)</f>
        <v>2026</v>
      </c>
      <c r="D1375" s="2">
        <f>IFERROR(__xludf.DUMMYFUNCTION("""COMPUTED_VALUE"""),46100.0)</f>
        <v>46100</v>
      </c>
      <c r="E1375" s="2" t="str">
        <f>IFERROR(__xludf.DUMMYFUNCTION("""COMPUTED_VALUE"""),"VF")</f>
        <v>VF</v>
      </c>
      <c r="F1375" s="2">
        <f>IFERROR(__xludf.DUMMYFUNCTION("""COMPUTED_VALUE"""),1.0)</f>
        <v>1</v>
      </c>
      <c r="G1375" s="2" t="str">
        <f>IFERROR(__xludf.DUMMYFUNCTION("""COMPUTED_VALUE"""),"PR048")</f>
        <v>PR048</v>
      </c>
      <c r="H1375" s="2" t="str">
        <f>IFERROR(__xludf.DUMMYFUNCTION("""COMPUTED_VALUE"""),"VD019")</f>
        <v>VD019</v>
      </c>
      <c r="I1375" s="2">
        <f>IFERROR(__xludf.DUMMYFUNCTION("""COMPUTED_VALUE"""),14.0)</f>
        <v>14</v>
      </c>
      <c r="J1375" s="2">
        <f>IFERROR(__xludf.DUMMYFUNCTION("""COMPUTED_VALUE"""),4139.77)</f>
        <v>4139.77</v>
      </c>
      <c r="K1375" s="2">
        <f>IFERROR(__xludf.DUMMYFUNCTION("""COMPUTED_VALUE"""),4139.77)</f>
        <v>4139.77</v>
      </c>
    </row>
    <row r="1376">
      <c r="A1376" s="2">
        <f>IFERROR(__xludf.DUMMYFUNCTION("""COMPUTED_VALUE"""),2000.0)</f>
        <v>2000</v>
      </c>
      <c r="B1376" s="2">
        <f>IFERROR(__xludf.DUMMYFUNCTION("""COMPUTED_VALUE"""),184458.0)</f>
        <v>184458</v>
      </c>
      <c r="C1376" s="2">
        <f>IFERROR(__xludf.DUMMYFUNCTION("""COMPUTED_VALUE"""),2026.0)</f>
        <v>2026</v>
      </c>
      <c r="D1376" s="2">
        <f>IFERROR(__xludf.DUMMYFUNCTION("""COMPUTED_VALUE"""),46100.0)</f>
        <v>46100</v>
      </c>
      <c r="E1376" s="2" t="str">
        <f>IFERROR(__xludf.DUMMYFUNCTION("""COMPUTED_VALUE"""),"VF")</f>
        <v>VF</v>
      </c>
      <c r="F1376" s="2">
        <f>IFERROR(__xludf.DUMMYFUNCTION("""COMPUTED_VALUE"""),1.0)</f>
        <v>1</v>
      </c>
      <c r="G1376" s="2" t="str">
        <f>IFERROR(__xludf.DUMMYFUNCTION("""COMPUTED_VALUE"""),"PR058")</f>
        <v>PR058</v>
      </c>
      <c r="H1376" s="2" t="str">
        <f>IFERROR(__xludf.DUMMYFUNCTION("""COMPUTED_VALUE"""),"VD029")</f>
        <v>VD029</v>
      </c>
      <c r="I1376" s="2">
        <f>IFERROR(__xludf.DUMMYFUNCTION("""COMPUTED_VALUE"""),5.0)</f>
        <v>5</v>
      </c>
      <c r="J1376" s="2">
        <f>IFERROR(__xludf.DUMMYFUNCTION("""COMPUTED_VALUE"""),918.0)</f>
        <v>918</v>
      </c>
      <c r="K1376" s="2">
        <f>IFERROR(__xludf.DUMMYFUNCTION("""COMPUTED_VALUE"""),918.0)</f>
        <v>918</v>
      </c>
    </row>
    <row r="1377">
      <c r="A1377" s="2">
        <f>IFERROR(__xludf.DUMMYFUNCTION("""COMPUTED_VALUE"""),1000.0)</f>
        <v>1000</v>
      </c>
      <c r="B1377" s="2">
        <f>IFERROR(__xludf.DUMMYFUNCTION("""COMPUTED_VALUE"""),184459.0)</f>
        <v>184459</v>
      </c>
      <c r="C1377" s="2">
        <f>IFERROR(__xludf.DUMMYFUNCTION("""COMPUTED_VALUE"""),2026.0)</f>
        <v>2026</v>
      </c>
      <c r="D1377" s="2">
        <f>IFERROR(__xludf.DUMMYFUNCTION("""COMPUTED_VALUE"""),46100.0)</f>
        <v>46100</v>
      </c>
      <c r="E1377" s="2" t="str">
        <f>IFERROR(__xludf.DUMMYFUNCTION("""COMPUTED_VALUE"""),"VF")</f>
        <v>VF</v>
      </c>
      <c r="F1377" s="2">
        <f>IFERROR(__xludf.DUMMYFUNCTION("""COMPUTED_VALUE"""),1.0)</f>
        <v>1</v>
      </c>
      <c r="G1377" s="2" t="str">
        <f>IFERROR(__xludf.DUMMYFUNCTION("""COMPUTED_VALUE"""),"PR032")</f>
        <v>PR032</v>
      </c>
      <c r="H1377" s="2" t="str">
        <f>IFERROR(__xludf.DUMMYFUNCTION("""COMPUTED_VALUE"""),"VD038")</f>
        <v>VD038</v>
      </c>
      <c r="I1377" s="2">
        <f>IFERROR(__xludf.DUMMYFUNCTION("""COMPUTED_VALUE"""),8.0)</f>
        <v>8</v>
      </c>
      <c r="J1377" s="2">
        <f>IFERROR(__xludf.DUMMYFUNCTION("""COMPUTED_VALUE"""),2080.0)</f>
        <v>2080</v>
      </c>
      <c r="K1377" s="2">
        <f>IFERROR(__xludf.DUMMYFUNCTION("""COMPUTED_VALUE"""),2080.0)</f>
        <v>2080</v>
      </c>
    </row>
    <row r="1378">
      <c r="A1378" s="2">
        <f>IFERROR(__xludf.DUMMYFUNCTION("""COMPUTED_VALUE"""),1000.0)</f>
        <v>1000</v>
      </c>
      <c r="B1378" s="2">
        <f>IFERROR(__xludf.DUMMYFUNCTION("""COMPUTED_VALUE"""),184459.0)</f>
        <v>184459</v>
      </c>
      <c r="C1378" s="2">
        <f>IFERROR(__xludf.DUMMYFUNCTION("""COMPUTED_VALUE"""),2026.0)</f>
        <v>2026</v>
      </c>
      <c r="D1378" s="2">
        <f>IFERROR(__xludf.DUMMYFUNCTION("""COMPUTED_VALUE"""),46100.0)</f>
        <v>46100</v>
      </c>
      <c r="E1378" s="2" t="str">
        <f>IFERROR(__xludf.DUMMYFUNCTION("""COMPUTED_VALUE"""),"VF")</f>
        <v>VF</v>
      </c>
      <c r="F1378" s="2">
        <f>IFERROR(__xludf.DUMMYFUNCTION("""COMPUTED_VALUE"""),2.0)</f>
        <v>2</v>
      </c>
      <c r="G1378" s="2" t="str">
        <f>IFERROR(__xludf.DUMMYFUNCTION("""COMPUTED_VALUE"""),"PR009")</f>
        <v>PR009</v>
      </c>
      <c r="H1378" s="2" t="str">
        <f>IFERROR(__xludf.DUMMYFUNCTION("""COMPUTED_VALUE"""),"VD032")</f>
        <v>VD032</v>
      </c>
      <c r="I1378" s="2">
        <f>IFERROR(__xludf.DUMMYFUNCTION("""COMPUTED_VALUE"""),20.0)</f>
        <v>20</v>
      </c>
      <c r="J1378" s="2">
        <f>IFERROR(__xludf.DUMMYFUNCTION("""COMPUTED_VALUE"""),1969.48)</f>
        <v>1969.48</v>
      </c>
      <c r="K1378" s="2">
        <f>IFERROR(__xludf.DUMMYFUNCTION("""COMPUTED_VALUE"""),1969.48)</f>
        <v>1969.48</v>
      </c>
    </row>
    <row r="1379">
      <c r="A1379" s="2">
        <f>IFERROR(__xludf.DUMMYFUNCTION("""COMPUTED_VALUE"""),1000.0)</f>
        <v>1000</v>
      </c>
      <c r="B1379" s="2">
        <f>IFERROR(__xludf.DUMMYFUNCTION("""COMPUTED_VALUE"""),184460.0)</f>
        <v>184460</v>
      </c>
      <c r="C1379" s="2">
        <f>IFERROR(__xludf.DUMMYFUNCTION("""COMPUTED_VALUE"""),2026.0)</f>
        <v>2026</v>
      </c>
      <c r="D1379" s="2">
        <f>IFERROR(__xludf.DUMMYFUNCTION("""COMPUTED_VALUE"""),46100.0)</f>
        <v>46100</v>
      </c>
      <c r="E1379" s="2" t="str">
        <f>IFERROR(__xludf.DUMMYFUNCTION("""COMPUTED_VALUE"""),"VF")</f>
        <v>VF</v>
      </c>
      <c r="F1379" s="2">
        <f>IFERROR(__xludf.DUMMYFUNCTION("""COMPUTED_VALUE"""),1.0)</f>
        <v>1</v>
      </c>
      <c r="G1379" s="2" t="str">
        <f>IFERROR(__xludf.DUMMYFUNCTION("""COMPUTED_VALUE"""),"PR060")</f>
        <v>PR060</v>
      </c>
      <c r="H1379" s="2" t="str">
        <f>IFERROR(__xludf.DUMMYFUNCTION("""COMPUTED_VALUE"""),"VD032")</f>
        <v>VD032</v>
      </c>
      <c r="I1379" s="2">
        <f>IFERROR(__xludf.DUMMYFUNCTION("""COMPUTED_VALUE"""),5.0)</f>
        <v>5</v>
      </c>
      <c r="J1379" s="2">
        <f>IFERROR(__xludf.DUMMYFUNCTION("""COMPUTED_VALUE"""),927.0)</f>
        <v>927</v>
      </c>
      <c r="K1379" s="2">
        <f>IFERROR(__xludf.DUMMYFUNCTION("""COMPUTED_VALUE"""),927.0)</f>
        <v>927</v>
      </c>
    </row>
    <row r="1380">
      <c r="A1380" s="2">
        <f>IFERROR(__xludf.DUMMYFUNCTION("""COMPUTED_VALUE"""),2000.0)</f>
        <v>2000</v>
      </c>
      <c r="B1380" s="2">
        <f>IFERROR(__xludf.DUMMYFUNCTION("""COMPUTED_VALUE"""),184460.0)</f>
        <v>184460</v>
      </c>
      <c r="C1380" s="2">
        <f>IFERROR(__xludf.DUMMYFUNCTION("""COMPUTED_VALUE"""),2026.0)</f>
        <v>2026</v>
      </c>
      <c r="D1380" s="2">
        <f>IFERROR(__xludf.DUMMYFUNCTION("""COMPUTED_VALUE"""),46100.0)</f>
        <v>46100</v>
      </c>
      <c r="E1380" s="2" t="str">
        <f>IFERROR(__xludf.DUMMYFUNCTION("""COMPUTED_VALUE"""),"VF")</f>
        <v>VF</v>
      </c>
      <c r="F1380" s="2">
        <f>IFERROR(__xludf.DUMMYFUNCTION("""COMPUTED_VALUE"""),2.0)</f>
        <v>2</v>
      </c>
      <c r="G1380" s="2" t="str">
        <f>IFERROR(__xludf.DUMMYFUNCTION("""COMPUTED_VALUE"""),"PR026")</f>
        <v>PR026</v>
      </c>
      <c r="H1380" s="2" t="str">
        <f>IFERROR(__xludf.DUMMYFUNCTION("""COMPUTED_VALUE"""),"VD026")</f>
        <v>VD026</v>
      </c>
      <c r="I1380" s="2">
        <f>IFERROR(__xludf.DUMMYFUNCTION("""COMPUTED_VALUE"""),14.0)</f>
        <v>14</v>
      </c>
      <c r="J1380" s="2">
        <f>IFERROR(__xludf.DUMMYFUNCTION("""COMPUTED_VALUE"""),5290.49)</f>
        <v>5290.49</v>
      </c>
      <c r="K1380" s="2">
        <f>IFERROR(__xludf.DUMMYFUNCTION("""COMPUTED_VALUE"""),5290.49)</f>
        <v>5290.49</v>
      </c>
    </row>
    <row r="1381">
      <c r="A1381" s="2">
        <f>IFERROR(__xludf.DUMMYFUNCTION("""COMPUTED_VALUE"""),1000.0)</f>
        <v>1000</v>
      </c>
      <c r="B1381" s="2">
        <f>IFERROR(__xludf.DUMMYFUNCTION("""COMPUTED_VALUE"""),184461.0)</f>
        <v>184461</v>
      </c>
      <c r="C1381" s="2">
        <f>IFERROR(__xludf.DUMMYFUNCTION("""COMPUTED_VALUE"""),2026.0)</f>
        <v>2026</v>
      </c>
      <c r="D1381" s="2">
        <f>IFERROR(__xludf.DUMMYFUNCTION("""COMPUTED_VALUE"""),46099.0)</f>
        <v>46099</v>
      </c>
      <c r="E1381" s="2" t="str">
        <f>IFERROR(__xludf.DUMMYFUNCTION("""COMPUTED_VALUE"""),"VF")</f>
        <v>VF</v>
      </c>
      <c r="F1381" s="2">
        <f>IFERROR(__xludf.DUMMYFUNCTION("""COMPUTED_VALUE"""),1.0)</f>
        <v>1</v>
      </c>
      <c r="G1381" s="2" t="str">
        <f>IFERROR(__xludf.DUMMYFUNCTION("""COMPUTED_VALUE"""),"PR012")</f>
        <v>PR012</v>
      </c>
      <c r="H1381" s="2" t="str">
        <f>IFERROR(__xludf.DUMMYFUNCTION("""COMPUTED_VALUE"""),"VD035")</f>
        <v>VD035</v>
      </c>
      <c r="I1381" s="2">
        <f>IFERROR(__xludf.DUMMYFUNCTION("""COMPUTED_VALUE"""),16.0)</f>
        <v>16</v>
      </c>
      <c r="J1381" s="2">
        <f>IFERROR(__xludf.DUMMYFUNCTION("""COMPUTED_VALUE"""),852.82)</f>
        <v>852.82</v>
      </c>
      <c r="K1381" s="2">
        <f>IFERROR(__xludf.DUMMYFUNCTION("""COMPUTED_VALUE"""),852.82)</f>
        <v>852.82</v>
      </c>
    </row>
    <row r="1382">
      <c r="A1382" s="2">
        <f>IFERROR(__xludf.DUMMYFUNCTION("""COMPUTED_VALUE"""),1000.0)</f>
        <v>1000</v>
      </c>
      <c r="B1382" s="2">
        <f>IFERROR(__xludf.DUMMYFUNCTION("""COMPUTED_VALUE"""),184461.0)</f>
        <v>184461</v>
      </c>
      <c r="C1382" s="2">
        <f>IFERROR(__xludf.DUMMYFUNCTION("""COMPUTED_VALUE"""),2026.0)</f>
        <v>2026</v>
      </c>
      <c r="D1382" s="2">
        <f>IFERROR(__xludf.DUMMYFUNCTION("""COMPUTED_VALUE"""),46099.0)</f>
        <v>46099</v>
      </c>
      <c r="E1382" s="2" t="str">
        <f>IFERROR(__xludf.DUMMYFUNCTION("""COMPUTED_VALUE"""),"VF")</f>
        <v>VF</v>
      </c>
      <c r="F1382" s="2">
        <f>IFERROR(__xludf.DUMMYFUNCTION("""COMPUTED_VALUE"""),2.0)</f>
        <v>2</v>
      </c>
      <c r="G1382" s="2" t="str">
        <f>IFERROR(__xludf.DUMMYFUNCTION("""COMPUTED_VALUE"""),"PR036")</f>
        <v>PR036</v>
      </c>
      <c r="H1382" s="2" t="str">
        <f>IFERROR(__xludf.DUMMYFUNCTION("""COMPUTED_VALUE"""),"VD046")</f>
        <v>VD046</v>
      </c>
      <c r="I1382" s="2">
        <f>IFERROR(__xludf.DUMMYFUNCTION("""COMPUTED_VALUE"""),5.0)</f>
        <v>5</v>
      </c>
      <c r="J1382" s="2">
        <f>IFERROR(__xludf.DUMMYFUNCTION("""COMPUTED_VALUE"""),514.25)</f>
        <v>514.25</v>
      </c>
      <c r="K1382" s="2">
        <f>IFERROR(__xludf.DUMMYFUNCTION("""COMPUTED_VALUE"""),514.25)</f>
        <v>514.25</v>
      </c>
    </row>
    <row r="1383">
      <c r="A1383" s="2">
        <f>IFERROR(__xludf.DUMMYFUNCTION("""COMPUTED_VALUE"""),1000.0)</f>
        <v>1000</v>
      </c>
      <c r="B1383" s="2">
        <f>IFERROR(__xludf.DUMMYFUNCTION("""COMPUTED_VALUE"""),184461.0)</f>
        <v>184461</v>
      </c>
      <c r="C1383" s="2">
        <f>IFERROR(__xludf.DUMMYFUNCTION("""COMPUTED_VALUE"""),2026.0)</f>
        <v>2026</v>
      </c>
      <c r="D1383" s="2">
        <f>IFERROR(__xludf.DUMMYFUNCTION("""COMPUTED_VALUE"""),46099.0)</f>
        <v>46099</v>
      </c>
      <c r="E1383" s="2" t="str">
        <f>IFERROR(__xludf.DUMMYFUNCTION("""COMPUTED_VALUE"""),"VF")</f>
        <v>VF</v>
      </c>
      <c r="F1383" s="2">
        <f>IFERROR(__xludf.DUMMYFUNCTION("""COMPUTED_VALUE"""),3.0)</f>
        <v>3</v>
      </c>
      <c r="G1383" s="2" t="str">
        <f>IFERROR(__xludf.DUMMYFUNCTION("""COMPUTED_VALUE"""),"PR022")</f>
        <v>PR022</v>
      </c>
      <c r="H1383" s="2" t="str">
        <f>IFERROR(__xludf.DUMMYFUNCTION("""COMPUTED_VALUE"""),"VD011")</f>
        <v>VD011</v>
      </c>
      <c r="I1383" s="2">
        <f>IFERROR(__xludf.DUMMYFUNCTION("""COMPUTED_VALUE"""),9.0)</f>
        <v>9</v>
      </c>
      <c r="J1383" s="2">
        <f>IFERROR(__xludf.DUMMYFUNCTION("""COMPUTED_VALUE"""),2835.0)</f>
        <v>2835</v>
      </c>
      <c r="K1383" s="2">
        <f>IFERROR(__xludf.DUMMYFUNCTION("""COMPUTED_VALUE"""),2835.0)</f>
        <v>2835</v>
      </c>
    </row>
    <row r="1384">
      <c r="A1384" s="2">
        <f>IFERROR(__xludf.DUMMYFUNCTION("""COMPUTED_VALUE"""),1000.0)</f>
        <v>1000</v>
      </c>
      <c r="B1384" s="2">
        <f>IFERROR(__xludf.DUMMYFUNCTION("""COMPUTED_VALUE"""),184462.0)</f>
        <v>184462</v>
      </c>
      <c r="C1384" s="2">
        <f>IFERROR(__xludf.DUMMYFUNCTION("""COMPUTED_VALUE"""),2026.0)</f>
        <v>2026</v>
      </c>
      <c r="D1384" s="2">
        <f>IFERROR(__xludf.DUMMYFUNCTION("""COMPUTED_VALUE"""),46099.0)</f>
        <v>46099</v>
      </c>
      <c r="E1384" s="2" t="str">
        <f>IFERROR(__xludf.DUMMYFUNCTION("""COMPUTED_VALUE"""),"VF")</f>
        <v>VF</v>
      </c>
      <c r="F1384" s="2">
        <f>IFERROR(__xludf.DUMMYFUNCTION("""COMPUTED_VALUE"""),1.0)</f>
        <v>1</v>
      </c>
      <c r="G1384" s="2" t="str">
        <f>IFERROR(__xludf.DUMMYFUNCTION("""COMPUTED_VALUE"""),"PR030")</f>
        <v>PR030</v>
      </c>
      <c r="H1384" s="2" t="str">
        <f>IFERROR(__xludf.DUMMYFUNCTION("""COMPUTED_VALUE"""),"VD023")</f>
        <v>VD023</v>
      </c>
      <c r="I1384" s="2">
        <f>IFERROR(__xludf.DUMMYFUNCTION("""COMPUTED_VALUE"""),8.0)</f>
        <v>8</v>
      </c>
      <c r="J1384" s="2">
        <f>IFERROR(__xludf.DUMMYFUNCTION("""COMPUTED_VALUE"""),2245.54)</f>
        <v>2245.54</v>
      </c>
      <c r="K1384" s="2">
        <f>IFERROR(__xludf.DUMMYFUNCTION("""COMPUTED_VALUE"""),2245.54)</f>
        <v>2245.54</v>
      </c>
    </row>
    <row r="1385">
      <c r="A1385" s="2">
        <f>IFERROR(__xludf.DUMMYFUNCTION("""COMPUTED_VALUE"""),1000.0)</f>
        <v>1000</v>
      </c>
      <c r="B1385" s="2">
        <f>IFERROR(__xludf.DUMMYFUNCTION("""COMPUTED_VALUE"""),184463.0)</f>
        <v>184463</v>
      </c>
      <c r="C1385" s="2">
        <f>IFERROR(__xludf.DUMMYFUNCTION("""COMPUTED_VALUE"""),2026.0)</f>
        <v>2026</v>
      </c>
      <c r="D1385" s="2">
        <f>IFERROR(__xludf.DUMMYFUNCTION("""COMPUTED_VALUE"""),46099.0)</f>
        <v>46099</v>
      </c>
      <c r="E1385" s="2" t="str">
        <f>IFERROR(__xludf.DUMMYFUNCTION("""COMPUTED_VALUE"""),"VF")</f>
        <v>VF</v>
      </c>
      <c r="F1385" s="2">
        <f>IFERROR(__xludf.DUMMYFUNCTION("""COMPUTED_VALUE"""),1.0)</f>
        <v>1</v>
      </c>
      <c r="G1385" s="2" t="str">
        <f>IFERROR(__xludf.DUMMYFUNCTION("""COMPUTED_VALUE"""),"PR019")</f>
        <v>PR019</v>
      </c>
      <c r="H1385" s="2" t="str">
        <f>IFERROR(__xludf.DUMMYFUNCTION("""COMPUTED_VALUE"""),"VD039")</f>
        <v>VD039</v>
      </c>
      <c r="I1385" s="2">
        <f>IFERROR(__xludf.DUMMYFUNCTION("""COMPUTED_VALUE"""),16.0)</f>
        <v>16</v>
      </c>
      <c r="J1385" s="2">
        <f>IFERROR(__xludf.DUMMYFUNCTION("""COMPUTED_VALUE"""),822.35)</f>
        <v>822.35</v>
      </c>
      <c r="K1385" s="2">
        <f>IFERROR(__xludf.DUMMYFUNCTION("""COMPUTED_VALUE"""),822.35)</f>
        <v>822.35</v>
      </c>
    </row>
    <row r="1386">
      <c r="A1386" s="2">
        <f>IFERROR(__xludf.DUMMYFUNCTION("""COMPUTED_VALUE"""),1000.0)</f>
        <v>1000</v>
      </c>
      <c r="B1386" s="2">
        <f>IFERROR(__xludf.DUMMYFUNCTION("""COMPUTED_VALUE"""),184464.0)</f>
        <v>184464</v>
      </c>
      <c r="C1386" s="2">
        <f>IFERROR(__xludf.DUMMYFUNCTION("""COMPUTED_VALUE"""),2026.0)</f>
        <v>2026</v>
      </c>
      <c r="D1386" s="2">
        <f>IFERROR(__xludf.DUMMYFUNCTION("""COMPUTED_VALUE"""),46099.0)</f>
        <v>46099</v>
      </c>
      <c r="E1386" s="2" t="str">
        <f>IFERROR(__xludf.DUMMYFUNCTION("""COMPUTED_VALUE"""),"VF")</f>
        <v>VF</v>
      </c>
      <c r="F1386" s="2">
        <f>IFERROR(__xludf.DUMMYFUNCTION("""COMPUTED_VALUE"""),1.0)</f>
        <v>1</v>
      </c>
      <c r="G1386" s="2" t="str">
        <f>IFERROR(__xludf.DUMMYFUNCTION("""COMPUTED_VALUE"""),"PR016")</f>
        <v>PR016</v>
      </c>
      <c r="H1386" s="2" t="str">
        <f>IFERROR(__xludf.DUMMYFUNCTION("""COMPUTED_VALUE"""),"VD018")</f>
        <v>VD018</v>
      </c>
      <c r="I1386" s="2">
        <f>IFERROR(__xludf.DUMMYFUNCTION("""COMPUTED_VALUE"""),9.0)</f>
        <v>9</v>
      </c>
      <c r="J1386" s="2">
        <f>IFERROR(__xludf.DUMMYFUNCTION("""COMPUTED_VALUE"""),244.76)</f>
        <v>244.76</v>
      </c>
      <c r="K1386" s="2">
        <f>IFERROR(__xludf.DUMMYFUNCTION("""COMPUTED_VALUE"""),244.76)</f>
        <v>244.76</v>
      </c>
    </row>
    <row r="1387">
      <c r="A1387" s="2">
        <f>IFERROR(__xludf.DUMMYFUNCTION("""COMPUTED_VALUE"""),1000.0)</f>
        <v>1000</v>
      </c>
      <c r="B1387" s="2">
        <f>IFERROR(__xludf.DUMMYFUNCTION("""COMPUTED_VALUE"""),184464.0)</f>
        <v>184464</v>
      </c>
      <c r="C1387" s="2">
        <f>IFERROR(__xludf.DUMMYFUNCTION("""COMPUTED_VALUE"""),2026.0)</f>
        <v>2026</v>
      </c>
      <c r="D1387" s="2">
        <f>IFERROR(__xludf.DUMMYFUNCTION("""COMPUTED_VALUE"""),46099.0)</f>
        <v>46099</v>
      </c>
      <c r="E1387" s="2" t="str">
        <f>IFERROR(__xludf.DUMMYFUNCTION("""COMPUTED_VALUE"""),"VF")</f>
        <v>VF</v>
      </c>
      <c r="F1387" s="2">
        <f>IFERROR(__xludf.DUMMYFUNCTION("""COMPUTED_VALUE"""),2.0)</f>
        <v>2</v>
      </c>
      <c r="G1387" s="2" t="str">
        <f>IFERROR(__xludf.DUMMYFUNCTION("""COMPUTED_VALUE"""),"PR014")</f>
        <v>PR014</v>
      </c>
      <c r="H1387" s="2" t="str">
        <f>IFERROR(__xludf.DUMMYFUNCTION("""COMPUTED_VALUE"""),"VD027")</f>
        <v>VD027</v>
      </c>
      <c r="I1387" s="2">
        <f>IFERROR(__xludf.DUMMYFUNCTION("""COMPUTED_VALUE"""),10.0)</f>
        <v>10</v>
      </c>
      <c r="J1387" s="2">
        <f>IFERROR(__xludf.DUMMYFUNCTION("""COMPUTED_VALUE"""),410.97)</f>
        <v>410.97</v>
      </c>
      <c r="K1387" s="2">
        <f>IFERROR(__xludf.DUMMYFUNCTION("""COMPUTED_VALUE"""),410.97)</f>
        <v>410.97</v>
      </c>
    </row>
    <row r="1388">
      <c r="A1388" s="2">
        <f>IFERROR(__xludf.DUMMYFUNCTION("""COMPUTED_VALUE"""),1000.0)</f>
        <v>1000</v>
      </c>
      <c r="B1388" s="2">
        <f>IFERROR(__xludf.DUMMYFUNCTION("""COMPUTED_VALUE"""),184465.0)</f>
        <v>184465</v>
      </c>
      <c r="C1388" s="2">
        <f>IFERROR(__xludf.DUMMYFUNCTION("""COMPUTED_VALUE"""),2026.0)</f>
        <v>2026</v>
      </c>
      <c r="D1388" s="2">
        <f>IFERROR(__xludf.DUMMYFUNCTION("""COMPUTED_VALUE"""),46099.0)</f>
        <v>46099</v>
      </c>
      <c r="E1388" s="2" t="str">
        <f>IFERROR(__xludf.DUMMYFUNCTION("""COMPUTED_VALUE"""),"VF")</f>
        <v>VF</v>
      </c>
      <c r="F1388" s="2">
        <f>IFERROR(__xludf.DUMMYFUNCTION("""COMPUTED_VALUE"""),1.0)</f>
        <v>1</v>
      </c>
      <c r="G1388" s="2" t="str">
        <f>IFERROR(__xludf.DUMMYFUNCTION("""COMPUTED_VALUE"""),"PR044")</f>
        <v>PR044</v>
      </c>
      <c r="H1388" s="2" t="str">
        <f>IFERROR(__xludf.DUMMYFUNCTION("""COMPUTED_VALUE"""),"VD025")</f>
        <v>VD025</v>
      </c>
      <c r="I1388" s="2">
        <f>IFERROR(__xludf.DUMMYFUNCTION("""COMPUTED_VALUE"""),14.0)</f>
        <v>14</v>
      </c>
      <c r="J1388" s="2">
        <f>IFERROR(__xludf.DUMMYFUNCTION("""COMPUTED_VALUE"""),1116.5)</f>
        <v>1116.5</v>
      </c>
      <c r="K1388" s="2">
        <f>IFERROR(__xludf.DUMMYFUNCTION("""COMPUTED_VALUE"""),1116.5)</f>
        <v>1116.5</v>
      </c>
    </row>
    <row r="1389">
      <c r="A1389" s="2">
        <f>IFERROR(__xludf.DUMMYFUNCTION("""COMPUTED_VALUE"""),1000.0)</f>
        <v>1000</v>
      </c>
      <c r="B1389" s="2">
        <f>IFERROR(__xludf.DUMMYFUNCTION("""COMPUTED_VALUE"""),184466.0)</f>
        <v>184466</v>
      </c>
      <c r="C1389" s="2">
        <f>IFERROR(__xludf.DUMMYFUNCTION("""COMPUTED_VALUE"""),2026.0)</f>
        <v>2026</v>
      </c>
      <c r="D1389" s="2">
        <f>IFERROR(__xludf.DUMMYFUNCTION("""COMPUTED_VALUE"""),46098.0)</f>
        <v>46098</v>
      </c>
      <c r="E1389" s="2" t="str">
        <f>IFERROR(__xludf.DUMMYFUNCTION("""COMPUTED_VALUE"""),"VF")</f>
        <v>VF</v>
      </c>
      <c r="F1389" s="2">
        <f>IFERROR(__xludf.DUMMYFUNCTION("""COMPUTED_VALUE"""),1.0)</f>
        <v>1</v>
      </c>
      <c r="G1389" s="2" t="str">
        <f>IFERROR(__xludf.DUMMYFUNCTION("""COMPUTED_VALUE"""),"PR014")</f>
        <v>PR014</v>
      </c>
      <c r="H1389" s="2" t="str">
        <f>IFERROR(__xludf.DUMMYFUNCTION("""COMPUTED_VALUE"""),"VD024")</f>
        <v>VD024</v>
      </c>
      <c r="I1389" s="2">
        <f>IFERROR(__xludf.DUMMYFUNCTION("""COMPUTED_VALUE"""),5.0)</f>
        <v>5</v>
      </c>
      <c r="J1389" s="2">
        <f>IFERROR(__xludf.DUMMYFUNCTION("""COMPUTED_VALUE"""),203.49)</f>
        <v>203.49</v>
      </c>
      <c r="K1389" s="2">
        <f>IFERROR(__xludf.DUMMYFUNCTION("""COMPUTED_VALUE"""),203.49)</f>
        <v>203.49</v>
      </c>
    </row>
    <row r="1390">
      <c r="A1390" s="2">
        <f>IFERROR(__xludf.DUMMYFUNCTION("""COMPUTED_VALUE"""),1000.0)</f>
        <v>1000</v>
      </c>
      <c r="B1390" s="2">
        <f>IFERROR(__xludf.DUMMYFUNCTION("""COMPUTED_VALUE"""),184467.0)</f>
        <v>184467</v>
      </c>
      <c r="C1390" s="2">
        <f>IFERROR(__xludf.DUMMYFUNCTION("""COMPUTED_VALUE"""),2026.0)</f>
        <v>2026</v>
      </c>
      <c r="D1390" s="2">
        <f>IFERROR(__xludf.DUMMYFUNCTION("""COMPUTED_VALUE"""),46098.0)</f>
        <v>46098</v>
      </c>
      <c r="E1390" s="2" t="str">
        <f>IFERROR(__xludf.DUMMYFUNCTION("""COMPUTED_VALUE"""),"VF")</f>
        <v>VF</v>
      </c>
      <c r="F1390" s="2">
        <f>IFERROR(__xludf.DUMMYFUNCTION("""COMPUTED_VALUE"""),1.0)</f>
        <v>1</v>
      </c>
      <c r="G1390" s="2" t="str">
        <f>IFERROR(__xludf.DUMMYFUNCTION("""COMPUTED_VALUE"""),"PR019")</f>
        <v>PR019</v>
      </c>
      <c r="H1390" s="2" t="str">
        <f>IFERROR(__xludf.DUMMYFUNCTION("""COMPUTED_VALUE"""),"VD043")</f>
        <v>VD043</v>
      </c>
      <c r="I1390" s="2">
        <f>IFERROR(__xludf.DUMMYFUNCTION("""COMPUTED_VALUE"""),12.0)</f>
        <v>12</v>
      </c>
      <c r="J1390" s="2">
        <f>IFERROR(__xludf.DUMMYFUNCTION("""COMPUTED_VALUE"""),604.79)</f>
        <v>604.79</v>
      </c>
      <c r="K1390" s="2">
        <f>IFERROR(__xludf.DUMMYFUNCTION("""COMPUTED_VALUE"""),604.79)</f>
        <v>604.79</v>
      </c>
    </row>
    <row r="1391">
      <c r="A1391" s="2">
        <f>IFERROR(__xludf.DUMMYFUNCTION("""COMPUTED_VALUE"""),2000.0)</f>
        <v>2000</v>
      </c>
      <c r="B1391" s="2">
        <f>IFERROR(__xludf.DUMMYFUNCTION("""COMPUTED_VALUE"""),184467.0)</f>
        <v>184467</v>
      </c>
      <c r="C1391" s="2">
        <f>IFERROR(__xludf.DUMMYFUNCTION("""COMPUTED_VALUE"""),2026.0)</f>
        <v>2026</v>
      </c>
      <c r="D1391" s="2">
        <f>IFERROR(__xludf.DUMMYFUNCTION("""COMPUTED_VALUE"""),46097.0)</f>
        <v>46097</v>
      </c>
      <c r="E1391" s="2" t="str">
        <f>IFERROR(__xludf.DUMMYFUNCTION("""COMPUTED_VALUE"""),"VF")</f>
        <v>VF</v>
      </c>
      <c r="F1391" s="2">
        <f>IFERROR(__xludf.DUMMYFUNCTION("""COMPUTED_VALUE"""),2.0)</f>
        <v>2</v>
      </c>
      <c r="G1391" s="2" t="str">
        <f>IFERROR(__xludf.DUMMYFUNCTION("""COMPUTED_VALUE"""),"PR003")</f>
        <v>PR003</v>
      </c>
      <c r="H1391" s="2" t="str">
        <f>IFERROR(__xludf.DUMMYFUNCTION("""COMPUTED_VALUE"""),"VD039")</f>
        <v>VD039</v>
      </c>
      <c r="I1391" s="2">
        <f>IFERROR(__xludf.DUMMYFUNCTION("""COMPUTED_VALUE"""),5.0)</f>
        <v>5</v>
      </c>
      <c r="J1391" s="2">
        <f>IFERROR(__xludf.DUMMYFUNCTION("""COMPUTED_VALUE"""),354.5)</f>
        <v>354.5</v>
      </c>
      <c r="K1391" s="2">
        <f>IFERROR(__xludf.DUMMYFUNCTION("""COMPUTED_VALUE"""),354.5)</f>
        <v>354.5</v>
      </c>
    </row>
    <row r="1392">
      <c r="A1392" s="2">
        <f>IFERROR(__xludf.DUMMYFUNCTION("""COMPUTED_VALUE"""),1000.0)</f>
        <v>1000</v>
      </c>
      <c r="B1392" s="2">
        <f>IFERROR(__xludf.DUMMYFUNCTION("""COMPUTED_VALUE"""),184467.0)</f>
        <v>184467</v>
      </c>
      <c r="C1392" s="2">
        <f>IFERROR(__xludf.DUMMYFUNCTION("""COMPUTED_VALUE"""),2026.0)</f>
        <v>2026</v>
      </c>
      <c r="D1392" s="2">
        <f>IFERROR(__xludf.DUMMYFUNCTION("""COMPUTED_VALUE"""),46097.0)</f>
        <v>46097</v>
      </c>
      <c r="E1392" s="2" t="str">
        <f>IFERROR(__xludf.DUMMYFUNCTION("""COMPUTED_VALUE"""),"VF")</f>
        <v>VF</v>
      </c>
      <c r="F1392" s="2">
        <f>IFERROR(__xludf.DUMMYFUNCTION("""COMPUTED_VALUE"""),3.0)</f>
        <v>3</v>
      </c>
      <c r="G1392" s="2" t="str">
        <f>IFERROR(__xludf.DUMMYFUNCTION("""COMPUTED_VALUE"""),"PR054")</f>
        <v>PR054</v>
      </c>
      <c r="H1392" s="2" t="str">
        <f>IFERROR(__xludf.DUMMYFUNCTION("""COMPUTED_VALUE"""),"VD019")</f>
        <v>VD019</v>
      </c>
      <c r="I1392" s="2">
        <f>IFERROR(__xludf.DUMMYFUNCTION("""COMPUTED_VALUE"""),4.0)</f>
        <v>4</v>
      </c>
      <c r="J1392" s="2">
        <f>IFERROR(__xludf.DUMMYFUNCTION("""COMPUTED_VALUE"""),217.56)</f>
        <v>217.56</v>
      </c>
      <c r="K1392" s="2">
        <f>IFERROR(__xludf.DUMMYFUNCTION("""COMPUTED_VALUE"""),217.56)</f>
        <v>217.56</v>
      </c>
    </row>
    <row r="1393">
      <c r="A1393" s="2">
        <f>IFERROR(__xludf.DUMMYFUNCTION("""COMPUTED_VALUE"""),1000.0)</f>
        <v>1000</v>
      </c>
      <c r="B1393" s="2">
        <f>IFERROR(__xludf.DUMMYFUNCTION("""COMPUTED_VALUE"""),184468.0)</f>
        <v>184468</v>
      </c>
      <c r="C1393" s="2">
        <f>IFERROR(__xludf.DUMMYFUNCTION("""COMPUTED_VALUE"""),2026.0)</f>
        <v>2026</v>
      </c>
      <c r="D1393" s="2">
        <f>IFERROR(__xludf.DUMMYFUNCTION("""COMPUTED_VALUE"""),46097.0)</f>
        <v>46097</v>
      </c>
      <c r="E1393" s="2" t="str">
        <f>IFERROR(__xludf.DUMMYFUNCTION("""COMPUTED_VALUE"""),"VF")</f>
        <v>VF</v>
      </c>
      <c r="F1393" s="2">
        <f>IFERROR(__xludf.DUMMYFUNCTION("""COMPUTED_VALUE"""),1.0)</f>
        <v>1</v>
      </c>
      <c r="G1393" s="2" t="str">
        <f>IFERROR(__xludf.DUMMYFUNCTION("""COMPUTED_VALUE"""),"PR003")</f>
        <v>PR003</v>
      </c>
      <c r="H1393" s="2" t="str">
        <f>IFERROR(__xludf.DUMMYFUNCTION("""COMPUTED_VALUE"""),"VD030")</f>
        <v>VD030</v>
      </c>
      <c r="I1393" s="2">
        <f>IFERROR(__xludf.DUMMYFUNCTION("""COMPUTED_VALUE"""),5.0)</f>
        <v>5</v>
      </c>
      <c r="J1393" s="2">
        <f>IFERROR(__xludf.DUMMYFUNCTION("""COMPUTED_VALUE"""),386.41)</f>
        <v>386.41</v>
      </c>
      <c r="K1393" s="2">
        <f>IFERROR(__xludf.DUMMYFUNCTION("""COMPUTED_VALUE"""),386.41)</f>
        <v>386.41</v>
      </c>
    </row>
    <row r="1394">
      <c r="A1394" s="2">
        <f>IFERROR(__xludf.DUMMYFUNCTION("""COMPUTED_VALUE"""),1000.0)</f>
        <v>1000</v>
      </c>
      <c r="B1394" s="2">
        <f>IFERROR(__xludf.DUMMYFUNCTION("""COMPUTED_VALUE"""),184469.0)</f>
        <v>184469</v>
      </c>
      <c r="C1394" s="2">
        <f>IFERROR(__xludf.DUMMYFUNCTION("""COMPUTED_VALUE"""),2026.0)</f>
        <v>2026</v>
      </c>
      <c r="D1394" s="2">
        <f>IFERROR(__xludf.DUMMYFUNCTION("""COMPUTED_VALUE"""),46096.0)</f>
        <v>46096</v>
      </c>
      <c r="E1394" s="2" t="str">
        <f>IFERROR(__xludf.DUMMYFUNCTION("""COMPUTED_VALUE"""),"VF")</f>
        <v>VF</v>
      </c>
      <c r="F1394" s="2">
        <f>IFERROR(__xludf.DUMMYFUNCTION("""COMPUTED_VALUE"""),1.0)</f>
        <v>1</v>
      </c>
      <c r="G1394" s="2" t="str">
        <f>IFERROR(__xludf.DUMMYFUNCTION("""COMPUTED_VALUE"""),"PR033")</f>
        <v>PR033</v>
      </c>
      <c r="H1394" s="2" t="str">
        <f>IFERROR(__xludf.DUMMYFUNCTION("""COMPUTED_VALUE"""),"VD025")</f>
        <v>VD025</v>
      </c>
      <c r="I1394" s="2">
        <f>IFERROR(__xludf.DUMMYFUNCTION("""COMPUTED_VALUE"""),2.0)</f>
        <v>2</v>
      </c>
      <c r="J1394" s="2">
        <f>IFERROR(__xludf.DUMMYFUNCTION("""COMPUTED_VALUE"""),550.99)</f>
        <v>550.99</v>
      </c>
      <c r="K1394" s="2">
        <f>IFERROR(__xludf.DUMMYFUNCTION("""COMPUTED_VALUE"""),550.99)</f>
        <v>550.99</v>
      </c>
    </row>
    <row r="1395">
      <c r="A1395" s="2">
        <f>IFERROR(__xludf.DUMMYFUNCTION("""COMPUTED_VALUE"""),1000.0)</f>
        <v>1000</v>
      </c>
      <c r="B1395" s="2">
        <f>IFERROR(__xludf.DUMMYFUNCTION("""COMPUTED_VALUE"""),184470.0)</f>
        <v>184470</v>
      </c>
      <c r="C1395" s="2">
        <f>IFERROR(__xludf.DUMMYFUNCTION("""COMPUTED_VALUE"""),2026.0)</f>
        <v>2026</v>
      </c>
      <c r="D1395" s="2">
        <f>IFERROR(__xludf.DUMMYFUNCTION("""COMPUTED_VALUE"""),46096.0)</f>
        <v>46096</v>
      </c>
      <c r="E1395" s="2" t="str">
        <f>IFERROR(__xludf.DUMMYFUNCTION("""COMPUTED_VALUE"""),"VF")</f>
        <v>VF</v>
      </c>
      <c r="F1395" s="2">
        <f>IFERROR(__xludf.DUMMYFUNCTION("""COMPUTED_VALUE"""),1.0)</f>
        <v>1</v>
      </c>
      <c r="G1395" s="2" t="str">
        <f>IFERROR(__xludf.DUMMYFUNCTION("""COMPUTED_VALUE"""),"PR054")</f>
        <v>PR054</v>
      </c>
      <c r="H1395" s="2" t="str">
        <f>IFERROR(__xludf.DUMMYFUNCTION("""COMPUTED_VALUE"""),"VD028")</f>
        <v>VD028</v>
      </c>
      <c r="I1395" s="2">
        <f>IFERROR(__xludf.DUMMYFUNCTION("""COMPUTED_VALUE"""),5.0)</f>
        <v>5</v>
      </c>
      <c r="J1395" s="2">
        <f>IFERROR(__xludf.DUMMYFUNCTION("""COMPUTED_VALUE"""),274.45)</f>
        <v>274.45</v>
      </c>
      <c r="K1395" s="2">
        <f>IFERROR(__xludf.DUMMYFUNCTION("""COMPUTED_VALUE"""),274.45)</f>
        <v>274.45</v>
      </c>
    </row>
    <row r="1396">
      <c r="A1396" s="2">
        <f>IFERROR(__xludf.DUMMYFUNCTION("""COMPUTED_VALUE"""),1000.0)</f>
        <v>1000</v>
      </c>
      <c r="B1396" s="2">
        <f>IFERROR(__xludf.DUMMYFUNCTION("""COMPUTED_VALUE"""),184471.0)</f>
        <v>184471</v>
      </c>
      <c r="C1396" s="2">
        <f>IFERROR(__xludf.DUMMYFUNCTION("""COMPUTED_VALUE"""),2026.0)</f>
        <v>2026</v>
      </c>
      <c r="D1396" s="2">
        <f>IFERROR(__xludf.DUMMYFUNCTION("""COMPUTED_VALUE"""),46095.0)</f>
        <v>46095</v>
      </c>
      <c r="E1396" s="2" t="str">
        <f>IFERROR(__xludf.DUMMYFUNCTION("""COMPUTED_VALUE"""),"VF")</f>
        <v>VF</v>
      </c>
      <c r="F1396" s="2">
        <f>IFERROR(__xludf.DUMMYFUNCTION("""COMPUTED_VALUE"""),1.0)</f>
        <v>1</v>
      </c>
      <c r="G1396" s="2" t="str">
        <f>IFERROR(__xludf.DUMMYFUNCTION("""COMPUTED_VALUE"""),"PR050")</f>
        <v>PR050</v>
      </c>
      <c r="H1396" s="2" t="str">
        <f>IFERROR(__xludf.DUMMYFUNCTION("""COMPUTED_VALUE"""),"VD043")</f>
        <v>VD043</v>
      </c>
      <c r="I1396" s="2">
        <f>IFERROR(__xludf.DUMMYFUNCTION("""COMPUTED_VALUE"""),4.0)</f>
        <v>4</v>
      </c>
      <c r="J1396" s="2">
        <f>IFERROR(__xludf.DUMMYFUNCTION("""COMPUTED_VALUE"""),132.92)</f>
        <v>132.92</v>
      </c>
      <c r="K1396" s="2">
        <f>IFERROR(__xludf.DUMMYFUNCTION("""COMPUTED_VALUE"""),132.92)</f>
        <v>132.92</v>
      </c>
    </row>
    <row r="1397">
      <c r="A1397" s="2">
        <f>IFERROR(__xludf.DUMMYFUNCTION("""COMPUTED_VALUE"""),1000.0)</f>
        <v>1000</v>
      </c>
      <c r="B1397" s="2">
        <f>IFERROR(__xludf.DUMMYFUNCTION("""COMPUTED_VALUE"""),184472.0)</f>
        <v>184472</v>
      </c>
      <c r="C1397" s="2">
        <f>IFERROR(__xludf.DUMMYFUNCTION("""COMPUTED_VALUE"""),2026.0)</f>
        <v>2026</v>
      </c>
      <c r="D1397" s="2">
        <f>IFERROR(__xludf.DUMMYFUNCTION("""COMPUTED_VALUE"""),46095.0)</f>
        <v>46095</v>
      </c>
      <c r="E1397" s="2" t="str">
        <f>IFERROR(__xludf.DUMMYFUNCTION("""COMPUTED_VALUE"""),"VF")</f>
        <v>VF</v>
      </c>
      <c r="F1397" s="2">
        <f>IFERROR(__xludf.DUMMYFUNCTION("""COMPUTED_VALUE"""),1.0)</f>
        <v>1</v>
      </c>
      <c r="G1397" s="2" t="str">
        <f>IFERROR(__xludf.DUMMYFUNCTION("""COMPUTED_VALUE"""),"PR029")</f>
        <v>PR029</v>
      </c>
      <c r="H1397" s="2" t="str">
        <f>IFERROR(__xludf.DUMMYFUNCTION("""COMPUTED_VALUE"""),"VD021")</f>
        <v>VD021</v>
      </c>
      <c r="I1397" s="2">
        <f>IFERROR(__xludf.DUMMYFUNCTION("""COMPUTED_VALUE"""),6.0)</f>
        <v>6</v>
      </c>
      <c r="J1397" s="2">
        <f>IFERROR(__xludf.DUMMYFUNCTION("""COMPUTED_VALUE"""),1683.0)</f>
        <v>1683</v>
      </c>
      <c r="K1397" s="2">
        <f>IFERROR(__xludf.DUMMYFUNCTION("""COMPUTED_VALUE"""),1683.0)</f>
        <v>1683</v>
      </c>
    </row>
    <row r="1398">
      <c r="A1398" s="2">
        <f>IFERROR(__xludf.DUMMYFUNCTION("""COMPUTED_VALUE"""),2000.0)</f>
        <v>2000</v>
      </c>
      <c r="B1398" s="2">
        <f>IFERROR(__xludf.DUMMYFUNCTION("""COMPUTED_VALUE"""),184473.0)</f>
        <v>184473</v>
      </c>
      <c r="C1398" s="2">
        <f>IFERROR(__xludf.DUMMYFUNCTION("""COMPUTED_VALUE"""),2026.0)</f>
        <v>2026</v>
      </c>
      <c r="D1398" s="2">
        <f>IFERROR(__xludf.DUMMYFUNCTION("""COMPUTED_VALUE"""),46095.0)</f>
        <v>46095</v>
      </c>
      <c r="E1398" s="2" t="str">
        <f>IFERROR(__xludf.DUMMYFUNCTION("""COMPUTED_VALUE"""),"VF")</f>
        <v>VF</v>
      </c>
      <c r="F1398" s="2">
        <f>IFERROR(__xludf.DUMMYFUNCTION("""COMPUTED_VALUE"""),1.0)</f>
        <v>1</v>
      </c>
      <c r="G1398" s="2" t="str">
        <f>IFERROR(__xludf.DUMMYFUNCTION("""COMPUTED_VALUE"""),"PR057")</f>
        <v>PR057</v>
      </c>
      <c r="H1398" s="2" t="str">
        <f>IFERROR(__xludf.DUMMYFUNCTION("""COMPUTED_VALUE"""),"VD033")</f>
        <v>VD033</v>
      </c>
      <c r="I1398" s="2">
        <f>IFERROR(__xludf.DUMMYFUNCTION("""COMPUTED_VALUE"""),6.0)</f>
        <v>6</v>
      </c>
      <c r="J1398" s="2">
        <f>IFERROR(__xludf.DUMMYFUNCTION("""COMPUTED_VALUE"""),566.37)</f>
        <v>566.37</v>
      </c>
      <c r="K1398" s="2">
        <f>IFERROR(__xludf.DUMMYFUNCTION("""COMPUTED_VALUE"""),566.37)</f>
        <v>566.37</v>
      </c>
    </row>
    <row r="1399">
      <c r="A1399" s="2">
        <f>IFERROR(__xludf.DUMMYFUNCTION("""COMPUTED_VALUE"""),1000.0)</f>
        <v>1000</v>
      </c>
      <c r="B1399" s="2">
        <f>IFERROR(__xludf.DUMMYFUNCTION("""COMPUTED_VALUE"""),184474.0)</f>
        <v>184474</v>
      </c>
      <c r="C1399" s="2">
        <f>IFERROR(__xludf.DUMMYFUNCTION("""COMPUTED_VALUE"""),2026.0)</f>
        <v>2026</v>
      </c>
      <c r="D1399" s="2">
        <f>IFERROR(__xludf.DUMMYFUNCTION("""COMPUTED_VALUE"""),46095.0)</f>
        <v>46095</v>
      </c>
      <c r="E1399" s="2" t="str">
        <f>IFERROR(__xludf.DUMMYFUNCTION("""COMPUTED_VALUE"""),"VF")</f>
        <v>VF</v>
      </c>
      <c r="F1399" s="2">
        <f>IFERROR(__xludf.DUMMYFUNCTION("""COMPUTED_VALUE"""),1.0)</f>
        <v>1</v>
      </c>
      <c r="G1399" s="2" t="str">
        <f>IFERROR(__xludf.DUMMYFUNCTION("""COMPUTED_VALUE"""),"PR006")</f>
        <v>PR006</v>
      </c>
      <c r="H1399" s="2" t="str">
        <f>IFERROR(__xludf.DUMMYFUNCTION("""COMPUTED_VALUE"""),"VD028")</f>
        <v>VD028</v>
      </c>
      <c r="I1399" s="2">
        <f>IFERROR(__xludf.DUMMYFUNCTION("""COMPUTED_VALUE"""),16.0)</f>
        <v>16</v>
      </c>
      <c r="J1399" s="2">
        <f>IFERROR(__xludf.DUMMYFUNCTION("""COMPUTED_VALUE"""),689.47)</f>
        <v>689.47</v>
      </c>
      <c r="K1399" s="2">
        <f>IFERROR(__xludf.DUMMYFUNCTION("""COMPUTED_VALUE"""),689.47)</f>
        <v>689.47</v>
      </c>
    </row>
    <row r="1400">
      <c r="A1400" s="2">
        <f>IFERROR(__xludf.DUMMYFUNCTION("""COMPUTED_VALUE"""),1000.0)</f>
        <v>1000</v>
      </c>
      <c r="B1400" s="2">
        <f>IFERROR(__xludf.DUMMYFUNCTION("""COMPUTED_VALUE"""),184474.0)</f>
        <v>184474</v>
      </c>
      <c r="C1400" s="2">
        <f>IFERROR(__xludf.DUMMYFUNCTION("""COMPUTED_VALUE"""),2026.0)</f>
        <v>2026</v>
      </c>
      <c r="D1400" s="2">
        <f>IFERROR(__xludf.DUMMYFUNCTION("""COMPUTED_VALUE"""),46095.0)</f>
        <v>46095</v>
      </c>
      <c r="E1400" s="2" t="str">
        <f>IFERROR(__xludf.DUMMYFUNCTION("""COMPUTED_VALUE"""),"VF")</f>
        <v>VF</v>
      </c>
      <c r="F1400" s="2">
        <f>IFERROR(__xludf.DUMMYFUNCTION("""COMPUTED_VALUE"""),2.0)</f>
        <v>2</v>
      </c>
      <c r="G1400" s="2" t="str">
        <f>IFERROR(__xludf.DUMMYFUNCTION("""COMPUTED_VALUE"""),"PR006")</f>
        <v>PR006</v>
      </c>
      <c r="H1400" s="2" t="str">
        <f>IFERROR(__xludf.DUMMYFUNCTION("""COMPUTED_VALUE"""),"VD032")</f>
        <v>VD032</v>
      </c>
      <c r="I1400" s="2">
        <f>IFERROR(__xludf.DUMMYFUNCTION("""COMPUTED_VALUE"""),8.0)</f>
        <v>8</v>
      </c>
      <c r="J1400" s="2">
        <f>IFERROR(__xludf.DUMMYFUNCTION("""COMPUTED_VALUE"""),347.93)</f>
        <v>347.93</v>
      </c>
      <c r="K1400" s="2">
        <f>IFERROR(__xludf.DUMMYFUNCTION("""COMPUTED_VALUE"""),347.93)</f>
        <v>347.93</v>
      </c>
    </row>
    <row r="1401">
      <c r="A1401" s="2">
        <f>IFERROR(__xludf.DUMMYFUNCTION("""COMPUTED_VALUE"""),1000.0)</f>
        <v>1000</v>
      </c>
      <c r="B1401" s="2">
        <f>IFERROR(__xludf.DUMMYFUNCTION("""COMPUTED_VALUE"""),184474.0)</f>
        <v>184474</v>
      </c>
      <c r="C1401" s="2">
        <f>IFERROR(__xludf.DUMMYFUNCTION("""COMPUTED_VALUE"""),2026.0)</f>
        <v>2026</v>
      </c>
      <c r="D1401" s="2">
        <f>IFERROR(__xludf.DUMMYFUNCTION("""COMPUTED_VALUE"""),46095.0)</f>
        <v>46095</v>
      </c>
      <c r="E1401" s="2" t="str">
        <f>IFERROR(__xludf.DUMMYFUNCTION("""COMPUTED_VALUE"""),"VF")</f>
        <v>VF</v>
      </c>
      <c r="F1401" s="2">
        <f>IFERROR(__xludf.DUMMYFUNCTION("""COMPUTED_VALUE"""),3.0)</f>
        <v>3</v>
      </c>
      <c r="G1401" s="2" t="str">
        <f>IFERROR(__xludf.DUMMYFUNCTION("""COMPUTED_VALUE"""),"PR014")</f>
        <v>PR014</v>
      </c>
      <c r="H1401" s="2" t="str">
        <f>IFERROR(__xludf.DUMMYFUNCTION("""COMPUTED_VALUE"""),"VD028")</f>
        <v>VD028</v>
      </c>
      <c r="I1401" s="2">
        <f>IFERROR(__xludf.DUMMYFUNCTION("""COMPUTED_VALUE"""),7.0)</f>
        <v>7</v>
      </c>
      <c r="J1401" s="2">
        <f>IFERROR(__xludf.DUMMYFUNCTION("""COMPUTED_VALUE"""),290.47)</f>
        <v>290.47</v>
      </c>
      <c r="K1401" s="2">
        <f>IFERROR(__xludf.DUMMYFUNCTION("""COMPUTED_VALUE"""),290.47)</f>
        <v>290.47</v>
      </c>
    </row>
    <row r="1402">
      <c r="A1402" s="2">
        <f>IFERROR(__xludf.DUMMYFUNCTION("""COMPUTED_VALUE"""),1000.0)</f>
        <v>1000</v>
      </c>
      <c r="B1402" s="2">
        <f>IFERROR(__xludf.DUMMYFUNCTION("""COMPUTED_VALUE"""),184474.0)</f>
        <v>184474</v>
      </c>
      <c r="C1402" s="2">
        <f>IFERROR(__xludf.DUMMYFUNCTION("""COMPUTED_VALUE"""),2026.0)</f>
        <v>2026</v>
      </c>
      <c r="D1402" s="2">
        <f>IFERROR(__xludf.DUMMYFUNCTION("""COMPUTED_VALUE"""),46094.0)</f>
        <v>46094</v>
      </c>
      <c r="E1402" s="2" t="str">
        <f>IFERROR(__xludf.DUMMYFUNCTION("""COMPUTED_VALUE"""),"VF")</f>
        <v>VF</v>
      </c>
      <c r="F1402" s="2">
        <f>IFERROR(__xludf.DUMMYFUNCTION("""COMPUTED_VALUE"""),4.0)</f>
        <v>4</v>
      </c>
      <c r="G1402" s="2" t="str">
        <f>IFERROR(__xludf.DUMMYFUNCTION("""COMPUTED_VALUE"""),"PR027")</f>
        <v>PR027</v>
      </c>
      <c r="H1402" s="2" t="str">
        <f>IFERROR(__xludf.DUMMYFUNCTION("""COMPUTED_VALUE"""),"VD042")</f>
        <v>VD042</v>
      </c>
      <c r="I1402" s="2">
        <f>IFERROR(__xludf.DUMMYFUNCTION("""COMPUTED_VALUE"""),8.0)</f>
        <v>8</v>
      </c>
      <c r="J1402" s="2">
        <f>IFERROR(__xludf.DUMMYFUNCTION("""COMPUTED_VALUE"""),960.0)</f>
        <v>960</v>
      </c>
      <c r="K1402" s="2">
        <f>IFERROR(__xludf.DUMMYFUNCTION("""COMPUTED_VALUE"""),960.0)</f>
        <v>960</v>
      </c>
    </row>
    <row r="1403">
      <c r="A1403" s="2">
        <f>IFERROR(__xludf.DUMMYFUNCTION("""COMPUTED_VALUE"""),1000.0)</f>
        <v>1000</v>
      </c>
      <c r="B1403" s="2">
        <f>IFERROR(__xludf.DUMMYFUNCTION("""COMPUTED_VALUE"""),184475.0)</f>
        <v>184475</v>
      </c>
      <c r="C1403" s="2">
        <f>IFERROR(__xludf.DUMMYFUNCTION("""COMPUTED_VALUE"""),2026.0)</f>
        <v>2026</v>
      </c>
      <c r="D1403" s="2">
        <f>IFERROR(__xludf.DUMMYFUNCTION("""COMPUTED_VALUE"""),46094.0)</f>
        <v>46094</v>
      </c>
      <c r="E1403" s="2" t="str">
        <f>IFERROR(__xludf.DUMMYFUNCTION("""COMPUTED_VALUE"""),"VF")</f>
        <v>VF</v>
      </c>
      <c r="F1403" s="2">
        <f>IFERROR(__xludf.DUMMYFUNCTION("""COMPUTED_VALUE"""),1.0)</f>
        <v>1</v>
      </c>
      <c r="G1403" s="2" t="str">
        <f>IFERROR(__xludf.DUMMYFUNCTION("""COMPUTED_VALUE"""),"PR004")</f>
        <v>PR004</v>
      </c>
      <c r="H1403" s="2" t="str">
        <f>IFERROR(__xludf.DUMMYFUNCTION("""COMPUTED_VALUE"""),"VD012")</f>
        <v>VD012</v>
      </c>
      <c r="I1403" s="2">
        <f>IFERROR(__xludf.DUMMYFUNCTION("""COMPUTED_VALUE"""),4.0)</f>
        <v>4</v>
      </c>
      <c r="J1403" s="2">
        <f>IFERROR(__xludf.DUMMYFUNCTION("""COMPUTED_VALUE"""),620.6)</f>
        <v>620.6</v>
      </c>
      <c r="K1403" s="2">
        <f>IFERROR(__xludf.DUMMYFUNCTION("""COMPUTED_VALUE"""),620.6)</f>
        <v>620.6</v>
      </c>
    </row>
    <row r="1404">
      <c r="A1404" s="2">
        <f>IFERROR(__xludf.DUMMYFUNCTION("""COMPUTED_VALUE"""),1000.0)</f>
        <v>1000</v>
      </c>
      <c r="B1404" s="2">
        <f>IFERROR(__xludf.DUMMYFUNCTION("""COMPUTED_VALUE"""),184476.0)</f>
        <v>184476</v>
      </c>
      <c r="C1404" s="2">
        <f>IFERROR(__xludf.DUMMYFUNCTION("""COMPUTED_VALUE"""),2026.0)</f>
        <v>2026</v>
      </c>
      <c r="D1404" s="2">
        <f>IFERROR(__xludf.DUMMYFUNCTION("""COMPUTED_VALUE"""),46093.0)</f>
        <v>46093</v>
      </c>
      <c r="E1404" s="2" t="str">
        <f>IFERROR(__xludf.DUMMYFUNCTION("""COMPUTED_VALUE"""),"VF")</f>
        <v>VF</v>
      </c>
      <c r="F1404" s="2">
        <f>IFERROR(__xludf.DUMMYFUNCTION("""COMPUTED_VALUE"""),1.0)</f>
        <v>1</v>
      </c>
      <c r="G1404" s="2" t="str">
        <f>IFERROR(__xludf.DUMMYFUNCTION("""COMPUTED_VALUE"""),"PR020")</f>
        <v>PR020</v>
      </c>
      <c r="H1404" s="2" t="str">
        <f>IFERROR(__xludf.DUMMYFUNCTION("""COMPUTED_VALUE"""),"VD018")</f>
        <v>VD018</v>
      </c>
      <c r="I1404" s="2">
        <f>IFERROR(__xludf.DUMMYFUNCTION("""COMPUTED_VALUE"""),10.0)</f>
        <v>10</v>
      </c>
      <c r="J1404" s="2">
        <f>IFERROR(__xludf.DUMMYFUNCTION("""COMPUTED_VALUE"""),3118.96)</f>
        <v>3118.96</v>
      </c>
      <c r="K1404" s="2">
        <f>IFERROR(__xludf.DUMMYFUNCTION("""COMPUTED_VALUE"""),3118.96)</f>
        <v>3118.96</v>
      </c>
    </row>
    <row r="1405">
      <c r="A1405" s="2">
        <f>IFERROR(__xludf.DUMMYFUNCTION("""COMPUTED_VALUE"""),1000.0)</f>
        <v>1000</v>
      </c>
      <c r="B1405" s="2">
        <f>IFERROR(__xludf.DUMMYFUNCTION("""COMPUTED_VALUE"""),184477.0)</f>
        <v>184477</v>
      </c>
      <c r="C1405" s="2">
        <f>IFERROR(__xludf.DUMMYFUNCTION("""COMPUTED_VALUE"""),2026.0)</f>
        <v>2026</v>
      </c>
      <c r="D1405" s="2">
        <f>IFERROR(__xludf.DUMMYFUNCTION("""COMPUTED_VALUE"""),46093.0)</f>
        <v>46093</v>
      </c>
      <c r="E1405" s="2" t="str">
        <f>IFERROR(__xludf.DUMMYFUNCTION("""COMPUTED_VALUE"""),"VF")</f>
        <v>VF</v>
      </c>
      <c r="F1405" s="2">
        <f>IFERROR(__xludf.DUMMYFUNCTION("""COMPUTED_VALUE"""),1.0)</f>
        <v>1</v>
      </c>
      <c r="G1405" s="2" t="str">
        <f>IFERROR(__xludf.DUMMYFUNCTION("""COMPUTED_VALUE"""),"PR004")</f>
        <v>PR004</v>
      </c>
      <c r="H1405" s="2" t="str">
        <f>IFERROR(__xludf.DUMMYFUNCTION("""COMPUTED_VALUE"""),"VD032")</f>
        <v>VD032</v>
      </c>
      <c r="I1405" s="2">
        <f>IFERROR(__xludf.DUMMYFUNCTION("""COMPUTED_VALUE"""),14.0)</f>
        <v>14</v>
      </c>
      <c r="J1405" s="2">
        <f>IFERROR(__xludf.DUMMYFUNCTION("""COMPUTED_VALUE"""),2172.1)</f>
        <v>2172.1</v>
      </c>
      <c r="K1405" s="2">
        <f>IFERROR(__xludf.DUMMYFUNCTION("""COMPUTED_VALUE"""),2172.1)</f>
        <v>2172.1</v>
      </c>
    </row>
    <row r="1406">
      <c r="A1406" s="2">
        <f>IFERROR(__xludf.DUMMYFUNCTION("""COMPUTED_VALUE"""),1000.0)</f>
        <v>1000</v>
      </c>
      <c r="B1406" s="2">
        <f>IFERROR(__xludf.DUMMYFUNCTION("""COMPUTED_VALUE"""),184478.0)</f>
        <v>184478</v>
      </c>
      <c r="C1406" s="2">
        <f>IFERROR(__xludf.DUMMYFUNCTION("""COMPUTED_VALUE"""),2026.0)</f>
        <v>2026</v>
      </c>
      <c r="D1406" s="2">
        <f>IFERROR(__xludf.DUMMYFUNCTION("""COMPUTED_VALUE"""),46093.0)</f>
        <v>46093</v>
      </c>
      <c r="E1406" s="2" t="str">
        <f>IFERROR(__xludf.DUMMYFUNCTION("""COMPUTED_VALUE"""),"VF")</f>
        <v>VF</v>
      </c>
      <c r="F1406" s="2">
        <f>IFERROR(__xludf.DUMMYFUNCTION("""COMPUTED_VALUE"""),1.0)</f>
        <v>1</v>
      </c>
      <c r="G1406" s="2" t="str">
        <f>IFERROR(__xludf.DUMMYFUNCTION("""COMPUTED_VALUE"""),"PR014")</f>
        <v>PR014</v>
      </c>
      <c r="H1406" s="2" t="str">
        <f>IFERROR(__xludf.DUMMYFUNCTION("""COMPUTED_VALUE"""),"VD036")</f>
        <v>VD036</v>
      </c>
      <c r="I1406" s="2">
        <f>IFERROR(__xludf.DUMMYFUNCTION("""COMPUTED_VALUE"""),3.0)</f>
        <v>3</v>
      </c>
      <c r="J1406" s="2">
        <f>IFERROR(__xludf.DUMMYFUNCTION("""COMPUTED_VALUE"""),124.49)</f>
        <v>124.49</v>
      </c>
      <c r="K1406" s="2">
        <f>IFERROR(__xludf.DUMMYFUNCTION("""COMPUTED_VALUE"""),124.49)</f>
        <v>124.49</v>
      </c>
    </row>
    <row r="1407">
      <c r="A1407" s="2">
        <f>IFERROR(__xludf.DUMMYFUNCTION("""COMPUTED_VALUE"""),1000.0)</f>
        <v>1000</v>
      </c>
      <c r="B1407" s="2">
        <f>IFERROR(__xludf.DUMMYFUNCTION("""COMPUTED_VALUE"""),184479.0)</f>
        <v>184479</v>
      </c>
      <c r="C1407" s="2">
        <f>IFERROR(__xludf.DUMMYFUNCTION("""COMPUTED_VALUE"""),2026.0)</f>
        <v>2026</v>
      </c>
      <c r="D1407" s="2">
        <f>IFERROR(__xludf.DUMMYFUNCTION("""COMPUTED_VALUE"""),46093.0)</f>
        <v>46093</v>
      </c>
      <c r="E1407" s="2" t="str">
        <f>IFERROR(__xludf.DUMMYFUNCTION("""COMPUTED_VALUE"""),"VF")</f>
        <v>VF</v>
      </c>
      <c r="F1407" s="2">
        <f>IFERROR(__xludf.DUMMYFUNCTION("""COMPUTED_VALUE"""),1.0)</f>
        <v>1</v>
      </c>
      <c r="G1407" s="2" t="str">
        <f>IFERROR(__xludf.DUMMYFUNCTION("""COMPUTED_VALUE"""),"PR033")</f>
        <v>PR033</v>
      </c>
      <c r="H1407" s="2" t="str">
        <f>IFERROR(__xludf.DUMMYFUNCTION("""COMPUTED_VALUE"""),"VD011")</f>
        <v>VD011</v>
      </c>
      <c r="I1407" s="2">
        <f>IFERROR(__xludf.DUMMYFUNCTION("""COMPUTED_VALUE"""),12.0)</f>
        <v>12</v>
      </c>
      <c r="J1407" s="2">
        <f>IFERROR(__xludf.DUMMYFUNCTION("""COMPUTED_VALUE"""),3149.99)</f>
        <v>3149.99</v>
      </c>
      <c r="K1407" s="2">
        <f>IFERROR(__xludf.DUMMYFUNCTION("""COMPUTED_VALUE"""),3149.99)</f>
        <v>3149.99</v>
      </c>
    </row>
    <row r="1408">
      <c r="A1408" s="2">
        <f>IFERROR(__xludf.DUMMYFUNCTION("""COMPUTED_VALUE"""),2000.0)</f>
        <v>2000</v>
      </c>
      <c r="B1408" s="2">
        <f>IFERROR(__xludf.DUMMYFUNCTION("""COMPUTED_VALUE"""),184480.0)</f>
        <v>184480</v>
      </c>
      <c r="C1408" s="2">
        <f>IFERROR(__xludf.DUMMYFUNCTION("""COMPUTED_VALUE"""),2026.0)</f>
        <v>2026</v>
      </c>
      <c r="D1408" s="2">
        <f>IFERROR(__xludf.DUMMYFUNCTION("""COMPUTED_VALUE"""),46093.0)</f>
        <v>46093</v>
      </c>
      <c r="E1408" s="2" t="str">
        <f>IFERROR(__xludf.DUMMYFUNCTION("""COMPUTED_VALUE"""),"VF")</f>
        <v>VF</v>
      </c>
      <c r="F1408" s="2">
        <f>IFERROR(__xludf.DUMMYFUNCTION("""COMPUTED_VALUE"""),1.0)</f>
        <v>1</v>
      </c>
      <c r="G1408" s="2" t="str">
        <f>IFERROR(__xludf.DUMMYFUNCTION("""COMPUTED_VALUE"""),"PR049")</f>
        <v>PR049</v>
      </c>
      <c r="H1408" s="2" t="str">
        <f>IFERROR(__xludf.DUMMYFUNCTION("""COMPUTED_VALUE"""),"VD021")</f>
        <v>VD021</v>
      </c>
      <c r="I1408" s="2">
        <f>IFERROR(__xludf.DUMMYFUNCTION("""COMPUTED_VALUE"""),5.0)</f>
        <v>5</v>
      </c>
      <c r="J1408" s="2">
        <f>IFERROR(__xludf.DUMMYFUNCTION("""COMPUTED_VALUE"""),164.5)</f>
        <v>164.5</v>
      </c>
      <c r="K1408" s="2">
        <f>IFERROR(__xludf.DUMMYFUNCTION("""COMPUTED_VALUE"""),164.5)</f>
        <v>164.5</v>
      </c>
    </row>
    <row r="1409">
      <c r="A1409" s="2">
        <f>IFERROR(__xludf.DUMMYFUNCTION("""COMPUTED_VALUE"""),1000.0)</f>
        <v>1000</v>
      </c>
      <c r="B1409" s="2">
        <f>IFERROR(__xludf.DUMMYFUNCTION("""COMPUTED_VALUE"""),184481.0)</f>
        <v>184481</v>
      </c>
      <c r="C1409" s="2">
        <f>IFERROR(__xludf.DUMMYFUNCTION("""COMPUTED_VALUE"""),2026.0)</f>
        <v>2026</v>
      </c>
      <c r="D1409" s="2">
        <f>IFERROR(__xludf.DUMMYFUNCTION("""COMPUTED_VALUE"""),46093.0)</f>
        <v>46093</v>
      </c>
      <c r="E1409" s="2" t="str">
        <f>IFERROR(__xludf.DUMMYFUNCTION("""COMPUTED_VALUE"""),"VF")</f>
        <v>VF</v>
      </c>
      <c r="F1409" s="2">
        <f>IFERROR(__xludf.DUMMYFUNCTION("""COMPUTED_VALUE"""),1.0)</f>
        <v>1</v>
      </c>
      <c r="G1409" s="2" t="str">
        <f>IFERROR(__xludf.DUMMYFUNCTION("""COMPUTED_VALUE"""),"PR021")</f>
        <v>PR021</v>
      </c>
      <c r="H1409" s="2" t="str">
        <f>IFERROR(__xludf.DUMMYFUNCTION("""COMPUTED_VALUE"""),"VD045")</f>
        <v>VD045</v>
      </c>
      <c r="I1409" s="2">
        <f>IFERROR(__xludf.DUMMYFUNCTION("""COMPUTED_VALUE"""),16.0)</f>
        <v>16</v>
      </c>
      <c r="J1409" s="2">
        <f>IFERROR(__xludf.DUMMYFUNCTION("""COMPUTED_VALUE"""),5088.72)</f>
        <v>5088.72</v>
      </c>
      <c r="K1409" s="2">
        <f>IFERROR(__xludf.DUMMYFUNCTION("""COMPUTED_VALUE"""),5088.72)</f>
        <v>5088.72</v>
      </c>
    </row>
    <row r="1410">
      <c r="A1410" s="2">
        <f>IFERROR(__xludf.DUMMYFUNCTION("""COMPUTED_VALUE"""),2000.0)</f>
        <v>2000</v>
      </c>
      <c r="B1410" s="2">
        <f>IFERROR(__xludf.DUMMYFUNCTION("""COMPUTED_VALUE"""),184481.0)</f>
        <v>184481</v>
      </c>
      <c r="C1410" s="2">
        <f>IFERROR(__xludf.DUMMYFUNCTION("""COMPUTED_VALUE"""),2026.0)</f>
        <v>2026</v>
      </c>
      <c r="D1410" s="2">
        <f>IFERROR(__xludf.DUMMYFUNCTION("""COMPUTED_VALUE"""),46093.0)</f>
        <v>46093</v>
      </c>
      <c r="E1410" s="2" t="str">
        <f>IFERROR(__xludf.DUMMYFUNCTION("""COMPUTED_VALUE"""),"VF")</f>
        <v>VF</v>
      </c>
      <c r="F1410" s="2">
        <f>IFERROR(__xludf.DUMMYFUNCTION("""COMPUTED_VALUE"""),2.0)</f>
        <v>2</v>
      </c>
      <c r="G1410" s="2" t="str">
        <f>IFERROR(__xludf.DUMMYFUNCTION("""COMPUTED_VALUE"""),"PR018")</f>
        <v>PR018</v>
      </c>
      <c r="H1410" s="2" t="str">
        <f>IFERROR(__xludf.DUMMYFUNCTION("""COMPUTED_VALUE"""),"VD017")</f>
        <v>VD017</v>
      </c>
      <c r="I1410" s="2">
        <f>IFERROR(__xludf.DUMMYFUNCTION("""COMPUTED_VALUE"""),8.0)</f>
        <v>8</v>
      </c>
      <c r="J1410" s="2">
        <f>IFERROR(__xludf.DUMMYFUNCTION("""COMPUTED_VALUE"""),268.46)</f>
        <v>268.46</v>
      </c>
      <c r="K1410" s="2">
        <f>IFERROR(__xludf.DUMMYFUNCTION("""COMPUTED_VALUE"""),268.46)</f>
        <v>268.46</v>
      </c>
    </row>
    <row r="1411">
      <c r="A1411" s="2">
        <f>IFERROR(__xludf.DUMMYFUNCTION("""COMPUTED_VALUE"""),1000.0)</f>
        <v>1000</v>
      </c>
      <c r="B1411" s="2">
        <f>IFERROR(__xludf.DUMMYFUNCTION("""COMPUTED_VALUE"""),184482.0)</f>
        <v>184482</v>
      </c>
      <c r="C1411" s="2">
        <f>IFERROR(__xludf.DUMMYFUNCTION("""COMPUTED_VALUE"""),2026.0)</f>
        <v>2026</v>
      </c>
      <c r="D1411" s="2">
        <f>IFERROR(__xludf.DUMMYFUNCTION("""COMPUTED_VALUE"""),46092.0)</f>
        <v>46092</v>
      </c>
      <c r="E1411" s="2" t="str">
        <f>IFERROR(__xludf.DUMMYFUNCTION("""COMPUTED_VALUE"""),"VF")</f>
        <v>VF</v>
      </c>
      <c r="F1411" s="2">
        <f>IFERROR(__xludf.DUMMYFUNCTION("""COMPUTED_VALUE"""),1.0)</f>
        <v>1</v>
      </c>
      <c r="G1411" s="2" t="str">
        <f>IFERROR(__xludf.DUMMYFUNCTION("""COMPUTED_VALUE"""),"PR038")</f>
        <v>PR038</v>
      </c>
      <c r="H1411" s="2" t="str">
        <f>IFERROR(__xludf.DUMMYFUNCTION("""COMPUTED_VALUE"""),"VD028")</f>
        <v>VD028</v>
      </c>
      <c r="I1411" s="2">
        <f>IFERROR(__xludf.DUMMYFUNCTION("""COMPUTED_VALUE"""),6.0)</f>
        <v>6</v>
      </c>
      <c r="J1411" s="2">
        <f>IFERROR(__xludf.DUMMYFUNCTION("""COMPUTED_VALUE"""),908.84)</f>
        <v>908.84</v>
      </c>
      <c r="K1411" s="2">
        <f>IFERROR(__xludf.DUMMYFUNCTION("""COMPUTED_VALUE"""),908.84)</f>
        <v>908.84</v>
      </c>
    </row>
    <row r="1412">
      <c r="A1412" s="2">
        <f>IFERROR(__xludf.DUMMYFUNCTION("""COMPUTED_VALUE"""),2000.0)</f>
        <v>2000</v>
      </c>
      <c r="B1412" s="2">
        <f>IFERROR(__xludf.DUMMYFUNCTION("""COMPUTED_VALUE"""),184482.0)</f>
        <v>184482</v>
      </c>
      <c r="C1412" s="2">
        <f>IFERROR(__xludf.DUMMYFUNCTION("""COMPUTED_VALUE"""),2026.0)</f>
        <v>2026</v>
      </c>
      <c r="D1412" s="2">
        <f>IFERROR(__xludf.DUMMYFUNCTION("""COMPUTED_VALUE"""),46092.0)</f>
        <v>46092</v>
      </c>
      <c r="E1412" s="2" t="str">
        <f>IFERROR(__xludf.DUMMYFUNCTION("""COMPUTED_VALUE"""),"VF")</f>
        <v>VF</v>
      </c>
      <c r="F1412" s="2">
        <f>IFERROR(__xludf.DUMMYFUNCTION("""COMPUTED_VALUE"""),2.0)</f>
        <v>2</v>
      </c>
      <c r="G1412" s="2" t="str">
        <f>IFERROR(__xludf.DUMMYFUNCTION("""COMPUTED_VALUE"""),"PR037")</f>
        <v>PR037</v>
      </c>
      <c r="H1412" s="2" t="str">
        <f>IFERROR(__xludf.DUMMYFUNCTION("""COMPUTED_VALUE"""),"VD019")</f>
        <v>VD019</v>
      </c>
      <c r="I1412" s="2">
        <f>IFERROR(__xludf.DUMMYFUNCTION("""COMPUTED_VALUE"""),5.0)</f>
        <v>5</v>
      </c>
      <c r="J1412" s="2">
        <f>IFERROR(__xludf.DUMMYFUNCTION("""COMPUTED_VALUE"""),707.0)</f>
        <v>707</v>
      </c>
      <c r="K1412" s="2">
        <f>IFERROR(__xludf.DUMMYFUNCTION("""COMPUTED_VALUE"""),707.0)</f>
        <v>707</v>
      </c>
    </row>
    <row r="1413">
      <c r="A1413" s="2">
        <f>IFERROR(__xludf.DUMMYFUNCTION("""COMPUTED_VALUE"""),1000.0)</f>
        <v>1000</v>
      </c>
      <c r="B1413" s="2">
        <f>IFERROR(__xludf.DUMMYFUNCTION("""COMPUTED_VALUE"""),184483.0)</f>
        <v>184483</v>
      </c>
      <c r="C1413" s="2">
        <f>IFERROR(__xludf.DUMMYFUNCTION("""COMPUTED_VALUE"""),2026.0)</f>
        <v>2026</v>
      </c>
      <c r="D1413" s="2">
        <f>IFERROR(__xludf.DUMMYFUNCTION("""COMPUTED_VALUE"""),46091.0)</f>
        <v>46091</v>
      </c>
      <c r="E1413" s="2" t="str">
        <f>IFERROR(__xludf.DUMMYFUNCTION("""COMPUTED_VALUE"""),"VF")</f>
        <v>VF</v>
      </c>
      <c r="F1413" s="2">
        <f>IFERROR(__xludf.DUMMYFUNCTION("""COMPUTED_VALUE"""),1.0)</f>
        <v>1</v>
      </c>
      <c r="G1413" s="2" t="str">
        <f>IFERROR(__xludf.DUMMYFUNCTION("""COMPUTED_VALUE"""),"PR041")</f>
        <v>PR041</v>
      </c>
      <c r="H1413" s="2" t="str">
        <f>IFERROR(__xludf.DUMMYFUNCTION("""COMPUTED_VALUE"""),"VD024")</f>
        <v>VD024</v>
      </c>
      <c r="I1413" s="2">
        <f>IFERROR(__xludf.DUMMYFUNCTION("""COMPUTED_VALUE"""),10.0)</f>
        <v>10</v>
      </c>
      <c r="J1413" s="2">
        <f>IFERROR(__xludf.DUMMYFUNCTION("""COMPUTED_VALUE"""),576.45)</f>
        <v>576.45</v>
      </c>
      <c r="K1413" s="2">
        <f>IFERROR(__xludf.DUMMYFUNCTION("""COMPUTED_VALUE"""),576.45)</f>
        <v>576.45</v>
      </c>
    </row>
    <row r="1414">
      <c r="A1414" s="2">
        <f>IFERROR(__xludf.DUMMYFUNCTION("""COMPUTED_VALUE"""),1000.0)</f>
        <v>1000</v>
      </c>
      <c r="B1414" s="2">
        <f>IFERROR(__xludf.DUMMYFUNCTION("""COMPUTED_VALUE"""),184484.0)</f>
        <v>184484</v>
      </c>
      <c r="C1414" s="2">
        <f>IFERROR(__xludf.DUMMYFUNCTION("""COMPUTED_VALUE"""),2026.0)</f>
        <v>2026</v>
      </c>
      <c r="D1414" s="2">
        <f>IFERROR(__xludf.DUMMYFUNCTION("""COMPUTED_VALUE"""),46091.0)</f>
        <v>46091</v>
      </c>
      <c r="E1414" s="2" t="str">
        <f>IFERROR(__xludf.DUMMYFUNCTION("""COMPUTED_VALUE"""),"VF")</f>
        <v>VF</v>
      </c>
      <c r="F1414" s="2">
        <f>IFERROR(__xludf.DUMMYFUNCTION("""COMPUTED_VALUE"""),1.0)</f>
        <v>1</v>
      </c>
      <c r="G1414" s="2" t="str">
        <f>IFERROR(__xludf.DUMMYFUNCTION("""COMPUTED_VALUE"""),"PR014")</f>
        <v>PR014</v>
      </c>
      <c r="H1414" s="2" t="str">
        <f>IFERROR(__xludf.DUMMYFUNCTION("""COMPUTED_VALUE"""),"VD034")</f>
        <v>VD034</v>
      </c>
      <c r="I1414" s="2">
        <f>IFERROR(__xludf.DUMMYFUNCTION("""COMPUTED_VALUE"""),6.0)</f>
        <v>6</v>
      </c>
      <c r="J1414" s="2">
        <f>IFERROR(__xludf.DUMMYFUNCTION("""COMPUTED_VALUE"""),260.95)</f>
        <v>260.95</v>
      </c>
      <c r="K1414" s="2">
        <f>IFERROR(__xludf.DUMMYFUNCTION("""COMPUTED_VALUE"""),260.95)</f>
        <v>260.95</v>
      </c>
    </row>
    <row r="1415">
      <c r="A1415" s="2">
        <f>IFERROR(__xludf.DUMMYFUNCTION("""COMPUTED_VALUE"""),1000.0)</f>
        <v>1000</v>
      </c>
      <c r="B1415" s="2">
        <f>IFERROR(__xludf.DUMMYFUNCTION("""COMPUTED_VALUE"""),184485.0)</f>
        <v>184485</v>
      </c>
      <c r="C1415" s="2">
        <f>IFERROR(__xludf.DUMMYFUNCTION("""COMPUTED_VALUE"""),2026.0)</f>
        <v>2026</v>
      </c>
      <c r="D1415" s="2">
        <f>IFERROR(__xludf.DUMMYFUNCTION("""COMPUTED_VALUE"""),46091.0)</f>
        <v>46091</v>
      </c>
      <c r="E1415" s="2" t="str">
        <f>IFERROR(__xludf.DUMMYFUNCTION("""COMPUTED_VALUE"""),"VF")</f>
        <v>VF</v>
      </c>
      <c r="F1415" s="2">
        <f>IFERROR(__xludf.DUMMYFUNCTION("""COMPUTED_VALUE"""),1.0)</f>
        <v>1</v>
      </c>
      <c r="G1415" s="2" t="str">
        <f>IFERROR(__xludf.DUMMYFUNCTION("""COMPUTED_VALUE"""),"PR002")</f>
        <v>PR002</v>
      </c>
      <c r="H1415" s="2" t="str">
        <f>IFERROR(__xludf.DUMMYFUNCTION("""COMPUTED_VALUE"""),"VD041")</f>
        <v>VD041</v>
      </c>
      <c r="I1415" s="2">
        <f>IFERROR(__xludf.DUMMYFUNCTION("""COMPUTED_VALUE"""),8.0)</f>
        <v>8</v>
      </c>
      <c r="J1415" s="2">
        <f>IFERROR(__xludf.DUMMYFUNCTION("""COMPUTED_VALUE"""),609.53)</f>
        <v>609.53</v>
      </c>
      <c r="K1415" s="2">
        <f>IFERROR(__xludf.DUMMYFUNCTION("""COMPUTED_VALUE"""),609.53)</f>
        <v>609.53</v>
      </c>
    </row>
    <row r="1416">
      <c r="A1416" s="2">
        <f>IFERROR(__xludf.DUMMYFUNCTION("""COMPUTED_VALUE"""),1000.0)</f>
        <v>1000</v>
      </c>
      <c r="B1416" s="2">
        <f>IFERROR(__xludf.DUMMYFUNCTION("""COMPUTED_VALUE"""),184486.0)</f>
        <v>184486</v>
      </c>
      <c r="C1416" s="2">
        <f>IFERROR(__xludf.DUMMYFUNCTION("""COMPUTED_VALUE"""),2026.0)</f>
        <v>2026</v>
      </c>
      <c r="D1416" s="2">
        <f>IFERROR(__xludf.DUMMYFUNCTION("""COMPUTED_VALUE"""),46091.0)</f>
        <v>46091</v>
      </c>
      <c r="E1416" s="2" t="str">
        <f>IFERROR(__xludf.DUMMYFUNCTION("""COMPUTED_VALUE"""),"VF")</f>
        <v>VF</v>
      </c>
      <c r="F1416" s="2">
        <f>IFERROR(__xludf.DUMMYFUNCTION("""COMPUTED_VALUE"""),1.0)</f>
        <v>1</v>
      </c>
      <c r="G1416" s="2" t="str">
        <f>IFERROR(__xludf.DUMMYFUNCTION("""COMPUTED_VALUE"""),"PR023")</f>
        <v>PR023</v>
      </c>
      <c r="H1416" s="2" t="str">
        <f>IFERROR(__xludf.DUMMYFUNCTION("""COMPUTED_VALUE"""),"VD035")</f>
        <v>VD035</v>
      </c>
      <c r="I1416" s="2">
        <f>IFERROR(__xludf.DUMMYFUNCTION("""COMPUTED_VALUE"""),6.0)</f>
        <v>6</v>
      </c>
      <c r="J1416" s="2">
        <f>IFERROR(__xludf.DUMMYFUNCTION("""COMPUTED_VALUE"""),1604.36)</f>
        <v>1604.36</v>
      </c>
      <c r="K1416" s="2">
        <f>IFERROR(__xludf.DUMMYFUNCTION("""COMPUTED_VALUE"""),1604.36)</f>
        <v>1604.36</v>
      </c>
    </row>
    <row r="1417">
      <c r="A1417" s="2">
        <f>IFERROR(__xludf.DUMMYFUNCTION("""COMPUTED_VALUE"""),1000.0)</f>
        <v>1000</v>
      </c>
      <c r="B1417" s="2">
        <f>IFERROR(__xludf.DUMMYFUNCTION("""COMPUTED_VALUE"""),184487.0)</f>
        <v>184487</v>
      </c>
      <c r="C1417" s="2">
        <f>IFERROR(__xludf.DUMMYFUNCTION("""COMPUTED_VALUE"""),2026.0)</f>
        <v>2026</v>
      </c>
      <c r="D1417" s="2">
        <f>IFERROR(__xludf.DUMMYFUNCTION("""COMPUTED_VALUE"""),46091.0)</f>
        <v>46091</v>
      </c>
      <c r="E1417" s="2" t="str">
        <f>IFERROR(__xludf.DUMMYFUNCTION("""COMPUTED_VALUE"""),"VF")</f>
        <v>VF</v>
      </c>
      <c r="F1417" s="2">
        <f>IFERROR(__xludf.DUMMYFUNCTION("""COMPUTED_VALUE"""),1.0)</f>
        <v>1</v>
      </c>
      <c r="G1417" s="2" t="str">
        <f>IFERROR(__xludf.DUMMYFUNCTION("""COMPUTED_VALUE"""),"PR008")</f>
        <v>PR008</v>
      </c>
      <c r="H1417" s="2" t="str">
        <f>IFERROR(__xludf.DUMMYFUNCTION("""COMPUTED_VALUE"""),"VD043")</f>
        <v>VD043</v>
      </c>
      <c r="I1417" s="2">
        <f>IFERROR(__xludf.DUMMYFUNCTION("""COMPUTED_VALUE"""),8.0)</f>
        <v>8</v>
      </c>
      <c r="J1417" s="2">
        <f>IFERROR(__xludf.DUMMYFUNCTION("""COMPUTED_VALUE"""),726.39)</f>
        <v>726.39</v>
      </c>
      <c r="K1417" s="2">
        <f>IFERROR(__xludf.DUMMYFUNCTION("""COMPUTED_VALUE"""),726.39)</f>
        <v>726.39</v>
      </c>
    </row>
    <row r="1418">
      <c r="A1418" s="2">
        <f>IFERROR(__xludf.DUMMYFUNCTION("""COMPUTED_VALUE"""),2000.0)</f>
        <v>2000</v>
      </c>
      <c r="B1418" s="2">
        <f>IFERROR(__xludf.DUMMYFUNCTION("""COMPUTED_VALUE"""),184488.0)</f>
        <v>184488</v>
      </c>
      <c r="C1418" s="2">
        <f>IFERROR(__xludf.DUMMYFUNCTION("""COMPUTED_VALUE"""),2026.0)</f>
        <v>2026</v>
      </c>
      <c r="D1418" s="2">
        <f>IFERROR(__xludf.DUMMYFUNCTION("""COMPUTED_VALUE"""),46091.0)</f>
        <v>46091</v>
      </c>
      <c r="E1418" s="2" t="str">
        <f>IFERROR(__xludf.DUMMYFUNCTION("""COMPUTED_VALUE"""),"VF")</f>
        <v>VF</v>
      </c>
      <c r="F1418" s="2">
        <f>IFERROR(__xludf.DUMMYFUNCTION("""COMPUTED_VALUE"""),1.0)</f>
        <v>1</v>
      </c>
      <c r="G1418" s="2" t="str">
        <f>IFERROR(__xludf.DUMMYFUNCTION("""COMPUTED_VALUE"""),"PR053")</f>
        <v>PR053</v>
      </c>
      <c r="H1418" s="2" t="str">
        <f>IFERROR(__xludf.DUMMYFUNCTION("""COMPUTED_VALUE"""),"VD037")</f>
        <v>VD037</v>
      </c>
      <c r="I1418" s="2">
        <f>IFERROR(__xludf.DUMMYFUNCTION("""COMPUTED_VALUE"""),8.0)</f>
        <v>8</v>
      </c>
      <c r="J1418" s="2">
        <f>IFERROR(__xludf.DUMMYFUNCTION("""COMPUTED_VALUE"""),415.17)</f>
        <v>415.17</v>
      </c>
      <c r="K1418" s="2">
        <f>IFERROR(__xludf.DUMMYFUNCTION("""COMPUTED_VALUE"""),415.17)</f>
        <v>415.17</v>
      </c>
    </row>
    <row r="1419">
      <c r="A1419" s="2">
        <f>IFERROR(__xludf.DUMMYFUNCTION("""COMPUTED_VALUE"""),2000.0)</f>
        <v>2000</v>
      </c>
      <c r="B1419" s="2">
        <f>IFERROR(__xludf.DUMMYFUNCTION("""COMPUTED_VALUE"""),184489.0)</f>
        <v>184489</v>
      </c>
      <c r="C1419" s="2">
        <f>IFERROR(__xludf.DUMMYFUNCTION("""COMPUTED_VALUE"""),2026.0)</f>
        <v>2026</v>
      </c>
      <c r="D1419" s="2">
        <f>IFERROR(__xludf.DUMMYFUNCTION("""COMPUTED_VALUE"""),46091.0)</f>
        <v>46091</v>
      </c>
      <c r="E1419" s="2" t="str">
        <f>IFERROR(__xludf.DUMMYFUNCTION("""COMPUTED_VALUE"""),"VF")</f>
        <v>VF</v>
      </c>
      <c r="F1419" s="2">
        <f>IFERROR(__xludf.DUMMYFUNCTION("""COMPUTED_VALUE"""),1.0)</f>
        <v>1</v>
      </c>
      <c r="G1419" s="2" t="str">
        <f>IFERROR(__xludf.DUMMYFUNCTION("""COMPUTED_VALUE"""),"PR014")</f>
        <v>PR014</v>
      </c>
      <c r="H1419" s="2" t="str">
        <f>IFERROR(__xludf.DUMMYFUNCTION("""COMPUTED_VALUE"""),"VD026")</f>
        <v>VD026</v>
      </c>
      <c r="I1419" s="2">
        <f>IFERROR(__xludf.DUMMYFUNCTION("""COMPUTED_VALUE"""),3.0)</f>
        <v>3</v>
      </c>
      <c r="J1419" s="2">
        <f>IFERROR(__xludf.DUMMYFUNCTION("""COMPUTED_VALUE"""),129.28)</f>
        <v>129.28</v>
      </c>
      <c r="K1419" s="2">
        <f>IFERROR(__xludf.DUMMYFUNCTION("""COMPUTED_VALUE"""),129.28)</f>
        <v>129.28</v>
      </c>
    </row>
    <row r="1420">
      <c r="A1420" s="2">
        <f>IFERROR(__xludf.DUMMYFUNCTION("""COMPUTED_VALUE"""),1000.0)</f>
        <v>1000</v>
      </c>
      <c r="B1420" s="2">
        <f>IFERROR(__xludf.DUMMYFUNCTION("""COMPUTED_VALUE"""),184490.0)</f>
        <v>184490</v>
      </c>
      <c r="C1420" s="2">
        <f>IFERROR(__xludf.DUMMYFUNCTION("""COMPUTED_VALUE"""),2026.0)</f>
        <v>2026</v>
      </c>
      <c r="D1420" s="2">
        <f>IFERROR(__xludf.DUMMYFUNCTION("""COMPUTED_VALUE"""),46091.0)</f>
        <v>46091</v>
      </c>
      <c r="E1420" s="2" t="str">
        <f>IFERROR(__xludf.DUMMYFUNCTION("""COMPUTED_VALUE"""),"VF")</f>
        <v>VF</v>
      </c>
      <c r="F1420" s="2">
        <f>IFERROR(__xludf.DUMMYFUNCTION("""COMPUTED_VALUE"""),1.0)</f>
        <v>1</v>
      </c>
      <c r="G1420" s="2" t="str">
        <f>IFERROR(__xludf.DUMMYFUNCTION("""COMPUTED_VALUE"""),"PR028")</f>
        <v>PR028</v>
      </c>
      <c r="H1420" s="2" t="str">
        <f>IFERROR(__xludf.DUMMYFUNCTION("""COMPUTED_VALUE"""),"VD015")</f>
        <v>VD015</v>
      </c>
      <c r="I1420" s="2">
        <f>IFERROR(__xludf.DUMMYFUNCTION("""COMPUTED_VALUE"""),2.0)</f>
        <v>2</v>
      </c>
      <c r="J1420" s="2">
        <f>IFERROR(__xludf.DUMMYFUNCTION("""COMPUTED_VALUE"""),544.78)</f>
        <v>544.78</v>
      </c>
      <c r="K1420" s="2">
        <f>IFERROR(__xludf.DUMMYFUNCTION("""COMPUTED_VALUE"""),544.78)</f>
        <v>544.78</v>
      </c>
    </row>
    <row r="1421">
      <c r="A1421" s="2">
        <f>IFERROR(__xludf.DUMMYFUNCTION("""COMPUTED_VALUE"""),2000.0)</f>
        <v>2000</v>
      </c>
      <c r="B1421" s="2">
        <f>IFERROR(__xludf.DUMMYFUNCTION("""COMPUTED_VALUE"""),184491.0)</f>
        <v>184491</v>
      </c>
      <c r="C1421" s="2">
        <f>IFERROR(__xludf.DUMMYFUNCTION("""COMPUTED_VALUE"""),2026.0)</f>
        <v>2026</v>
      </c>
      <c r="D1421" s="2">
        <f>IFERROR(__xludf.DUMMYFUNCTION("""COMPUTED_VALUE"""),46091.0)</f>
        <v>46091</v>
      </c>
      <c r="E1421" s="2" t="str">
        <f>IFERROR(__xludf.DUMMYFUNCTION("""COMPUTED_VALUE"""),"VF")</f>
        <v>VF</v>
      </c>
      <c r="F1421" s="2">
        <f>IFERROR(__xludf.DUMMYFUNCTION("""COMPUTED_VALUE"""),1.0)</f>
        <v>1</v>
      </c>
      <c r="G1421" s="2" t="str">
        <f>IFERROR(__xludf.DUMMYFUNCTION("""COMPUTED_VALUE"""),"PR059")</f>
        <v>PR059</v>
      </c>
      <c r="H1421" s="2" t="str">
        <f>IFERROR(__xludf.DUMMYFUNCTION("""COMPUTED_VALUE"""),"VD028")</f>
        <v>VD028</v>
      </c>
      <c r="I1421" s="2">
        <f>IFERROR(__xludf.DUMMYFUNCTION("""COMPUTED_VALUE"""),8.0)</f>
        <v>8</v>
      </c>
      <c r="J1421" s="2">
        <f>IFERROR(__xludf.DUMMYFUNCTION("""COMPUTED_VALUE"""),1440.0)</f>
        <v>1440</v>
      </c>
      <c r="K1421" s="2">
        <f>IFERROR(__xludf.DUMMYFUNCTION("""COMPUTED_VALUE"""),1440.0)</f>
        <v>1440</v>
      </c>
    </row>
    <row r="1422">
      <c r="A1422" s="2">
        <f>IFERROR(__xludf.DUMMYFUNCTION("""COMPUTED_VALUE"""),1000.0)</f>
        <v>1000</v>
      </c>
      <c r="B1422" s="2">
        <f>IFERROR(__xludf.DUMMYFUNCTION("""COMPUTED_VALUE"""),184492.0)</f>
        <v>184492</v>
      </c>
      <c r="C1422" s="2">
        <f>IFERROR(__xludf.DUMMYFUNCTION("""COMPUTED_VALUE"""),2026.0)</f>
        <v>2026</v>
      </c>
      <c r="D1422" s="2">
        <f>IFERROR(__xludf.DUMMYFUNCTION("""COMPUTED_VALUE"""),46090.0)</f>
        <v>46090</v>
      </c>
      <c r="E1422" s="2" t="str">
        <f>IFERROR(__xludf.DUMMYFUNCTION("""COMPUTED_VALUE"""),"VF")</f>
        <v>VF</v>
      </c>
      <c r="F1422" s="2">
        <f>IFERROR(__xludf.DUMMYFUNCTION("""COMPUTED_VALUE"""),1.0)</f>
        <v>1</v>
      </c>
      <c r="G1422" s="2" t="str">
        <f>IFERROR(__xludf.DUMMYFUNCTION("""COMPUTED_VALUE"""),"PR053")</f>
        <v>PR053</v>
      </c>
      <c r="H1422" s="2" t="str">
        <f>IFERROR(__xludf.DUMMYFUNCTION("""COMPUTED_VALUE"""),"VD031")</f>
        <v>VD031</v>
      </c>
      <c r="I1422" s="2">
        <f>IFERROR(__xludf.DUMMYFUNCTION("""COMPUTED_VALUE"""),6.0)</f>
        <v>6</v>
      </c>
      <c r="J1422" s="2">
        <f>IFERROR(__xludf.DUMMYFUNCTION("""COMPUTED_VALUE"""),329.34)</f>
        <v>329.34</v>
      </c>
      <c r="K1422" s="2">
        <f>IFERROR(__xludf.DUMMYFUNCTION("""COMPUTED_VALUE"""),329.34)</f>
        <v>329.34</v>
      </c>
    </row>
    <row r="1423">
      <c r="A1423" s="2">
        <f>IFERROR(__xludf.DUMMYFUNCTION("""COMPUTED_VALUE"""),2000.0)</f>
        <v>2000</v>
      </c>
      <c r="B1423" s="2">
        <f>IFERROR(__xludf.DUMMYFUNCTION("""COMPUTED_VALUE"""),184493.0)</f>
        <v>184493</v>
      </c>
      <c r="C1423" s="2">
        <f>IFERROR(__xludf.DUMMYFUNCTION("""COMPUTED_VALUE"""),2026.0)</f>
        <v>2026</v>
      </c>
      <c r="D1423" s="2">
        <f>IFERROR(__xludf.DUMMYFUNCTION("""COMPUTED_VALUE"""),46090.0)</f>
        <v>46090</v>
      </c>
      <c r="E1423" s="2" t="str">
        <f>IFERROR(__xludf.DUMMYFUNCTION("""COMPUTED_VALUE"""),"VF")</f>
        <v>VF</v>
      </c>
      <c r="F1423" s="2">
        <f>IFERROR(__xludf.DUMMYFUNCTION("""COMPUTED_VALUE"""),1.0)</f>
        <v>1</v>
      </c>
      <c r="G1423" s="2" t="str">
        <f>IFERROR(__xludf.DUMMYFUNCTION("""COMPUTED_VALUE"""),"PR005")</f>
        <v>PR005</v>
      </c>
      <c r="H1423" s="2" t="str">
        <f>IFERROR(__xludf.DUMMYFUNCTION("""COMPUTED_VALUE"""),"VD046")</f>
        <v>VD046</v>
      </c>
      <c r="I1423" s="2">
        <f>IFERROR(__xludf.DUMMYFUNCTION("""COMPUTED_VALUE"""),14.0)</f>
        <v>14</v>
      </c>
      <c r="J1423" s="2">
        <f>IFERROR(__xludf.DUMMYFUNCTION("""COMPUTED_VALUE"""),3674.99)</f>
        <v>3674.99</v>
      </c>
      <c r="K1423" s="2">
        <f>IFERROR(__xludf.DUMMYFUNCTION("""COMPUTED_VALUE"""),3674.99)</f>
        <v>3674.99</v>
      </c>
    </row>
    <row r="1424">
      <c r="A1424" s="2">
        <f>IFERROR(__xludf.DUMMYFUNCTION("""COMPUTED_VALUE"""),1000.0)</f>
        <v>1000</v>
      </c>
      <c r="B1424" s="2">
        <f>IFERROR(__xludf.DUMMYFUNCTION("""COMPUTED_VALUE"""),184494.0)</f>
        <v>184494</v>
      </c>
      <c r="C1424" s="2">
        <f>IFERROR(__xludf.DUMMYFUNCTION("""COMPUTED_VALUE"""),2026.0)</f>
        <v>2026</v>
      </c>
      <c r="D1424" s="2">
        <f>IFERROR(__xludf.DUMMYFUNCTION("""COMPUTED_VALUE"""),46090.0)</f>
        <v>46090</v>
      </c>
      <c r="E1424" s="2" t="str">
        <f>IFERROR(__xludf.DUMMYFUNCTION("""COMPUTED_VALUE"""),"VF")</f>
        <v>VF</v>
      </c>
      <c r="F1424" s="2">
        <f>IFERROR(__xludf.DUMMYFUNCTION("""COMPUTED_VALUE"""),1.0)</f>
        <v>1</v>
      </c>
      <c r="G1424" s="2" t="str">
        <f>IFERROR(__xludf.DUMMYFUNCTION("""COMPUTED_VALUE"""),"PR016")</f>
        <v>PR016</v>
      </c>
      <c r="H1424" s="2" t="str">
        <f>IFERROR(__xludf.DUMMYFUNCTION("""COMPUTED_VALUE"""),"VD047")</f>
        <v>VD047</v>
      </c>
      <c r="I1424" s="2">
        <f>IFERROR(__xludf.DUMMYFUNCTION("""COMPUTED_VALUE"""),6.0)</f>
        <v>6</v>
      </c>
      <c r="J1424" s="2">
        <f>IFERROR(__xludf.DUMMYFUNCTION("""COMPUTED_VALUE"""),158.51)</f>
        <v>158.51</v>
      </c>
      <c r="K1424" s="2">
        <f>IFERROR(__xludf.DUMMYFUNCTION("""COMPUTED_VALUE"""),158.51)</f>
        <v>158.51</v>
      </c>
    </row>
    <row r="1425">
      <c r="A1425" s="2">
        <f>IFERROR(__xludf.DUMMYFUNCTION("""COMPUTED_VALUE"""),1000.0)</f>
        <v>1000</v>
      </c>
      <c r="B1425" s="2">
        <f>IFERROR(__xludf.DUMMYFUNCTION("""COMPUTED_VALUE"""),184495.0)</f>
        <v>184495</v>
      </c>
      <c r="C1425" s="2">
        <f>IFERROR(__xludf.DUMMYFUNCTION("""COMPUTED_VALUE"""),2026.0)</f>
        <v>2026</v>
      </c>
      <c r="D1425" s="2">
        <f>IFERROR(__xludf.DUMMYFUNCTION("""COMPUTED_VALUE"""),46090.0)</f>
        <v>46090</v>
      </c>
      <c r="E1425" s="2" t="str">
        <f>IFERROR(__xludf.DUMMYFUNCTION("""COMPUTED_VALUE"""),"VF")</f>
        <v>VF</v>
      </c>
      <c r="F1425" s="2">
        <f>IFERROR(__xludf.DUMMYFUNCTION("""COMPUTED_VALUE"""),1.0)</f>
        <v>1</v>
      </c>
      <c r="G1425" s="2" t="str">
        <f>IFERROR(__xludf.DUMMYFUNCTION("""COMPUTED_VALUE"""),"PR019")</f>
        <v>PR019</v>
      </c>
      <c r="H1425" s="2" t="str">
        <f>IFERROR(__xludf.DUMMYFUNCTION("""COMPUTED_VALUE"""),"VD023")</f>
        <v>VD023</v>
      </c>
      <c r="I1425" s="2">
        <f>IFERROR(__xludf.DUMMYFUNCTION("""COMPUTED_VALUE"""),8.0)</f>
        <v>8</v>
      </c>
      <c r="J1425" s="2">
        <f>IFERROR(__xludf.DUMMYFUNCTION("""COMPUTED_VALUE"""),407.18)</f>
        <v>407.18</v>
      </c>
      <c r="K1425" s="2">
        <f>IFERROR(__xludf.DUMMYFUNCTION("""COMPUTED_VALUE"""),407.18)</f>
        <v>407.18</v>
      </c>
    </row>
    <row r="1426">
      <c r="A1426" s="2">
        <f>IFERROR(__xludf.DUMMYFUNCTION("""COMPUTED_VALUE"""),1000.0)</f>
        <v>1000</v>
      </c>
      <c r="B1426" s="2">
        <f>IFERROR(__xludf.DUMMYFUNCTION("""COMPUTED_VALUE"""),184496.0)</f>
        <v>184496</v>
      </c>
      <c r="C1426" s="2">
        <f>IFERROR(__xludf.DUMMYFUNCTION("""COMPUTED_VALUE"""),2026.0)</f>
        <v>2026</v>
      </c>
      <c r="D1426" s="2">
        <f>IFERROR(__xludf.DUMMYFUNCTION("""COMPUTED_VALUE"""),46089.0)</f>
        <v>46089</v>
      </c>
      <c r="E1426" s="2" t="str">
        <f>IFERROR(__xludf.DUMMYFUNCTION("""COMPUTED_VALUE"""),"VF")</f>
        <v>VF</v>
      </c>
      <c r="F1426" s="2">
        <f>IFERROR(__xludf.DUMMYFUNCTION("""COMPUTED_VALUE"""),1.0)</f>
        <v>1</v>
      </c>
      <c r="G1426" s="2" t="str">
        <f>IFERROR(__xludf.DUMMYFUNCTION("""COMPUTED_VALUE"""),"PR049")</f>
        <v>PR049</v>
      </c>
      <c r="H1426" s="2" t="str">
        <f>IFERROR(__xludf.DUMMYFUNCTION("""COMPUTED_VALUE"""),"VD028")</f>
        <v>VD028</v>
      </c>
      <c r="I1426" s="2">
        <f>IFERROR(__xludf.DUMMYFUNCTION("""COMPUTED_VALUE"""),2.0)</f>
        <v>2</v>
      </c>
      <c r="J1426" s="2">
        <f>IFERROR(__xludf.DUMMYFUNCTION("""COMPUTED_VALUE"""),69.75)</f>
        <v>69.75</v>
      </c>
      <c r="K1426" s="2">
        <f>IFERROR(__xludf.DUMMYFUNCTION("""COMPUTED_VALUE"""),69.75)</f>
        <v>69.75</v>
      </c>
    </row>
    <row r="1427">
      <c r="A1427" s="2">
        <f>IFERROR(__xludf.DUMMYFUNCTION("""COMPUTED_VALUE"""),1000.0)</f>
        <v>1000</v>
      </c>
      <c r="B1427" s="2">
        <f>IFERROR(__xludf.DUMMYFUNCTION("""COMPUTED_VALUE"""),184496.0)</f>
        <v>184496</v>
      </c>
      <c r="C1427" s="2">
        <f>IFERROR(__xludf.DUMMYFUNCTION("""COMPUTED_VALUE"""),2026.0)</f>
        <v>2026</v>
      </c>
      <c r="D1427" s="2">
        <f>IFERROR(__xludf.DUMMYFUNCTION("""COMPUTED_VALUE"""),46089.0)</f>
        <v>46089</v>
      </c>
      <c r="E1427" s="2" t="str">
        <f>IFERROR(__xludf.DUMMYFUNCTION("""COMPUTED_VALUE"""),"VF")</f>
        <v>VF</v>
      </c>
      <c r="F1427" s="2">
        <f>IFERROR(__xludf.DUMMYFUNCTION("""COMPUTED_VALUE"""),2.0)</f>
        <v>2</v>
      </c>
      <c r="G1427" s="2" t="str">
        <f>IFERROR(__xludf.DUMMYFUNCTION("""COMPUTED_VALUE"""),"PR036")</f>
        <v>PR036</v>
      </c>
      <c r="H1427" s="2" t="str">
        <f>IFERROR(__xludf.DUMMYFUNCTION("""COMPUTED_VALUE"""),"VD043")</f>
        <v>VD043</v>
      </c>
      <c r="I1427" s="2">
        <f>IFERROR(__xludf.DUMMYFUNCTION("""COMPUTED_VALUE"""),4.0)</f>
        <v>4</v>
      </c>
      <c r="J1427" s="2">
        <f>IFERROR(__xludf.DUMMYFUNCTION("""COMPUTED_VALUE"""),381.48)</f>
        <v>381.48</v>
      </c>
      <c r="K1427" s="2">
        <f>IFERROR(__xludf.DUMMYFUNCTION("""COMPUTED_VALUE"""),381.48)</f>
        <v>381.48</v>
      </c>
    </row>
    <row r="1428">
      <c r="A1428" s="2">
        <f>IFERROR(__xludf.DUMMYFUNCTION("""COMPUTED_VALUE"""),1000.0)</f>
        <v>1000</v>
      </c>
      <c r="B1428" s="2">
        <f>IFERROR(__xludf.DUMMYFUNCTION("""COMPUTED_VALUE"""),184497.0)</f>
        <v>184497</v>
      </c>
      <c r="C1428" s="2">
        <f>IFERROR(__xludf.DUMMYFUNCTION("""COMPUTED_VALUE"""),2026.0)</f>
        <v>2026</v>
      </c>
      <c r="D1428" s="2">
        <f>IFERROR(__xludf.DUMMYFUNCTION("""COMPUTED_VALUE"""),46088.0)</f>
        <v>46088</v>
      </c>
      <c r="E1428" s="2" t="str">
        <f>IFERROR(__xludf.DUMMYFUNCTION("""COMPUTED_VALUE"""),"VF")</f>
        <v>VF</v>
      </c>
      <c r="F1428" s="2">
        <f>IFERROR(__xludf.DUMMYFUNCTION("""COMPUTED_VALUE"""),1.0)</f>
        <v>1</v>
      </c>
      <c r="G1428" s="2" t="str">
        <f>IFERROR(__xludf.DUMMYFUNCTION("""COMPUTED_VALUE"""),"PR027")</f>
        <v>PR027</v>
      </c>
      <c r="H1428" s="2" t="str">
        <f>IFERROR(__xludf.DUMMYFUNCTION("""COMPUTED_VALUE"""),"VD019")</f>
        <v>VD019</v>
      </c>
      <c r="I1428" s="2">
        <f>IFERROR(__xludf.DUMMYFUNCTION("""COMPUTED_VALUE"""),1.0)</f>
        <v>1</v>
      </c>
      <c r="J1428" s="2">
        <f>IFERROR(__xludf.DUMMYFUNCTION("""COMPUTED_VALUE"""),122.4)</f>
        <v>122.4</v>
      </c>
      <c r="K1428" s="2">
        <f>IFERROR(__xludf.DUMMYFUNCTION("""COMPUTED_VALUE"""),122.4)</f>
        <v>122.4</v>
      </c>
    </row>
    <row r="1429">
      <c r="A1429" s="2">
        <f>IFERROR(__xludf.DUMMYFUNCTION("""COMPUTED_VALUE"""),1000.0)</f>
        <v>1000</v>
      </c>
      <c r="B1429" s="2">
        <f>IFERROR(__xludf.DUMMYFUNCTION("""COMPUTED_VALUE"""),184498.0)</f>
        <v>184498</v>
      </c>
      <c r="C1429" s="2">
        <f>IFERROR(__xludf.DUMMYFUNCTION("""COMPUTED_VALUE"""),2026.0)</f>
        <v>2026</v>
      </c>
      <c r="D1429" s="2">
        <f>IFERROR(__xludf.DUMMYFUNCTION("""COMPUTED_VALUE"""),46088.0)</f>
        <v>46088</v>
      </c>
      <c r="E1429" s="2" t="str">
        <f>IFERROR(__xludf.DUMMYFUNCTION("""COMPUTED_VALUE"""),"VF")</f>
        <v>VF</v>
      </c>
      <c r="F1429" s="2">
        <f>IFERROR(__xludf.DUMMYFUNCTION("""COMPUTED_VALUE"""),1.0)</f>
        <v>1</v>
      </c>
      <c r="G1429" s="2" t="str">
        <f>IFERROR(__xludf.DUMMYFUNCTION("""COMPUTED_VALUE"""),"PR028")</f>
        <v>PR028</v>
      </c>
      <c r="H1429" s="2" t="str">
        <f>IFERROR(__xludf.DUMMYFUNCTION("""COMPUTED_VALUE"""),"VD020")</f>
        <v>VD020</v>
      </c>
      <c r="I1429" s="2">
        <f>IFERROR(__xludf.DUMMYFUNCTION("""COMPUTED_VALUE"""),14.0)</f>
        <v>14</v>
      </c>
      <c r="J1429" s="2">
        <f>IFERROR(__xludf.DUMMYFUNCTION("""COMPUTED_VALUE"""),3533.59)</f>
        <v>3533.59</v>
      </c>
      <c r="K1429" s="2">
        <f>IFERROR(__xludf.DUMMYFUNCTION("""COMPUTED_VALUE"""),3533.59)</f>
        <v>3533.59</v>
      </c>
    </row>
    <row r="1430">
      <c r="A1430" s="2">
        <f>IFERROR(__xludf.DUMMYFUNCTION("""COMPUTED_VALUE"""),1000.0)</f>
        <v>1000</v>
      </c>
      <c r="B1430" s="2">
        <f>IFERROR(__xludf.DUMMYFUNCTION("""COMPUTED_VALUE"""),184499.0)</f>
        <v>184499</v>
      </c>
      <c r="C1430" s="2">
        <f>IFERROR(__xludf.DUMMYFUNCTION("""COMPUTED_VALUE"""),2026.0)</f>
        <v>2026</v>
      </c>
      <c r="D1430" s="2">
        <f>IFERROR(__xludf.DUMMYFUNCTION("""COMPUTED_VALUE"""),46088.0)</f>
        <v>46088</v>
      </c>
      <c r="E1430" s="2" t="str">
        <f>IFERROR(__xludf.DUMMYFUNCTION("""COMPUTED_VALUE"""),"VF")</f>
        <v>VF</v>
      </c>
      <c r="F1430" s="2">
        <f>IFERROR(__xludf.DUMMYFUNCTION("""COMPUTED_VALUE"""),1.0)</f>
        <v>1</v>
      </c>
      <c r="G1430" s="2" t="str">
        <f>IFERROR(__xludf.DUMMYFUNCTION("""COMPUTED_VALUE"""),"PR022")</f>
        <v>PR022</v>
      </c>
      <c r="H1430" s="2" t="str">
        <f>IFERROR(__xludf.DUMMYFUNCTION("""COMPUTED_VALUE"""),"VD010")</f>
        <v>VD010</v>
      </c>
      <c r="I1430" s="2">
        <f>IFERROR(__xludf.DUMMYFUNCTION("""COMPUTED_VALUE"""),20.0)</f>
        <v>20</v>
      </c>
      <c r="J1430" s="2">
        <f>IFERROR(__xludf.DUMMYFUNCTION("""COMPUTED_VALUE"""),6060.0)</f>
        <v>6060</v>
      </c>
      <c r="K1430" s="2">
        <f>IFERROR(__xludf.DUMMYFUNCTION("""COMPUTED_VALUE"""),6060.0)</f>
        <v>6060</v>
      </c>
    </row>
    <row r="1431">
      <c r="A1431" s="2">
        <f>IFERROR(__xludf.DUMMYFUNCTION("""COMPUTED_VALUE"""),2000.0)</f>
        <v>2000</v>
      </c>
      <c r="B1431" s="2">
        <f>IFERROR(__xludf.DUMMYFUNCTION("""COMPUTED_VALUE"""),184500.0)</f>
        <v>184500</v>
      </c>
      <c r="C1431" s="2">
        <f>IFERROR(__xludf.DUMMYFUNCTION("""COMPUTED_VALUE"""),2026.0)</f>
        <v>2026</v>
      </c>
      <c r="D1431" s="2">
        <f>IFERROR(__xludf.DUMMYFUNCTION("""COMPUTED_VALUE"""),46088.0)</f>
        <v>46088</v>
      </c>
      <c r="E1431" s="2" t="str">
        <f>IFERROR(__xludf.DUMMYFUNCTION("""COMPUTED_VALUE"""),"VF")</f>
        <v>VF</v>
      </c>
      <c r="F1431" s="2">
        <f>IFERROR(__xludf.DUMMYFUNCTION("""COMPUTED_VALUE"""),1.0)</f>
        <v>1</v>
      </c>
      <c r="G1431" s="2" t="str">
        <f>IFERROR(__xludf.DUMMYFUNCTION("""COMPUTED_VALUE"""),"PR059")</f>
        <v>PR059</v>
      </c>
      <c r="H1431" s="2" t="str">
        <f>IFERROR(__xludf.DUMMYFUNCTION("""COMPUTED_VALUE"""),"VD010")</f>
        <v>VD010</v>
      </c>
      <c r="I1431" s="2">
        <f>IFERROR(__xludf.DUMMYFUNCTION("""COMPUTED_VALUE"""),8.0)</f>
        <v>8</v>
      </c>
      <c r="J1431" s="2">
        <f>IFERROR(__xludf.DUMMYFUNCTION("""COMPUTED_VALUE"""),1584.0)</f>
        <v>1584</v>
      </c>
      <c r="K1431" s="2">
        <f>IFERROR(__xludf.DUMMYFUNCTION("""COMPUTED_VALUE"""),1584.0)</f>
        <v>1584</v>
      </c>
    </row>
    <row r="1432">
      <c r="A1432" s="2">
        <f>IFERROR(__xludf.DUMMYFUNCTION("""COMPUTED_VALUE"""),1000.0)</f>
        <v>1000</v>
      </c>
      <c r="B1432" s="2">
        <f>IFERROR(__xludf.DUMMYFUNCTION("""COMPUTED_VALUE"""),184501.0)</f>
        <v>184501</v>
      </c>
      <c r="C1432" s="2">
        <f>IFERROR(__xludf.DUMMYFUNCTION("""COMPUTED_VALUE"""),2026.0)</f>
        <v>2026</v>
      </c>
      <c r="D1432" s="2">
        <f>IFERROR(__xludf.DUMMYFUNCTION("""COMPUTED_VALUE"""),46087.0)</f>
        <v>46087</v>
      </c>
      <c r="E1432" s="2" t="str">
        <f>IFERROR(__xludf.DUMMYFUNCTION("""COMPUTED_VALUE"""),"VF")</f>
        <v>VF</v>
      </c>
      <c r="F1432" s="2">
        <f>IFERROR(__xludf.DUMMYFUNCTION("""COMPUTED_VALUE"""),1.0)</f>
        <v>1</v>
      </c>
      <c r="G1432" s="2" t="str">
        <f>IFERROR(__xludf.DUMMYFUNCTION("""COMPUTED_VALUE"""),"PR059")</f>
        <v>PR059</v>
      </c>
      <c r="H1432" s="2" t="str">
        <f>IFERROR(__xludf.DUMMYFUNCTION("""COMPUTED_VALUE"""),"VD029")</f>
        <v>VD029</v>
      </c>
      <c r="I1432" s="2">
        <f>IFERROR(__xludf.DUMMYFUNCTION("""COMPUTED_VALUE"""),18.0)</f>
        <v>18</v>
      </c>
      <c r="J1432" s="2">
        <f>IFERROR(__xludf.DUMMYFUNCTION("""COMPUTED_VALUE"""),3564.0)</f>
        <v>3564</v>
      </c>
      <c r="K1432" s="2">
        <f>IFERROR(__xludf.DUMMYFUNCTION("""COMPUTED_VALUE"""),3564.0)</f>
        <v>3564</v>
      </c>
    </row>
    <row r="1433">
      <c r="A1433" s="2">
        <f>IFERROR(__xludf.DUMMYFUNCTION("""COMPUTED_VALUE"""),1000.0)</f>
        <v>1000</v>
      </c>
      <c r="B1433" s="2">
        <f>IFERROR(__xludf.DUMMYFUNCTION("""COMPUTED_VALUE"""),184501.0)</f>
        <v>184501</v>
      </c>
      <c r="C1433" s="2">
        <f>IFERROR(__xludf.DUMMYFUNCTION("""COMPUTED_VALUE"""),2026.0)</f>
        <v>2026</v>
      </c>
      <c r="D1433" s="2">
        <f>IFERROR(__xludf.DUMMYFUNCTION("""COMPUTED_VALUE"""),46087.0)</f>
        <v>46087</v>
      </c>
      <c r="E1433" s="2" t="str">
        <f>IFERROR(__xludf.DUMMYFUNCTION("""COMPUTED_VALUE"""),"VF")</f>
        <v>VF</v>
      </c>
      <c r="F1433" s="2">
        <f>IFERROR(__xludf.DUMMYFUNCTION("""COMPUTED_VALUE"""),2.0)</f>
        <v>2</v>
      </c>
      <c r="G1433" s="2" t="str">
        <f>IFERROR(__xludf.DUMMYFUNCTION("""COMPUTED_VALUE"""),"PR056")</f>
        <v>PR056</v>
      </c>
      <c r="H1433" s="2" t="str">
        <f>IFERROR(__xludf.DUMMYFUNCTION("""COMPUTED_VALUE"""),"VD011")</f>
        <v>VD011</v>
      </c>
      <c r="I1433" s="2">
        <f>IFERROR(__xludf.DUMMYFUNCTION("""COMPUTED_VALUE"""),12.0)</f>
        <v>12</v>
      </c>
      <c r="J1433" s="2">
        <f>IFERROR(__xludf.DUMMYFUNCTION("""COMPUTED_VALUE"""),1121.95)</f>
        <v>1121.95</v>
      </c>
      <c r="K1433" s="2">
        <f>IFERROR(__xludf.DUMMYFUNCTION("""COMPUTED_VALUE"""),1121.95)</f>
        <v>1121.95</v>
      </c>
    </row>
    <row r="1434">
      <c r="A1434" s="2">
        <f>IFERROR(__xludf.DUMMYFUNCTION("""COMPUTED_VALUE"""),1000.0)</f>
        <v>1000</v>
      </c>
      <c r="B1434" s="2">
        <f>IFERROR(__xludf.DUMMYFUNCTION("""COMPUTED_VALUE"""),184502.0)</f>
        <v>184502</v>
      </c>
      <c r="C1434" s="2">
        <f>IFERROR(__xludf.DUMMYFUNCTION("""COMPUTED_VALUE"""),2026.0)</f>
        <v>2026</v>
      </c>
      <c r="D1434" s="2">
        <f>IFERROR(__xludf.DUMMYFUNCTION("""COMPUTED_VALUE"""),46087.0)</f>
        <v>46087</v>
      </c>
      <c r="E1434" s="2" t="str">
        <f>IFERROR(__xludf.DUMMYFUNCTION("""COMPUTED_VALUE"""),"VF")</f>
        <v>VF</v>
      </c>
      <c r="F1434" s="2">
        <f>IFERROR(__xludf.DUMMYFUNCTION("""COMPUTED_VALUE"""),1.0)</f>
        <v>1</v>
      </c>
      <c r="G1434" s="2" t="str">
        <f>IFERROR(__xludf.DUMMYFUNCTION("""COMPUTED_VALUE"""),"PR033")</f>
        <v>PR033</v>
      </c>
      <c r="H1434" s="2" t="str">
        <f>IFERROR(__xludf.DUMMYFUNCTION("""COMPUTED_VALUE"""),"VD027")</f>
        <v>VD027</v>
      </c>
      <c r="I1434" s="2">
        <f>IFERROR(__xludf.DUMMYFUNCTION("""COMPUTED_VALUE"""),6.0)</f>
        <v>6</v>
      </c>
      <c r="J1434" s="2">
        <f>IFERROR(__xludf.DUMMYFUNCTION("""COMPUTED_VALUE"""),1699.75)</f>
        <v>1699.75</v>
      </c>
      <c r="K1434" s="2">
        <f>IFERROR(__xludf.DUMMYFUNCTION("""COMPUTED_VALUE"""),1699.75)</f>
        <v>1699.75</v>
      </c>
    </row>
    <row r="1435">
      <c r="A1435" s="2">
        <f>IFERROR(__xludf.DUMMYFUNCTION("""COMPUTED_VALUE"""),1000.0)</f>
        <v>1000</v>
      </c>
      <c r="B1435" s="2">
        <f>IFERROR(__xludf.DUMMYFUNCTION("""COMPUTED_VALUE"""),184502.0)</f>
        <v>184502</v>
      </c>
      <c r="C1435" s="2">
        <f>IFERROR(__xludf.DUMMYFUNCTION("""COMPUTED_VALUE"""),2026.0)</f>
        <v>2026</v>
      </c>
      <c r="D1435" s="2">
        <f>IFERROR(__xludf.DUMMYFUNCTION("""COMPUTED_VALUE"""),46086.0)</f>
        <v>46086</v>
      </c>
      <c r="E1435" s="2" t="str">
        <f>IFERROR(__xludf.DUMMYFUNCTION("""COMPUTED_VALUE"""),"VF")</f>
        <v>VF</v>
      </c>
      <c r="F1435" s="2">
        <f>IFERROR(__xludf.DUMMYFUNCTION("""COMPUTED_VALUE"""),2.0)</f>
        <v>2</v>
      </c>
      <c r="G1435" s="2" t="str">
        <f>IFERROR(__xludf.DUMMYFUNCTION("""COMPUTED_VALUE"""),"PR021")</f>
        <v>PR021</v>
      </c>
      <c r="H1435" s="2" t="str">
        <f>IFERROR(__xludf.DUMMYFUNCTION("""COMPUTED_VALUE"""),"VD038")</f>
        <v>VD038</v>
      </c>
      <c r="I1435" s="2">
        <f>IFERROR(__xludf.DUMMYFUNCTION("""COMPUTED_VALUE"""),2.0)</f>
        <v>2</v>
      </c>
      <c r="J1435" s="2">
        <f>IFERROR(__xludf.DUMMYFUNCTION("""COMPUTED_VALUE"""),605.8)</f>
        <v>605.8</v>
      </c>
      <c r="K1435" s="2">
        <f>IFERROR(__xludf.DUMMYFUNCTION("""COMPUTED_VALUE"""),605.8)</f>
        <v>605.8</v>
      </c>
    </row>
    <row r="1436">
      <c r="A1436" s="2">
        <f>IFERROR(__xludf.DUMMYFUNCTION("""COMPUTED_VALUE"""),1000.0)</f>
        <v>1000</v>
      </c>
      <c r="B1436" s="2">
        <f>IFERROR(__xludf.DUMMYFUNCTION("""COMPUTED_VALUE"""),184503.0)</f>
        <v>184503</v>
      </c>
      <c r="C1436" s="2">
        <f>IFERROR(__xludf.DUMMYFUNCTION("""COMPUTED_VALUE"""),2026.0)</f>
        <v>2026</v>
      </c>
      <c r="D1436" s="2">
        <f>IFERROR(__xludf.DUMMYFUNCTION("""COMPUTED_VALUE"""),46086.0)</f>
        <v>46086</v>
      </c>
      <c r="E1436" s="2" t="str">
        <f>IFERROR(__xludf.DUMMYFUNCTION("""COMPUTED_VALUE"""),"VF")</f>
        <v>VF</v>
      </c>
      <c r="F1436" s="2">
        <f>IFERROR(__xludf.DUMMYFUNCTION("""COMPUTED_VALUE"""),1.0)</f>
        <v>1</v>
      </c>
      <c r="G1436" s="2" t="str">
        <f>IFERROR(__xludf.DUMMYFUNCTION("""COMPUTED_VALUE"""),"PR045")</f>
        <v>PR045</v>
      </c>
      <c r="H1436" s="2" t="str">
        <f>IFERROR(__xludf.DUMMYFUNCTION("""COMPUTED_VALUE"""),"VD018")</f>
        <v>VD018</v>
      </c>
      <c r="I1436" s="2">
        <f>IFERROR(__xludf.DUMMYFUNCTION("""COMPUTED_VALUE"""),6.0)</f>
        <v>6</v>
      </c>
      <c r="J1436" s="2">
        <f>IFERROR(__xludf.DUMMYFUNCTION("""COMPUTED_VALUE"""),443.7)</f>
        <v>443.7</v>
      </c>
      <c r="K1436" s="2">
        <f>IFERROR(__xludf.DUMMYFUNCTION("""COMPUTED_VALUE"""),443.7)</f>
        <v>443.7</v>
      </c>
    </row>
    <row r="1437">
      <c r="A1437" s="2">
        <f>IFERROR(__xludf.DUMMYFUNCTION("""COMPUTED_VALUE"""),1000.0)</f>
        <v>1000</v>
      </c>
      <c r="B1437" s="2">
        <f>IFERROR(__xludf.DUMMYFUNCTION("""COMPUTED_VALUE"""),184504.0)</f>
        <v>184504</v>
      </c>
      <c r="C1437" s="2">
        <f>IFERROR(__xludf.DUMMYFUNCTION("""COMPUTED_VALUE"""),2026.0)</f>
        <v>2026</v>
      </c>
      <c r="D1437" s="2">
        <f>IFERROR(__xludf.DUMMYFUNCTION("""COMPUTED_VALUE"""),46086.0)</f>
        <v>46086</v>
      </c>
      <c r="E1437" s="2" t="str">
        <f>IFERROR(__xludf.DUMMYFUNCTION("""COMPUTED_VALUE"""),"VF")</f>
        <v>VF</v>
      </c>
      <c r="F1437" s="2">
        <f>IFERROR(__xludf.DUMMYFUNCTION("""COMPUTED_VALUE"""),1.0)</f>
        <v>1</v>
      </c>
      <c r="G1437" s="2" t="str">
        <f>IFERROR(__xludf.DUMMYFUNCTION("""COMPUTED_VALUE"""),"PR055")</f>
        <v>PR055</v>
      </c>
      <c r="H1437" s="2" t="str">
        <f>IFERROR(__xludf.DUMMYFUNCTION("""COMPUTED_VALUE"""),"VD019")</f>
        <v>VD019</v>
      </c>
      <c r="I1437" s="2">
        <f>IFERROR(__xludf.DUMMYFUNCTION("""COMPUTED_VALUE"""),6.0)</f>
        <v>6</v>
      </c>
      <c r="J1437" s="2">
        <f>IFERROR(__xludf.DUMMYFUNCTION("""COMPUTED_VALUE"""),560.98)</f>
        <v>560.98</v>
      </c>
      <c r="K1437" s="2">
        <f>IFERROR(__xludf.DUMMYFUNCTION("""COMPUTED_VALUE"""),560.98)</f>
        <v>560.98</v>
      </c>
    </row>
    <row r="1438">
      <c r="A1438" s="2">
        <f>IFERROR(__xludf.DUMMYFUNCTION("""COMPUTED_VALUE"""),1000.0)</f>
        <v>1000</v>
      </c>
      <c r="B1438" s="2">
        <f>IFERROR(__xludf.DUMMYFUNCTION("""COMPUTED_VALUE"""),184504.0)</f>
        <v>184504</v>
      </c>
      <c r="C1438" s="2">
        <f>IFERROR(__xludf.DUMMYFUNCTION("""COMPUTED_VALUE"""),2026.0)</f>
        <v>2026</v>
      </c>
      <c r="D1438" s="2">
        <f>IFERROR(__xludf.DUMMYFUNCTION("""COMPUTED_VALUE"""),46086.0)</f>
        <v>46086</v>
      </c>
      <c r="E1438" s="2" t="str">
        <f>IFERROR(__xludf.DUMMYFUNCTION("""COMPUTED_VALUE"""),"VF")</f>
        <v>VF</v>
      </c>
      <c r="F1438" s="2">
        <f>IFERROR(__xludf.DUMMYFUNCTION("""COMPUTED_VALUE"""),2.0)</f>
        <v>2</v>
      </c>
      <c r="G1438" s="2" t="str">
        <f>IFERROR(__xludf.DUMMYFUNCTION("""COMPUTED_VALUE"""),"PR017")</f>
        <v>PR017</v>
      </c>
      <c r="H1438" s="2" t="str">
        <f>IFERROR(__xludf.DUMMYFUNCTION("""COMPUTED_VALUE"""),"VD013")</f>
        <v>VD013</v>
      </c>
      <c r="I1438" s="2">
        <f>IFERROR(__xludf.DUMMYFUNCTION("""COMPUTED_VALUE"""),9.0)</f>
        <v>9</v>
      </c>
      <c r="J1438" s="2">
        <f>IFERROR(__xludf.DUMMYFUNCTION("""COMPUTED_VALUE"""),282.56)</f>
        <v>282.56</v>
      </c>
      <c r="K1438" s="2">
        <f>IFERROR(__xludf.DUMMYFUNCTION("""COMPUTED_VALUE"""),282.56)</f>
        <v>282.56</v>
      </c>
    </row>
    <row r="1439">
      <c r="A1439" s="2">
        <f>IFERROR(__xludf.DUMMYFUNCTION("""COMPUTED_VALUE"""),1000.0)</f>
        <v>1000</v>
      </c>
      <c r="B1439" s="2">
        <f>IFERROR(__xludf.DUMMYFUNCTION("""COMPUTED_VALUE"""),184504.0)</f>
        <v>184504</v>
      </c>
      <c r="C1439" s="2">
        <f>IFERROR(__xludf.DUMMYFUNCTION("""COMPUTED_VALUE"""),2026.0)</f>
        <v>2026</v>
      </c>
      <c r="D1439" s="2">
        <f>IFERROR(__xludf.DUMMYFUNCTION("""COMPUTED_VALUE"""),46085.0)</f>
        <v>46085</v>
      </c>
      <c r="E1439" s="2" t="str">
        <f>IFERROR(__xludf.DUMMYFUNCTION("""COMPUTED_VALUE"""),"VF")</f>
        <v>VF</v>
      </c>
      <c r="F1439" s="2">
        <f>IFERROR(__xludf.DUMMYFUNCTION("""COMPUTED_VALUE"""),3.0)</f>
        <v>3</v>
      </c>
      <c r="G1439" s="2" t="str">
        <f>IFERROR(__xludf.DUMMYFUNCTION("""COMPUTED_VALUE"""),"PR039")</f>
        <v>PR039</v>
      </c>
      <c r="H1439" s="2" t="str">
        <f>IFERROR(__xludf.DUMMYFUNCTION("""COMPUTED_VALUE"""),"VD040")</f>
        <v>VD040</v>
      </c>
      <c r="I1439" s="2">
        <f>IFERROR(__xludf.DUMMYFUNCTION("""COMPUTED_VALUE"""),4.0)</f>
        <v>4</v>
      </c>
      <c r="J1439" s="2">
        <f>IFERROR(__xludf.DUMMYFUNCTION("""COMPUTED_VALUE"""),601.52)</f>
        <v>601.52</v>
      </c>
      <c r="K1439" s="2">
        <f>IFERROR(__xludf.DUMMYFUNCTION("""COMPUTED_VALUE"""),601.52)</f>
        <v>601.52</v>
      </c>
    </row>
    <row r="1440">
      <c r="A1440" s="2">
        <f>IFERROR(__xludf.DUMMYFUNCTION("""COMPUTED_VALUE"""),2000.0)</f>
        <v>2000</v>
      </c>
      <c r="B1440" s="2">
        <f>IFERROR(__xludf.DUMMYFUNCTION("""COMPUTED_VALUE"""),184505.0)</f>
        <v>184505</v>
      </c>
      <c r="C1440" s="2">
        <f>IFERROR(__xludf.DUMMYFUNCTION("""COMPUTED_VALUE"""),2026.0)</f>
        <v>2026</v>
      </c>
      <c r="D1440" s="2">
        <f>IFERROR(__xludf.DUMMYFUNCTION("""COMPUTED_VALUE"""),46085.0)</f>
        <v>46085</v>
      </c>
      <c r="E1440" s="2" t="str">
        <f>IFERROR(__xludf.DUMMYFUNCTION("""COMPUTED_VALUE"""),"VF")</f>
        <v>VF</v>
      </c>
      <c r="F1440" s="2">
        <f>IFERROR(__xludf.DUMMYFUNCTION("""COMPUTED_VALUE"""),1.0)</f>
        <v>1</v>
      </c>
      <c r="G1440" s="2" t="str">
        <f>IFERROR(__xludf.DUMMYFUNCTION("""COMPUTED_VALUE"""),"PR060")</f>
        <v>PR060</v>
      </c>
      <c r="H1440" s="2" t="str">
        <f>IFERROR(__xludf.DUMMYFUNCTION("""COMPUTED_VALUE"""),"VD037")</f>
        <v>VD037</v>
      </c>
      <c r="I1440" s="2">
        <f>IFERROR(__xludf.DUMMYFUNCTION("""COMPUTED_VALUE"""),10.0)</f>
        <v>10</v>
      </c>
      <c r="J1440" s="2">
        <f>IFERROR(__xludf.DUMMYFUNCTION("""COMPUTED_VALUE"""),1818.0)</f>
        <v>1818</v>
      </c>
      <c r="K1440" s="2">
        <f>IFERROR(__xludf.DUMMYFUNCTION("""COMPUTED_VALUE"""),1818.0)</f>
        <v>1818</v>
      </c>
    </row>
    <row r="1441">
      <c r="A1441" s="2">
        <f>IFERROR(__xludf.DUMMYFUNCTION("""COMPUTED_VALUE"""),1000.0)</f>
        <v>1000</v>
      </c>
      <c r="B1441" s="2">
        <f>IFERROR(__xludf.DUMMYFUNCTION("""COMPUTED_VALUE"""),184506.0)</f>
        <v>184506</v>
      </c>
      <c r="C1441" s="2">
        <f>IFERROR(__xludf.DUMMYFUNCTION("""COMPUTED_VALUE"""),2026.0)</f>
        <v>2026</v>
      </c>
      <c r="D1441" s="2">
        <f>IFERROR(__xludf.DUMMYFUNCTION("""COMPUTED_VALUE"""),46084.0)</f>
        <v>46084</v>
      </c>
      <c r="E1441" s="2" t="str">
        <f>IFERROR(__xludf.DUMMYFUNCTION("""COMPUTED_VALUE"""),"VF")</f>
        <v>VF</v>
      </c>
      <c r="F1441" s="2">
        <f>IFERROR(__xludf.DUMMYFUNCTION("""COMPUTED_VALUE"""),1.0)</f>
        <v>1</v>
      </c>
      <c r="G1441" s="2" t="str">
        <f>IFERROR(__xludf.DUMMYFUNCTION("""COMPUTED_VALUE"""),"PR029")</f>
        <v>PR029</v>
      </c>
      <c r="H1441" s="2" t="str">
        <f>IFERROR(__xludf.DUMMYFUNCTION("""COMPUTED_VALUE"""),"VD013")</f>
        <v>VD013</v>
      </c>
      <c r="I1441" s="2">
        <f>IFERROR(__xludf.DUMMYFUNCTION("""COMPUTED_VALUE"""),7.0)</f>
        <v>7</v>
      </c>
      <c r="J1441" s="2">
        <f>IFERROR(__xludf.DUMMYFUNCTION("""COMPUTED_VALUE"""),1963.5)</f>
        <v>1963.5</v>
      </c>
      <c r="K1441" s="2">
        <f>IFERROR(__xludf.DUMMYFUNCTION("""COMPUTED_VALUE"""),1963.5)</f>
        <v>1963.5</v>
      </c>
    </row>
    <row r="1442">
      <c r="A1442" s="2">
        <f>IFERROR(__xludf.DUMMYFUNCTION("""COMPUTED_VALUE"""),2000.0)</f>
        <v>2000</v>
      </c>
      <c r="B1442" s="2">
        <f>IFERROR(__xludf.DUMMYFUNCTION("""COMPUTED_VALUE"""),184507.0)</f>
        <v>184507</v>
      </c>
      <c r="C1442" s="2">
        <f>IFERROR(__xludf.DUMMYFUNCTION("""COMPUTED_VALUE"""),2026.0)</f>
        <v>2026</v>
      </c>
      <c r="D1442" s="2">
        <f>IFERROR(__xludf.DUMMYFUNCTION("""COMPUTED_VALUE"""),46084.0)</f>
        <v>46084</v>
      </c>
      <c r="E1442" s="2" t="str">
        <f>IFERROR(__xludf.DUMMYFUNCTION("""COMPUTED_VALUE"""),"VF")</f>
        <v>VF</v>
      </c>
      <c r="F1442" s="2">
        <f>IFERROR(__xludf.DUMMYFUNCTION("""COMPUTED_VALUE"""),1.0)</f>
        <v>1</v>
      </c>
      <c r="G1442" s="2" t="str">
        <f>IFERROR(__xludf.DUMMYFUNCTION("""COMPUTED_VALUE"""),"PR009")</f>
        <v>PR009</v>
      </c>
      <c r="H1442" s="2" t="str">
        <f>IFERROR(__xludf.DUMMYFUNCTION("""COMPUTED_VALUE"""),"VD011")</f>
        <v>VD011</v>
      </c>
      <c r="I1442" s="2">
        <f>IFERROR(__xludf.DUMMYFUNCTION("""COMPUTED_VALUE"""),14.0)</f>
        <v>14</v>
      </c>
      <c r="J1442" s="2">
        <f>IFERROR(__xludf.DUMMYFUNCTION("""COMPUTED_VALUE"""),1365.63)</f>
        <v>1365.63</v>
      </c>
      <c r="K1442" s="2">
        <f>IFERROR(__xludf.DUMMYFUNCTION("""COMPUTED_VALUE"""),1365.63)</f>
        <v>1365.63</v>
      </c>
    </row>
    <row r="1443">
      <c r="A1443" s="2">
        <f>IFERROR(__xludf.DUMMYFUNCTION("""COMPUTED_VALUE"""),1000.0)</f>
        <v>1000</v>
      </c>
      <c r="B1443" s="2">
        <f>IFERROR(__xludf.DUMMYFUNCTION("""COMPUTED_VALUE"""),184507.0)</f>
        <v>184507</v>
      </c>
      <c r="C1443" s="2">
        <f>IFERROR(__xludf.DUMMYFUNCTION("""COMPUTED_VALUE"""),2026.0)</f>
        <v>2026</v>
      </c>
      <c r="D1443" s="2">
        <f>IFERROR(__xludf.DUMMYFUNCTION("""COMPUTED_VALUE"""),46084.0)</f>
        <v>46084</v>
      </c>
      <c r="E1443" s="2" t="str">
        <f>IFERROR(__xludf.DUMMYFUNCTION("""COMPUTED_VALUE"""),"VF")</f>
        <v>VF</v>
      </c>
      <c r="F1443" s="2">
        <f>IFERROR(__xludf.DUMMYFUNCTION("""COMPUTED_VALUE"""),2.0)</f>
        <v>2</v>
      </c>
      <c r="G1443" s="2" t="str">
        <f>IFERROR(__xludf.DUMMYFUNCTION("""COMPUTED_VALUE"""),"PR050")</f>
        <v>PR050</v>
      </c>
      <c r="H1443" s="2" t="str">
        <f>IFERROR(__xludf.DUMMYFUNCTION("""COMPUTED_VALUE"""),"VD033")</f>
        <v>VD033</v>
      </c>
      <c r="I1443" s="2">
        <f>IFERROR(__xludf.DUMMYFUNCTION("""COMPUTED_VALUE"""),6.0)</f>
        <v>6</v>
      </c>
      <c r="J1443" s="2">
        <f>IFERROR(__xludf.DUMMYFUNCTION("""COMPUTED_VALUE"""),205.3)</f>
        <v>205.3</v>
      </c>
      <c r="K1443" s="2">
        <f>IFERROR(__xludf.DUMMYFUNCTION("""COMPUTED_VALUE"""),205.3)</f>
        <v>205.3</v>
      </c>
    </row>
    <row r="1444">
      <c r="A1444" s="2">
        <f>IFERROR(__xludf.DUMMYFUNCTION("""COMPUTED_VALUE"""),1000.0)</f>
        <v>1000</v>
      </c>
      <c r="B1444" s="2">
        <f>IFERROR(__xludf.DUMMYFUNCTION("""COMPUTED_VALUE"""),184508.0)</f>
        <v>184508</v>
      </c>
      <c r="C1444" s="2">
        <f>IFERROR(__xludf.DUMMYFUNCTION("""COMPUTED_VALUE"""),2026.0)</f>
        <v>2026</v>
      </c>
      <c r="D1444" s="2">
        <f>IFERROR(__xludf.DUMMYFUNCTION("""COMPUTED_VALUE"""),46084.0)</f>
        <v>46084</v>
      </c>
      <c r="E1444" s="2" t="str">
        <f>IFERROR(__xludf.DUMMYFUNCTION("""COMPUTED_VALUE"""),"VF")</f>
        <v>VF</v>
      </c>
      <c r="F1444" s="2">
        <f>IFERROR(__xludf.DUMMYFUNCTION("""COMPUTED_VALUE"""),1.0)</f>
        <v>1</v>
      </c>
      <c r="G1444" s="2" t="str">
        <f>IFERROR(__xludf.DUMMYFUNCTION("""COMPUTED_VALUE"""),"PR004")</f>
        <v>PR004</v>
      </c>
      <c r="H1444" s="2" t="str">
        <f>IFERROR(__xludf.DUMMYFUNCTION("""COMPUTED_VALUE"""),"VD021")</f>
        <v>VD021</v>
      </c>
      <c r="I1444" s="2">
        <f>IFERROR(__xludf.DUMMYFUNCTION("""COMPUTED_VALUE"""),8.0)</f>
        <v>8</v>
      </c>
      <c r="J1444" s="2">
        <f>IFERROR(__xludf.DUMMYFUNCTION("""COMPUTED_VALUE"""),1264.4)</f>
        <v>1264.4</v>
      </c>
      <c r="K1444" s="2">
        <f>IFERROR(__xludf.DUMMYFUNCTION("""COMPUTED_VALUE"""),1264.4)</f>
        <v>1264.4</v>
      </c>
    </row>
    <row r="1445">
      <c r="A1445" s="2">
        <f>IFERROR(__xludf.DUMMYFUNCTION("""COMPUTED_VALUE"""),1000.0)</f>
        <v>1000</v>
      </c>
      <c r="B1445" s="2">
        <f>IFERROR(__xludf.DUMMYFUNCTION("""COMPUTED_VALUE"""),184508.0)</f>
        <v>184508</v>
      </c>
      <c r="C1445" s="2">
        <f>IFERROR(__xludf.DUMMYFUNCTION("""COMPUTED_VALUE"""),2026.0)</f>
        <v>2026</v>
      </c>
      <c r="D1445" s="2">
        <f>IFERROR(__xludf.DUMMYFUNCTION("""COMPUTED_VALUE"""),46084.0)</f>
        <v>46084</v>
      </c>
      <c r="E1445" s="2" t="str">
        <f>IFERROR(__xludf.DUMMYFUNCTION("""COMPUTED_VALUE"""),"VF")</f>
        <v>VF</v>
      </c>
      <c r="F1445" s="2">
        <f>IFERROR(__xludf.DUMMYFUNCTION("""COMPUTED_VALUE"""),2.0)</f>
        <v>2</v>
      </c>
      <c r="G1445" s="2" t="str">
        <f>IFERROR(__xludf.DUMMYFUNCTION("""COMPUTED_VALUE"""),"PR017")</f>
        <v>PR017</v>
      </c>
      <c r="H1445" s="2" t="str">
        <f>IFERROR(__xludf.DUMMYFUNCTION("""COMPUTED_VALUE"""),"VD045")</f>
        <v>VD045</v>
      </c>
      <c r="I1445" s="2">
        <f>IFERROR(__xludf.DUMMYFUNCTION("""COMPUTED_VALUE"""),9.0)</f>
        <v>9</v>
      </c>
      <c r="J1445" s="2">
        <f>IFERROR(__xludf.DUMMYFUNCTION("""COMPUTED_VALUE"""),269.1)</f>
        <v>269.1</v>
      </c>
      <c r="K1445" s="2">
        <f>IFERROR(__xludf.DUMMYFUNCTION("""COMPUTED_VALUE"""),269.1)</f>
        <v>269.1</v>
      </c>
    </row>
    <row r="1446">
      <c r="A1446" s="2">
        <f>IFERROR(__xludf.DUMMYFUNCTION("""COMPUTED_VALUE"""),2000.0)</f>
        <v>2000</v>
      </c>
      <c r="B1446" s="2">
        <f>IFERROR(__xludf.DUMMYFUNCTION("""COMPUTED_VALUE"""),184508.0)</f>
        <v>184508</v>
      </c>
      <c r="C1446" s="2">
        <f>IFERROR(__xludf.DUMMYFUNCTION("""COMPUTED_VALUE"""),2026.0)</f>
        <v>2026</v>
      </c>
      <c r="D1446" s="2">
        <f>IFERROR(__xludf.DUMMYFUNCTION("""COMPUTED_VALUE"""),46083.0)</f>
        <v>46083</v>
      </c>
      <c r="E1446" s="2" t="str">
        <f>IFERROR(__xludf.DUMMYFUNCTION("""COMPUTED_VALUE"""),"VF")</f>
        <v>VF</v>
      </c>
      <c r="F1446" s="2">
        <f>IFERROR(__xludf.DUMMYFUNCTION("""COMPUTED_VALUE"""),3.0)</f>
        <v>3</v>
      </c>
      <c r="G1446" s="2" t="str">
        <f>IFERROR(__xludf.DUMMYFUNCTION("""COMPUTED_VALUE"""),"PR054")</f>
        <v>PR054</v>
      </c>
      <c r="H1446" s="2" t="str">
        <f>IFERROR(__xludf.DUMMYFUNCTION("""COMPUTED_VALUE"""),"VD049")</f>
        <v>VD049</v>
      </c>
      <c r="I1446" s="2">
        <f>IFERROR(__xludf.DUMMYFUNCTION("""COMPUTED_VALUE"""),8.0)</f>
        <v>8</v>
      </c>
      <c r="J1446" s="2">
        <f>IFERROR(__xludf.DUMMYFUNCTION("""COMPUTED_VALUE"""),403.19)</f>
        <v>403.19</v>
      </c>
      <c r="K1446" s="2">
        <f>IFERROR(__xludf.DUMMYFUNCTION("""COMPUTED_VALUE"""),403.19)</f>
        <v>403.19</v>
      </c>
    </row>
    <row r="1447">
      <c r="A1447" s="2">
        <f>IFERROR(__xludf.DUMMYFUNCTION("""COMPUTED_VALUE"""),1000.0)</f>
        <v>1000</v>
      </c>
      <c r="B1447" s="2">
        <f>IFERROR(__xludf.DUMMYFUNCTION("""COMPUTED_VALUE"""),184509.0)</f>
        <v>184509</v>
      </c>
      <c r="C1447" s="2">
        <f>IFERROR(__xludf.DUMMYFUNCTION("""COMPUTED_VALUE"""),2026.0)</f>
        <v>2026</v>
      </c>
      <c r="D1447" s="2">
        <f>IFERROR(__xludf.DUMMYFUNCTION("""COMPUTED_VALUE"""),46083.0)</f>
        <v>46083</v>
      </c>
      <c r="E1447" s="2" t="str">
        <f>IFERROR(__xludf.DUMMYFUNCTION("""COMPUTED_VALUE"""),"VF")</f>
        <v>VF</v>
      </c>
      <c r="F1447" s="2">
        <f>IFERROR(__xludf.DUMMYFUNCTION("""COMPUTED_VALUE"""),1.0)</f>
        <v>1</v>
      </c>
      <c r="G1447" s="2" t="str">
        <f>IFERROR(__xludf.DUMMYFUNCTION("""COMPUTED_VALUE"""),"PR028")</f>
        <v>PR028</v>
      </c>
      <c r="H1447" s="2" t="str">
        <f>IFERROR(__xludf.DUMMYFUNCTION("""COMPUTED_VALUE"""),"VD033")</f>
        <v>VD033</v>
      </c>
      <c r="I1447" s="2">
        <f>IFERROR(__xludf.DUMMYFUNCTION("""COMPUTED_VALUE"""),8.0)</f>
        <v>8</v>
      </c>
      <c r="J1447" s="2">
        <f>IFERROR(__xludf.DUMMYFUNCTION("""COMPUTED_VALUE"""),2119.15)</f>
        <v>2119.15</v>
      </c>
      <c r="K1447" s="2">
        <f>IFERROR(__xludf.DUMMYFUNCTION("""COMPUTED_VALUE"""),2119.15)</f>
        <v>2119.15</v>
      </c>
    </row>
    <row r="1448">
      <c r="A1448" s="2">
        <f>IFERROR(__xludf.DUMMYFUNCTION("""COMPUTED_VALUE"""),1000.0)</f>
        <v>1000</v>
      </c>
      <c r="B1448" s="2">
        <f>IFERROR(__xludf.DUMMYFUNCTION("""COMPUTED_VALUE"""),184510.0)</f>
        <v>184510</v>
      </c>
      <c r="C1448" s="2">
        <f>IFERROR(__xludf.DUMMYFUNCTION("""COMPUTED_VALUE"""),2026.0)</f>
        <v>2026</v>
      </c>
      <c r="D1448" s="2">
        <f>IFERROR(__xludf.DUMMYFUNCTION("""COMPUTED_VALUE"""),46082.0)</f>
        <v>46082</v>
      </c>
      <c r="E1448" s="2" t="str">
        <f>IFERROR(__xludf.DUMMYFUNCTION("""COMPUTED_VALUE"""),"VF")</f>
        <v>VF</v>
      </c>
      <c r="F1448" s="2">
        <f>IFERROR(__xludf.DUMMYFUNCTION("""COMPUTED_VALUE"""),1.0)</f>
        <v>1</v>
      </c>
      <c r="G1448" s="2" t="str">
        <f>IFERROR(__xludf.DUMMYFUNCTION("""COMPUTED_VALUE"""),"PR037")</f>
        <v>PR037</v>
      </c>
      <c r="H1448" s="2" t="str">
        <f>IFERROR(__xludf.DUMMYFUNCTION("""COMPUTED_VALUE"""),"VD024")</f>
        <v>VD024</v>
      </c>
      <c r="I1448" s="2">
        <f>IFERROR(__xludf.DUMMYFUNCTION("""COMPUTED_VALUE"""),6.0)</f>
        <v>6</v>
      </c>
      <c r="J1448" s="2">
        <f>IFERROR(__xludf.DUMMYFUNCTION("""COMPUTED_VALUE"""),924.0)</f>
        <v>924</v>
      </c>
      <c r="K1448" s="2">
        <f>IFERROR(__xludf.DUMMYFUNCTION("""COMPUTED_VALUE"""),924.0)</f>
        <v>924</v>
      </c>
    </row>
    <row r="1449">
      <c r="A1449" s="2">
        <f>IFERROR(__xludf.DUMMYFUNCTION("""COMPUTED_VALUE"""),1000.0)</f>
        <v>1000</v>
      </c>
      <c r="B1449" s="2">
        <f>IFERROR(__xludf.DUMMYFUNCTION("""COMPUTED_VALUE"""),184511.0)</f>
        <v>184511</v>
      </c>
      <c r="C1449" s="2">
        <f>IFERROR(__xludf.DUMMYFUNCTION("""COMPUTED_VALUE"""),2026.0)</f>
        <v>2026</v>
      </c>
      <c r="D1449" s="2">
        <f>IFERROR(__xludf.DUMMYFUNCTION("""COMPUTED_VALUE"""),46082.0)</f>
        <v>46082</v>
      </c>
      <c r="E1449" s="2" t="str">
        <f>IFERROR(__xludf.DUMMYFUNCTION("""COMPUTED_VALUE"""),"VF")</f>
        <v>VF</v>
      </c>
      <c r="F1449" s="2">
        <f>IFERROR(__xludf.DUMMYFUNCTION("""COMPUTED_VALUE"""),1.0)</f>
        <v>1</v>
      </c>
      <c r="G1449" s="2" t="str">
        <f>IFERROR(__xludf.DUMMYFUNCTION("""COMPUTED_VALUE"""),"PR011")</f>
        <v>PR011</v>
      </c>
      <c r="H1449" s="2" t="str">
        <f>IFERROR(__xludf.DUMMYFUNCTION("""COMPUTED_VALUE"""),"VD012")</f>
        <v>VD012</v>
      </c>
      <c r="I1449" s="2">
        <f>IFERROR(__xludf.DUMMYFUNCTION("""COMPUTED_VALUE"""),3.0)</f>
        <v>3</v>
      </c>
      <c r="J1449" s="2">
        <f>IFERROR(__xludf.DUMMYFUNCTION("""COMPUTED_VALUE"""),143.51)</f>
        <v>143.51</v>
      </c>
      <c r="K1449" s="2">
        <f>IFERROR(__xludf.DUMMYFUNCTION("""COMPUTED_VALUE"""),143.51)</f>
        <v>143.51</v>
      </c>
    </row>
    <row r="1450">
      <c r="A1450" s="2">
        <f>IFERROR(__xludf.DUMMYFUNCTION("""COMPUTED_VALUE"""),2000.0)</f>
        <v>2000</v>
      </c>
      <c r="B1450" s="2">
        <f>IFERROR(__xludf.DUMMYFUNCTION("""COMPUTED_VALUE"""),184511.0)</f>
        <v>184511</v>
      </c>
      <c r="C1450" s="2">
        <f>IFERROR(__xludf.DUMMYFUNCTION("""COMPUTED_VALUE"""),2026.0)</f>
        <v>2026</v>
      </c>
      <c r="D1450" s="2">
        <f>IFERROR(__xludf.DUMMYFUNCTION("""COMPUTED_VALUE"""),46082.0)</f>
        <v>46082</v>
      </c>
      <c r="E1450" s="2" t="str">
        <f>IFERROR(__xludf.DUMMYFUNCTION("""COMPUTED_VALUE"""),"VF")</f>
        <v>VF</v>
      </c>
      <c r="F1450" s="2">
        <f>IFERROR(__xludf.DUMMYFUNCTION("""COMPUTED_VALUE"""),2.0)</f>
        <v>2</v>
      </c>
      <c r="G1450" s="2" t="str">
        <f>IFERROR(__xludf.DUMMYFUNCTION("""COMPUTED_VALUE"""),"PR047")</f>
        <v>PR047</v>
      </c>
      <c r="H1450" s="2" t="str">
        <f>IFERROR(__xludf.DUMMYFUNCTION("""COMPUTED_VALUE"""),"VD037")</f>
        <v>VD037</v>
      </c>
      <c r="I1450" s="2">
        <f>IFERROR(__xludf.DUMMYFUNCTION("""COMPUTED_VALUE"""),6.0)</f>
        <v>6</v>
      </c>
      <c r="J1450" s="2">
        <f>IFERROR(__xludf.DUMMYFUNCTION("""COMPUTED_VALUE"""),1808.98)</f>
        <v>1808.98</v>
      </c>
      <c r="K1450" s="2">
        <f>IFERROR(__xludf.DUMMYFUNCTION("""COMPUTED_VALUE"""),1808.98)</f>
        <v>1808.98</v>
      </c>
    </row>
    <row r="1451">
      <c r="A1451" s="2">
        <f>IFERROR(__xludf.DUMMYFUNCTION("""COMPUTED_VALUE"""),1000.0)</f>
        <v>1000</v>
      </c>
      <c r="B1451" s="2">
        <f>IFERROR(__xludf.DUMMYFUNCTION("""COMPUTED_VALUE"""),184512.0)</f>
        <v>184512</v>
      </c>
      <c r="C1451" s="2">
        <f>IFERROR(__xludf.DUMMYFUNCTION("""COMPUTED_VALUE"""),2026.0)</f>
        <v>2026</v>
      </c>
      <c r="D1451" s="2">
        <f>IFERROR(__xludf.DUMMYFUNCTION("""COMPUTED_VALUE"""),46081.0)</f>
        <v>46081</v>
      </c>
      <c r="E1451" s="2" t="str">
        <f>IFERROR(__xludf.DUMMYFUNCTION("""COMPUTED_VALUE"""),"VF")</f>
        <v>VF</v>
      </c>
      <c r="F1451" s="2">
        <f>IFERROR(__xludf.DUMMYFUNCTION("""COMPUTED_VALUE"""),1.0)</f>
        <v>1</v>
      </c>
      <c r="G1451" s="2" t="str">
        <f>IFERROR(__xludf.DUMMYFUNCTION("""COMPUTED_VALUE"""),"PR036")</f>
        <v>PR036</v>
      </c>
      <c r="H1451" s="2" t="str">
        <f>IFERROR(__xludf.DUMMYFUNCTION("""COMPUTED_VALUE"""),"VD027")</f>
        <v>VD027</v>
      </c>
      <c r="I1451" s="2">
        <f>IFERROR(__xludf.DUMMYFUNCTION("""COMPUTED_VALUE"""),7.0)</f>
        <v>7</v>
      </c>
      <c r="J1451" s="2">
        <f>IFERROR(__xludf.DUMMYFUNCTION("""COMPUTED_VALUE"""),693.77)</f>
        <v>693.77</v>
      </c>
      <c r="K1451" s="2">
        <f>IFERROR(__xludf.DUMMYFUNCTION("""COMPUTED_VALUE"""),693.77)</f>
        <v>693.77</v>
      </c>
    </row>
    <row r="1452">
      <c r="A1452" s="2">
        <f>IFERROR(__xludf.DUMMYFUNCTION("""COMPUTED_VALUE"""),1000.0)</f>
        <v>1000</v>
      </c>
      <c r="B1452" s="2">
        <f>IFERROR(__xludf.DUMMYFUNCTION("""COMPUTED_VALUE"""),184513.0)</f>
        <v>184513</v>
      </c>
      <c r="C1452" s="2">
        <f>IFERROR(__xludf.DUMMYFUNCTION("""COMPUTED_VALUE"""),2026.0)</f>
        <v>2026</v>
      </c>
      <c r="D1452" s="2">
        <f>IFERROR(__xludf.DUMMYFUNCTION("""COMPUTED_VALUE"""),46081.0)</f>
        <v>46081</v>
      </c>
      <c r="E1452" s="2" t="str">
        <f>IFERROR(__xludf.DUMMYFUNCTION("""COMPUTED_VALUE"""),"VF")</f>
        <v>VF</v>
      </c>
      <c r="F1452" s="2">
        <f>IFERROR(__xludf.DUMMYFUNCTION("""COMPUTED_VALUE"""),1.0)</f>
        <v>1</v>
      </c>
      <c r="G1452" s="2" t="str">
        <f>IFERROR(__xludf.DUMMYFUNCTION("""COMPUTED_VALUE"""),"PR027")</f>
        <v>PR027</v>
      </c>
      <c r="H1452" s="2" t="str">
        <f>IFERROR(__xludf.DUMMYFUNCTION("""COMPUTED_VALUE"""),"VD034")</f>
        <v>VD034</v>
      </c>
      <c r="I1452" s="2">
        <f>IFERROR(__xludf.DUMMYFUNCTION("""COMPUTED_VALUE"""),6.0)</f>
        <v>6</v>
      </c>
      <c r="J1452" s="2">
        <f>IFERROR(__xludf.DUMMYFUNCTION("""COMPUTED_VALUE"""),720.0)</f>
        <v>720</v>
      </c>
      <c r="K1452" s="2">
        <f>IFERROR(__xludf.DUMMYFUNCTION("""COMPUTED_VALUE"""),720.0)</f>
        <v>720</v>
      </c>
    </row>
    <row r="1453">
      <c r="A1453" s="2">
        <f>IFERROR(__xludf.DUMMYFUNCTION("""COMPUTED_VALUE"""),1000.0)</f>
        <v>1000</v>
      </c>
      <c r="B1453" s="2">
        <f>IFERROR(__xludf.DUMMYFUNCTION("""COMPUTED_VALUE"""),184514.0)</f>
        <v>184514</v>
      </c>
      <c r="C1453" s="2">
        <f>IFERROR(__xludf.DUMMYFUNCTION("""COMPUTED_VALUE"""),2026.0)</f>
        <v>2026</v>
      </c>
      <c r="D1453" s="2">
        <f>IFERROR(__xludf.DUMMYFUNCTION("""COMPUTED_VALUE"""),46080.0)</f>
        <v>46080</v>
      </c>
      <c r="E1453" s="2" t="str">
        <f>IFERROR(__xludf.DUMMYFUNCTION("""COMPUTED_VALUE"""),"VF")</f>
        <v>VF</v>
      </c>
      <c r="F1453" s="2">
        <f>IFERROR(__xludf.DUMMYFUNCTION("""COMPUTED_VALUE"""),1.0)</f>
        <v>1</v>
      </c>
      <c r="G1453" s="2" t="str">
        <f>IFERROR(__xludf.DUMMYFUNCTION("""COMPUTED_VALUE"""),"PR018")</f>
        <v>PR018</v>
      </c>
      <c r="H1453" s="2" t="str">
        <f>IFERROR(__xludf.DUMMYFUNCTION("""COMPUTED_VALUE"""),"VD017")</f>
        <v>VD017</v>
      </c>
      <c r="I1453" s="2">
        <f>IFERROR(__xludf.DUMMYFUNCTION("""COMPUTED_VALUE"""),8.0)</f>
        <v>8</v>
      </c>
      <c r="J1453" s="2">
        <f>IFERROR(__xludf.DUMMYFUNCTION("""COMPUTED_VALUE"""),268.46)</f>
        <v>268.46</v>
      </c>
      <c r="K1453" s="2">
        <f>IFERROR(__xludf.DUMMYFUNCTION("""COMPUTED_VALUE"""),268.46)</f>
        <v>268.46</v>
      </c>
    </row>
    <row r="1454">
      <c r="A1454" s="2">
        <f>IFERROR(__xludf.DUMMYFUNCTION("""COMPUTED_VALUE"""),1000.0)</f>
        <v>1000</v>
      </c>
      <c r="B1454" s="2">
        <f>IFERROR(__xludf.DUMMYFUNCTION("""COMPUTED_VALUE"""),184514.0)</f>
        <v>184514</v>
      </c>
      <c r="C1454" s="2">
        <f>IFERROR(__xludf.DUMMYFUNCTION("""COMPUTED_VALUE"""),2026.0)</f>
        <v>2026</v>
      </c>
      <c r="D1454" s="2">
        <f>IFERROR(__xludf.DUMMYFUNCTION("""COMPUTED_VALUE"""),46080.0)</f>
        <v>46080</v>
      </c>
      <c r="E1454" s="2" t="str">
        <f>IFERROR(__xludf.DUMMYFUNCTION("""COMPUTED_VALUE"""),"VF")</f>
        <v>VF</v>
      </c>
      <c r="F1454" s="2">
        <f>IFERROR(__xludf.DUMMYFUNCTION("""COMPUTED_VALUE"""),2.0)</f>
        <v>2</v>
      </c>
      <c r="G1454" s="2" t="str">
        <f>IFERROR(__xludf.DUMMYFUNCTION("""COMPUTED_VALUE"""),"PR043")</f>
        <v>PR043</v>
      </c>
      <c r="H1454" s="2" t="str">
        <f>IFERROR(__xludf.DUMMYFUNCTION("""COMPUTED_VALUE"""),"VD038")</f>
        <v>VD038</v>
      </c>
      <c r="I1454" s="2">
        <f>IFERROR(__xludf.DUMMYFUNCTION("""COMPUTED_VALUE"""),14.0)</f>
        <v>14</v>
      </c>
      <c r="J1454" s="2">
        <f>IFERROR(__xludf.DUMMYFUNCTION("""COMPUTED_VALUE"""),1035.3)</f>
        <v>1035.3</v>
      </c>
      <c r="K1454" s="2">
        <f>IFERROR(__xludf.DUMMYFUNCTION("""COMPUTED_VALUE"""),1035.3)</f>
        <v>1035.3</v>
      </c>
    </row>
    <row r="1455">
      <c r="A1455" s="2">
        <f>IFERROR(__xludf.DUMMYFUNCTION("""COMPUTED_VALUE"""),1000.0)</f>
        <v>1000</v>
      </c>
      <c r="B1455" s="2">
        <f>IFERROR(__xludf.DUMMYFUNCTION("""COMPUTED_VALUE"""),184514.0)</f>
        <v>184514</v>
      </c>
      <c r="C1455" s="2">
        <f>IFERROR(__xludf.DUMMYFUNCTION("""COMPUTED_VALUE"""),2026.0)</f>
        <v>2026</v>
      </c>
      <c r="D1455" s="2">
        <f>IFERROR(__xludf.DUMMYFUNCTION("""COMPUTED_VALUE"""),46080.0)</f>
        <v>46080</v>
      </c>
      <c r="E1455" s="2" t="str">
        <f>IFERROR(__xludf.DUMMYFUNCTION("""COMPUTED_VALUE"""),"VF")</f>
        <v>VF</v>
      </c>
      <c r="F1455" s="2">
        <f>IFERROR(__xludf.DUMMYFUNCTION("""COMPUTED_VALUE"""),3.0)</f>
        <v>3</v>
      </c>
      <c r="G1455" s="2" t="str">
        <f>IFERROR(__xludf.DUMMYFUNCTION("""COMPUTED_VALUE"""),"PR023")</f>
        <v>PR023</v>
      </c>
      <c r="H1455" s="2" t="str">
        <f>IFERROR(__xludf.DUMMYFUNCTION("""COMPUTED_VALUE"""),"VD046")</f>
        <v>VD046</v>
      </c>
      <c r="I1455" s="2">
        <f>IFERROR(__xludf.DUMMYFUNCTION("""COMPUTED_VALUE"""),12.0)</f>
        <v>12</v>
      </c>
      <c r="J1455" s="2">
        <f>IFERROR(__xludf.DUMMYFUNCTION("""COMPUTED_VALUE"""),3058.78)</f>
        <v>3058.78</v>
      </c>
      <c r="K1455" s="2">
        <f>IFERROR(__xludf.DUMMYFUNCTION("""COMPUTED_VALUE"""),3058.78)</f>
        <v>3058.78</v>
      </c>
    </row>
    <row r="1456">
      <c r="A1456" s="2">
        <f>IFERROR(__xludf.DUMMYFUNCTION("""COMPUTED_VALUE"""),1000.0)</f>
        <v>1000</v>
      </c>
      <c r="B1456" s="2">
        <f>IFERROR(__xludf.DUMMYFUNCTION("""COMPUTED_VALUE"""),184515.0)</f>
        <v>184515</v>
      </c>
      <c r="C1456" s="2">
        <f>IFERROR(__xludf.DUMMYFUNCTION("""COMPUTED_VALUE"""),2026.0)</f>
        <v>2026</v>
      </c>
      <c r="D1456" s="2">
        <f>IFERROR(__xludf.DUMMYFUNCTION("""COMPUTED_VALUE"""),46079.0)</f>
        <v>46079</v>
      </c>
      <c r="E1456" s="2" t="str">
        <f>IFERROR(__xludf.DUMMYFUNCTION("""COMPUTED_VALUE"""),"VF")</f>
        <v>VF</v>
      </c>
      <c r="F1456" s="2">
        <f>IFERROR(__xludf.DUMMYFUNCTION("""COMPUTED_VALUE"""),1.0)</f>
        <v>1</v>
      </c>
      <c r="G1456" s="2" t="str">
        <f>IFERROR(__xludf.DUMMYFUNCTION("""COMPUTED_VALUE"""),"PR014")</f>
        <v>PR014</v>
      </c>
      <c r="H1456" s="2" t="str">
        <f>IFERROR(__xludf.DUMMYFUNCTION("""COMPUTED_VALUE"""),"VD019")</f>
        <v>VD019</v>
      </c>
      <c r="I1456" s="2">
        <f>IFERROR(__xludf.DUMMYFUNCTION("""COMPUTED_VALUE"""),18.0)</f>
        <v>18</v>
      </c>
      <c r="J1456" s="2">
        <f>IFERROR(__xludf.DUMMYFUNCTION("""COMPUTED_VALUE"""),718.2)</f>
        <v>718.2</v>
      </c>
      <c r="K1456" s="2">
        <f>IFERROR(__xludf.DUMMYFUNCTION("""COMPUTED_VALUE"""),718.2)</f>
        <v>718.2</v>
      </c>
    </row>
    <row r="1457">
      <c r="A1457" s="2">
        <f>IFERROR(__xludf.DUMMYFUNCTION("""COMPUTED_VALUE"""),1000.0)</f>
        <v>1000</v>
      </c>
      <c r="B1457" s="2">
        <f>IFERROR(__xludf.DUMMYFUNCTION("""COMPUTED_VALUE"""),184515.0)</f>
        <v>184515</v>
      </c>
      <c r="C1457" s="2">
        <f>IFERROR(__xludf.DUMMYFUNCTION("""COMPUTED_VALUE"""),2026.0)</f>
        <v>2026</v>
      </c>
      <c r="D1457" s="2">
        <f>IFERROR(__xludf.DUMMYFUNCTION("""COMPUTED_VALUE"""),46079.0)</f>
        <v>46079</v>
      </c>
      <c r="E1457" s="2" t="str">
        <f>IFERROR(__xludf.DUMMYFUNCTION("""COMPUTED_VALUE"""),"VF")</f>
        <v>VF</v>
      </c>
      <c r="F1457" s="2">
        <f>IFERROR(__xludf.DUMMYFUNCTION("""COMPUTED_VALUE"""),2.0)</f>
        <v>2</v>
      </c>
      <c r="G1457" s="2" t="str">
        <f>IFERROR(__xludf.DUMMYFUNCTION("""COMPUTED_VALUE"""),"PR028")</f>
        <v>PR028</v>
      </c>
      <c r="H1457" s="2" t="str">
        <f>IFERROR(__xludf.DUMMYFUNCTION("""COMPUTED_VALUE"""),"VD029")</f>
        <v>VD029</v>
      </c>
      <c r="I1457" s="2">
        <f>IFERROR(__xludf.DUMMYFUNCTION("""COMPUTED_VALUE"""),9.0)</f>
        <v>9</v>
      </c>
      <c r="J1457" s="2">
        <f>IFERROR(__xludf.DUMMYFUNCTION("""COMPUTED_VALUE"""),2406.54)</f>
        <v>2406.54</v>
      </c>
      <c r="K1457" s="2">
        <f>IFERROR(__xludf.DUMMYFUNCTION("""COMPUTED_VALUE"""),2406.54)</f>
        <v>2406.54</v>
      </c>
    </row>
    <row r="1458">
      <c r="A1458" s="2">
        <f>IFERROR(__xludf.DUMMYFUNCTION("""COMPUTED_VALUE"""),1000.0)</f>
        <v>1000</v>
      </c>
      <c r="B1458" s="2">
        <f>IFERROR(__xludf.DUMMYFUNCTION("""COMPUTED_VALUE"""),184516.0)</f>
        <v>184516</v>
      </c>
      <c r="C1458" s="2">
        <f>IFERROR(__xludf.DUMMYFUNCTION("""COMPUTED_VALUE"""),2026.0)</f>
        <v>2026</v>
      </c>
      <c r="D1458" s="2">
        <f>IFERROR(__xludf.DUMMYFUNCTION("""COMPUTED_VALUE"""),46078.0)</f>
        <v>46078</v>
      </c>
      <c r="E1458" s="2" t="str">
        <f>IFERROR(__xludf.DUMMYFUNCTION("""COMPUTED_VALUE"""),"VF")</f>
        <v>VF</v>
      </c>
      <c r="F1458" s="2">
        <f>IFERROR(__xludf.DUMMYFUNCTION("""COMPUTED_VALUE"""),1.0)</f>
        <v>1</v>
      </c>
      <c r="G1458" s="2" t="str">
        <f>IFERROR(__xludf.DUMMYFUNCTION("""COMPUTED_VALUE"""),"PR054")</f>
        <v>PR054</v>
      </c>
      <c r="H1458" s="2" t="str">
        <f>IFERROR(__xludf.DUMMYFUNCTION("""COMPUTED_VALUE"""),"VD015")</f>
        <v>VD015</v>
      </c>
      <c r="I1458" s="2">
        <f>IFERROR(__xludf.DUMMYFUNCTION("""COMPUTED_VALUE"""),2.0)</f>
        <v>2</v>
      </c>
      <c r="J1458" s="2">
        <f>IFERROR(__xludf.DUMMYFUNCTION("""COMPUTED_VALUE"""),100.8)</f>
        <v>100.8</v>
      </c>
      <c r="K1458" s="2">
        <f>IFERROR(__xludf.DUMMYFUNCTION("""COMPUTED_VALUE"""),100.8)</f>
        <v>100.8</v>
      </c>
    </row>
    <row r="1459">
      <c r="A1459" s="2">
        <f>IFERROR(__xludf.DUMMYFUNCTION("""COMPUTED_VALUE"""),1000.0)</f>
        <v>1000</v>
      </c>
      <c r="B1459" s="2">
        <f>IFERROR(__xludf.DUMMYFUNCTION("""COMPUTED_VALUE"""),184517.0)</f>
        <v>184517</v>
      </c>
      <c r="C1459" s="2">
        <f>IFERROR(__xludf.DUMMYFUNCTION("""COMPUTED_VALUE"""),2026.0)</f>
        <v>2026</v>
      </c>
      <c r="D1459" s="2">
        <f>IFERROR(__xludf.DUMMYFUNCTION("""COMPUTED_VALUE"""),46078.0)</f>
        <v>46078</v>
      </c>
      <c r="E1459" s="2" t="str">
        <f>IFERROR(__xludf.DUMMYFUNCTION("""COMPUTED_VALUE"""),"VF")</f>
        <v>VF</v>
      </c>
      <c r="F1459" s="2">
        <f>IFERROR(__xludf.DUMMYFUNCTION("""COMPUTED_VALUE"""),1.0)</f>
        <v>1</v>
      </c>
      <c r="G1459" s="2" t="str">
        <f>IFERROR(__xludf.DUMMYFUNCTION("""COMPUTED_VALUE"""),"PR010")</f>
        <v>PR010</v>
      </c>
      <c r="H1459" s="2" t="str">
        <f>IFERROR(__xludf.DUMMYFUNCTION("""COMPUTED_VALUE"""),"VD018")</f>
        <v>VD018</v>
      </c>
      <c r="I1459" s="2">
        <f>IFERROR(__xludf.DUMMYFUNCTION("""COMPUTED_VALUE"""),10.0)</f>
        <v>10</v>
      </c>
      <c r="J1459" s="2">
        <f>IFERROR(__xludf.DUMMYFUNCTION("""COMPUTED_VALUE"""),475.94)</f>
        <v>475.94</v>
      </c>
      <c r="K1459" s="2">
        <f>IFERROR(__xludf.DUMMYFUNCTION("""COMPUTED_VALUE"""),475.94)</f>
        <v>475.94</v>
      </c>
    </row>
    <row r="1460">
      <c r="A1460" s="2">
        <f>IFERROR(__xludf.DUMMYFUNCTION("""COMPUTED_VALUE"""),1000.0)</f>
        <v>1000</v>
      </c>
      <c r="B1460" s="2">
        <f>IFERROR(__xludf.DUMMYFUNCTION("""COMPUTED_VALUE"""),184518.0)</f>
        <v>184518</v>
      </c>
      <c r="C1460" s="2">
        <f>IFERROR(__xludf.DUMMYFUNCTION("""COMPUTED_VALUE"""),2026.0)</f>
        <v>2026</v>
      </c>
      <c r="D1460" s="2">
        <f>IFERROR(__xludf.DUMMYFUNCTION("""COMPUTED_VALUE"""),46078.0)</f>
        <v>46078</v>
      </c>
      <c r="E1460" s="2" t="str">
        <f>IFERROR(__xludf.DUMMYFUNCTION("""COMPUTED_VALUE"""),"VF")</f>
        <v>VF</v>
      </c>
      <c r="F1460" s="2">
        <f>IFERROR(__xludf.DUMMYFUNCTION("""COMPUTED_VALUE"""),1.0)</f>
        <v>1</v>
      </c>
      <c r="G1460" s="2" t="str">
        <f>IFERROR(__xludf.DUMMYFUNCTION("""COMPUTED_VALUE"""),"PR042")</f>
        <v>PR042</v>
      </c>
      <c r="H1460" s="2" t="str">
        <f>IFERROR(__xludf.DUMMYFUNCTION("""COMPUTED_VALUE"""),"VD026")</f>
        <v>VD026</v>
      </c>
      <c r="I1460" s="2">
        <f>IFERROR(__xludf.DUMMYFUNCTION("""COMPUTED_VALUE"""),3.0)</f>
        <v>3</v>
      </c>
      <c r="J1460" s="2">
        <f>IFERROR(__xludf.DUMMYFUNCTION("""COMPUTED_VALUE"""),164.7)</f>
        <v>164.7</v>
      </c>
      <c r="K1460" s="2">
        <f>IFERROR(__xludf.DUMMYFUNCTION("""COMPUTED_VALUE"""),164.7)</f>
        <v>164.7</v>
      </c>
    </row>
    <row r="1461">
      <c r="A1461" s="2">
        <f>IFERROR(__xludf.DUMMYFUNCTION("""COMPUTED_VALUE"""),1000.0)</f>
        <v>1000</v>
      </c>
      <c r="B1461" s="2">
        <f>IFERROR(__xludf.DUMMYFUNCTION("""COMPUTED_VALUE"""),184518.0)</f>
        <v>184518</v>
      </c>
      <c r="C1461" s="2">
        <f>IFERROR(__xludf.DUMMYFUNCTION("""COMPUTED_VALUE"""),2026.0)</f>
        <v>2026</v>
      </c>
      <c r="D1461" s="2">
        <f>IFERROR(__xludf.DUMMYFUNCTION("""COMPUTED_VALUE"""),46078.0)</f>
        <v>46078</v>
      </c>
      <c r="E1461" s="2" t="str">
        <f>IFERROR(__xludf.DUMMYFUNCTION("""COMPUTED_VALUE"""),"VF")</f>
        <v>VF</v>
      </c>
      <c r="F1461" s="2">
        <f>IFERROR(__xludf.DUMMYFUNCTION("""COMPUTED_VALUE"""),2.0)</f>
        <v>2</v>
      </c>
      <c r="G1461" s="2" t="str">
        <f>IFERROR(__xludf.DUMMYFUNCTION("""COMPUTED_VALUE"""),"PR039")</f>
        <v>PR039</v>
      </c>
      <c r="H1461" s="2" t="str">
        <f>IFERROR(__xludf.DUMMYFUNCTION("""COMPUTED_VALUE"""),"VD044")</f>
        <v>VD044</v>
      </c>
      <c r="I1461" s="2">
        <f>IFERROR(__xludf.DUMMYFUNCTION("""COMPUTED_VALUE"""),2.0)</f>
        <v>2</v>
      </c>
      <c r="J1461" s="2">
        <f>IFERROR(__xludf.DUMMYFUNCTION("""COMPUTED_VALUE"""),312.44)</f>
        <v>312.44</v>
      </c>
      <c r="K1461" s="2">
        <f>IFERROR(__xludf.DUMMYFUNCTION("""COMPUTED_VALUE"""),312.44)</f>
        <v>312.44</v>
      </c>
    </row>
    <row r="1462">
      <c r="A1462" s="2">
        <f>IFERROR(__xludf.DUMMYFUNCTION("""COMPUTED_VALUE"""),2000.0)</f>
        <v>2000</v>
      </c>
      <c r="B1462" s="2">
        <f>IFERROR(__xludf.DUMMYFUNCTION("""COMPUTED_VALUE"""),184519.0)</f>
        <v>184519</v>
      </c>
      <c r="C1462" s="2">
        <f>IFERROR(__xludf.DUMMYFUNCTION("""COMPUTED_VALUE"""),2026.0)</f>
        <v>2026</v>
      </c>
      <c r="D1462" s="2">
        <f>IFERROR(__xludf.DUMMYFUNCTION("""COMPUTED_VALUE"""),46078.0)</f>
        <v>46078</v>
      </c>
      <c r="E1462" s="2" t="str">
        <f>IFERROR(__xludf.DUMMYFUNCTION("""COMPUTED_VALUE"""),"VF")</f>
        <v>VF</v>
      </c>
      <c r="F1462" s="2">
        <f>IFERROR(__xludf.DUMMYFUNCTION("""COMPUTED_VALUE"""),1.0)</f>
        <v>1</v>
      </c>
      <c r="G1462" s="2" t="str">
        <f>IFERROR(__xludf.DUMMYFUNCTION("""COMPUTED_VALUE"""),"PR010")</f>
        <v>PR010</v>
      </c>
      <c r="H1462" s="2" t="str">
        <f>IFERROR(__xludf.DUMMYFUNCTION("""COMPUTED_VALUE"""),"VD047")</f>
        <v>VD047</v>
      </c>
      <c r="I1462" s="2">
        <f>IFERROR(__xludf.DUMMYFUNCTION("""COMPUTED_VALUE"""),2.0)</f>
        <v>2</v>
      </c>
      <c r="J1462" s="2">
        <f>IFERROR(__xludf.DUMMYFUNCTION("""COMPUTED_VALUE"""),91.6)</f>
        <v>91.6</v>
      </c>
      <c r="K1462" s="2">
        <f>IFERROR(__xludf.DUMMYFUNCTION("""COMPUTED_VALUE"""),91.6)</f>
        <v>91.6</v>
      </c>
    </row>
    <row r="1463">
      <c r="A1463" s="2">
        <f>IFERROR(__xludf.DUMMYFUNCTION("""COMPUTED_VALUE"""),1000.0)</f>
        <v>1000</v>
      </c>
      <c r="B1463" s="2">
        <f>IFERROR(__xludf.DUMMYFUNCTION("""COMPUTED_VALUE"""),184520.0)</f>
        <v>184520</v>
      </c>
      <c r="C1463" s="2">
        <f>IFERROR(__xludf.DUMMYFUNCTION("""COMPUTED_VALUE"""),2026.0)</f>
        <v>2026</v>
      </c>
      <c r="D1463" s="2">
        <f>IFERROR(__xludf.DUMMYFUNCTION("""COMPUTED_VALUE"""),46078.0)</f>
        <v>46078</v>
      </c>
      <c r="E1463" s="2" t="str">
        <f>IFERROR(__xludf.DUMMYFUNCTION("""COMPUTED_VALUE"""),"VF")</f>
        <v>VF</v>
      </c>
      <c r="F1463" s="2">
        <f>IFERROR(__xludf.DUMMYFUNCTION("""COMPUTED_VALUE"""),1.0)</f>
        <v>1</v>
      </c>
      <c r="G1463" s="2" t="str">
        <f>IFERROR(__xludf.DUMMYFUNCTION("""COMPUTED_VALUE"""),"PR046")</f>
        <v>PR046</v>
      </c>
      <c r="H1463" s="2" t="str">
        <f>IFERROR(__xludf.DUMMYFUNCTION("""COMPUTED_VALUE"""),"VD024")</f>
        <v>VD024</v>
      </c>
      <c r="I1463" s="2">
        <f>IFERROR(__xludf.DUMMYFUNCTION("""COMPUTED_VALUE"""),10.0)</f>
        <v>10</v>
      </c>
      <c r="J1463" s="2">
        <f>IFERROR(__xludf.DUMMYFUNCTION("""COMPUTED_VALUE"""),3043.95)</f>
        <v>3043.95</v>
      </c>
      <c r="K1463" s="2">
        <f>IFERROR(__xludf.DUMMYFUNCTION("""COMPUTED_VALUE"""),3043.95)</f>
        <v>3043.95</v>
      </c>
    </row>
    <row r="1464">
      <c r="A1464" s="2">
        <f>IFERROR(__xludf.DUMMYFUNCTION("""COMPUTED_VALUE"""),2000.0)</f>
        <v>2000</v>
      </c>
      <c r="B1464" s="2">
        <f>IFERROR(__xludf.DUMMYFUNCTION("""COMPUTED_VALUE"""),184521.0)</f>
        <v>184521</v>
      </c>
      <c r="C1464" s="2">
        <f>IFERROR(__xludf.DUMMYFUNCTION("""COMPUTED_VALUE"""),2026.0)</f>
        <v>2026</v>
      </c>
      <c r="D1464" s="2">
        <f>IFERROR(__xludf.DUMMYFUNCTION("""COMPUTED_VALUE"""),46078.0)</f>
        <v>46078</v>
      </c>
      <c r="E1464" s="2" t="str">
        <f>IFERROR(__xludf.DUMMYFUNCTION("""COMPUTED_VALUE"""),"VF")</f>
        <v>VF</v>
      </c>
      <c r="F1464" s="2">
        <f>IFERROR(__xludf.DUMMYFUNCTION("""COMPUTED_VALUE"""),1.0)</f>
        <v>1</v>
      </c>
      <c r="G1464" s="2" t="str">
        <f>IFERROR(__xludf.DUMMYFUNCTION("""COMPUTED_VALUE"""),"PR059")</f>
        <v>PR059</v>
      </c>
      <c r="H1464" s="2" t="str">
        <f>IFERROR(__xludf.DUMMYFUNCTION("""COMPUTED_VALUE"""),"VD019")</f>
        <v>VD019</v>
      </c>
      <c r="I1464" s="2">
        <f>IFERROR(__xludf.DUMMYFUNCTION("""COMPUTED_VALUE"""),7.0)</f>
        <v>7</v>
      </c>
      <c r="J1464" s="2">
        <f>IFERROR(__xludf.DUMMYFUNCTION("""COMPUTED_VALUE"""),1285.2)</f>
        <v>1285.2</v>
      </c>
      <c r="K1464" s="2">
        <f>IFERROR(__xludf.DUMMYFUNCTION("""COMPUTED_VALUE"""),1285.2)</f>
        <v>1285.2</v>
      </c>
    </row>
    <row r="1465">
      <c r="A1465" s="2">
        <f>IFERROR(__xludf.DUMMYFUNCTION("""COMPUTED_VALUE"""),1000.0)</f>
        <v>1000</v>
      </c>
      <c r="B1465" s="2">
        <f>IFERROR(__xludf.DUMMYFUNCTION("""COMPUTED_VALUE"""),184522.0)</f>
        <v>184522</v>
      </c>
      <c r="C1465" s="2">
        <f>IFERROR(__xludf.DUMMYFUNCTION("""COMPUTED_VALUE"""),2026.0)</f>
        <v>2026</v>
      </c>
      <c r="D1465" s="2">
        <f>IFERROR(__xludf.DUMMYFUNCTION("""COMPUTED_VALUE"""),46078.0)</f>
        <v>46078</v>
      </c>
      <c r="E1465" s="2" t="str">
        <f>IFERROR(__xludf.DUMMYFUNCTION("""COMPUTED_VALUE"""),"VF")</f>
        <v>VF</v>
      </c>
      <c r="F1465" s="2">
        <f>IFERROR(__xludf.DUMMYFUNCTION("""COMPUTED_VALUE"""),1.0)</f>
        <v>1</v>
      </c>
      <c r="G1465" s="2" t="str">
        <f>IFERROR(__xludf.DUMMYFUNCTION("""COMPUTED_VALUE"""),"PR048")</f>
        <v>PR048</v>
      </c>
      <c r="H1465" s="2" t="str">
        <f>IFERROR(__xludf.DUMMYFUNCTION("""COMPUTED_VALUE"""),"VD034")</f>
        <v>VD034</v>
      </c>
      <c r="I1465" s="2">
        <f>IFERROR(__xludf.DUMMYFUNCTION("""COMPUTED_VALUE"""),20.0)</f>
        <v>20</v>
      </c>
      <c r="J1465" s="2">
        <f>IFERROR(__xludf.DUMMYFUNCTION("""COMPUTED_VALUE"""),6145.88)</f>
        <v>6145.88</v>
      </c>
      <c r="K1465" s="2">
        <f>IFERROR(__xludf.DUMMYFUNCTION("""COMPUTED_VALUE"""),6145.88)</f>
        <v>6145.88</v>
      </c>
    </row>
    <row r="1466">
      <c r="A1466" s="2">
        <f>IFERROR(__xludf.DUMMYFUNCTION("""COMPUTED_VALUE"""),1000.0)</f>
        <v>1000</v>
      </c>
      <c r="B1466" s="2">
        <f>IFERROR(__xludf.DUMMYFUNCTION("""COMPUTED_VALUE"""),184523.0)</f>
        <v>184523</v>
      </c>
      <c r="C1466" s="2">
        <f>IFERROR(__xludf.DUMMYFUNCTION("""COMPUTED_VALUE"""),2026.0)</f>
        <v>2026</v>
      </c>
      <c r="D1466" s="2">
        <f>IFERROR(__xludf.DUMMYFUNCTION("""COMPUTED_VALUE"""),46077.0)</f>
        <v>46077</v>
      </c>
      <c r="E1466" s="2" t="str">
        <f>IFERROR(__xludf.DUMMYFUNCTION("""COMPUTED_VALUE"""),"VF")</f>
        <v>VF</v>
      </c>
      <c r="F1466" s="2">
        <f>IFERROR(__xludf.DUMMYFUNCTION("""COMPUTED_VALUE"""),1.0)</f>
        <v>1</v>
      </c>
      <c r="G1466" s="2" t="str">
        <f>IFERROR(__xludf.DUMMYFUNCTION("""COMPUTED_VALUE"""),"PR047")</f>
        <v>PR047</v>
      </c>
      <c r="H1466" s="2" t="str">
        <f>IFERROR(__xludf.DUMMYFUNCTION("""COMPUTED_VALUE"""),"VD048")</f>
        <v>VD048</v>
      </c>
      <c r="I1466" s="2">
        <f>IFERROR(__xludf.DUMMYFUNCTION("""COMPUTED_VALUE"""),10.0)</f>
        <v>10</v>
      </c>
      <c r="J1466" s="2">
        <f>IFERROR(__xludf.DUMMYFUNCTION("""COMPUTED_VALUE"""),3159.91)</f>
        <v>3159.91</v>
      </c>
      <c r="K1466" s="2">
        <f>IFERROR(__xludf.DUMMYFUNCTION("""COMPUTED_VALUE"""),3159.91)</f>
        <v>3159.91</v>
      </c>
    </row>
    <row r="1467">
      <c r="A1467" s="2">
        <f>IFERROR(__xludf.DUMMYFUNCTION("""COMPUTED_VALUE"""),1000.0)</f>
        <v>1000</v>
      </c>
      <c r="B1467" s="2">
        <f>IFERROR(__xludf.DUMMYFUNCTION("""COMPUTED_VALUE"""),184524.0)</f>
        <v>184524</v>
      </c>
      <c r="C1467" s="2">
        <f>IFERROR(__xludf.DUMMYFUNCTION("""COMPUTED_VALUE"""),2026.0)</f>
        <v>2026</v>
      </c>
      <c r="D1467" s="2">
        <f>IFERROR(__xludf.DUMMYFUNCTION("""COMPUTED_VALUE"""),46077.0)</f>
        <v>46077</v>
      </c>
      <c r="E1467" s="2" t="str">
        <f>IFERROR(__xludf.DUMMYFUNCTION("""COMPUTED_VALUE"""),"VF")</f>
        <v>VF</v>
      </c>
      <c r="F1467" s="2">
        <f>IFERROR(__xludf.DUMMYFUNCTION("""COMPUTED_VALUE"""),1.0)</f>
        <v>1</v>
      </c>
      <c r="G1467" s="2" t="str">
        <f>IFERROR(__xludf.DUMMYFUNCTION("""COMPUTED_VALUE"""),"PR029")</f>
        <v>PR029</v>
      </c>
      <c r="H1467" s="2" t="str">
        <f>IFERROR(__xludf.DUMMYFUNCTION("""COMPUTED_VALUE"""),"VD014")</f>
        <v>VD014</v>
      </c>
      <c r="I1467" s="2">
        <f>IFERROR(__xludf.DUMMYFUNCTION("""COMPUTED_VALUE"""),9.0)</f>
        <v>9</v>
      </c>
      <c r="J1467" s="2">
        <f>IFERROR(__xludf.DUMMYFUNCTION("""COMPUTED_VALUE"""),2340.9)</f>
        <v>2340.9</v>
      </c>
      <c r="K1467" s="2">
        <f>IFERROR(__xludf.DUMMYFUNCTION("""COMPUTED_VALUE"""),2340.9)</f>
        <v>2340.9</v>
      </c>
    </row>
    <row r="1468">
      <c r="A1468" s="2">
        <f>IFERROR(__xludf.DUMMYFUNCTION("""COMPUTED_VALUE"""),1000.0)</f>
        <v>1000</v>
      </c>
      <c r="B1468" s="2">
        <f>IFERROR(__xludf.DUMMYFUNCTION("""COMPUTED_VALUE"""),184524.0)</f>
        <v>184524</v>
      </c>
      <c r="C1468" s="2">
        <f>IFERROR(__xludf.DUMMYFUNCTION("""COMPUTED_VALUE"""),2026.0)</f>
        <v>2026</v>
      </c>
      <c r="D1468" s="2">
        <f>IFERROR(__xludf.DUMMYFUNCTION("""COMPUTED_VALUE"""),46077.0)</f>
        <v>46077</v>
      </c>
      <c r="E1468" s="2" t="str">
        <f>IFERROR(__xludf.DUMMYFUNCTION("""COMPUTED_VALUE"""),"VF")</f>
        <v>VF</v>
      </c>
      <c r="F1468" s="2">
        <f>IFERROR(__xludf.DUMMYFUNCTION("""COMPUTED_VALUE"""),2.0)</f>
        <v>2</v>
      </c>
      <c r="G1468" s="2" t="str">
        <f>IFERROR(__xludf.DUMMYFUNCTION("""COMPUTED_VALUE"""),"PR053")</f>
        <v>PR053</v>
      </c>
      <c r="H1468" s="2" t="str">
        <f>IFERROR(__xludf.DUMMYFUNCTION("""COMPUTED_VALUE"""),"VD043")</f>
        <v>VD043</v>
      </c>
      <c r="I1468" s="2">
        <f>IFERROR(__xludf.DUMMYFUNCTION("""COMPUTED_VALUE"""),6.0)</f>
        <v>6</v>
      </c>
      <c r="J1468" s="2">
        <f>IFERROR(__xludf.DUMMYFUNCTION("""COMPUTED_VALUE"""),299.4)</f>
        <v>299.4</v>
      </c>
      <c r="K1468" s="2">
        <f>IFERROR(__xludf.DUMMYFUNCTION("""COMPUTED_VALUE"""),299.4)</f>
        <v>299.4</v>
      </c>
    </row>
    <row r="1469">
      <c r="A1469" s="2">
        <f>IFERROR(__xludf.DUMMYFUNCTION("""COMPUTED_VALUE"""),1000.0)</f>
        <v>1000</v>
      </c>
      <c r="B1469" s="2">
        <f>IFERROR(__xludf.DUMMYFUNCTION("""COMPUTED_VALUE"""),184524.0)</f>
        <v>184524</v>
      </c>
      <c r="C1469" s="2">
        <f>IFERROR(__xludf.DUMMYFUNCTION("""COMPUTED_VALUE"""),2026.0)</f>
        <v>2026</v>
      </c>
      <c r="D1469" s="2">
        <f>IFERROR(__xludf.DUMMYFUNCTION("""COMPUTED_VALUE"""),46076.0)</f>
        <v>46076</v>
      </c>
      <c r="E1469" s="2" t="str">
        <f>IFERROR(__xludf.DUMMYFUNCTION("""COMPUTED_VALUE"""),"VF")</f>
        <v>VF</v>
      </c>
      <c r="F1469" s="2">
        <f>IFERROR(__xludf.DUMMYFUNCTION("""COMPUTED_VALUE"""),3.0)</f>
        <v>3</v>
      </c>
      <c r="G1469" s="2" t="str">
        <f>IFERROR(__xludf.DUMMYFUNCTION("""COMPUTED_VALUE"""),"PR005")</f>
        <v>PR005</v>
      </c>
      <c r="H1469" s="2" t="str">
        <f>IFERROR(__xludf.DUMMYFUNCTION("""COMPUTED_VALUE"""),"VD047")</f>
        <v>VD047</v>
      </c>
      <c r="I1469" s="2">
        <f>IFERROR(__xludf.DUMMYFUNCTION("""COMPUTED_VALUE"""),2.0)</f>
        <v>2</v>
      </c>
      <c r="J1469" s="2">
        <f>IFERROR(__xludf.DUMMYFUNCTION("""COMPUTED_VALUE"""),556.19)</f>
        <v>556.19</v>
      </c>
      <c r="K1469" s="2">
        <f>IFERROR(__xludf.DUMMYFUNCTION("""COMPUTED_VALUE"""),556.19)</f>
        <v>556.19</v>
      </c>
    </row>
    <row r="1470">
      <c r="A1470" s="2">
        <f>IFERROR(__xludf.DUMMYFUNCTION("""COMPUTED_VALUE"""),1000.0)</f>
        <v>1000</v>
      </c>
      <c r="B1470" s="2">
        <f>IFERROR(__xludf.DUMMYFUNCTION("""COMPUTED_VALUE"""),184524.0)</f>
        <v>184524</v>
      </c>
      <c r="C1470" s="2">
        <f>IFERROR(__xludf.DUMMYFUNCTION("""COMPUTED_VALUE"""),2026.0)</f>
        <v>2026</v>
      </c>
      <c r="D1470" s="2">
        <f>IFERROR(__xludf.DUMMYFUNCTION("""COMPUTED_VALUE"""),46076.0)</f>
        <v>46076</v>
      </c>
      <c r="E1470" s="2" t="str">
        <f>IFERROR(__xludf.DUMMYFUNCTION("""COMPUTED_VALUE"""),"VF")</f>
        <v>VF</v>
      </c>
      <c r="F1470" s="2">
        <f>IFERROR(__xludf.DUMMYFUNCTION("""COMPUTED_VALUE"""),4.0)</f>
        <v>4</v>
      </c>
      <c r="G1470" s="2" t="str">
        <f>IFERROR(__xludf.DUMMYFUNCTION("""COMPUTED_VALUE"""),"PR039")</f>
        <v>PR039</v>
      </c>
      <c r="H1470" s="2" t="str">
        <f>IFERROR(__xludf.DUMMYFUNCTION("""COMPUTED_VALUE"""),"VD020")</f>
        <v>VD020</v>
      </c>
      <c r="I1470" s="2">
        <f>IFERROR(__xludf.DUMMYFUNCTION("""COMPUTED_VALUE"""),2.0)</f>
        <v>2</v>
      </c>
      <c r="J1470" s="2">
        <f>IFERROR(__xludf.DUMMYFUNCTION("""COMPUTED_VALUE"""),292.0)</f>
        <v>292</v>
      </c>
      <c r="K1470" s="2">
        <f>IFERROR(__xludf.DUMMYFUNCTION("""COMPUTED_VALUE"""),292.0)</f>
        <v>292</v>
      </c>
    </row>
    <row r="1471">
      <c r="A1471" s="2">
        <f>IFERROR(__xludf.DUMMYFUNCTION("""COMPUTED_VALUE"""),1000.0)</f>
        <v>1000</v>
      </c>
      <c r="B1471" s="2">
        <f>IFERROR(__xludf.DUMMYFUNCTION("""COMPUTED_VALUE"""),184525.0)</f>
        <v>184525</v>
      </c>
      <c r="C1471" s="2">
        <f>IFERROR(__xludf.DUMMYFUNCTION("""COMPUTED_VALUE"""),2026.0)</f>
        <v>2026</v>
      </c>
      <c r="D1471" s="2">
        <f>IFERROR(__xludf.DUMMYFUNCTION("""COMPUTED_VALUE"""),46075.0)</f>
        <v>46075</v>
      </c>
      <c r="E1471" s="2" t="str">
        <f>IFERROR(__xludf.DUMMYFUNCTION("""COMPUTED_VALUE"""),"VF")</f>
        <v>VF</v>
      </c>
      <c r="F1471" s="2">
        <f>IFERROR(__xludf.DUMMYFUNCTION("""COMPUTED_VALUE"""),1.0)</f>
        <v>1</v>
      </c>
      <c r="G1471" s="2" t="str">
        <f>IFERROR(__xludf.DUMMYFUNCTION("""COMPUTED_VALUE"""),"PR031")</f>
        <v>PR031</v>
      </c>
      <c r="H1471" s="2" t="str">
        <f>IFERROR(__xludf.DUMMYFUNCTION("""COMPUTED_VALUE"""),"VD031")</f>
        <v>VD031</v>
      </c>
      <c r="I1471" s="2">
        <f>IFERROR(__xludf.DUMMYFUNCTION("""COMPUTED_VALUE"""),8.0)</f>
        <v>8</v>
      </c>
      <c r="J1471" s="2">
        <f>IFERROR(__xludf.DUMMYFUNCTION("""COMPUTED_VALUE"""),2097.2)</f>
        <v>2097.2</v>
      </c>
      <c r="K1471" s="2">
        <f>IFERROR(__xludf.DUMMYFUNCTION("""COMPUTED_VALUE"""),2097.2)</f>
        <v>2097.2</v>
      </c>
    </row>
    <row r="1472">
      <c r="A1472" s="2">
        <f>IFERROR(__xludf.DUMMYFUNCTION("""COMPUTED_VALUE"""),1000.0)</f>
        <v>1000</v>
      </c>
      <c r="B1472" s="2">
        <f>IFERROR(__xludf.DUMMYFUNCTION("""COMPUTED_VALUE"""),184526.0)</f>
        <v>184526</v>
      </c>
      <c r="C1472" s="2">
        <f>IFERROR(__xludf.DUMMYFUNCTION("""COMPUTED_VALUE"""),2026.0)</f>
        <v>2026</v>
      </c>
      <c r="D1472" s="2">
        <f>IFERROR(__xludf.DUMMYFUNCTION("""COMPUTED_VALUE"""),46075.0)</f>
        <v>46075</v>
      </c>
      <c r="E1472" s="2" t="str">
        <f>IFERROR(__xludf.DUMMYFUNCTION("""COMPUTED_VALUE"""),"VF")</f>
        <v>VF</v>
      </c>
      <c r="F1472" s="2">
        <f>IFERROR(__xludf.DUMMYFUNCTION("""COMPUTED_VALUE"""),1.0)</f>
        <v>1</v>
      </c>
      <c r="G1472" s="2" t="str">
        <f>IFERROR(__xludf.DUMMYFUNCTION("""COMPUTED_VALUE"""),"PR056")</f>
        <v>PR056</v>
      </c>
      <c r="H1472" s="2" t="str">
        <f>IFERROR(__xludf.DUMMYFUNCTION("""COMPUTED_VALUE"""),"VD022")</f>
        <v>VD022</v>
      </c>
      <c r="I1472" s="2">
        <f>IFERROR(__xludf.DUMMYFUNCTION("""COMPUTED_VALUE"""),10.0)</f>
        <v>10</v>
      </c>
      <c r="J1472" s="2">
        <f>IFERROR(__xludf.DUMMYFUNCTION("""COMPUTED_VALUE"""),961.93)</f>
        <v>961.93</v>
      </c>
      <c r="K1472" s="2">
        <f>IFERROR(__xludf.DUMMYFUNCTION("""COMPUTED_VALUE"""),961.93)</f>
        <v>961.93</v>
      </c>
    </row>
    <row r="1473">
      <c r="A1473" s="2">
        <f>IFERROR(__xludf.DUMMYFUNCTION("""COMPUTED_VALUE"""),2000.0)</f>
        <v>2000</v>
      </c>
      <c r="B1473" s="2">
        <f>IFERROR(__xludf.DUMMYFUNCTION("""COMPUTED_VALUE"""),184527.0)</f>
        <v>184527</v>
      </c>
      <c r="C1473" s="2">
        <f>IFERROR(__xludf.DUMMYFUNCTION("""COMPUTED_VALUE"""),2026.0)</f>
        <v>2026</v>
      </c>
      <c r="D1473" s="2">
        <f>IFERROR(__xludf.DUMMYFUNCTION("""COMPUTED_VALUE"""),46075.0)</f>
        <v>46075</v>
      </c>
      <c r="E1473" s="2" t="str">
        <f>IFERROR(__xludf.DUMMYFUNCTION("""COMPUTED_VALUE"""),"VF")</f>
        <v>VF</v>
      </c>
      <c r="F1473" s="2">
        <f>IFERROR(__xludf.DUMMYFUNCTION("""COMPUTED_VALUE"""),1.0)</f>
        <v>1</v>
      </c>
      <c r="G1473" s="2" t="str">
        <f>IFERROR(__xludf.DUMMYFUNCTION("""COMPUTED_VALUE"""),"PR018")</f>
        <v>PR018</v>
      </c>
      <c r="H1473" s="2" t="str">
        <f>IFERROR(__xludf.DUMMYFUNCTION("""COMPUTED_VALUE"""),"VD025")</f>
        <v>VD025</v>
      </c>
      <c r="I1473" s="2">
        <f>IFERROR(__xludf.DUMMYFUNCTION("""COMPUTED_VALUE"""),2.0)</f>
        <v>2</v>
      </c>
      <c r="J1473" s="2">
        <f>IFERROR(__xludf.DUMMYFUNCTION("""COMPUTED_VALUE"""),70.41)</f>
        <v>70.41</v>
      </c>
      <c r="K1473" s="2">
        <f>IFERROR(__xludf.DUMMYFUNCTION("""COMPUTED_VALUE"""),70.41)</f>
        <v>70.41</v>
      </c>
    </row>
    <row r="1474">
      <c r="A1474" s="2">
        <f>IFERROR(__xludf.DUMMYFUNCTION("""COMPUTED_VALUE"""),1000.0)</f>
        <v>1000</v>
      </c>
      <c r="B1474" s="2">
        <f>IFERROR(__xludf.DUMMYFUNCTION("""COMPUTED_VALUE"""),184528.0)</f>
        <v>184528</v>
      </c>
      <c r="C1474" s="2">
        <f>IFERROR(__xludf.DUMMYFUNCTION("""COMPUTED_VALUE"""),2026.0)</f>
        <v>2026</v>
      </c>
      <c r="D1474" s="2">
        <f>IFERROR(__xludf.DUMMYFUNCTION("""COMPUTED_VALUE"""),46075.0)</f>
        <v>46075</v>
      </c>
      <c r="E1474" s="2" t="str">
        <f>IFERROR(__xludf.DUMMYFUNCTION("""COMPUTED_VALUE"""),"VF")</f>
        <v>VF</v>
      </c>
      <c r="F1474" s="2">
        <f>IFERROR(__xludf.DUMMYFUNCTION("""COMPUTED_VALUE"""),1.0)</f>
        <v>1</v>
      </c>
      <c r="G1474" s="2" t="str">
        <f>IFERROR(__xludf.DUMMYFUNCTION("""COMPUTED_VALUE"""),"PR055")</f>
        <v>PR055</v>
      </c>
      <c r="H1474" s="2" t="str">
        <f>IFERROR(__xludf.DUMMYFUNCTION("""COMPUTED_VALUE"""),"VD020")</f>
        <v>VD020</v>
      </c>
      <c r="I1474" s="2">
        <f>IFERROR(__xludf.DUMMYFUNCTION("""COMPUTED_VALUE"""),10.0)</f>
        <v>10</v>
      </c>
      <c r="J1474" s="2">
        <f>IFERROR(__xludf.DUMMYFUNCTION("""COMPUTED_VALUE"""),925.97)</f>
        <v>925.97</v>
      </c>
      <c r="K1474" s="2">
        <f>IFERROR(__xludf.DUMMYFUNCTION("""COMPUTED_VALUE"""),925.97)</f>
        <v>925.97</v>
      </c>
    </row>
    <row r="1475">
      <c r="A1475" s="2">
        <f>IFERROR(__xludf.DUMMYFUNCTION("""COMPUTED_VALUE"""),1000.0)</f>
        <v>1000</v>
      </c>
      <c r="B1475" s="2">
        <f>IFERROR(__xludf.DUMMYFUNCTION("""COMPUTED_VALUE"""),184529.0)</f>
        <v>184529</v>
      </c>
      <c r="C1475" s="2">
        <f>IFERROR(__xludf.DUMMYFUNCTION("""COMPUTED_VALUE"""),2026.0)</f>
        <v>2026</v>
      </c>
      <c r="D1475" s="2">
        <f>IFERROR(__xludf.DUMMYFUNCTION("""COMPUTED_VALUE"""),46074.0)</f>
        <v>46074</v>
      </c>
      <c r="E1475" s="2" t="str">
        <f>IFERROR(__xludf.DUMMYFUNCTION("""COMPUTED_VALUE"""),"VF")</f>
        <v>VF</v>
      </c>
      <c r="F1475" s="2">
        <f>IFERROR(__xludf.DUMMYFUNCTION("""COMPUTED_VALUE"""),1.0)</f>
        <v>1</v>
      </c>
      <c r="G1475" s="2" t="str">
        <f>IFERROR(__xludf.DUMMYFUNCTION("""COMPUTED_VALUE"""),"PR047")</f>
        <v>PR047</v>
      </c>
      <c r="H1475" s="2" t="str">
        <f>IFERROR(__xludf.DUMMYFUNCTION("""COMPUTED_VALUE"""),"VD046")</f>
        <v>VD046</v>
      </c>
      <c r="I1475" s="2">
        <f>IFERROR(__xludf.DUMMYFUNCTION("""COMPUTED_VALUE"""),2.0)</f>
        <v>2</v>
      </c>
      <c r="J1475" s="2">
        <f>IFERROR(__xludf.DUMMYFUNCTION("""COMPUTED_VALUE"""),585.6)</f>
        <v>585.6</v>
      </c>
      <c r="K1475" s="2">
        <f>IFERROR(__xludf.DUMMYFUNCTION("""COMPUTED_VALUE"""),585.6)</f>
        <v>585.6</v>
      </c>
    </row>
    <row r="1476">
      <c r="A1476" s="2">
        <f>IFERROR(__xludf.DUMMYFUNCTION("""COMPUTED_VALUE"""),1000.0)</f>
        <v>1000</v>
      </c>
      <c r="B1476" s="2">
        <f>IFERROR(__xludf.DUMMYFUNCTION("""COMPUTED_VALUE"""),184530.0)</f>
        <v>184530</v>
      </c>
      <c r="C1476" s="2">
        <f>IFERROR(__xludf.DUMMYFUNCTION("""COMPUTED_VALUE"""),2026.0)</f>
        <v>2026</v>
      </c>
      <c r="D1476" s="2">
        <f>IFERROR(__xludf.DUMMYFUNCTION("""COMPUTED_VALUE"""),46074.0)</f>
        <v>46074</v>
      </c>
      <c r="E1476" s="2" t="str">
        <f>IFERROR(__xludf.DUMMYFUNCTION("""COMPUTED_VALUE"""),"VF")</f>
        <v>VF</v>
      </c>
      <c r="F1476" s="2">
        <f>IFERROR(__xludf.DUMMYFUNCTION("""COMPUTED_VALUE"""),1.0)</f>
        <v>1</v>
      </c>
      <c r="G1476" s="2" t="str">
        <f>IFERROR(__xludf.DUMMYFUNCTION("""COMPUTED_VALUE"""),"PR027")</f>
        <v>PR027</v>
      </c>
      <c r="H1476" s="2" t="str">
        <f>IFERROR(__xludf.DUMMYFUNCTION("""COMPUTED_VALUE"""),"VD044")</f>
        <v>VD044</v>
      </c>
      <c r="I1476" s="2">
        <f>IFERROR(__xludf.DUMMYFUNCTION("""COMPUTED_VALUE"""),8.0)</f>
        <v>8</v>
      </c>
      <c r="J1476" s="2">
        <f>IFERROR(__xludf.DUMMYFUNCTION("""COMPUTED_VALUE"""),998.4)</f>
        <v>998.4</v>
      </c>
      <c r="K1476" s="2">
        <f>IFERROR(__xludf.DUMMYFUNCTION("""COMPUTED_VALUE"""),998.4)</f>
        <v>998.4</v>
      </c>
    </row>
    <row r="1477">
      <c r="A1477" s="2">
        <f>IFERROR(__xludf.DUMMYFUNCTION("""COMPUTED_VALUE"""),1000.0)</f>
        <v>1000</v>
      </c>
      <c r="B1477" s="2">
        <f>IFERROR(__xludf.DUMMYFUNCTION("""COMPUTED_VALUE"""),184531.0)</f>
        <v>184531</v>
      </c>
      <c r="C1477" s="2">
        <f>IFERROR(__xludf.DUMMYFUNCTION("""COMPUTED_VALUE"""),2026.0)</f>
        <v>2026</v>
      </c>
      <c r="D1477" s="2">
        <f>IFERROR(__xludf.DUMMYFUNCTION("""COMPUTED_VALUE"""),46074.0)</f>
        <v>46074</v>
      </c>
      <c r="E1477" s="2" t="str">
        <f>IFERROR(__xludf.DUMMYFUNCTION("""COMPUTED_VALUE"""),"VF")</f>
        <v>VF</v>
      </c>
      <c r="F1477" s="2">
        <f>IFERROR(__xludf.DUMMYFUNCTION("""COMPUTED_VALUE"""),1.0)</f>
        <v>1</v>
      </c>
      <c r="G1477" s="2" t="str">
        <f>IFERROR(__xludf.DUMMYFUNCTION("""COMPUTED_VALUE"""),"PR047")</f>
        <v>PR047</v>
      </c>
      <c r="H1477" s="2" t="str">
        <f>IFERROR(__xludf.DUMMYFUNCTION("""COMPUTED_VALUE"""),"VD029")</f>
        <v>VD029</v>
      </c>
      <c r="I1477" s="2">
        <f>IFERROR(__xludf.DUMMYFUNCTION("""COMPUTED_VALUE"""),5.0)</f>
        <v>5</v>
      </c>
      <c r="J1477" s="2">
        <f>IFERROR(__xludf.DUMMYFUNCTION("""COMPUTED_VALUE"""),1492.99)</f>
        <v>1492.99</v>
      </c>
      <c r="K1477" s="2">
        <f>IFERROR(__xludf.DUMMYFUNCTION("""COMPUTED_VALUE"""),1492.99)</f>
        <v>1492.99</v>
      </c>
    </row>
    <row r="1478">
      <c r="A1478" s="2">
        <f>IFERROR(__xludf.DUMMYFUNCTION("""COMPUTED_VALUE"""),2000.0)</f>
        <v>2000</v>
      </c>
      <c r="B1478" s="2">
        <f>IFERROR(__xludf.DUMMYFUNCTION("""COMPUTED_VALUE"""),184532.0)</f>
        <v>184532</v>
      </c>
      <c r="C1478" s="2">
        <f>IFERROR(__xludf.DUMMYFUNCTION("""COMPUTED_VALUE"""),2026.0)</f>
        <v>2026</v>
      </c>
      <c r="D1478" s="2">
        <f>IFERROR(__xludf.DUMMYFUNCTION("""COMPUTED_VALUE"""),46074.0)</f>
        <v>46074</v>
      </c>
      <c r="E1478" s="2" t="str">
        <f>IFERROR(__xludf.DUMMYFUNCTION("""COMPUTED_VALUE"""),"VF")</f>
        <v>VF</v>
      </c>
      <c r="F1478" s="2">
        <f>IFERROR(__xludf.DUMMYFUNCTION("""COMPUTED_VALUE"""),1.0)</f>
        <v>1</v>
      </c>
      <c r="G1478" s="2" t="str">
        <f>IFERROR(__xludf.DUMMYFUNCTION("""COMPUTED_VALUE"""),"PR022")</f>
        <v>PR022</v>
      </c>
      <c r="H1478" s="2" t="str">
        <f>IFERROR(__xludf.DUMMYFUNCTION("""COMPUTED_VALUE"""),"VD021")</f>
        <v>VD021</v>
      </c>
      <c r="I1478" s="2">
        <f>IFERROR(__xludf.DUMMYFUNCTION("""COMPUTED_VALUE"""),2.0)</f>
        <v>2</v>
      </c>
      <c r="J1478" s="2">
        <f>IFERROR(__xludf.DUMMYFUNCTION("""COMPUTED_VALUE"""),636.0)</f>
        <v>636</v>
      </c>
      <c r="K1478" s="2">
        <f>IFERROR(__xludf.DUMMYFUNCTION("""COMPUTED_VALUE"""),636.0)</f>
        <v>636</v>
      </c>
    </row>
    <row r="1479">
      <c r="A1479" s="2">
        <f>IFERROR(__xludf.DUMMYFUNCTION("""COMPUTED_VALUE"""),1000.0)</f>
        <v>1000</v>
      </c>
      <c r="B1479" s="2">
        <f>IFERROR(__xludf.DUMMYFUNCTION("""COMPUTED_VALUE"""),184532.0)</f>
        <v>184532</v>
      </c>
      <c r="C1479" s="2">
        <f>IFERROR(__xludf.DUMMYFUNCTION("""COMPUTED_VALUE"""),2026.0)</f>
        <v>2026</v>
      </c>
      <c r="D1479" s="2">
        <f>IFERROR(__xludf.DUMMYFUNCTION("""COMPUTED_VALUE"""),46073.0)</f>
        <v>46073</v>
      </c>
      <c r="E1479" s="2" t="str">
        <f>IFERROR(__xludf.DUMMYFUNCTION("""COMPUTED_VALUE"""),"VF")</f>
        <v>VF</v>
      </c>
      <c r="F1479" s="2">
        <f>IFERROR(__xludf.DUMMYFUNCTION("""COMPUTED_VALUE"""),2.0)</f>
        <v>2</v>
      </c>
      <c r="G1479" s="2" t="str">
        <f>IFERROR(__xludf.DUMMYFUNCTION("""COMPUTED_VALUE"""),"PR050")</f>
        <v>PR050</v>
      </c>
      <c r="H1479" s="2" t="str">
        <f>IFERROR(__xludf.DUMMYFUNCTION("""COMPUTED_VALUE"""),"VD010")</f>
        <v>VD010</v>
      </c>
      <c r="I1479" s="2">
        <f>IFERROR(__xludf.DUMMYFUNCTION("""COMPUTED_VALUE"""),16.0)</f>
        <v>16</v>
      </c>
      <c r="J1479" s="2">
        <f>IFERROR(__xludf.DUMMYFUNCTION("""COMPUTED_VALUE"""),573.78)</f>
        <v>573.78</v>
      </c>
      <c r="K1479" s="2">
        <f>IFERROR(__xludf.DUMMYFUNCTION("""COMPUTED_VALUE"""),573.78)</f>
        <v>573.78</v>
      </c>
    </row>
    <row r="1480">
      <c r="A1480" s="2">
        <f>IFERROR(__xludf.DUMMYFUNCTION("""COMPUTED_VALUE"""),2000.0)</f>
        <v>2000</v>
      </c>
      <c r="B1480" s="2">
        <f>IFERROR(__xludf.DUMMYFUNCTION("""COMPUTED_VALUE"""),184533.0)</f>
        <v>184533</v>
      </c>
      <c r="C1480" s="2">
        <f>IFERROR(__xludf.DUMMYFUNCTION("""COMPUTED_VALUE"""),2026.0)</f>
        <v>2026</v>
      </c>
      <c r="D1480" s="2">
        <f>IFERROR(__xludf.DUMMYFUNCTION("""COMPUTED_VALUE"""),46073.0)</f>
        <v>46073</v>
      </c>
      <c r="E1480" s="2" t="str">
        <f>IFERROR(__xludf.DUMMYFUNCTION("""COMPUTED_VALUE"""),"VF")</f>
        <v>VF</v>
      </c>
      <c r="F1480" s="2">
        <f>IFERROR(__xludf.DUMMYFUNCTION("""COMPUTED_VALUE"""),1.0)</f>
        <v>1</v>
      </c>
      <c r="G1480" s="2" t="str">
        <f>IFERROR(__xludf.DUMMYFUNCTION("""COMPUTED_VALUE"""),"PR019")</f>
        <v>PR019</v>
      </c>
      <c r="H1480" s="2" t="str">
        <f>IFERROR(__xludf.DUMMYFUNCTION("""COMPUTED_VALUE"""),"VD030")</f>
        <v>VD030</v>
      </c>
      <c r="I1480" s="2">
        <f>IFERROR(__xludf.DUMMYFUNCTION("""COMPUTED_VALUE"""),18.0)</f>
        <v>18</v>
      </c>
      <c r="J1480" s="2">
        <f>IFERROR(__xludf.DUMMYFUNCTION("""COMPUTED_VALUE"""),934.13)</f>
        <v>934.13</v>
      </c>
      <c r="K1480" s="2">
        <f>IFERROR(__xludf.DUMMYFUNCTION("""COMPUTED_VALUE"""),934.13)</f>
        <v>934.13</v>
      </c>
    </row>
    <row r="1481">
      <c r="A1481" s="2">
        <f>IFERROR(__xludf.DUMMYFUNCTION("""COMPUTED_VALUE"""),1000.0)</f>
        <v>1000</v>
      </c>
      <c r="B1481" s="2">
        <f>IFERROR(__xludf.DUMMYFUNCTION("""COMPUTED_VALUE"""),184533.0)</f>
        <v>184533</v>
      </c>
      <c r="C1481" s="2">
        <f>IFERROR(__xludf.DUMMYFUNCTION("""COMPUTED_VALUE"""),2026.0)</f>
        <v>2026</v>
      </c>
      <c r="D1481" s="2">
        <f>IFERROR(__xludf.DUMMYFUNCTION("""COMPUTED_VALUE"""),46073.0)</f>
        <v>46073</v>
      </c>
      <c r="E1481" s="2" t="str">
        <f>IFERROR(__xludf.DUMMYFUNCTION("""COMPUTED_VALUE"""),"VF")</f>
        <v>VF</v>
      </c>
      <c r="F1481" s="2">
        <f>IFERROR(__xludf.DUMMYFUNCTION("""COMPUTED_VALUE"""),2.0)</f>
        <v>2</v>
      </c>
      <c r="G1481" s="2" t="str">
        <f>IFERROR(__xludf.DUMMYFUNCTION("""COMPUTED_VALUE"""),"PR030")</f>
        <v>PR030</v>
      </c>
      <c r="H1481" s="2" t="str">
        <f>IFERROR(__xludf.DUMMYFUNCTION("""COMPUTED_VALUE"""),"VD043")</f>
        <v>VD043</v>
      </c>
      <c r="I1481" s="2">
        <f>IFERROR(__xludf.DUMMYFUNCTION("""COMPUTED_VALUE"""),18.0)</f>
        <v>18</v>
      </c>
      <c r="J1481" s="2">
        <f>IFERROR(__xludf.DUMMYFUNCTION("""COMPUTED_VALUE"""),4912.11)</f>
        <v>4912.11</v>
      </c>
      <c r="K1481" s="2">
        <f>IFERROR(__xludf.DUMMYFUNCTION("""COMPUTED_VALUE"""),4912.11)</f>
        <v>4912.11</v>
      </c>
    </row>
    <row r="1482">
      <c r="A1482" s="2">
        <f>IFERROR(__xludf.DUMMYFUNCTION("""COMPUTED_VALUE"""),2000.0)</f>
        <v>2000</v>
      </c>
      <c r="B1482" s="2">
        <f>IFERROR(__xludf.DUMMYFUNCTION("""COMPUTED_VALUE"""),184534.0)</f>
        <v>184534</v>
      </c>
      <c r="C1482" s="2">
        <f>IFERROR(__xludf.DUMMYFUNCTION("""COMPUTED_VALUE"""),2026.0)</f>
        <v>2026</v>
      </c>
      <c r="D1482" s="2">
        <f>IFERROR(__xludf.DUMMYFUNCTION("""COMPUTED_VALUE"""),46073.0)</f>
        <v>46073</v>
      </c>
      <c r="E1482" s="2" t="str">
        <f>IFERROR(__xludf.DUMMYFUNCTION("""COMPUTED_VALUE"""),"VF")</f>
        <v>VF</v>
      </c>
      <c r="F1482" s="2">
        <f>IFERROR(__xludf.DUMMYFUNCTION("""COMPUTED_VALUE"""),1.0)</f>
        <v>1</v>
      </c>
      <c r="G1482" s="2" t="str">
        <f>IFERROR(__xludf.DUMMYFUNCTION("""COMPUTED_VALUE"""),"PR030")</f>
        <v>PR030</v>
      </c>
      <c r="H1482" s="2" t="str">
        <f>IFERROR(__xludf.DUMMYFUNCTION("""COMPUTED_VALUE"""),"VD021")</f>
        <v>VD021</v>
      </c>
      <c r="I1482" s="2">
        <f>IFERROR(__xludf.DUMMYFUNCTION("""COMPUTED_VALUE"""),12.0)</f>
        <v>12</v>
      </c>
      <c r="J1482" s="2">
        <f>IFERROR(__xludf.DUMMYFUNCTION("""COMPUTED_VALUE"""),3181.18)</f>
        <v>3181.18</v>
      </c>
      <c r="K1482" s="2">
        <f>IFERROR(__xludf.DUMMYFUNCTION("""COMPUTED_VALUE"""),3181.18)</f>
        <v>3181.18</v>
      </c>
    </row>
    <row r="1483">
      <c r="A1483" s="2">
        <f>IFERROR(__xludf.DUMMYFUNCTION("""COMPUTED_VALUE"""),1000.0)</f>
        <v>1000</v>
      </c>
      <c r="B1483" s="2">
        <f>IFERROR(__xludf.DUMMYFUNCTION("""COMPUTED_VALUE"""),184534.0)</f>
        <v>184534</v>
      </c>
      <c r="C1483" s="2">
        <f>IFERROR(__xludf.DUMMYFUNCTION("""COMPUTED_VALUE"""),2026.0)</f>
        <v>2026</v>
      </c>
      <c r="D1483" s="2">
        <f>IFERROR(__xludf.DUMMYFUNCTION("""COMPUTED_VALUE"""),46073.0)</f>
        <v>46073</v>
      </c>
      <c r="E1483" s="2" t="str">
        <f>IFERROR(__xludf.DUMMYFUNCTION("""COMPUTED_VALUE"""),"VF")</f>
        <v>VF</v>
      </c>
      <c r="F1483" s="2">
        <f>IFERROR(__xludf.DUMMYFUNCTION("""COMPUTED_VALUE"""),2.0)</f>
        <v>2</v>
      </c>
      <c r="G1483" s="2" t="str">
        <f>IFERROR(__xludf.DUMMYFUNCTION("""COMPUTED_VALUE"""),"PR026")</f>
        <v>PR026</v>
      </c>
      <c r="H1483" s="2" t="str">
        <f>IFERROR(__xludf.DUMMYFUNCTION("""COMPUTED_VALUE"""),"VD043")</f>
        <v>VD043</v>
      </c>
      <c r="I1483" s="2">
        <f>IFERROR(__xludf.DUMMYFUNCTION("""COMPUTED_VALUE"""),10.0)</f>
        <v>10</v>
      </c>
      <c r="J1483" s="2">
        <f>IFERROR(__xludf.DUMMYFUNCTION("""COMPUTED_VALUE"""),3743.93)</f>
        <v>3743.93</v>
      </c>
      <c r="K1483" s="2">
        <f>IFERROR(__xludf.DUMMYFUNCTION("""COMPUTED_VALUE"""),3743.93)</f>
        <v>3743.93</v>
      </c>
    </row>
    <row r="1484">
      <c r="A1484" s="2">
        <f>IFERROR(__xludf.DUMMYFUNCTION("""COMPUTED_VALUE"""),1000.0)</f>
        <v>1000</v>
      </c>
      <c r="B1484" s="2">
        <f>IFERROR(__xludf.DUMMYFUNCTION("""COMPUTED_VALUE"""),184535.0)</f>
        <v>184535</v>
      </c>
      <c r="C1484" s="2">
        <f>IFERROR(__xludf.DUMMYFUNCTION("""COMPUTED_VALUE"""),2026.0)</f>
        <v>2026</v>
      </c>
      <c r="D1484" s="2">
        <f>IFERROR(__xludf.DUMMYFUNCTION("""COMPUTED_VALUE"""),46072.0)</f>
        <v>46072</v>
      </c>
      <c r="E1484" s="2" t="str">
        <f>IFERROR(__xludf.DUMMYFUNCTION("""COMPUTED_VALUE"""),"VF")</f>
        <v>VF</v>
      </c>
      <c r="F1484" s="2">
        <f>IFERROR(__xludf.DUMMYFUNCTION("""COMPUTED_VALUE"""),1.0)</f>
        <v>1</v>
      </c>
      <c r="G1484" s="2" t="str">
        <f>IFERROR(__xludf.DUMMYFUNCTION("""COMPUTED_VALUE"""),"PR025")</f>
        <v>PR025</v>
      </c>
      <c r="H1484" s="2" t="str">
        <f>IFERROR(__xludf.DUMMYFUNCTION("""COMPUTED_VALUE"""),"VD021")</f>
        <v>VD021</v>
      </c>
      <c r="I1484" s="2">
        <f>IFERROR(__xludf.DUMMYFUNCTION("""COMPUTED_VALUE"""),16.0)</f>
        <v>16</v>
      </c>
      <c r="J1484" s="2">
        <f>IFERROR(__xludf.DUMMYFUNCTION("""COMPUTED_VALUE"""),5182.27)</f>
        <v>5182.27</v>
      </c>
      <c r="K1484" s="2">
        <f>IFERROR(__xludf.DUMMYFUNCTION("""COMPUTED_VALUE"""),5182.27)</f>
        <v>5182.27</v>
      </c>
    </row>
    <row r="1485">
      <c r="A1485" s="2">
        <f>IFERROR(__xludf.DUMMYFUNCTION("""COMPUTED_VALUE"""),1000.0)</f>
        <v>1000</v>
      </c>
      <c r="B1485" s="2">
        <f>IFERROR(__xludf.DUMMYFUNCTION("""COMPUTED_VALUE"""),184535.0)</f>
        <v>184535</v>
      </c>
      <c r="C1485" s="2">
        <f>IFERROR(__xludf.DUMMYFUNCTION("""COMPUTED_VALUE"""),2026.0)</f>
        <v>2026</v>
      </c>
      <c r="D1485" s="2">
        <f>IFERROR(__xludf.DUMMYFUNCTION("""COMPUTED_VALUE"""),46072.0)</f>
        <v>46072</v>
      </c>
      <c r="E1485" s="2" t="str">
        <f>IFERROR(__xludf.DUMMYFUNCTION("""COMPUTED_VALUE"""),"VF")</f>
        <v>VF</v>
      </c>
      <c r="F1485" s="2">
        <f>IFERROR(__xludf.DUMMYFUNCTION("""COMPUTED_VALUE"""),2.0)</f>
        <v>2</v>
      </c>
      <c r="G1485" s="2" t="str">
        <f>IFERROR(__xludf.DUMMYFUNCTION("""COMPUTED_VALUE"""),"PR039")</f>
        <v>PR039</v>
      </c>
      <c r="H1485" s="2" t="str">
        <f>IFERROR(__xludf.DUMMYFUNCTION("""COMPUTED_VALUE"""),"VD019")</f>
        <v>VD019</v>
      </c>
      <c r="I1485" s="2">
        <f>IFERROR(__xludf.DUMMYFUNCTION("""COMPUTED_VALUE"""),20.0)</f>
        <v>20</v>
      </c>
      <c r="J1485" s="2">
        <f>IFERROR(__xludf.DUMMYFUNCTION("""COMPUTED_VALUE"""),3036.8)</f>
        <v>3036.8</v>
      </c>
      <c r="K1485" s="2">
        <f>IFERROR(__xludf.DUMMYFUNCTION("""COMPUTED_VALUE"""),3036.8)</f>
        <v>3036.8</v>
      </c>
    </row>
    <row r="1486">
      <c r="A1486" s="2">
        <f>IFERROR(__xludf.DUMMYFUNCTION("""COMPUTED_VALUE"""),1000.0)</f>
        <v>1000</v>
      </c>
      <c r="B1486" s="2">
        <f>IFERROR(__xludf.DUMMYFUNCTION("""COMPUTED_VALUE"""),184536.0)</f>
        <v>184536</v>
      </c>
      <c r="C1486" s="2">
        <f>IFERROR(__xludf.DUMMYFUNCTION("""COMPUTED_VALUE"""),2026.0)</f>
        <v>2026</v>
      </c>
      <c r="D1486" s="2">
        <f>IFERROR(__xludf.DUMMYFUNCTION("""COMPUTED_VALUE"""),46072.0)</f>
        <v>46072</v>
      </c>
      <c r="E1486" s="2" t="str">
        <f>IFERROR(__xludf.DUMMYFUNCTION("""COMPUTED_VALUE"""),"VF")</f>
        <v>VF</v>
      </c>
      <c r="F1486" s="2">
        <f>IFERROR(__xludf.DUMMYFUNCTION("""COMPUTED_VALUE"""),1.0)</f>
        <v>1</v>
      </c>
      <c r="G1486" s="2" t="str">
        <f>IFERROR(__xludf.DUMMYFUNCTION("""COMPUTED_VALUE"""),"PR046")</f>
        <v>PR046</v>
      </c>
      <c r="H1486" s="2" t="str">
        <f>IFERROR(__xludf.DUMMYFUNCTION("""COMPUTED_VALUE"""),"VD022")</f>
        <v>VD022</v>
      </c>
      <c r="I1486" s="2">
        <f>IFERROR(__xludf.DUMMYFUNCTION("""COMPUTED_VALUE"""),4.0)</f>
        <v>4</v>
      </c>
      <c r="J1486" s="2">
        <f>IFERROR(__xludf.DUMMYFUNCTION("""COMPUTED_VALUE"""),1171.2)</f>
        <v>1171.2</v>
      </c>
      <c r="K1486" s="2">
        <f>IFERROR(__xludf.DUMMYFUNCTION("""COMPUTED_VALUE"""),1171.2)</f>
        <v>1171.2</v>
      </c>
    </row>
    <row r="1487">
      <c r="A1487" s="2">
        <f>IFERROR(__xludf.DUMMYFUNCTION("""COMPUTED_VALUE"""),1000.0)</f>
        <v>1000</v>
      </c>
      <c r="B1487" s="2">
        <f>IFERROR(__xludf.DUMMYFUNCTION("""COMPUTED_VALUE"""),184536.0)</f>
        <v>184536</v>
      </c>
      <c r="C1487" s="2">
        <f>IFERROR(__xludf.DUMMYFUNCTION("""COMPUTED_VALUE"""),2026.0)</f>
        <v>2026</v>
      </c>
      <c r="D1487" s="2">
        <f>IFERROR(__xludf.DUMMYFUNCTION("""COMPUTED_VALUE"""),46072.0)</f>
        <v>46072</v>
      </c>
      <c r="E1487" s="2" t="str">
        <f>IFERROR(__xludf.DUMMYFUNCTION("""COMPUTED_VALUE"""),"VF")</f>
        <v>VF</v>
      </c>
      <c r="F1487" s="2">
        <f>IFERROR(__xludf.DUMMYFUNCTION("""COMPUTED_VALUE"""),2.0)</f>
        <v>2</v>
      </c>
      <c r="G1487" s="2" t="str">
        <f>IFERROR(__xludf.DUMMYFUNCTION("""COMPUTED_VALUE"""),"PR043")</f>
        <v>PR043</v>
      </c>
      <c r="H1487" s="2" t="str">
        <f>IFERROR(__xludf.DUMMYFUNCTION("""COMPUTED_VALUE"""),"VD016")</f>
        <v>VD016</v>
      </c>
      <c r="I1487" s="2">
        <f>IFERROR(__xludf.DUMMYFUNCTION("""COMPUTED_VALUE"""),20.0)</f>
        <v>20</v>
      </c>
      <c r="J1487" s="2">
        <f>IFERROR(__xludf.DUMMYFUNCTION("""COMPUTED_VALUE"""),1595.0)</f>
        <v>1595</v>
      </c>
      <c r="K1487" s="2">
        <f>IFERROR(__xludf.DUMMYFUNCTION("""COMPUTED_VALUE"""),1595.0)</f>
        <v>1595</v>
      </c>
    </row>
    <row r="1488">
      <c r="A1488" s="2">
        <f>IFERROR(__xludf.DUMMYFUNCTION("""COMPUTED_VALUE"""),1000.0)</f>
        <v>1000</v>
      </c>
      <c r="B1488" s="2">
        <f>IFERROR(__xludf.DUMMYFUNCTION("""COMPUTED_VALUE"""),184536.0)</f>
        <v>184536</v>
      </c>
      <c r="C1488" s="2">
        <f>IFERROR(__xludf.DUMMYFUNCTION("""COMPUTED_VALUE"""),2026.0)</f>
        <v>2026</v>
      </c>
      <c r="D1488" s="2">
        <f>IFERROR(__xludf.DUMMYFUNCTION("""COMPUTED_VALUE"""),46072.0)</f>
        <v>46072</v>
      </c>
      <c r="E1488" s="2" t="str">
        <f>IFERROR(__xludf.DUMMYFUNCTION("""COMPUTED_VALUE"""),"VF")</f>
        <v>VF</v>
      </c>
      <c r="F1488" s="2">
        <f>IFERROR(__xludf.DUMMYFUNCTION("""COMPUTED_VALUE"""),3.0)</f>
        <v>3</v>
      </c>
      <c r="G1488" s="2" t="str">
        <f>IFERROR(__xludf.DUMMYFUNCTION("""COMPUTED_VALUE"""),"PR048")</f>
        <v>PR048</v>
      </c>
      <c r="H1488" s="2" t="str">
        <f>IFERROR(__xludf.DUMMYFUNCTION("""COMPUTED_VALUE"""),"VD023")</f>
        <v>VD023</v>
      </c>
      <c r="I1488" s="2">
        <f>IFERROR(__xludf.DUMMYFUNCTION("""COMPUTED_VALUE"""),3.0)</f>
        <v>3</v>
      </c>
      <c r="J1488" s="2">
        <f>IFERROR(__xludf.DUMMYFUNCTION("""COMPUTED_VALUE"""),887.09)</f>
        <v>887.09</v>
      </c>
      <c r="K1488" s="2">
        <f>IFERROR(__xludf.DUMMYFUNCTION("""COMPUTED_VALUE"""),887.09)</f>
        <v>887.09</v>
      </c>
    </row>
    <row r="1489">
      <c r="A1489" s="2">
        <f>IFERROR(__xludf.DUMMYFUNCTION("""COMPUTED_VALUE"""),1000.0)</f>
        <v>1000</v>
      </c>
      <c r="B1489" s="2">
        <f>IFERROR(__xludf.DUMMYFUNCTION("""COMPUTED_VALUE"""),184536.0)</f>
        <v>184536</v>
      </c>
      <c r="C1489" s="2">
        <f>IFERROR(__xludf.DUMMYFUNCTION("""COMPUTED_VALUE"""),2026.0)</f>
        <v>2026</v>
      </c>
      <c r="D1489" s="2">
        <f>IFERROR(__xludf.DUMMYFUNCTION("""COMPUTED_VALUE"""),46072.0)</f>
        <v>46072</v>
      </c>
      <c r="E1489" s="2" t="str">
        <f>IFERROR(__xludf.DUMMYFUNCTION("""COMPUTED_VALUE"""),"VF")</f>
        <v>VF</v>
      </c>
      <c r="F1489" s="2">
        <f>IFERROR(__xludf.DUMMYFUNCTION("""COMPUTED_VALUE"""),4.0)</f>
        <v>4</v>
      </c>
      <c r="G1489" s="2" t="str">
        <f>IFERROR(__xludf.DUMMYFUNCTION("""COMPUTED_VALUE"""),"PR039")</f>
        <v>PR039</v>
      </c>
      <c r="H1489" s="2" t="str">
        <f>IFERROR(__xludf.DUMMYFUNCTION("""COMPUTED_VALUE"""),"VD025")</f>
        <v>VD025</v>
      </c>
      <c r="I1489" s="2">
        <f>IFERROR(__xludf.DUMMYFUNCTION("""COMPUTED_VALUE"""),10.0)</f>
        <v>10</v>
      </c>
      <c r="J1489" s="2">
        <f>IFERROR(__xludf.DUMMYFUNCTION("""COMPUTED_VALUE"""),1533.0)</f>
        <v>1533</v>
      </c>
      <c r="K1489" s="2">
        <f>IFERROR(__xludf.DUMMYFUNCTION("""COMPUTED_VALUE"""),1533.0)</f>
        <v>1533</v>
      </c>
    </row>
    <row r="1490">
      <c r="A1490" s="2">
        <f>IFERROR(__xludf.DUMMYFUNCTION("""COMPUTED_VALUE"""),1000.0)</f>
        <v>1000</v>
      </c>
      <c r="B1490" s="2">
        <f>IFERROR(__xludf.DUMMYFUNCTION("""COMPUTED_VALUE"""),184537.0)</f>
        <v>184537</v>
      </c>
      <c r="C1490" s="2">
        <f>IFERROR(__xludf.DUMMYFUNCTION("""COMPUTED_VALUE"""),2026.0)</f>
        <v>2026</v>
      </c>
      <c r="D1490" s="2">
        <f>IFERROR(__xludf.DUMMYFUNCTION("""COMPUTED_VALUE"""),46072.0)</f>
        <v>46072</v>
      </c>
      <c r="E1490" s="2" t="str">
        <f>IFERROR(__xludf.DUMMYFUNCTION("""COMPUTED_VALUE"""),"VF")</f>
        <v>VF</v>
      </c>
      <c r="F1490" s="2">
        <f>IFERROR(__xludf.DUMMYFUNCTION("""COMPUTED_VALUE"""),1.0)</f>
        <v>1</v>
      </c>
      <c r="G1490" s="2" t="str">
        <f>IFERROR(__xludf.DUMMYFUNCTION("""COMPUTED_VALUE"""),"PR060")</f>
        <v>PR060</v>
      </c>
      <c r="H1490" s="2" t="str">
        <f>IFERROR(__xludf.DUMMYFUNCTION("""COMPUTED_VALUE"""),"VD030")</f>
        <v>VD030</v>
      </c>
      <c r="I1490" s="2">
        <f>IFERROR(__xludf.DUMMYFUNCTION("""COMPUTED_VALUE"""),9.0)</f>
        <v>9</v>
      </c>
      <c r="J1490" s="2">
        <f>IFERROR(__xludf.DUMMYFUNCTION("""COMPUTED_VALUE"""),1717.2)</f>
        <v>1717.2</v>
      </c>
      <c r="K1490" s="2">
        <f>IFERROR(__xludf.DUMMYFUNCTION("""COMPUTED_VALUE"""),1717.2)</f>
        <v>1717.2</v>
      </c>
    </row>
    <row r="1491">
      <c r="A1491" s="2">
        <f>IFERROR(__xludf.DUMMYFUNCTION("""COMPUTED_VALUE"""),1000.0)</f>
        <v>1000</v>
      </c>
      <c r="B1491" s="2">
        <f>IFERROR(__xludf.DUMMYFUNCTION("""COMPUTED_VALUE"""),184538.0)</f>
        <v>184538</v>
      </c>
      <c r="C1491" s="2">
        <f>IFERROR(__xludf.DUMMYFUNCTION("""COMPUTED_VALUE"""),2026.0)</f>
        <v>2026</v>
      </c>
      <c r="D1491" s="2">
        <f>IFERROR(__xludf.DUMMYFUNCTION("""COMPUTED_VALUE"""),46072.0)</f>
        <v>46072</v>
      </c>
      <c r="E1491" s="2" t="str">
        <f>IFERROR(__xludf.DUMMYFUNCTION("""COMPUTED_VALUE"""),"VF")</f>
        <v>VF</v>
      </c>
      <c r="F1491" s="2">
        <f>IFERROR(__xludf.DUMMYFUNCTION("""COMPUTED_VALUE"""),1.0)</f>
        <v>1</v>
      </c>
      <c r="G1491" s="2" t="str">
        <f>IFERROR(__xludf.DUMMYFUNCTION("""COMPUTED_VALUE"""),"PR053")</f>
        <v>PR053</v>
      </c>
      <c r="H1491" s="2" t="str">
        <f>IFERROR(__xludf.DUMMYFUNCTION("""COMPUTED_VALUE"""),"VD043")</f>
        <v>VD043</v>
      </c>
      <c r="I1491" s="2">
        <f>IFERROR(__xludf.DUMMYFUNCTION("""COMPUTED_VALUE"""),5.0)</f>
        <v>5</v>
      </c>
      <c r="J1491" s="2">
        <f>IFERROR(__xludf.DUMMYFUNCTION("""COMPUTED_VALUE"""),254.49)</f>
        <v>254.49</v>
      </c>
      <c r="K1491" s="2">
        <f>IFERROR(__xludf.DUMMYFUNCTION("""COMPUTED_VALUE"""),254.49)</f>
        <v>254.49</v>
      </c>
    </row>
    <row r="1492">
      <c r="A1492" s="2">
        <f>IFERROR(__xludf.DUMMYFUNCTION("""COMPUTED_VALUE"""),1000.0)</f>
        <v>1000</v>
      </c>
      <c r="B1492" s="2">
        <f>IFERROR(__xludf.DUMMYFUNCTION("""COMPUTED_VALUE"""),184538.0)</f>
        <v>184538</v>
      </c>
      <c r="C1492" s="2">
        <f>IFERROR(__xludf.DUMMYFUNCTION("""COMPUTED_VALUE"""),2026.0)</f>
        <v>2026</v>
      </c>
      <c r="D1492" s="2">
        <f>IFERROR(__xludf.DUMMYFUNCTION("""COMPUTED_VALUE"""),46071.0)</f>
        <v>46071</v>
      </c>
      <c r="E1492" s="2" t="str">
        <f>IFERROR(__xludf.DUMMYFUNCTION("""COMPUTED_VALUE"""),"VF")</f>
        <v>VF</v>
      </c>
      <c r="F1492" s="2">
        <f>IFERROR(__xludf.DUMMYFUNCTION("""COMPUTED_VALUE"""),2.0)</f>
        <v>2</v>
      </c>
      <c r="G1492" s="2" t="str">
        <f>IFERROR(__xludf.DUMMYFUNCTION("""COMPUTED_VALUE"""),"PR057")</f>
        <v>PR057</v>
      </c>
      <c r="H1492" s="2" t="str">
        <f>IFERROR(__xludf.DUMMYFUNCTION("""COMPUTED_VALUE"""),"VD034")</f>
        <v>VD034</v>
      </c>
      <c r="I1492" s="2">
        <f>IFERROR(__xludf.DUMMYFUNCTION("""COMPUTED_VALUE"""),2.0)</f>
        <v>2</v>
      </c>
      <c r="J1492" s="2">
        <f>IFERROR(__xludf.DUMMYFUNCTION("""COMPUTED_VALUE"""),194.18)</f>
        <v>194.18</v>
      </c>
      <c r="K1492" s="2">
        <f>IFERROR(__xludf.DUMMYFUNCTION("""COMPUTED_VALUE"""),194.18)</f>
        <v>194.18</v>
      </c>
    </row>
    <row r="1493">
      <c r="A1493" s="2">
        <f>IFERROR(__xludf.DUMMYFUNCTION("""COMPUTED_VALUE"""),1000.0)</f>
        <v>1000</v>
      </c>
      <c r="B1493" s="2">
        <f>IFERROR(__xludf.DUMMYFUNCTION("""COMPUTED_VALUE"""),184538.0)</f>
        <v>184538</v>
      </c>
      <c r="C1493" s="2">
        <f>IFERROR(__xludf.DUMMYFUNCTION("""COMPUTED_VALUE"""),2026.0)</f>
        <v>2026</v>
      </c>
      <c r="D1493" s="2">
        <f>IFERROR(__xludf.DUMMYFUNCTION("""COMPUTED_VALUE"""),46071.0)</f>
        <v>46071</v>
      </c>
      <c r="E1493" s="2" t="str">
        <f>IFERROR(__xludf.DUMMYFUNCTION("""COMPUTED_VALUE"""),"VF")</f>
        <v>VF</v>
      </c>
      <c r="F1493" s="2">
        <f>IFERROR(__xludf.DUMMYFUNCTION("""COMPUTED_VALUE"""),3.0)</f>
        <v>3</v>
      </c>
      <c r="G1493" s="2" t="str">
        <f>IFERROR(__xludf.DUMMYFUNCTION("""COMPUTED_VALUE"""),"PR031")</f>
        <v>PR031</v>
      </c>
      <c r="H1493" s="2" t="str">
        <f>IFERROR(__xludf.DUMMYFUNCTION("""COMPUTED_VALUE"""),"VD046")</f>
        <v>VD046</v>
      </c>
      <c r="I1493" s="2">
        <f>IFERROR(__xludf.DUMMYFUNCTION("""COMPUTED_VALUE"""),5.0)</f>
        <v>5</v>
      </c>
      <c r="J1493" s="2">
        <f>IFERROR(__xludf.DUMMYFUNCTION("""COMPUTED_VALUE"""),1323.0)</f>
        <v>1323</v>
      </c>
      <c r="K1493" s="2">
        <f>IFERROR(__xludf.DUMMYFUNCTION("""COMPUTED_VALUE"""),1323.0)</f>
        <v>1323</v>
      </c>
    </row>
    <row r="1494">
      <c r="A1494" s="2">
        <f>IFERROR(__xludf.DUMMYFUNCTION("""COMPUTED_VALUE"""),1000.0)</f>
        <v>1000</v>
      </c>
      <c r="B1494" s="2">
        <f>IFERROR(__xludf.DUMMYFUNCTION("""COMPUTED_VALUE"""),184539.0)</f>
        <v>184539</v>
      </c>
      <c r="C1494" s="2">
        <f>IFERROR(__xludf.DUMMYFUNCTION("""COMPUTED_VALUE"""),2026.0)</f>
        <v>2026</v>
      </c>
      <c r="D1494" s="2">
        <f>IFERROR(__xludf.DUMMYFUNCTION("""COMPUTED_VALUE"""),46071.0)</f>
        <v>46071</v>
      </c>
      <c r="E1494" s="2" t="str">
        <f>IFERROR(__xludf.DUMMYFUNCTION("""COMPUTED_VALUE"""),"VF")</f>
        <v>VF</v>
      </c>
      <c r="F1494" s="2">
        <f>IFERROR(__xludf.DUMMYFUNCTION("""COMPUTED_VALUE"""),1.0)</f>
        <v>1</v>
      </c>
      <c r="G1494" s="2" t="str">
        <f>IFERROR(__xludf.DUMMYFUNCTION("""COMPUTED_VALUE"""),"PR025")</f>
        <v>PR025</v>
      </c>
      <c r="H1494" s="2" t="str">
        <f>IFERROR(__xludf.DUMMYFUNCTION("""COMPUTED_VALUE"""),"VD033")</f>
        <v>VD033</v>
      </c>
      <c r="I1494" s="2">
        <f>IFERROR(__xludf.DUMMYFUNCTION("""COMPUTED_VALUE"""),10.0)</f>
        <v>10</v>
      </c>
      <c r="J1494" s="2">
        <f>IFERROR(__xludf.DUMMYFUNCTION("""COMPUTED_VALUE"""),3088.97)</f>
        <v>3088.97</v>
      </c>
      <c r="K1494" s="2">
        <f>IFERROR(__xludf.DUMMYFUNCTION("""COMPUTED_VALUE"""),3088.97)</f>
        <v>3088.97</v>
      </c>
    </row>
    <row r="1495">
      <c r="A1495" s="2">
        <f>IFERROR(__xludf.DUMMYFUNCTION("""COMPUTED_VALUE"""),1000.0)</f>
        <v>1000</v>
      </c>
      <c r="B1495" s="2">
        <f>IFERROR(__xludf.DUMMYFUNCTION("""COMPUTED_VALUE"""),184540.0)</f>
        <v>184540</v>
      </c>
      <c r="C1495" s="2">
        <f>IFERROR(__xludf.DUMMYFUNCTION("""COMPUTED_VALUE"""),2026.0)</f>
        <v>2026</v>
      </c>
      <c r="D1495" s="2">
        <f>IFERROR(__xludf.DUMMYFUNCTION("""COMPUTED_VALUE"""),46071.0)</f>
        <v>46071</v>
      </c>
      <c r="E1495" s="2" t="str">
        <f>IFERROR(__xludf.DUMMYFUNCTION("""COMPUTED_VALUE"""),"VF")</f>
        <v>VF</v>
      </c>
      <c r="F1495" s="2">
        <f>IFERROR(__xludf.DUMMYFUNCTION("""COMPUTED_VALUE"""),1.0)</f>
        <v>1</v>
      </c>
      <c r="G1495" s="2" t="str">
        <f>IFERROR(__xludf.DUMMYFUNCTION("""COMPUTED_VALUE"""),"PR052")</f>
        <v>PR052</v>
      </c>
      <c r="H1495" s="2" t="str">
        <f>IFERROR(__xludf.DUMMYFUNCTION("""COMPUTED_VALUE"""),"VD011")</f>
        <v>VD011</v>
      </c>
      <c r="I1495" s="2">
        <f>IFERROR(__xludf.DUMMYFUNCTION("""COMPUTED_VALUE"""),4.0)</f>
        <v>4</v>
      </c>
      <c r="J1495" s="2">
        <f>IFERROR(__xludf.DUMMYFUNCTION("""COMPUTED_VALUE"""),213.57)</f>
        <v>213.57</v>
      </c>
      <c r="K1495" s="2">
        <f>IFERROR(__xludf.DUMMYFUNCTION("""COMPUTED_VALUE"""),213.57)</f>
        <v>213.57</v>
      </c>
    </row>
    <row r="1496">
      <c r="A1496" s="2">
        <f>IFERROR(__xludf.DUMMYFUNCTION("""COMPUTED_VALUE"""),1000.0)</f>
        <v>1000</v>
      </c>
      <c r="B1496" s="2">
        <f>IFERROR(__xludf.DUMMYFUNCTION("""COMPUTED_VALUE"""),184541.0)</f>
        <v>184541</v>
      </c>
      <c r="C1496" s="2">
        <f>IFERROR(__xludf.DUMMYFUNCTION("""COMPUTED_VALUE"""),2026.0)</f>
        <v>2026</v>
      </c>
      <c r="D1496" s="2">
        <f>IFERROR(__xludf.DUMMYFUNCTION("""COMPUTED_VALUE"""),46070.0)</f>
        <v>46070</v>
      </c>
      <c r="E1496" s="2" t="str">
        <f>IFERROR(__xludf.DUMMYFUNCTION("""COMPUTED_VALUE"""),"VF")</f>
        <v>VF</v>
      </c>
      <c r="F1496" s="2">
        <f>IFERROR(__xludf.DUMMYFUNCTION("""COMPUTED_VALUE"""),1.0)</f>
        <v>1</v>
      </c>
      <c r="G1496" s="2" t="str">
        <f>IFERROR(__xludf.DUMMYFUNCTION("""COMPUTED_VALUE"""),"PR001")</f>
        <v>PR001</v>
      </c>
      <c r="H1496" s="2" t="str">
        <f>IFERROR(__xludf.DUMMYFUNCTION("""COMPUTED_VALUE"""),"VD037")</f>
        <v>VD037</v>
      </c>
      <c r="I1496" s="2">
        <f>IFERROR(__xludf.DUMMYFUNCTION("""COMPUTED_VALUE"""),6.0)</f>
        <v>6</v>
      </c>
      <c r="J1496" s="2">
        <f>IFERROR(__xludf.DUMMYFUNCTION("""COMPUTED_VALUE"""),399.35)</f>
        <v>399.35</v>
      </c>
      <c r="K1496" s="2">
        <f>IFERROR(__xludf.DUMMYFUNCTION("""COMPUTED_VALUE"""),399.35)</f>
        <v>399.35</v>
      </c>
    </row>
    <row r="1497">
      <c r="A1497" s="2">
        <f>IFERROR(__xludf.DUMMYFUNCTION("""COMPUTED_VALUE"""),2000.0)</f>
        <v>2000</v>
      </c>
      <c r="B1497" s="2">
        <f>IFERROR(__xludf.DUMMYFUNCTION("""COMPUTED_VALUE"""),184542.0)</f>
        <v>184542</v>
      </c>
      <c r="C1497" s="2">
        <f>IFERROR(__xludf.DUMMYFUNCTION("""COMPUTED_VALUE"""),2026.0)</f>
        <v>2026</v>
      </c>
      <c r="D1497" s="2">
        <f>IFERROR(__xludf.DUMMYFUNCTION("""COMPUTED_VALUE"""),46070.0)</f>
        <v>46070</v>
      </c>
      <c r="E1497" s="2" t="str">
        <f>IFERROR(__xludf.DUMMYFUNCTION("""COMPUTED_VALUE"""),"VF")</f>
        <v>VF</v>
      </c>
      <c r="F1497" s="2">
        <f>IFERROR(__xludf.DUMMYFUNCTION("""COMPUTED_VALUE"""),1.0)</f>
        <v>1</v>
      </c>
      <c r="G1497" s="2" t="str">
        <f>IFERROR(__xludf.DUMMYFUNCTION("""COMPUTED_VALUE"""),"PR004")</f>
        <v>PR004</v>
      </c>
      <c r="H1497" s="2" t="str">
        <f>IFERROR(__xludf.DUMMYFUNCTION("""COMPUTED_VALUE"""),"VD041")</f>
        <v>VD041</v>
      </c>
      <c r="I1497" s="2">
        <f>IFERROR(__xludf.DUMMYFUNCTION("""COMPUTED_VALUE"""),18.0)</f>
        <v>18</v>
      </c>
      <c r="J1497" s="2">
        <f>IFERROR(__xludf.DUMMYFUNCTION("""COMPUTED_VALUE"""),2871.0)</f>
        <v>2871</v>
      </c>
      <c r="K1497" s="2">
        <f>IFERROR(__xludf.DUMMYFUNCTION("""COMPUTED_VALUE"""),2871.0)</f>
        <v>2871</v>
      </c>
    </row>
    <row r="1498">
      <c r="A1498" s="2">
        <f>IFERROR(__xludf.DUMMYFUNCTION("""COMPUTED_VALUE"""),1000.0)</f>
        <v>1000</v>
      </c>
      <c r="B1498" s="2">
        <f>IFERROR(__xludf.DUMMYFUNCTION("""COMPUTED_VALUE"""),184543.0)</f>
        <v>184543</v>
      </c>
      <c r="C1498" s="2">
        <f>IFERROR(__xludf.DUMMYFUNCTION("""COMPUTED_VALUE"""),2026.0)</f>
        <v>2026</v>
      </c>
      <c r="D1498" s="2">
        <f>IFERROR(__xludf.DUMMYFUNCTION("""COMPUTED_VALUE"""),46070.0)</f>
        <v>46070</v>
      </c>
      <c r="E1498" s="2" t="str">
        <f>IFERROR(__xludf.DUMMYFUNCTION("""COMPUTED_VALUE"""),"VF")</f>
        <v>VF</v>
      </c>
      <c r="F1498" s="2">
        <f>IFERROR(__xludf.DUMMYFUNCTION("""COMPUTED_VALUE"""),1.0)</f>
        <v>1</v>
      </c>
      <c r="G1498" s="2" t="str">
        <f>IFERROR(__xludf.DUMMYFUNCTION("""COMPUTED_VALUE"""),"PR038")</f>
        <v>PR038</v>
      </c>
      <c r="H1498" s="2" t="str">
        <f>IFERROR(__xludf.DUMMYFUNCTION("""COMPUTED_VALUE"""),"VD010")</f>
        <v>VD010</v>
      </c>
      <c r="I1498" s="2">
        <f>IFERROR(__xludf.DUMMYFUNCTION("""COMPUTED_VALUE"""),5.0)</f>
        <v>5</v>
      </c>
      <c r="J1498" s="2">
        <f>IFERROR(__xludf.DUMMYFUNCTION("""COMPUTED_VALUE"""),714.5)</f>
        <v>714.5</v>
      </c>
      <c r="K1498" s="2">
        <f>IFERROR(__xludf.DUMMYFUNCTION("""COMPUTED_VALUE"""),714.5)</f>
        <v>714.5</v>
      </c>
    </row>
    <row r="1499">
      <c r="A1499" s="2">
        <f>IFERROR(__xludf.DUMMYFUNCTION("""COMPUTED_VALUE"""),1000.0)</f>
        <v>1000</v>
      </c>
      <c r="B1499" s="2">
        <f>IFERROR(__xludf.DUMMYFUNCTION("""COMPUTED_VALUE"""),184543.0)</f>
        <v>184543</v>
      </c>
      <c r="C1499" s="2">
        <f>IFERROR(__xludf.DUMMYFUNCTION("""COMPUTED_VALUE"""),2026.0)</f>
        <v>2026</v>
      </c>
      <c r="D1499" s="2">
        <f>IFERROR(__xludf.DUMMYFUNCTION("""COMPUTED_VALUE"""),46069.0)</f>
        <v>46069</v>
      </c>
      <c r="E1499" s="2" t="str">
        <f>IFERROR(__xludf.DUMMYFUNCTION("""COMPUTED_VALUE"""),"VF")</f>
        <v>VF</v>
      </c>
      <c r="F1499" s="2">
        <f>IFERROR(__xludf.DUMMYFUNCTION("""COMPUTED_VALUE"""),2.0)</f>
        <v>2</v>
      </c>
      <c r="G1499" s="2" t="str">
        <f>IFERROR(__xludf.DUMMYFUNCTION("""COMPUTED_VALUE"""),"PR007")</f>
        <v>PR007</v>
      </c>
      <c r="H1499" s="2" t="str">
        <f>IFERROR(__xludf.DUMMYFUNCTION("""COMPUTED_VALUE"""),"VD011")</f>
        <v>VD011</v>
      </c>
      <c r="I1499" s="2">
        <f>IFERROR(__xludf.DUMMYFUNCTION("""COMPUTED_VALUE"""),2.0)</f>
        <v>2</v>
      </c>
      <c r="J1499" s="2">
        <f>IFERROR(__xludf.DUMMYFUNCTION("""COMPUTED_VALUE"""),180.39)</f>
        <v>180.39</v>
      </c>
      <c r="K1499" s="2">
        <f>IFERROR(__xludf.DUMMYFUNCTION("""COMPUTED_VALUE"""),180.39)</f>
        <v>180.39</v>
      </c>
    </row>
    <row r="1500">
      <c r="A1500" s="2">
        <f>IFERROR(__xludf.DUMMYFUNCTION("""COMPUTED_VALUE"""),1000.0)</f>
        <v>1000</v>
      </c>
      <c r="B1500" s="2">
        <f>IFERROR(__xludf.DUMMYFUNCTION("""COMPUTED_VALUE"""),184544.0)</f>
        <v>184544</v>
      </c>
      <c r="C1500" s="2">
        <f>IFERROR(__xludf.DUMMYFUNCTION("""COMPUTED_VALUE"""),2026.0)</f>
        <v>2026</v>
      </c>
      <c r="D1500" s="2">
        <f>IFERROR(__xludf.DUMMYFUNCTION("""COMPUTED_VALUE"""),46069.0)</f>
        <v>46069</v>
      </c>
      <c r="E1500" s="2" t="str">
        <f>IFERROR(__xludf.DUMMYFUNCTION("""COMPUTED_VALUE"""),"VF")</f>
        <v>VF</v>
      </c>
      <c r="F1500" s="2">
        <f>IFERROR(__xludf.DUMMYFUNCTION("""COMPUTED_VALUE"""),1.0)</f>
        <v>1</v>
      </c>
      <c r="G1500" s="2" t="str">
        <f>IFERROR(__xludf.DUMMYFUNCTION("""COMPUTED_VALUE"""),"PR018")</f>
        <v>PR018</v>
      </c>
      <c r="H1500" s="2" t="str">
        <f>IFERROR(__xludf.DUMMYFUNCTION("""COMPUTED_VALUE"""),"VD036")</f>
        <v>VD036</v>
      </c>
      <c r="I1500" s="2">
        <f>IFERROR(__xludf.DUMMYFUNCTION("""COMPUTED_VALUE"""),10.0)</f>
        <v>10</v>
      </c>
      <c r="J1500" s="2">
        <f>IFERROR(__xludf.DUMMYFUNCTION("""COMPUTED_VALUE"""),355.32)</f>
        <v>355.32</v>
      </c>
      <c r="K1500" s="2">
        <f>IFERROR(__xludf.DUMMYFUNCTION("""COMPUTED_VALUE"""),355.32)</f>
        <v>355.32</v>
      </c>
    </row>
    <row r="1501">
      <c r="A1501" s="2">
        <f>IFERROR(__xludf.DUMMYFUNCTION("""COMPUTED_VALUE"""),1000.0)</f>
        <v>1000</v>
      </c>
      <c r="B1501" s="2">
        <f>IFERROR(__xludf.DUMMYFUNCTION("""COMPUTED_VALUE"""),184545.0)</f>
        <v>184545</v>
      </c>
      <c r="C1501" s="2">
        <f>IFERROR(__xludf.DUMMYFUNCTION("""COMPUTED_VALUE"""),2026.0)</f>
        <v>2026</v>
      </c>
      <c r="D1501" s="2">
        <f>IFERROR(__xludf.DUMMYFUNCTION("""COMPUTED_VALUE"""),46069.0)</f>
        <v>46069</v>
      </c>
      <c r="E1501" s="2" t="str">
        <f>IFERROR(__xludf.DUMMYFUNCTION("""COMPUTED_VALUE"""),"VF")</f>
        <v>VF</v>
      </c>
      <c r="F1501" s="2">
        <f>IFERROR(__xludf.DUMMYFUNCTION("""COMPUTED_VALUE"""),1.0)</f>
        <v>1</v>
      </c>
      <c r="G1501" s="2" t="str">
        <f>IFERROR(__xludf.DUMMYFUNCTION("""COMPUTED_VALUE"""),"PR039")</f>
        <v>PR039</v>
      </c>
      <c r="H1501" s="2" t="str">
        <f>IFERROR(__xludf.DUMMYFUNCTION("""COMPUTED_VALUE"""),"VD026")</f>
        <v>VD026</v>
      </c>
      <c r="I1501" s="2">
        <f>IFERROR(__xludf.DUMMYFUNCTION("""COMPUTED_VALUE"""),10.0)</f>
        <v>10</v>
      </c>
      <c r="J1501" s="2">
        <f>IFERROR(__xludf.DUMMYFUNCTION("""COMPUTED_VALUE"""),1518.4)</f>
        <v>1518.4</v>
      </c>
      <c r="K1501" s="2">
        <f>IFERROR(__xludf.DUMMYFUNCTION("""COMPUTED_VALUE"""),1518.4)</f>
        <v>1518.4</v>
      </c>
    </row>
    <row r="1502">
      <c r="A1502" s="2">
        <f>IFERROR(__xludf.DUMMYFUNCTION("""COMPUTED_VALUE"""),1000.0)</f>
        <v>1000</v>
      </c>
      <c r="B1502" s="2">
        <f>IFERROR(__xludf.DUMMYFUNCTION("""COMPUTED_VALUE"""),184546.0)</f>
        <v>184546</v>
      </c>
      <c r="C1502" s="2">
        <f>IFERROR(__xludf.DUMMYFUNCTION("""COMPUTED_VALUE"""),2026.0)</f>
        <v>2026</v>
      </c>
      <c r="D1502" s="2">
        <f>IFERROR(__xludf.DUMMYFUNCTION("""COMPUTED_VALUE"""),46068.0)</f>
        <v>46068</v>
      </c>
      <c r="E1502" s="2" t="str">
        <f>IFERROR(__xludf.DUMMYFUNCTION("""COMPUTED_VALUE"""),"VF")</f>
        <v>VF</v>
      </c>
      <c r="F1502" s="2">
        <f>IFERROR(__xludf.DUMMYFUNCTION("""COMPUTED_VALUE"""),1.0)</f>
        <v>1</v>
      </c>
      <c r="G1502" s="2" t="str">
        <f>IFERROR(__xludf.DUMMYFUNCTION("""COMPUTED_VALUE"""),"PR022")</f>
        <v>PR022</v>
      </c>
      <c r="H1502" s="2" t="str">
        <f>IFERROR(__xludf.DUMMYFUNCTION("""COMPUTED_VALUE"""),"VD041")</f>
        <v>VD041</v>
      </c>
      <c r="I1502" s="2">
        <f>IFERROR(__xludf.DUMMYFUNCTION("""COMPUTED_VALUE"""),9.0)</f>
        <v>9</v>
      </c>
      <c r="J1502" s="2">
        <f>IFERROR(__xludf.DUMMYFUNCTION("""COMPUTED_VALUE"""),2808.0)</f>
        <v>2808</v>
      </c>
      <c r="K1502" s="2">
        <f>IFERROR(__xludf.DUMMYFUNCTION("""COMPUTED_VALUE"""),2808.0)</f>
        <v>2808</v>
      </c>
    </row>
    <row r="1503">
      <c r="A1503" s="2">
        <f>IFERROR(__xludf.DUMMYFUNCTION("""COMPUTED_VALUE"""),1000.0)</f>
        <v>1000</v>
      </c>
      <c r="B1503" s="2">
        <f>IFERROR(__xludf.DUMMYFUNCTION("""COMPUTED_VALUE"""),184547.0)</f>
        <v>184547</v>
      </c>
      <c r="C1503" s="2">
        <f>IFERROR(__xludf.DUMMYFUNCTION("""COMPUTED_VALUE"""),2026.0)</f>
        <v>2026</v>
      </c>
      <c r="D1503" s="2">
        <f>IFERROR(__xludf.DUMMYFUNCTION("""COMPUTED_VALUE"""),46068.0)</f>
        <v>46068</v>
      </c>
      <c r="E1503" s="2" t="str">
        <f>IFERROR(__xludf.DUMMYFUNCTION("""COMPUTED_VALUE"""),"VF")</f>
        <v>VF</v>
      </c>
      <c r="F1503" s="2">
        <f>IFERROR(__xludf.DUMMYFUNCTION("""COMPUTED_VALUE"""),1.0)</f>
        <v>1</v>
      </c>
      <c r="G1503" s="2" t="str">
        <f>IFERROR(__xludf.DUMMYFUNCTION("""COMPUTED_VALUE"""),"PR007")</f>
        <v>PR007</v>
      </c>
      <c r="H1503" s="2" t="str">
        <f>IFERROR(__xludf.DUMMYFUNCTION("""COMPUTED_VALUE"""),"VD020")</f>
        <v>VD020</v>
      </c>
      <c r="I1503" s="2">
        <f>IFERROR(__xludf.DUMMYFUNCTION("""COMPUTED_VALUE"""),18.0)</f>
        <v>18</v>
      </c>
      <c r="J1503" s="2">
        <f>IFERROR(__xludf.DUMMYFUNCTION("""COMPUTED_VALUE"""),1623.51)</f>
        <v>1623.51</v>
      </c>
      <c r="K1503" s="2">
        <f>IFERROR(__xludf.DUMMYFUNCTION("""COMPUTED_VALUE"""),1623.51)</f>
        <v>1623.51</v>
      </c>
    </row>
    <row r="1504">
      <c r="A1504" s="2">
        <f>IFERROR(__xludf.DUMMYFUNCTION("""COMPUTED_VALUE"""),2000.0)</f>
        <v>2000</v>
      </c>
      <c r="B1504" s="2">
        <f>IFERROR(__xludf.DUMMYFUNCTION("""COMPUTED_VALUE"""),184547.0)</f>
        <v>184547</v>
      </c>
      <c r="C1504" s="2">
        <f>IFERROR(__xludf.DUMMYFUNCTION("""COMPUTED_VALUE"""),2026.0)</f>
        <v>2026</v>
      </c>
      <c r="D1504" s="2">
        <f>IFERROR(__xludf.DUMMYFUNCTION("""COMPUTED_VALUE"""),46068.0)</f>
        <v>46068</v>
      </c>
      <c r="E1504" s="2" t="str">
        <f>IFERROR(__xludf.DUMMYFUNCTION("""COMPUTED_VALUE"""),"VF")</f>
        <v>VF</v>
      </c>
      <c r="F1504" s="2">
        <f>IFERROR(__xludf.DUMMYFUNCTION("""COMPUTED_VALUE"""),2.0)</f>
        <v>2</v>
      </c>
      <c r="G1504" s="2" t="str">
        <f>IFERROR(__xludf.DUMMYFUNCTION("""COMPUTED_VALUE"""),"PR059")</f>
        <v>PR059</v>
      </c>
      <c r="H1504" s="2" t="str">
        <f>IFERROR(__xludf.DUMMYFUNCTION("""COMPUTED_VALUE"""),"VD036")</f>
        <v>VD036</v>
      </c>
      <c r="I1504" s="2">
        <f>IFERROR(__xludf.DUMMYFUNCTION("""COMPUTED_VALUE"""),8.0)</f>
        <v>8</v>
      </c>
      <c r="J1504" s="2">
        <f>IFERROR(__xludf.DUMMYFUNCTION("""COMPUTED_VALUE"""),1512.0)</f>
        <v>1512</v>
      </c>
      <c r="K1504" s="2">
        <f>IFERROR(__xludf.DUMMYFUNCTION("""COMPUTED_VALUE"""),1512.0)</f>
        <v>1512</v>
      </c>
    </row>
    <row r="1505">
      <c r="A1505" s="2">
        <f>IFERROR(__xludf.DUMMYFUNCTION("""COMPUTED_VALUE"""),1000.0)</f>
        <v>1000</v>
      </c>
      <c r="B1505" s="2">
        <f>IFERROR(__xludf.DUMMYFUNCTION("""COMPUTED_VALUE"""),184547.0)</f>
        <v>184547</v>
      </c>
      <c r="C1505" s="2">
        <f>IFERROR(__xludf.DUMMYFUNCTION("""COMPUTED_VALUE"""),2026.0)</f>
        <v>2026</v>
      </c>
      <c r="D1505" s="2">
        <f>IFERROR(__xludf.DUMMYFUNCTION("""COMPUTED_VALUE"""),46068.0)</f>
        <v>46068</v>
      </c>
      <c r="E1505" s="2" t="str">
        <f>IFERROR(__xludf.DUMMYFUNCTION("""COMPUTED_VALUE"""),"VF")</f>
        <v>VF</v>
      </c>
      <c r="F1505" s="2">
        <f>IFERROR(__xludf.DUMMYFUNCTION("""COMPUTED_VALUE"""),3.0)</f>
        <v>3</v>
      </c>
      <c r="G1505" s="2" t="str">
        <f>IFERROR(__xludf.DUMMYFUNCTION("""COMPUTED_VALUE"""),"PR006")</f>
        <v>PR006</v>
      </c>
      <c r="H1505" s="2" t="str">
        <f>IFERROR(__xludf.DUMMYFUNCTION("""COMPUTED_VALUE"""),"VD038")</f>
        <v>VD038</v>
      </c>
      <c r="I1505" s="2">
        <f>IFERROR(__xludf.DUMMYFUNCTION("""COMPUTED_VALUE"""),12.0)</f>
        <v>12</v>
      </c>
      <c r="J1505" s="2">
        <f>IFERROR(__xludf.DUMMYFUNCTION("""COMPUTED_VALUE"""),526.68)</f>
        <v>526.68</v>
      </c>
      <c r="K1505" s="2">
        <f>IFERROR(__xludf.DUMMYFUNCTION("""COMPUTED_VALUE"""),526.68)</f>
        <v>526.68</v>
      </c>
    </row>
    <row r="1506">
      <c r="A1506" s="2">
        <f>IFERROR(__xludf.DUMMYFUNCTION("""COMPUTED_VALUE"""),1000.0)</f>
        <v>1000</v>
      </c>
      <c r="B1506" s="2">
        <f>IFERROR(__xludf.DUMMYFUNCTION("""COMPUTED_VALUE"""),184547.0)</f>
        <v>184547</v>
      </c>
      <c r="C1506" s="2">
        <f>IFERROR(__xludf.DUMMYFUNCTION("""COMPUTED_VALUE"""),2026.0)</f>
        <v>2026</v>
      </c>
      <c r="D1506" s="2">
        <f>IFERROR(__xludf.DUMMYFUNCTION("""COMPUTED_VALUE"""),46067.0)</f>
        <v>46067</v>
      </c>
      <c r="E1506" s="2" t="str">
        <f>IFERROR(__xludf.DUMMYFUNCTION("""COMPUTED_VALUE"""),"VF")</f>
        <v>VF</v>
      </c>
      <c r="F1506" s="2">
        <f>IFERROR(__xludf.DUMMYFUNCTION("""COMPUTED_VALUE"""),4.0)</f>
        <v>4</v>
      </c>
      <c r="G1506" s="2" t="str">
        <f>IFERROR(__xludf.DUMMYFUNCTION("""COMPUTED_VALUE"""),"PR017")</f>
        <v>PR017</v>
      </c>
      <c r="H1506" s="2" t="str">
        <f>IFERROR(__xludf.DUMMYFUNCTION("""COMPUTED_VALUE"""),"VD013")</f>
        <v>VD013</v>
      </c>
      <c r="I1506" s="2">
        <f>IFERROR(__xludf.DUMMYFUNCTION("""COMPUTED_VALUE"""),9.0)</f>
        <v>9</v>
      </c>
      <c r="J1506" s="2">
        <f>IFERROR(__xludf.DUMMYFUNCTION("""COMPUTED_VALUE"""),285.25)</f>
        <v>285.25</v>
      </c>
      <c r="K1506" s="2">
        <f>IFERROR(__xludf.DUMMYFUNCTION("""COMPUTED_VALUE"""),285.25)</f>
        <v>285.25</v>
      </c>
    </row>
    <row r="1507">
      <c r="A1507" s="2">
        <f>IFERROR(__xludf.DUMMYFUNCTION("""COMPUTED_VALUE"""),1000.0)</f>
        <v>1000</v>
      </c>
      <c r="B1507" s="2">
        <f>IFERROR(__xludf.DUMMYFUNCTION("""COMPUTED_VALUE"""),184548.0)</f>
        <v>184548</v>
      </c>
      <c r="C1507" s="2">
        <f>IFERROR(__xludf.DUMMYFUNCTION("""COMPUTED_VALUE"""),2026.0)</f>
        <v>2026</v>
      </c>
      <c r="D1507" s="2">
        <f>IFERROR(__xludf.DUMMYFUNCTION("""COMPUTED_VALUE"""),46067.0)</f>
        <v>46067</v>
      </c>
      <c r="E1507" s="2" t="str">
        <f>IFERROR(__xludf.DUMMYFUNCTION("""COMPUTED_VALUE"""),"VF")</f>
        <v>VF</v>
      </c>
      <c r="F1507" s="2">
        <f>IFERROR(__xludf.DUMMYFUNCTION("""COMPUTED_VALUE"""),1.0)</f>
        <v>1</v>
      </c>
      <c r="G1507" s="2" t="str">
        <f>IFERROR(__xludf.DUMMYFUNCTION("""COMPUTED_VALUE"""),"PR015")</f>
        <v>PR015</v>
      </c>
      <c r="H1507" s="2" t="str">
        <f>IFERROR(__xludf.DUMMYFUNCTION("""COMPUTED_VALUE"""),"VD032")</f>
        <v>VD032</v>
      </c>
      <c r="I1507" s="2">
        <f>IFERROR(__xludf.DUMMYFUNCTION("""COMPUTED_VALUE"""),3.0)</f>
        <v>3</v>
      </c>
      <c r="J1507" s="2">
        <f>IFERROR(__xludf.DUMMYFUNCTION("""COMPUTED_VALUE"""),140.25)</f>
        <v>140.25</v>
      </c>
      <c r="K1507" s="2">
        <f>IFERROR(__xludf.DUMMYFUNCTION("""COMPUTED_VALUE"""),140.25)</f>
        <v>140.25</v>
      </c>
    </row>
    <row r="1508">
      <c r="A1508" s="2">
        <f>IFERROR(__xludf.DUMMYFUNCTION("""COMPUTED_VALUE"""),1000.0)</f>
        <v>1000</v>
      </c>
      <c r="B1508" s="2">
        <f>IFERROR(__xludf.DUMMYFUNCTION("""COMPUTED_VALUE"""),184548.0)</f>
        <v>184548</v>
      </c>
      <c r="C1508" s="2">
        <f>IFERROR(__xludf.DUMMYFUNCTION("""COMPUTED_VALUE"""),2026.0)</f>
        <v>2026</v>
      </c>
      <c r="D1508" s="2">
        <f>IFERROR(__xludf.DUMMYFUNCTION("""COMPUTED_VALUE"""),46066.0)</f>
        <v>46066</v>
      </c>
      <c r="E1508" s="2" t="str">
        <f>IFERROR(__xludf.DUMMYFUNCTION("""COMPUTED_VALUE"""),"VF")</f>
        <v>VF</v>
      </c>
      <c r="F1508" s="2">
        <f>IFERROR(__xludf.DUMMYFUNCTION("""COMPUTED_VALUE"""),2.0)</f>
        <v>2</v>
      </c>
      <c r="G1508" s="2" t="str">
        <f>IFERROR(__xludf.DUMMYFUNCTION("""COMPUTED_VALUE"""),"PR051")</f>
        <v>PR051</v>
      </c>
      <c r="H1508" s="2" t="str">
        <f>IFERROR(__xludf.DUMMYFUNCTION("""COMPUTED_VALUE"""),"VD041")</f>
        <v>VD041</v>
      </c>
      <c r="I1508" s="2">
        <f>IFERROR(__xludf.DUMMYFUNCTION("""COMPUTED_VALUE"""),12.0)</f>
        <v>12</v>
      </c>
      <c r="J1508" s="2">
        <f>IFERROR(__xludf.DUMMYFUNCTION("""COMPUTED_VALUE"""),418.49)</f>
        <v>418.49</v>
      </c>
      <c r="K1508" s="2">
        <f>IFERROR(__xludf.DUMMYFUNCTION("""COMPUTED_VALUE"""),418.49)</f>
        <v>418.49</v>
      </c>
    </row>
    <row r="1509">
      <c r="A1509" s="2">
        <f>IFERROR(__xludf.DUMMYFUNCTION("""COMPUTED_VALUE"""),1000.0)</f>
        <v>1000</v>
      </c>
      <c r="B1509" s="2">
        <f>IFERROR(__xludf.DUMMYFUNCTION("""COMPUTED_VALUE"""),184548.0)</f>
        <v>184548</v>
      </c>
      <c r="C1509" s="2">
        <f>IFERROR(__xludf.DUMMYFUNCTION("""COMPUTED_VALUE"""),2026.0)</f>
        <v>2026</v>
      </c>
      <c r="D1509" s="2">
        <f>IFERROR(__xludf.DUMMYFUNCTION("""COMPUTED_VALUE"""),46066.0)</f>
        <v>46066</v>
      </c>
      <c r="E1509" s="2" t="str">
        <f>IFERROR(__xludf.DUMMYFUNCTION("""COMPUTED_VALUE"""),"VF")</f>
        <v>VF</v>
      </c>
      <c r="F1509" s="2">
        <f>IFERROR(__xludf.DUMMYFUNCTION("""COMPUTED_VALUE"""),3.0)</f>
        <v>3</v>
      </c>
      <c r="G1509" s="2" t="str">
        <f>IFERROR(__xludf.DUMMYFUNCTION("""COMPUTED_VALUE"""),"PR028")</f>
        <v>PR028</v>
      </c>
      <c r="H1509" s="2" t="str">
        <f>IFERROR(__xludf.DUMMYFUNCTION("""COMPUTED_VALUE"""),"VD011")</f>
        <v>VD011</v>
      </c>
      <c r="I1509" s="2">
        <f>IFERROR(__xludf.DUMMYFUNCTION("""COMPUTED_VALUE"""),16.0)</f>
        <v>16</v>
      </c>
      <c r="J1509" s="2">
        <f>IFERROR(__xludf.DUMMYFUNCTION("""COMPUTED_VALUE"""),4238.3)</f>
        <v>4238.3</v>
      </c>
      <c r="K1509" s="2">
        <f>IFERROR(__xludf.DUMMYFUNCTION("""COMPUTED_VALUE"""),4238.3)</f>
        <v>4238.3</v>
      </c>
    </row>
    <row r="1510">
      <c r="A1510" s="2">
        <f>IFERROR(__xludf.DUMMYFUNCTION("""COMPUTED_VALUE"""),1000.0)</f>
        <v>1000</v>
      </c>
      <c r="B1510" s="2">
        <f>IFERROR(__xludf.DUMMYFUNCTION("""COMPUTED_VALUE"""),184548.0)</f>
        <v>184548</v>
      </c>
      <c r="C1510" s="2">
        <f>IFERROR(__xludf.DUMMYFUNCTION("""COMPUTED_VALUE"""),2026.0)</f>
        <v>2026</v>
      </c>
      <c r="D1510" s="2">
        <f>IFERROR(__xludf.DUMMYFUNCTION("""COMPUTED_VALUE"""),46066.0)</f>
        <v>46066</v>
      </c>
      <c r="E1510" s="2" t="str">
        <f>IFERROR(__xludf.DUMMYFUNCTION("""COMPUTED_VALUE"""),"VF")</f>
        <v>VF</v>
      </c>
      <c r="F1510" s="2">
        <f>IFERROR(__xludf.DUMMYFUNCTION("""COMPUTED_VALUE"""),4.0)</f>
        <v>4</v>
      </c>
      <c r="G1510" s="2" t="str">
        <f>IFERROR(__xludf.DUMMYFUNCTION("""COMPUTED_VALUE"""),"PR052")</f>
        <v>PR052</v>
      </c>
      <c r="H1510" s="2" t="str">
        <f>IFERROR(__xludf.DUMMYFUNCTION("""COMPUTED_VALUE"""),"VD043")</f>
        <v>VD043</v>
      </c>
      <c r="I1510" s="2">
        <f>IFERROR(__xludf.DUMMYFUNCTION("""COMPUTED_VALUE"""),6.0)</f>
        <v>6</v>
      </c>
      <c r="J1510" s="2">
        <f>IFERROR(__xludf.DUMMYFUNCTION("""COMPUTED_VALUE"""),329.34)</f>
        <v>329.34</v>
      </c>
      <c r="K1510" s="2">
        <f>IFERROR(__xludf.DUMMYFUNCTION("""COMPUTED_VALUE"""),329.34)</f>
        <v>329.34</v>
      </c>
    </row>
    <row r="1511">
      <c r="A1511" s="2">
        <f>IFERROR(__xludf.DUMMYFUNCTION("""COMPUTED_VALUE"""),1000.0)</f>
        <v>1000</v>
      </c>
      <c r="B1511" s="2">
        <f>IFERROR(__xludf.DUMMYFUNCTION("""COMPUTED_VALUE"""),184548.0)</f>
        <v>184548</v>
      </c>
      <c r="C1511" s="2">
        <f>IFERROR(__xludf.DUMMYFUNCTION("""COMPUTED_VALUE"""),2026.0)</f>
        <v>2026</v>
      </c>
      <c r="D1511" s="2">
        <f>IFERROR(__xludf.DUMMYFUNCTION("""COMPUTED_VALUE"""),46066.0)</f>
        <v>46066</v>
      </c>
      <c r="E1511" s="2" t="str">
        <f>IFERROR(__xludf.DUMMYFUNCTION("""COMPUTED_VALUE"""),"VF")</f>
        <v>VF</v>
      </c>
      <c r="F1511" s="2">
        <f>IFERROR(__xludf.DUMMYFUNCTION("""COMPUTED_VALUE"""),5.0)</f>
        <v>5</v>
      </c>
      <c r="G1511" s="2" t="str">
        <f>IFERROR(__xludf.DUMMYFUNCTION("""COMPUTED_VALUE"""),"PR026")</f>
        <v>PR026</v>
      </c>
      <c r="H1511" s="2" t="str">
        <f>IFERROR(__xludf.DUMMYFUNCTION("""COMPUTED_VALUE"""),"VD045")</f>
        <v>VD045</v>
      </c>
      <c r="I1511" s="2">
        <f>IFERROR(__xludf.DUMMYFUNCTION("""COMPUTED_VALUE"""),4.0)</f>
        <v>4</v>
      </c>
      <c r="J1511" s="2">
        <f>IFERROR(__xludf.DUMMYFUNCTION("""COMPUTED_VALUE"""),1511.57)</f>
        <v>1511.57</v>
      </c>
      <c r="K1511" s="2">
        <f>IFERROR(__xludf.DUMMYFUNCTION("""COMPUTED_VALUE"""),1511.57)</f>
        <v>1511.57</v>
      </c>
    </row>
    <row r="1512">
      <c r="A1512" s="2">
        <f>IFERROR(__xludf.DUMMYFUNCTION("""COMPUTED_VALUE"""),1000.0)</f>
        <v>1000</v>
      </c>
      <c r="B1512" s="2">
        <f>IFERROR(__xludf.DUMMYFUNCTION("""COMPUTED_VALUE"""),184548.0)</f>
        <v>184548</v>
      </c>
      <c r="C1512" s="2">
        <f>IFERROR(__xludf.DUMMYFUNCTION("""COMPUTED_VALUE"""),2026.0)</f>
        <v>2026</v>
      </c>
      <c r="D1512" s="2">
        <f>IFERROR(__xludf.DUMMYFUNCTION("""COMPUTED_VALUE"""),46066.0)</f>
        <v>46066</v>
      </c>
      <c r="E1512" s="2" t="str">
        <f>IFERROR(__xludf.DUMMYFUNCTION("""COMPUTED_VALUE"""),"VF")</f>
        <v>VF</v>
      </c>
      <c r="F1512" s="2">
        <f>IFERROR(__xludf.DUMMYFUNCTION("""COMPUTED_VALUE"""),6.0)</f>
        <v>6</v>
      </c>
      <c r="G1512" s="2" t="str">
        <f>IFERROR(__xludf.DUMMYFUNCTION("""COMPUTED_VALUE"""),"PR007")</f>
        <v>PR007</v>
      </c>
      <c r="H1512" s="2" t="str">
        <f>IFERROR(__xludf.DUMMYFUNCTION("""COMPUTED_VALUE"""),"VD043")</f>
        <v>VD043</v>
      </c>
      <c r="I1512" s="2">
        <f>IFERROR(__xludf.DUMMYFUNCTION("""COMPUTED_VALUE"""),20.0)</f>
        <v>20</v>
      </c>
      <c r="J1512" s="2">
        <f>IFERROR(__xludf.DUMMYFUNCTION("""COMPUTED_VALUE"""),1735.18)</f>
        <v>1735.18</v>
      </c>
      <c r="K1512" s="2">
        <f>IFERROR(__xludf.DUMMYFUNCTION("""COMPUTED_VALUE"""),1735.18)</f>
        <v>1735.18</v>
      </c>
    </row>
    <row r="1513">
      <c r="A1513" s="2">
        <f>IFERROR(__xludf.DUMMYFUNCTION("""COMPUTED_VALUE"""),1000.0)</f>
        <v>1000</v>
      </c>
      <c r="B1513" s="2">
        <f>IFERROR(__xludf.DUMMYFUNCTION("""COMPUTED_VALUE"""),184549.0)</f>
        <v>184549</v>
      </c>
      <c r="C1513" s="2">
        <f>IFERROR(__xludf.DUMMYFUNCTION("""COMPUTED_VALUE"""),2026.0)</f>
        <v>2026</v>
      </c>
      <c r="D1513" s="2">
        <f>IFERROR(__xludf.DUMMYFUNCTION("""COMPUTED_VALUE"""),46066.0)</f>
        <v>46066</v>
      </c>
      <c r="E1513" s="2" t="str">
        <f>IFERROR(__xludf.DUMMYFUNCTION("""COMPUTED_VALUE"""),"VF")</f>
        <v>VF</v>
      </c>
      <c r="F1513" s="2">
        <f>IFERROR(__xludf.DUMMYFUNCTION("""COMPUTED_VALUE"""),1.0)</f>
        <v>1</v>
      </c>
      <c r="G1513" s="2" t="str">
        <f>IFERROR(__xludf.DUMMYFUNCTION("""COMPUTED_VALUE"""),"PR031")</f>
        <v>PR031</v>
      </c>
      <c r="H1513" s="2" t="str">
        <f>IFERROR(__xludf.DUMMYFUNCTION("""COMPUTED_VALUE"""),"VD026")</f>
        <v>VD026</v>
      </c>
      <c r="I1513" s="2">
        <f>IFERROR(__xludf.DUMMYFUNCTION("""COMPUTED_VALUE"""),16.0)</f>
        <v>16</v>
      </c>
      <c r="J1513" s="2">
        <f>IFERROR(__xludf.DUMMYFUNCTION("""COMPUTED_VALUE"""),4194.4)</f>
        <v>4194.4</v>
      </c>
      <c r="K1513" s="2">
        <f>IFERROR(__xludf.DUMMYFUNCTION("""COMPUTED_VALUE"""),4194.4)</f>
        <v>4194.4</v>
      </c>
    </row>
    <row r="1514">
      <c r="A1514" s="2">
        <f>IFERROR(__xludf.DUMMYFUNCTION("""COMPUTED_VALUE"""),1000.0)</f>
        <v>1000</v>
      </c>
      <c r="B1514" s="2">
        <f>IFERROR(__xludf.DUMMYFUNCTION("""COMPUTED_VALUE"""),184549.0)</f>
        <v>184549</v>
      </c>
      <c r="C1514" s="2">
        <f>IFERROR(__xludf.DUMMYFUNCTION("""COMPUTED_VALUE"""),2026.0)</f>
        <v>2026</v>
      </c>
      <c r="D1514" s="2">
        <f>IFERROR(__xludf.DUMMYFUNCTION("""COMPUTED_VALUE"""),46066.0)</f>
        <v>46066</v>
      </c>
      <c r="E1514" s="2" t="str">
        <f>IFERROR(__xludf.DUMMYFUNCTION("""COMPUTED_VALUE"""),"VF")</f>
        <v>VF</v>
      </c>
      <c r="F1514" s="2">
        <f>IFERROR(__xludf.DUMMYFUNCTION("""COMPUTED_VALUE"""),2.0)</f>
        <v>2</v>
      </c>
      <c r="G1514" s="2" t="str">
        <f>IFERROR(__xludf.DUMMYFUNCTION("""COMPUTED_VALUE"""),"PR002")</f>
        <v>PR002</v>
      </c>
      <c r="H1514" s="2" t="str">
        <f>IFERROR(__xludf.DUMMYFUNCTION("""COMPUTED_VALUE"""),"VD030")</f>
        <v>VD030</v>
      </c>
      <c r="I1514" s="2">
        <f>IFERROR(__xludf.DUMMYFUNCTION("""COMPUTED_VALUE"""),16.0)</f>
        <v>16</v>
      </c>
      <c r="J1514" s="2">
        <f>IFERROR(__xludf.DUMMYFUNCTION("""COMPUTED_VALUE"""),1118.4)</f>
        <v>1118.4</v>
      </c>
      <c r="K1514" s="2">
        <f>IFERROR(__xludf.DUMMYFUNCTION("""COMPUTED_VALUE"""),1118.4)</f>
        <v>1118.4</v>
      </c>
    </row>
    <row r="1515">
      <c r="A1515" s="2">
        <f>IFERROR(__xludf.DUMMYFUNCTION("""COMPUTED_VALUE"""),1000.0)</f>
        <v>1000</v>
      </c>
      <c r="B1515" s="2">
        <f>IFERROR(__xludf.DUMMYFUNCTION("""COMPUTED_VALUE"""),184549.0)</f>
        <v>184549</v>
      </c>
      <c r="C1515" s="2">
        <f>IFERROR(__xludf.DUMMYFUNCTION("""COMPUTED_VALUE"""),2026.0)</f>
        <v>2026</v>
      </c>
      <c r="D1515" s="2">
        <f>IFERROR(__xludf.DUMMYFUNCTION("""COMPUTED_VALUE"""),46066.0)</f>
        <v>46066</v>
      </c>
      <c r="E1515" s="2" t="str">
        <f>IFERROR(__xludf.DUMMYFUNCTION("""COMPUTED_VALUE"""),"VF")</f>
        <v>VF</v>
      </c>
      <c r="F1515" s="2">
        <f>IFERROR(__xludf.DUMMYFUNCTION("""COMPUTED_VALUE"""),3.0)</f>
        <v>3</v>
      </c>
      <c r="G1515" s="2" t="str">
        <f>IFERROR(__xludf.DUMMYFUNCTION("""COMPUTED_VALUE"""),"PR028")</f>
        <v>PR028</v>
      </c>
      <c r="H1515" s="2" t="str">
        <f>IFERROR(__xludf.DUMMYFUNCTION("""COMPUTED_VALUE"""),"VD023")</f>
        <v>VD023</v>
      </c>
      <c r="I1515" s="2">
        <f>IFERROR(__xludf.DUMMYFUNCTION("""COMPUTED_VALUE"""),7.0)</f>
        <v>7</v>
      </c>
      <c r="J1515" s="2">
        <f>IFERROR(__xludf.DUMMYFUNCTION("""COMPUTED_VALUE"""),1819.27)</f>
        <v>1819.27</v>
      </c>
      <c r="K1515" s="2">
        <f>IFERROR(__xludf.DUMMYFUNCTION("""COMPUTED_VALUE"""),1819.27)</f>
        <v>1819.27</v>
      </c>
    </row>
    <row r="1516">
      <c r="A1516" s="2">
        <f>IFERROR(__xludf.DUMMYFUNCTION("""COMPUTED_VALUE"""),1000.0)</f>
        <v>1000</v>
      </c>
      <c r="B1516" s="2">
        <f>IFERROR(__xludf.DUMMYFUNCTION("""COMPUTED_VALUE"""),184550.0)</f>
        <v>184550</v>
      </c>
      <c r="C1516" s="2">
        <f>IFERROR(__xludf.DUMMYFUNCTION("""COMPUTED_VALUE"""),2026.0)</f>
        <v>2026</v>
      </c>
      <c r="D1516" s="2">
        <f>IFERROR(__xludf.DUMMYFUNCTION("""COMPUTED_VALUE"""),46066.0)</f>
        <v>46066</v>
      </c>
      <c r="E1516" s="2" t="str">
        <f>IFERROR(__xludf.DUMMYFUNCTION("""COMPUTED_VALUE"""),"VF")</f>
        <v>VF</v>
      </c>
      <c r="F1516" s="2">
        <f>IFERROR(__xludf.DUMMYFUNCTION("""COMPUTED_VALUE"""),1.0)</f>
        <v>1</v>
      </c>
      <c r="G1516" s="2" t="str">
        <f>IFERROR(__xludf.DUMMYFUNCTION("""COMPUTED_VALUE"""),"PR042")</f>
        <v>PR042</v>
      </c>
      <c r="H1516" s="2" t="str">
        <f>IFERROR(__xludf.DUMMYFUNCTION("""COMPUTED_VALUE"""),"VD042")</f>
        <v>VD042</v>
      </c>
      <c r="I1516" s="2">
        <f>IFERROR(__xludf.DUMMYFUNCTION("""COMPUTED_VALUE"""),3.0)</f>
        <v>3</v>
      </c>
      <c r="J1516" s="2">
        <f>IFERROR(__xludf.DUMMYFUNCTION("""COMPUTED_VALUE"""),179.52)</f>
        <v>179.52</v>
      </c>
      <c r="K1516" s="2">
        <f>IFERROR(__xludf.DUMMYFUNCTION("""COMPUTED_VALUE"""),179.52)</f>
        <v>179.52</v>
      </c>
    </row>
    <row r="1517">
      <c r="A1517" s="2">
        <f>IFERROR(__xludf.DUMMYFUNCTION("""COMPUTED_VALUE"""),1000.0)</f>
        <v>1000</v>
      </c>
      <c r="B1517" s="2">
        <f>IFERROR(__xludf.DUMMYFUNCTION("""COMPUTED_VALUE"""),184551.0)</f>
        <v>184551</v>
      </c>
      <c r="C1517" s="2">
        <f>IFERROR(__xludf.DUMMYFUNCTION("""COMPUTED_VALUE"""),2026.0)</f>
        <v>2026</v>
      </c>
      <c r="D1517" s="2">
        <f>IFERROR(__xludf.DUMMYFUNCTION("""COMPUTED_VALUE"""),46066.0)</f>
        <v>46066</v>
      </c>
      <c r="E1517" s="2" t="str">
        <f>IFERROR(__xludf.DUMMYFUNCTION("""COMPUTED_VALUE"""),"VF")</f>
        <v>VF</v>
      </c>
      <c r="F1517" s="2">
        <f>IFERROR(__xludf.DUMMYFUNCTION("""COMPUTED_VALUE"""),1.0)</f>
        <v>1</v>
      </c>
      <c r="G1517" s="2" t="str">
        <f>IFERROR(__xludf.DUMMYFUNCTION("""COMPUTED_VALUE"""),"PR016")</f>
        <v>PR016</v>
      </c>
      <c r="H1517" s="2" t="str">
        <f>IFERROR(__xludf.DUMMYFUNCTION("""COMPUTED_VALUE"""),"VD028")</f>
        <v>VD028</v>
      </c>
      <c r="I1517" s="2">
        <f>IFERROR(__xludf.DUMMYFUNCTION("""COMPUTED_VALUE"""),20.0)</f>
        <v>20</v>
      </c>
      <c r="J1517" s="2">
        <f>IFERROR(__xludf.DUMMYFUNCTION("""COMPUTED_VALUE"""),554.26)</f>
        <v>554.26</v>
      </c>
      <c r="K1517" s="2">
        <f>IFERROR(__xludf.DUMMYFUNCTION("""COMPUTED_VALUE"""),554.26)</f>
        <v>554.26</v>
      </c>
    </row>
    <row r="1518">
      <c r="A1518" s="2">
        <f>IFERROR(__xludf.DUMMYFUNCTION("""COMPUTED_VALUE"""),1000.0)</f>
        <v>1000</v>
      </c>
      <c r="B1518" s="2">
        <f>IFERROR(__xludf.DUMMYFUNCTION("""COMPUTED_VALUE"""),184551.0)</f>
        <v>184551</v>
      </c>
      <c r="C1518" s="2">
        <f>IFERROR(__xludf.DUMMYFUNCTION("""COMPUTED_VALUE"""),2026.0)</f>
        <v>2026</v>
      </c>
      <c r="D1518" s="2">
        <f>IFERROR(__xludf.DUMMYFUNCTION("""COMPUTED_VALUE"""),46066.0)</f>
        <v>46066</v>
      </c>
      <c r="E1518" s="2" t="str">
        <f>IFERROR(__xludf.DUMMYFUNCTION("""COMPUTED_VALUE"""),"VF")</f>
        <v>VF</v>
      </c>
      <c r="F1518" s="2">
        <f>IFERROR(__xludf.DUMMYFUNCTION("""COMPUTED_VALUE"""),2.0)</f>
        <v>2</v>
      </c>
      <c r="G1518" s="2" t="str">
        <f>IFERROR(__xludf.DUMMYFUNCTION("""COMPUTED_VALUE"""),"PR029")</f>
        <v>PR029</v>
      </c>
      <c r="H1518" s="2" t="str">
        <f>IFERROR(__xludf.DUMMYFUNCTION("""COMPUTED_VALUE"""),"VD032")</f>
        <v>VD032</v>
      </c>
      <c r="I1518" s="2">
        <f>IFERROR(__xludf.DUMMYFUNCTION("""COMPUTED_VALUE"""),14.0)</f>
        <v>14</v>
      </c>
      <c r="J1518" s="2">
        <f>IFERROR(__xludf.DUMMYFUNCTION("""COMPUTED_VALUE"""),3677.1)</f>
        <v>3677.1</v>
      </c>
      <c r="K1518" s="2">
        <f>IFERROR(__xludf.DUMMYFUNCTION("""COMPUTED_VALUE"""),3677.1)</f>
        <v>3677.1</v>
      </c>
    </row>
    <row r="1519">
      <c r="A1519" s="2">
        <f>IFERROR(__xludf.DUMMYFUNCTION("""COMPUTED_VALUE"""),1000.0)</f>
        <v>1000</v>
      </c>
      <c r="B1519" s="2">
        <f>IFERROR(__xludf.DUMMYFUNCTION("""COMPUTED_VALUE"""),184551.0)</f>
        <v>184551</v>
      </c>
      <c r="C1519" s="2">
        <f>IFERROR(__xludf.DUMMYFUNCTION("""COMPUTED_VALUE"""),2026.0)</f>
        <v>2026</v>
      </c>
      <c r="D1519" s="2">
        <f>IFERROR(__xludf.DUMMYFUNCTION("""COMPUTED_VALUE"""),46066.0)</f>
        <v>46066</v>
      </c>
      <c r="E1519" s="2" t="str">
        <f>IFERROR(__xludf.DUMMYFUNCTION("""COMPUTED_VALUE"""),"VF")</f>
        <v>VF</v>
      </c>
      <c r="F1519" s="2">
        <f>IFERROR(__xludf.DUMMYFUNCTION("""COMPUTED_VALUE"""),3.0)</f>
        <v>3</v>
      </c>
      <c r="G1519" s="2" t="str">
        <f>IFERROR(__xludf.DUMMYFUNCTION("""COMPUTED_VALUE"""),"PR005")</f>
        <v>PR005</v>
      </c>
      <c r="H1519" s="2" t="str">
        <f>IFERROR(__xludf.DUMMYFUNCTION("""COMPUTED_VALUE"""),"VD043")</f>
        <v>VD043</v>
      </c>
      <c r="I1519" s="2">
        <f>IFERROR(__xludf.DUMMYFUNCTION("""COMPUTED_VALUE"""),6.0)</f>
        <v>6</v>
      </c>
      <c r="J1519" s="2">
        <f>IFERROR(__xludf.DUMMYFUNCTION("""COMPUTED_VALUE"""),1590.59)</f>
        <v>1590.59</v>
      </c>
      <c r="K1519" s="2">
        <f>IFERROR(__xludf.DUMMYFUNCTION("""COMPUTED_VALUE"""),1590.59)</f>
        <v>1590.59</v>
      </c>
    </row>
    <row r="1520">
      <c r="A1520" s="2">
        <f>IFERROR(__xludf.DUMMYFUNCTION("""COMPUTED_VALUE"""),1000.0)</f>
        <v>1000</v>
      </c>
      <c r="B1520" s="2">
        <f>IFERROR(__xludf.DUMMYFUNCTION("""COMPUTED_VALUE"""),184552.0)</f>
        <v>184552</v>
      </c>
      <c r="C1520" s="2">
        <f>IFERROR(__xludf.DUMMYFUNCTION("""COMPUTED_VALUE"""),2026.0)</f>
        <v>2026</v>
      </c>
      <c r="D1520" s="2">
        <f>IFERROR(__xludf.DUMMYFUNCTION("""COMPUTED_VALUE"""),46066.0)</f>
        <v>46066</v>
      </c>
      <c r="E1520" s="2" t="str">
        <f>IFERROR(__xludf.DUMMYFUNCTION("""COMPUTED_VALUE"""),"VF")</f>
        <v>VF</v>
      </c>
      <c r="F1520" s="2">
        <f>IFERROR(__xludf.DUMMYFUNCTION("""COMPUTED_VALUE"""),1.0)</f>
        <v>1</v>
      </c>
      <c r="G1520" s="2" t="str">
        <f>IFERROR(__xludf.DUMMYFUNCTION("""COMPUTED_VALUE"""),"PR036")</f>
        <v>PR036</v>
      </c>
      <c r="H1520" s="2" t="str">
        <f>IFERROR(__xludf.DUMMYFUNCTION("""COMPUTED_VALUE"""),"VD016")</f>
        <v>VD016</v>
      </c>
      <c r="I1520" s="2">
        <f>IFERROR(__xludf.DUMMYFUNCTION("""COMPUTED_VALUE"""),9.0)</f>
        <v>9</v>
      </c>
      <c r="J1520" s="2">
        <f>IFERROR(__xludf.DUMMYFUNCTION("""COMPUTED_VALUE"""),866.75)</f>
        <v>866.75</v>
      </c>
      <c r="K1520" s="2">
        <f>IFERROR(__xludf.DUMMYFUNCTION("""COMPUTED_VALUE"""),866.75)</f>
        <v>866.75</v>
      </c>
    </row>
    <row r="1521">
      <c r="A1521" s="2">
        <f>IFERROR(__xludf.DUMMYFUNCTION("""COMPUTED_VALUE"""),1000.0)</f>
        <v>1000</v>
      </c>
      <c r="B1521" s="2">
        <f>IFERROR(__xludf.DUMMYFUNCTION("""COMPUTED_VALUE"""),184552.0)</f>
        <v>184552</v>
      </c>
      <c r="C1521" s="2">
        <f>IFERROR(__xludf.DUMMYFUNCTION("""COMPUTED_VALUE"""),2026.0)</f>
        <v>2026</v>
      </c>
      <c r="D1521" s="2">
        <f>IFERROR(__xludf.DUMMYFUNCTION("""COMPUTED_VALUE"""),46065.0)</f>
        <v>46065</v>
      </c>
      <c r="E1521" s="2" t="str">
        <f>IFERROR(__xludf.DUMMYFUNCTION("""COMPUTED_VALUE"""),"VF")</f>
        <v>VF</v>
      </c>
      <c r="F1521" s="2">
        <f>IFERROR(__xludf.DUMMYFUNCTION("""COMPUTED_VALUE"""),2.0)</f>
        <v>2</v>
      </c>
      <c r="G1521" s="2" t="str">
        <f>IFERROR(__xludf.DUMMYFUNCTION("""COMPUTED_VALUE"""),"PR011")</f>
        <v>PR011</v>
      </c>
      <c r="H1521" s="2" t="str">
        <f>IFERROR(__xludf.DUMMYFUNCTION("""COMPUTED_VALUE"""),"VD024")</f>
        <v>VD024</v>
      </c>
      <c r="I1521" s="2">
        <f>IFERROR(__xludf.DUMMYFUNCTION("""COMPUTED_VALUE"""),8.0)</f>
        <v>8</v>
      </c>
      <c r="J1521" s="2">
        <f>IFERROR(__xludf.DUMMYFUNCTION("""COMPUTED_VALUE"""),390.21)</f>
        <v>390.21</v>
      </c>
      <c r="K1521" s="2">
        <f>IFERROR(__xludf.DUMMYFUNCTION("""COMPUTED_VALUE"""),390.21)</f>
        <v>390.21</v>
      </c>
    </row>
    <row r="1522">
      <c r="A1522" s="2">
        <f>IFERROR(__xludf.DUMMYFUNCTION("""COMPUTED_VALUE"""),1000.0)</f>
        <v>1000</v>
      </c>
      <c r="B1522" s="2">
        <f>IFERROR(__xludf.DUMMYFUNCTION("""COMPUTED_VALUE"""),184553.0)</f>
        <v>184553</v>
      </c>
      <c r="C1522" s="2">
        <f>IFERROR(__xludf.DUMMYFUNCTION("""COMPUTED_VALUE"""),2026.0)</f>
        <v>2026</v>
      </c>
      <c r="D1522" s="2">
        <f>IFERROR(__xludf.DUMMYFUNCTION("""COMPUTED_VALUE"""),46065.0)</f>
        <v>46065</v>
      </c>
      <c r="E1522" s="2" t="str">
        <f>IFERROR(__xludf.DUMMYFUNCTION("""COMPUTED_VALUE"""),"VF")</f>
        <v>VF</v>
      </c>
      <c r="F1522" s="2">
        <f>IFERROR(__xludf.DUMMYFUNCTION("""COMPUTED_VALUE"""),1.0)</f>
        <v>1</v>
      </c>
      <c r="G1522" s="2" t="str">
        <f>IFERROR(__xludf.DUMMYFUNCTION("""COMPUTED_VALUE"""),"PR042")</f>
        <v>PR042</v>
      </c>
      <c r="H1522" s="2" t="str">
        <f>IFERROR(__xludf.DUMMYFUNCTION("""COMPUTED_VALUE"""),"VD029")</f>
        <v>VD029</v>
      </c>
      <c r="I1522" s="2">
        <f>IFERROR(__xludf.DUMMYFUNCTION("""COMPUTED_VALUE"""),7.0)</f>
        <v>7</v>
      </c>
      <c r="J1522" s="2">
        <f>IFERROR(__xludf.DUMMYFUNCTION("""COMPUTED_VALUE"""),391.99)</f>
        <v>391.99</v>
      </c>
      <c r="K1522" s="2">
        <f>IFERROR(__xludf.DUMMYFUNCTION("""COMPUTED_VALUE"""),391.99)</f>
        <v>391.99</v>
      </c>
    </row>
    <row r="1523">
      <c r="A1523" s="2">
        <f>IFERROR(__xludf.DUMMYFUNCTION("""COMPUTED_VALUE"""),1000.0)</f>
        <v>1000</v>
      </c>
      <c r="B1523" s="2">
        <f>IFERROR(__xludf.DUMMYFUNCTION("""COMPUTED_VALUE"""),184554.0)</f>
        <v>184554</v>
      </c>
      <c r="C1523" s="2">
        <f>IFERROR(__xludf.DUMMYFUNCTION("""COMPUTED_VALUE"""),2026.0)</f>
        <v>2026</v>
      </c>
      <c r="D1523" s="2">
        <f>IFERROR(__xludf.DUMMYFUNCTION("""COMPUTED_VALUE"""),46065.0)</f>
        <v>46065</v>
      </c>
      <c r="E1523" s="2" t="str">
        <f>IFERROR(__xludf.DUMMYFUNCTION("""COMPUTED_VALUE"""),"VF")</f>
        <v>VF</v>
      </c>
      <c r="F1523" s="2">
        <f>IFERROR(__xludf.DUMMYFUNCTION("""COMPUTED_VALUE"""),1.0)</f>
        <v>1</v>
      </c>
      <c r="G1523" s="2" t="str">
        <f>IFERROR(__xludf.DUMMYFUNCTION("""COMPUTED_VALUE"""),"PR024")</f>
        <v>PR024</v>
      </c>
      <c r="H1523" s="2" t="str">
        <f>IFERROR(__xludf.DUMMYFUNCTION("""COMPUTED_VALUE"""),"VD036")</f>
        <v>VD036</v>
      </c>
      <c r="I1523" s="2">
        <f>IFERROR(__xludf.DUMMYFUNCTION("""COMPUTED_VALUE"""),5.0)</f>
        <v>5</v>
      </c>
      <c r="J1523" s="2">
        <f>IFERROR(__xludf.DUMMYFUNCTION("""COMPUTED_VALUE"""),1377.47)</f>
        <v>1377.47</v>
      </c>
      <c r="K1523" s="2">
        <f>IFERROR(__xludf.DUMMYFUNCTION("""COMPUTED_VALUE"""),1377.47)</f>
        <v>1377.47</v>
      </c>
    </row>
    <row r="1524">
      <c r="A1524" s="2">
        <f>IFERROR(__xludf.DUMMYFUNCTION("""COMPUTED_VALUE"""),1000.0)</f>
        <v>1000</v>
      </c>
      <c r="B1524" s="2">
        <f>IFERROR(__xludf.DUMMYFUNCTION("""COMPUTED_VALUE"""),184554.0)</f>
        <v>184554</v>
      </c>
      <c r="C1524" s="2">
        <f>IFERROR(__xludf.DUMMYFUNCTION("""COMPUTED_VALUE"""),2026.0)</f>
        <v>2026</v>
      </c>
      <c r="D1524" s="2">
        <f>IFERROR(__xludf.DUMMYFUNCTION("""COMPUTED_VALUE"""),46065.0)</f>
        <v>46065</v>
      </c>
      <c r="E1524" s="2" t="str">
        <f>IFERROR(__xludf.DUMMYFUNCTION("""COMPUTED_VALUE"""),"VF")</f>
        <v>VF</v>
      </c>
      <c r="F1524" s="2">
        <f>IFERROR(__xludf.DUMMYFUNCTION("""COMPUTED_VALUE"""),2.0)</f>
        <v>2</v>
      </c>
      <c r="G1524" s="2" t="str">
        <f>IFERROR(__xludf.DUMMYFUNCTION("""COMPUTED_VALUE"""),"PR055")</f>
        <v>PR055</v>
      </c>
      <c r="H1524" s="2" t="str">
        <f>IFERROR(__xludf.DUMMYFUNCTION("""COMPUTED_VALUE"""),"VD042")</f>
        <v>VD042</v>
      </c>
      <c r="I1524" s="2">
        <f>IFERROR(__xludf.DUMMYFUNCTION("""COMPUTED_VALUE"""),10.0)</f>
        <v>10</v>
      </c>
      <c r="J1524" s="2">
        <f>IFERROR(__xludf.DUMMYFUNCTION("""COMPUTED_VALUE"""),899.0)</f>
        <v>899</v>
      </c>
      <c r="K1524" s="2">
        <f>IFERROR(__xludf.DUMMYFUNCTION("""COMPUTED_VALUE"""),899.0)</f>
        <v>899</v>
      </c>
    </row>
    <row r="1525">
      <c r="A1525" s="2">
        <f>IFERROR(__xludf.DUMMYFUNCTION("""COMPUTED_VALUE"""),1000.0)</f>
        <v>1000</v>
      </c>
      <c r="B1525" s="2">
        <f>IFERROR(__xludf.DUMMYFUNCTION("""COMPUTED_VALUE"""),184554.0)</f>
        <v>184554</v>
      </c>
      <c r="C1525" s="2">
        <f>IFERROR(__xludf.DUMMYFUNCTION("""COMPUTED_VALUE"""),2026.0)</f>
        <v>2026</v>
      </c>
      <c r="D1525" s="2">
        <f>IFERROR(__xludf.DUMMYFUNCTION("""COMPUTED_VALUE"""),46065.0)</f>
        <v>46065</v>
      </c>
      <c r="E1525" s="2" t="str">
        <f>IFERROR(__xludf.DUMMYFUNCTION("""COMPUTED_VALUE"""),"VF")</f>
        <v>VF</v>
      </c>
      <c r="F1525" s="2">
        <f>IFERROR(__xludf.DUMMYFUNCTION("""COMPUTED_VALUE"""),3.0)</f>
        <v>3</v>
      </c>
      <c r="G1525" s="2" t="str">
        <f>IFERROR(__xludf.DUMMYFUNCTION("""COMPUTED_VALUE"""),"PR031")</f>
        <v>PR031</v>
      </c>
      <c r="H1525" s="2" t="str">
        <f>IFERROR(__xludf.DUMMYFUNCTION("""COMPUTED_VALUE"""),"VD039")</f>
        <v>VD039</v>
      </c>
      <c r="I1525" s="2">
        <f>IFERROR(__xludf.DUMMYFUNCTION("""COMPUTED_VALUE"""),7.0)</f>
        <v>7</v>
      </c>
      <c r="J1525" s="2">
        <f>IFERROR(__xludf.DUMMYFUNCTION("""COMPUTED_VALUE"""),1835.05)</f>
        <v>1835.05</v>
      </c>
      <c r="K1525" s="2">
        <f>IFERROR(__xludf.DUMMYFUNCTION("""COMPUTED_VALUE"""),1835.05)</f>
        <v>1835.05</v>
      </c>
    </row>
    <row r="1526">
      <c r="A1526" s="2">
        <f>IFERROR(__xludf.DUMMYFUNCTION("""COMPUTED_VALUE"""),1000.0)</f>
        <v>1000</v>
      </c>
      <c r="B1526" s="2">
        <f>IFERROR(__xludf.DUMMYFUNCTION("""COMPUTED_VALUE"""),184554.0)</f>
        <v>184554</v>
      </c>
      <c r="C1526" s="2">
        <f>IFERROR(__xludf.DUMMYFUNCTION("""COMPUTED_VALUE"""),2026.0)</f>
        <v>2026</v>
      </c>
      <c r="D1526" s="2">
        <f>IFERROR(__xludf.DUMMYFUNCTION("""COMPUTED_VALUE"""),46065.0)</f>
        <v>46065</v>
      </c>
      <c r="E1526" s="2" t="str">
        <f>IFERROR(__xludf.DUMMYFUNCTION("""COMPUTED_VALUE"""),"VF")</f>
        <v>VF</v>
      </c>
      <c r="F1526" s="2">
        <f>IFERROR(__xludf.DUMMYFUNCTION("""COMPUTED_VALUE"""),4.0)</f>
        <v>4</v>
      </c>
      <c r="G1526" s="2" t="str">
        <f>IFERROR(__xludf.DUMMYFUNCTION("""COMPUTED_VALUE"""),"PR051")</f>
        <v>PR051</v>
      </c>
      <c r="H1526" s="2" t="str">
        <f>IFERROR(__xludf.DUMMYFUNCTION("""COMPUTED_VALUE"""),"VD011")</f>
        <v>VD011</v>
      </c>
      <c r="I1526" s="2">
        <f>IFERROR(__xludf.DUMMYFUNCTION("""COMPUTED_VALUE"""),4.0)</f>
        <v>4</v>
      </c>
      <c r="J1526" s="2">
        <f>IFERROR(__xludf.DUMMYFUNCTION("""COMPUTED_VALUE"""),131.6)</f>
        <v>131.6</v>
      </c>
      <c r="K1526" s="2">
        <f>IFERROR(__xludf.DUMMYFUNCTION("""COMPUTED_VALUE"""),131.6)</f>
        <v>131.6</v>
      </c>
    </row>
    <row r="1527">
      <c r="A1527" s="2">
        <f>IFERROR(__xludf.DUMMYFUNCTION("""COMPUTED_VALUE"""),1000.0)</f>
        <v>1000</v>
      </c>
      <c r="B1527" s="2">
        <f>IFERROR(__xludf.DUMMYFUNCTION("""COMPUTED_VALUE"""),184555.0)</f>
        <v>184555</v>
      </c>
      <c r="C1527" s="2">
        <f>IFERROR(__xludf.DUMMYFUNCTION("""COMPUTED_VALUE"""),2026.0)</f>
        <v>2026</v>
      </c>
      <c r="D1527" s="2">
        <f>IFERROR(__xludf.DUMMYFUNCTION("""COMPUTED_VALUE"""),46065.0)</f>
        <v>46065</v>
      </c>
      <c r="E1527" s="2" t="str">
        <f>IFERROR(__xludf.DUMMYFUNCTION("""COMPUTED_VALUE"""),"VF")</f>
        <v>VF</v>
      </c>
      <c r="F1527" s="2">
        <f>IFERROR(__xludf.DUMMYFUNCTION("""COMPUTED_VALUE"""),1.0)</f>
        <v>1</v>
      </c>
      <c r="G1527" s="2" t="str">
        <f>IFERROR(__xludf.DUMMYFUNCTION("""COMPUTED_VALUE"""),"PR007")</f>
        <v>PR007</v>
      </c>
      <c r="H1527" s="2" t="str">
        <f>IFERROR(__xludf.DUMMYFUNCTION("""COMPUTED_VALUE"""),"VD021")</f>
        <v>VD021</v>
      </c>
      <c r="I1527" s="2">
        <f>IFERROR(__xludf.DUMMYFUNCTION("""COMPUTED_VALUE"""),2.0)</f>
        <v>2</v>
      </c>
      <c r="J1527" s="2">
        <f>IFERROR(__xludf.DUMMYFUNCTION("""COMPUTED_VALUE"""),171.8)</f>
        <v>171.8</v>
      </c>
      <c r="K1527" s="2">
        <f>IFERROR(__xludf.DUMMYFUNCTION("""COMPUTED_VALUE"""),171.8)</f>
        <v>171.8</v>
      </c>
    </row>
    <row r="1528">
      <c r="A1528" s="2">
        <f>IFERROR(__xludf.DUMMYFUNCTION("""COMPUTED_VALUE"""),1000.0)</f>
        <v>1000</v>
      </c>
      <c r="B1528" s="2">
        <f>IFERROR(__xludf.DUMMYFUNCTION("""COMPUTED_VALUE"""),184556.0)</f>
        <v>184556</v>
      </c>
      <c r="C1528" s="2">
        <f>IFERROR(__xludf.DUMMYFUNCTION("""COMPUTED_VALUE"""),2026.0)</f>
        <v>2026</v>
      </c>
      <c r="D1528" s="2">
        <f>IFERROR(__xludf.DUMMYFUNCTION("""COMPUTED_VALUE"""),46064.0)</f>
        <v>46064</v>
      </c>
      <c r="E1528" s="2" t="str">
        <f>IFERROR(__xludf.DUMMYFUNCTION("""COMPUTED_VALUE"""),"VF")</f>
        <v>VF</v>
      </c>
      <c r="F1528" s="2">
        <f>IFERROR(__xludf.DUMMYFUNCTION("""COMPUTED_VALUE"""),1.0)</f>
        <v>1</v>
      </c>
      <c r="G1528" s="2" t="str">
        <f>IFERROR(__xludf.DUMMYFUNCTION("""COMPUTED_VALUE"""),"PR018")</f>
        <v>PR018</v>
      </c>
      <c r="H1528" s="2" t="str">
        <f>IFERROR(__xludf.DUMMYFUNCTION("""COMPUTED_VALUE"""),"VD016")</f>
        <v>VD016</v>
      </c>
      <c r="I1528" s="2">
        <f>IFERROR(__xludf.DUMMYFUNCTION("""COMPUTED_VALUE"""),8.0)</f>
        <v>8</v>
      </c>
      <c r="J1528" s="2">
        <f>IFERROR(__xludf.DUMMYFUNCTION("""COMPUTED_VALUE"""),286.89)</f>
        <v>286.89</v>
      </c>
      <c r="K1528" s="2">
        <f>IFERROR(__xludf.DUMMYFUNCTION("""COMPUTED_VALUE"""),286.89)</f>
        <v>286.89</v>
      </c>
    </row>
    <row r="1529">
      <c r="A1529" s="2">
        <f>IFERROR(__xludf.DUMMYFUNCTION("""COMPUTED_VALUE"""),1000.0)</f>
        <v>1000</v>
      </c>
      <c r="B1529" s="2">
        <f>IFERROR(__xludf.DUMMYFUNCTION("""COMPUTED_VALUE"""),184557.0)</f>
        <v>184557</v>
      </c>
      <c r="C1529" s="2">
        <f>IFERROR(__xludf.DUMMYFUNCTION("""COMPUTED_VALUE"""),2026.0)</f>
        <v>2026</v>
      </c>
      <c r="D1529" s="2">
        <f>IFERROR(__xludf.DUMMYFUNCTION("""COMPUTED_VALUE"""),46064.0)</f>
        <v>46064</v>
      </c>
      <c r="E1529" s="2" t="str">
        <f>IFERROR(__xludf.DUMMYFUNCTION("""COMPUTED_VALUE"""),"VF")</f>
        <v>VF</v>
      </c>
      <c r="F1529" s="2">
        <f>IFERROR(__xludf.DUMMYFUNCTION("""COMPUTED_VALUE"""),1.0)</f>
        <v>1</v>
      </c>
      <c r="G1529" s="2" t="str">
        <f>IFERROR(__xludf.DUMMYFUNCTION("""COMPUTED_VALUE"""),"PR014")</f>
        <v>PR014</v>
      </c>
      <c r="H1529" s="2" t="str">
        <f>IFERROR(__xludf.DUMMYFUNCTION("""COMPUTED_VALUE"""),"VD045")</f>
        <v>VD045</v>
      </c>
      <c r="I1529" s="2">
        <f>IFERROR(__xludf.DUMMYFUNCTION("""COMPUTED_VALUE"""),3.0)</f>
        <v>3</v>
      </c>
      <c r="J1529" s="2">
        <f>IFERROR(__xludf.DUMMYFUNCTION("""COMPUTED_VALUE"""),129.28)</f>
        <v>129.28</v>
      </c>
      <c r="K1529" s="2">
        <f>IFERROR(__xludf.DUMMYFUNCTION("""COMPUTED_VALUE"""),129.28)</f>
        <v>129.28</v>
      </c>
    </row>
    <row r="1530">
      <c r="A1530" s="2">
        <f>IFERROR(__xludf.DUMMYFUNCTION("""COMPUTED_VALUE"""),1000.0)</f>
        <v>1000</v>
      </c>
      <c r="B1530" s="2">
        <f>IFERROR(__xludf.DUMMYFUNCTION("""COMPUTED_VALUE"""),184558.0)</f>
        <v>184558</v>
      </c>
      <c r="C1530" s="2">
        <f>IFERROR(__xludf.DUMMYFUNCTION("""COMPUTED_VALUE"""),2026.0)</f>
        <v>2026</v>
      </c>
      <c r="D1530" s="2">
        <f>IFERROR(__xludf.DUMMYFUNCTION("""COMPUTED_VALUE"""),46064.0)</f>
        <v>46064</v>
      </c>
      <c r="E1530" s="2" t="str">
        <f>IFERROR(__xludf.DUMMYFUNCTION("""COMPUTED_VALUE"""),"VF")</f>
        <v>VF</v>
      </c>
      <c r="F1530" s="2">
        <f>IFERROR(__xludf.DUMMYFUNCTION("""COMPUTED_VALUE"""),1.0)</f>
        <v>1</v>
      </c>
      <c r="G1530" s="2" t="str">
        <f>IFERROR(__xludf.DUMMYFUNCTION("""COMPUTED_VALUE"""),"PR024")</f>
        <v>PR024</v>
      </c>
      <c r="H1530" s="2" t="str">
        <f>IFERROR(__xludf.DUMMYFUNCTION("""COMPUTED_VALUE"""),"VD041")</f>
        <v>VD041</v>
      </c>
      <c r="I1530" s="2">
        <f>IFERROR(__xludf.DUMMYFUNCTION("""COMPUTED_VALUE"""),10.0)</f>
        <v>10</v>
      </c>
      <c r="J1530" s="2">
        <f>IFERROR(__xludf.DUMMYFUNCTION("""COMPUTED_VALUE"""),2754.94)</f>
        <v>2754.94</v>
      </c>
      <c r="K1530" s="2">
        <f>IFERROR(__xludf.DUMMYFUNCTION("""COMPUTED_VALUE"""),2754.94)</f>
        <v>2754.94</v>
      </c>
    </row>
    <row r="1531">
      <c r="A1531" s="2">
        <f>IFERROR(__xludf.DUMMYFUNCTION("""COMPUTED_VALUE"""),1000.0)</f>
        <v>1000</v>
      </c>
      <c r="B1531" s="2">
        <f>IFERROR(__xludf.DUMMYFUNCTION("""COMPUTED_VALUE"""),184558.0)</f>
        <v>184558</v>
      </c>
      <c r="C1531" s="2">
        <f>IFERROR(__xludf.DUMMYFUNCTION("""COMPUTED_VALUE"""),2026.0)</f>
        <v>2026</v>
      </c>
      <c r="D1531" s="2">
        <f>IFERROR(__xludf.DUMMYFUNCTION("""COMPUTED_VALUE"""),46064.0)</f>
        <v>46064</v>
      </c>
      <c r="E1531" s="2" t="str">
        <f>IFERROR(__xludf.DUMMYFUNCTION("""COMPUTED_VALUE"""),"VF")</f>
        <v>VF</v>
      </c>
      <c r="F1531" s="2">
        <f>IFERROR(__xludf.DUMMYFUNCTION("""COMPUTED_VALUE"""),2.0)</f>
        <v>2</v>
      </c>
      <c r="G1531" s="2" t="str">
        <f>IFERROR(__xludf.DUMMYFUNCTION("""COMPUTED_VALUE"""),"PR031")</f>
        <v>PR031</v>
      </c>
      <c r="H1531" s="2" t="str">
        <f>IFERROR(__xludf.DUMMYFUNCTION("""COMPUTED_VALUE"""),"VD049")</f>
        <v>VD049</v>
      </c>
      <c r="I1531" s="2">
        <f>IFERROR(__xludf.DUMMYFUNCTION("""COMPUTED_VALUE"""),10.0)</f>
        <v>10</v>
      </c>
      <c r="J1531" s="2">
        <f>IFERROR(__xludf.DUMMYFUNCTION("""COMPUTED_VALUE"""),2646.0)</f>
        <v>2646</v>
      </c>
      <c r="K1531" s="2">
        <f>IFERROR(__xludf.DUMMYFUNCTION("""COMPUTED_VALUE"""),2646.0)</f>
        <v>2646</v>
      </c>
    </row>
    <row r="1532">
      <c r="A1532" s="2">
        <f>IFERROR(__xludf.DUMMYFUNCTION("""COMPUTED_VALUE"""),1000.0)</f>
        <v>1000</v>
      </c>
      <c r="B1532" s="2">
        <f>IFERROR(__xludf.DUMMYFUNCTION("""COMPUTED_VALUE"""),184559.0)</f>
        <v>184559</v>
      </c>
      <c r="C1532" s="2">
        <f>IFERROR(__xludf.DUMMYFUNCTION("""COMPUTED_VALUE"""),2026.0)</f>
        <v>2026</v>
      </c>
      <c r="D1532" s="2">
        <f>IFERROR(__xludf.DUMMYFUNCTION("""COMPUTED_VALUE"""),46063.0)</f>
        <v>46063</v>
      </c>
      <c r="E1532" s="2" t="str">
        <f>IFERROR(__xludf.DUMMYFUNCTION("""COMPUTED_VALUE"""),"VF")</f>
        <v>VF</v>
      </c>
      <c r="F1532" s="2">
        <f>IFERROR(__xludf.DUMMYFUNCTION("""COMPUTED_VALUE"""),1.0)</f>
        <v>1</v>
      </c>
      <c r="G1532" s="2" t="str">
        <f>IFERROR(__xludf.DUMMYFUNCTION("""COMPUTED_VALUE"""),"PR021")</f>
        <v>PR021</v>
      </c>
      <c r="H1532" s="2" t="str">
        <f>IFERROR(__xludf.DUMMYFUNCTION("""COMPUTED_VALUE"""),"VD021")</f>
        <v>VD021</v>
      </c>
      <c r="I1532" s="2">
        <f>IFERROR(__xludf.DUMMYFUNCTION("""COMPUTED_VALUE"""),2.0)</f>
        <v>2</v>
      </c>
      <c r="J1532" s="2">
        <f>IFERROR(__xludf.DUMMYFUNCTION("""COMPUTED_VALUE"""),623.97)</f>
        <v>623.97</v>
      </c>
      <c r="K1532" s="2">
        <f>IFERROR(__xludf.DUMMYFUNCTION("""COMPUTED_VALUE"""),623.97)</f>
        <v>623.97</v>
      </c>
    </row>
    <row r="1533">
      <c r="A1533" s="2">
        <f>IFERROR(__xludf.DUMMYFUNCTION("""COMPUTED_VALUE"""),2000.0)</f>
        <v>2000</v>
      </c>
      <c r="B1533" s="2">
        <f>IFERROR(__xludf.DUMMYFUNCTION("""COMPUTED_VALUE"""),184559.0)</f>
        <v>184559</v>
      </c>
      <c r="C1533" s="2">
        <f>IFERROR(__xludf.DUMMYFUNCTION("""COMPUTED_VALUE"""),2026.0)</f>
        <v>2026</v>
      </c>
      <c r="D1533" s="2">
        <f>IFERROR(__xludf.DUMMYFUNCTION("""COMPUTED_VALUE"""),46063.0)</f>
        <v>46063</v>
      </c>
      <c r="E1533" s="2" t="str">
        <f>IFERROR(__xludf.DUMMYFUNCTION("""COMPUTED_VALUE"""),"VF")</f>
        <v>VF</v>
      </c>
      <c r="F1533" s="2">
        <f>IFERROR(__xludf.DUMMYFUNCTION("""COMPUTED_VALUE"""),2.0)</f>
        <v>2</v>
      </c>
      <c r="G1533" s="2" t="str">
        <f>IFERROR(__xludf.DUMMYFUNCTION("""COMPUTED_VALUE"""),"PR012")</f>
        <v>PR012</v>
      </c>
      <c r="H1533" s="2" t="str">
        <f>IFERROR(__xludf.DUMMYFUNCTION("""COMPUTED_VALUE"""),"VD046")</f>
        <v>VD046</v>
      </c>
      <c r="I1533" s="2">
        <f>IFERROR(__xludf.DUMMYFUNCTION("""COMPUTED_VALUE"""),4.0)</f>
        <v>4</v>
      </c>
      <c r="J1533" s="2">
        <f>IFERROR(__xludf.DUMMYFUNCTION("""COMPUTED_VALUE"""),215.16)</f>
        <v>215.16</v>
      </c>
      <c r="K1533" s="2">
        <f>IFERROR(__xludf.DUMMYFUNCTION("""COMPUTED_VALUE"""),215.16)</f>
        <v>215.16</v>
      </c>
    </row>
    <row r="1534">
      <c r="A1534" s="2">
        <f>IFERROR(__xludf.DUMMYFUNCTION("""COMPUTED_VALUE"""),1000.0)</f>
        <v>1000</v>
      </c>
      <c r="B1534" s="2">
        <f>IFERROR(__xludf.DUMMYFUNCTION("""COMPUTED_VALUE"""),184559.0)</f>
        <v>184559</v>
      </c>
      <c r="C1534" s="2">
        <f>IFERROR(__xludf.DUMMYFUNCTION("""COMPUTED_VALUE"""),2026.0)</f>
        <v>2026</v>
      </c>
      <c r="D1534" s="2">
        <f>IFERROR(__xludf.DUMMYFUNCTION("""COMPUTED_VALUE"""),46062.0)</f>
        <v>46062</v>
      </c>
      <c r="E1534" s="2" t="str">
        <f>IFERROR(__xludf.DUMMYFUNCTION("""COMPUTED_VALUE"""),"VF")</f>
        <v>VF</v>
      </c>
      <c r="F1534" s="2">
        <f>IFERROR(__xludf.DUMMYFUNCTION("""COMPUTED_VALUE"""),3.0)</f>
        <v>3</v>
      </c>
      <c r="G1534" s="2" t="str">
        <f>IFERROR(__xludf.DUMMYFUNCTION("""COMPUTED_VALUE"""),"PR037")</f>
        <v>PR037</v>
      </c>
      <c r="H1534" s="2" t="str">
        <f>IFERROR(__xludf.DUMMYFUNCTION("""COMPUTED_VALUE"""),"VD027")</f>
        <v>VD027</v>
      </c>
      <c r="I1534" s="2">
        <f>IFERROR(__xludf.DUMMYFUNCTION("""COMPUTED_VALUE"""),10.0)</f>
        <v>10</v>
      </c>
      <c r="J1534" s="2">
        <f>IFERROR(__xludf.DUMMYFUNCTION("""COMPUTED_VALUE"""),1442.0)</f>
        <v>1442</v>
      </c>
      <c r="K1534" s="2">
        <f>IFERROR(__xludf.DUMMYFUNCTION("""COMPUTED_VALUE"""),1442.0)</f>
        <v>1442</v>
      </c>
    </row>
    <row r="1535">
      <c r="A1535" s="2">
        <f>IFERROR(__xludf.DUMMYFUNCTION("""COMPUTED_VALUE"""),1000.0)</f>
        <v>1000</v>
      </c>
      <c r="B1535" s="2">
        <f>IFERROR(__xludf.DUMMYFUNCTION("""COMPUTED_VALUE"""),184559.0)</f>
        <v>184559</v>
      </c>
      <c r="C1535" s="2">
        <f>IFERROR(__xludf.DUMMYFUNCTION("""COMPUTED_VALUE"""),2026.0)</f>
        <v>2026</v>
      </c>
      <c r="D1535" s="2">
        <f>IFERROR(__xludf.DUMMYFUNCTION("""COMPUTED_VALUE"""),46062.0)</f>
        <v>46062</v>
      </c>
      <c r="E1535" s="2" t="str">
        <f>IFERROR(__xludf.DUMMYFUNCTION("""COMPUTED_VALUE"""),"VF")</f>
        <v>VF</v>
      </c>
      <c r="F1535" s="2">
        <f>IFERROR(__xludf.DUMMYFUNCTION("""COMPUTED_VALUE"""),4.0)</f>
        <v>4</v>
      </c>
      <c r="G1535" s="2" t="str">
        <f>IFERROR(__xludf.DUMMYFUNCTION("""COMPUTED_VALUE"""),"PR051")</f>
        <v>PR051</v>
      </c>
      <c r="H1535" s="2" t="str">
        <f>IFERROR(__xludf.DUMMYFUNCTION("""COMPUTED_VALUE"""),"VD017")</f>
        <v>VD017</v>
      </c>
      <c r="I1535" s="2">
        <f>IFERROR(__xludf.DUMMYFUNCTION("""COMPUTED_VALUE"""),8.0)</f>
        <v>8</v>
      </c>
      <c r="J1535" s="2">
        <f>IFERROR(__xludf.DUMMYFUNCTION("""COMPUTED_VALUE"""),276.36)</f>
        <v>276.36</v>
      </c>
      <c r="K1535" s="2">
        <f>IFERROR(__xludf.DUMMYFUNCTION("""COMPUTED_VALUE"""),276.36)</f>
        <v>276.36</v>
      </c>
    </row>
    <row r="1536">
      <c r="A1536" s="2">
        <f>IFERROR(__xludf.DUMMYFUNCTION("""COMPUTED_VALUE"""),1000.0)</f>
        <v>1000</v>
      </c>
      <c r="B1536" s="2">
        <f>IFERROR(__xludf.DUMMYFUNCTION("""COMPUTED_VALUE"""),184560.0)</f>
        <v>184560</v>
      </c>
      <c r="C1536" s="2">
        <f>IFERROR(__xludf.DUMMYFUNCTION("""COMPUTED_VALUE"""),2026.0)</f>
        <v>2026</v>
      </c>
      <c r="D1536" s="2">
        <f>IFERROR(__xludf.DUMMYFUNCTION("""COMPUTED_VALUE"""),46062.0)</f>
        <v>46062</v>
      </c>
      <c r="E1536" s="2" t="str">
        <f>IFERROR(__xludf.DUMMYFUNCTION("""COMPUTED_VALUE"""),"VF")</f>
        <v>VF</v>
      </c>
      <c r="F1536" s="2">
        <f>IFERROR(__xludf.DUMMYFUNCTION("""COMPUTED_VALUE"""),1.0)</f>
        <v>1</v>
      </c>
      <c r="G1536" s="2" t="str">
        <f>IFERROR(__xludf.DUMMYFUNCTION("""COMPUTED_VALUE"""),"PR016")</f>
        <v>PR016</v>
      </c>
      <c r="H1536" s="2" t="str">
        <f>IFERROR(__xludf.DUMMYFUNCTION("""COMPUTED_VALUE"""),"VD033")</f>
        <v>VD033</v>
      </c>
      <c r="I1536" s="2">
        <f>IFERROR(__xludf.DUMMYFUNCTION("""COMPUTED_VALUE"""),14.0)</f>
        <v>14</v>
      </c>
      <c r="J1536" s="2">
        <f>IFERROR(__xludf.DUMMYFUNCTION("""COMPUTED_VALUE"""),362.6)</f>
        <v>362.6</v>
      </c>
      <c r="K1536" s="2">
        <f>IFERROR(__xludf.DUMMYFUNCTION("""COMPUTED_VALUE"""),362.6)</f>
        <v>362.6</v>
      </c>
    </row>
    <row r="1537">
      <c r="A1537" s="2">
        <f>IFERROR(__xludf.DUMMYFUNCTION("""COMPUTED_VALUE"""),1000.0)</f>
        <v>1000</v>
      </c>
      <c r="B1537" s="2">
        <f>IFERROR(__xludf.DUMMYFUNCTION("""COMPUTED_VALUE"""),184560.0)</f>
        <v>184560</v>
      </c>
      <c r="C1537" s="2">
        <f>IFERROR(__xludf.DUMMYFUNCTION("""COMPUTED_VALUE"""),2026.0)</f>
        <v>2026</v>
      </c>
      <c r="D1537" s="2">
        <f>IFERROR(__xludf.DUMMYFUNCTION("""COMPUTED_VALUE"""),46062.0)</f>
        <v>46062</v>
      </c>
      <c r="E1537" s="2" t="str">
        <f>IFERROR(__xludf.DUMMYFUNCTION("""COMPUTED_VALUE"""),"VF")</f>
        <v>VF</v>
      </c>
      <c r="F1537" s="2">
        <f>IFERROR(__xludf.DUMMYFUNCTION("""COMPUTED_VALUE"""),2.0)</f>
        <v>2</v>
      </c>
      <c r="G1537" s="2" t="str">
        <f>IFERROR(__xludf.DUMMYFUNCTION("""COMPUTED_VALUE"""),"PR019")</f>
        <v>PR019</v>
      </c>
      <c r="H1537" s="2" t="str">
        <f>IFERROR(__xludf.DUMMYFUNCTION("""COMPUTED_VALUE"""),"VD031")</f>
        <v>VD031</v>
      </c>
      <c r="I1537" s="2">
        <f>IFERROR(__xludf.DUMMYFUNCTION("""COMPUTED_VALUE"""),20.0)</f>
        <v>20</v>
      </c>
      <c r="J1537" s="2">
        <f>IFERROR(__xludf.DUMMYFUNCTION("""COMPUTED_VALUE"""),1097.8)</f>
        <v>1097.8</v>
      </c>
      <c r="K1537" s="2">
        <f>IFERROR(__xludf.DUMMYFUNCTION("""COMPUTED_VALUE"""),1097.8)</f>
        <v>1097.8</v>
      </c>
    </row>
    <row r="1538">
      <c r="A1538" s="2">
        <f>IFERROR(__xludf.DUMMYFUNCTION("""COMPUTED_VALUE"""),1000.0)</f>
        <v>1000</v>
      </c>
      <c r="B1538" s="2">
        <f>IFERROR(__xludf.DUMMYFUNCTION("""COMPUTED_VALUE"""),184560.0)</f>
        <v>184560</v>
      </c>
      <c r="C1538" s="2">
        <f>IFERROR(__xludf.DUMMYFUNCTION("""COMPUTED_VALUE"""),2026.0)</f>
        <v>2026</v>
      </c>
      <c r="D1538" s="2">
        <f>IFERROR(__xludf.DUMMYFUNCTION("""COMPUTED_VALUE"""),46061.0)</f>
        <v>46061</v>
      </c>
      <c r="E1538" s="2" t="str">
        <f>IFERROR(__xludf.DUMMYFUNCTION("""COMPUTED_VALUE"""),"VF")</f>
        <v>VF</v>
      </c>
      <c r="F1538" s="2">
        <f>IFERROR(__xludf.DUMMYFUNCTION("""COMPUTED_VALUE"""),3.0)</f>
        <v>3</v>
      </c>
      <c r="G1538" s="2" t="str">
        <f>IFERROR(__xludf.DUMMYFUNCTION("""COMPUTED_VALUE"""),"PR018")</f>
        <v>PR018</v>
      </c>
      <c r="H1538" s="2" t="str">
        <f>IFERROR(__xludf.DUMMYFUNCTION("""COMPUTED_VALUE"""),"VD029")</f>
        <v>VD029</v>
      </c>
      <c r="I1538" s="2">
        <f>IFERROR(__xludf.DUMMYFUNCTION("""COMPUTED_VALUE"""),6.0)</f>
        <v>6</v>
      </c>
      <c r="J1538" s="2">
        <f>IFERROR(__xludf.DUMMYFUNCTION("""COMPUTED_VALUE"""),217.14)</f>
        <v>217.14</v>
      </c>
      <c r="K1538" s="2">
        <f>IFERROR(__xludf.DUMMYFUNCTION("""COMPUTED_VALUE"""),217.14)</f>
        <v>217.14</v>
      </c>
    </row>
    <row r="1539">
      <c r="A1539" s="2">
        <f>IFERROR(__xludf.DUMMYFUNCTION("""COMPUTED_VALUE"""),1000.0)</f>
        <v>1000</v>
      </c>
      <c r="B1539" s="2">
        <f>IFERROR(__xludf.DUMMYFUNCTION("""COMPUTED_VALUE"""),184560.0)</f>
        <v>184560</v>
      </c>
      <c r="C1539" s="2">
        <f>IFERROR(__xludf.DUMMYFUNCTION("""COMPUTED_VALUE"""),2026.0)</f>
        <v>2026</v>
      </c>
      <c r="D1539" s="2">
        <f>IFERROR(__xludf.DUMMYFUNCTION("""COMPUTED_VALUE"""),46061.0)</f>
        <v>46061</v>
      </c>
      <c r="E1539" s="2" t="str">
        <f>IFERROR(__xludf.DUMMYFUNCTION("""COMPUTED_VALUE"""),"VF")</f>
        <v>VF</v>
      </c>
      <c r="F1539" s="2">
        <f>IFERROR(__xludf.DUMMYFUNCTION("""COMPUTED_VALUE"""),4.0)</f>
        <v>4</v>
      </c>
      <c r="G1539" s="2" t="str">
        <f>IFERROR(__xludf.DUMMYFUNCTION("""COMPUTED_VALUE"""),"PR045")</f>
        <v>PR045</v>
      </c>
      <c r="H1539" s="2" t="str">
        <f>IFERROR(__xludf.DUMMYFUNCTION("""COMPUTED_VALUE"""),"VD021")</f>
        <v>VD021</v>
      </c>
      <c r="I1539" s="2">
        <f>IFERROR(__xludf.DUMMYFUNCTION("""COMPUTED_VALUE"""),20.0)</f>
        <v>20</v>
      </c>
      <c r="J1539" s="2">
        <f>IFERROR(__xludf.DUMMYFUNCTION("""COMPUTED_VALUE"""),1479.0)</f>
        <v>1479</v>
      </c>
      <c r="K1539" s="2">
        <f>IFERROR(__xludf.DUMMYFUNCTION("""COMPUTED_VALUE"""),1479.0)</f>
        <v>1479</v>
      </c>
    </row>
    <row r="1540">
      <c r="A1540" s="2">
        <f>IFERROR(__xludf.DUMMYFUNCTION("""COMPUTED_VALUE"""),1000.0)</f>
        <v>1000</v>
      </c>
      <c r="B1540" s="2">
        <f>IFERROR(__xludf.DUMMYFUNCTION("""COMPUTED_VALUE"""),184561.0)</f>
        <v>184561</v>
      </c>
      <c r="C1540" s="2">
        <f>IFERROR(__xludf.DUMMYFUNCTION("""COMPUTED_VALUE"""),2026.0)</f>
        <v>2026</v>
      </c>
      <c r="D1540" s="2">
        <f>IFERROR(__xludf.DUMMYFUNCTION("""COMPUTED_VALUE"""),46061.0)</f>
        <v>46061</v>
      </c>
      <c r="E1540" s="2" t="str">
        <f>IFERROR(__xludf.DUMMYFUNCTION("""COMPUTED_VALUE"""),"VF")</f>
        <v>VF</v>
      </c>
      <c r="F1540" s="2">
        <f>IFERROR(__xludf.DUMMYFUNCTION("""COMPUTED_VALUE"""),1.0)</f>
        <v>1</v>
      </c>
      <c r="G1540" s="2" t="str">
        <f>IFERROR(__xludf.DUMMYFUNCTION("""COMPUTED_VALUE"""),"PR020")</f>
        <v>PR020</v>
      </c>
      <c r="H1540" s="2" t="str">
        <f>IFERROR(__xludf.DUMMYFUNCTION("""COMPUTED_VALUE"""),"VD013")</f>
        <v>VD013</v>
      </c>
      <c r="I1540" s="2">
        <f>IFERROR(__xludf.DUMMYFUNCTION("""COMPUTED_VALUE"""),12.0)</f>
        <v>12</v>
      </c>
      <c r="J1540" s="2">
        <f>IFERROR(__xludf.DUMMYFUNCTION("""COMPUTED_VALUE"""),3598.8)</f>
        <v>3598.8</v>
      </c>
      <c r="K1540" s="2">
        <f>IFERROR(__xludf.DUMMYFUNCTION("""COMPUTED_VALUE"""),3598.8)</f>
        <v>3598.8</v>
      </c>
    </row>
    <row r="1541">
      <c r="A1541" s="2">
        <f>IFERROR(__xludf.DUMMYFUNCTION("""COMPUTED_VALUE"""),1000.0)</f>
        <v>1000</v>
      </c>
      <c r="B1541" s="2">
        <f>IFERROR(__xludf.DUMMYFUNCTION("""COMPUTED_VALUE"""),184562.0)</f>
        <v>184562</v>
      </c>
      <c r="C1541" s="2">
        <f>IFERROR(__xludf.DUMMYFUNCTION("""COMPUTED_VALUE"""),2026.0)</f>
        <v>2026</v>
      </c>
      <c r="D1541" s="2">
        <f>IFERROR(__xludf.DUMMYFUNCTION("""COMPUTED_VALUE"""),46061.0)</f>
        <v>46061</v>
      </c>
      <c r="E1541" s="2" t="str">
        <f>IFERROR(__xludf.DUMMYFUNCTION("""COMPUTED_VALUE"""),"VF")</f>
        <v>VF</v>
      </c>
      <c r="F1541" s="2">
        <f>IFERROR(__xludf.DUMMYFUNCTION("""COMPUTED_VALUE"""),1.0)</f>
        <v>1</v>
      </c>
      <c r="G1541" s="2" t="str">
        <f>IFERROR(__xludf.DUMMYFUNCTION("""COMPUTED_VALUE"""),"PR049")</f>
        <v>PR049</v>
      </c>
      <c r="H1541" s="2" t="str">
        <f>IFERROR(__xludf.DUMMYFUNCTION("""COMPUTED_VALUE"""),"VD022")</f>
        <v>VD022</v>
      </c>
      <c r="I1541" s="2">
        <f>IFERROR(__xludf.DUMMYFUNCTION("""COMPUTED_VALUE"""),14.0)</f>
        <v>14</v>
      </c>
      <c r="J1541" s="2">
        <f>IFERROR(__xludf.DUMMYFUNCTION("""COMPUTED_VALUE"""),483.63)</f>
        <v>483.63</v>
      </c>
      <c r="K1541" s="2">
        <f>IFERROR(__xludf.DUMMYFUNCTION("""COMPUTED_VALUE"""),483.63)</f>
        <v>483.63</v>
      </c>
    </row>
    <row r="1542">
      <c r="A1542" s="2">
        <f>IFERROR(__xludf.DUMMYFUNCTION("""COMPUTED_VALUE"""),1000.0)</f>
        <v>1000</v>
      </c>
      <c r="B1542" s="2">
        <f>IFERROR(__xludf.DUMMYFUNCTION("""COMPUTED_VALUE"""),184563.0)</f>
        <v>184563</v>
      </c>
      <c r="C1542" s="2">
        <f>IFERROR(__xludf.DUMMYFUNCTION("""COMPUTED_VALUE"""),2026.0)</f>
        <v>2026</v>
      </c>
      <c r="D1542" s="2">
        <f>IFERROR(__xludf.DUMMYFUNCTION("""COMPUTED_VALUE"""),46061.0)</f>
        <v>46061</v>
      </c>
      <c r="E1542" s="2" t="str">
        <f>IFERROR(__xludf.DUMMYFUNCTION("""COMPUTED_VALUE"""),"VF")</f>
        <v>VF</v>
      </c>
      <c r="F1542" s="2">
        <f>IFERROR(__xludf.DUMMYFUNCTION("""COMPUTED_VALUE"""),1.0)</f>
        <v>1</v>
      </c>
      <c r="G1542" s="2" t="str">
        <f>IFERROR(__xludf.DUMMYFUNCTION("""COMPUTED_VALUE"""),"PR048")</f>
        <v>PR048</v>
      </c>
      <c r="H1542" s="2" t="str">
        <f>IFERROR(__xludf.DUMMYFUNCTION("""COMPUTED_VALUE"""),"VD026")</f>
        <v>VD026</v>
      </c>
      <c r="I1542" s="2">
        <f>IFERROR(__xludf.DUMMYFUNCTION("""COMPUTED_VALUE"""),1.0)</f>
        <v>1</v>
      </c>
      <c r="J1542" s="2">
        <f>IFERROR(__xludf.DUMMYFUNCTION("""COMPUTED_VALUE"""),304.4)</f>
        <v>304.4</v>
      </c>
      <c r="K1542" s="2">
        <f>IFERROR(__xludf.DUMMYFUNCTION("""COMPUTED_VALUE"""),304.4)</f>
        <v>304.4</v>
      </c>
    </row>
    <row r="1543">
      <c r="A1543" s="2">
        <f>IFERROR(__xludf.DUMMYFUNCTION("""COMPUTED_VALUE"""),2000.0)</f>
        <v>2000</v>
      </c>
      <c r="B1543" s="2">
        <f>IFERROR(__xludf.DUMMYFUNCTION("""COMPUTED_VALUE"""),184564.0)</f>
        <v>184564</v>
      </c>
      <c r="C1543" s="2">
        <f>IFERROR(__xludf.DUMMYFUNCTION("""COMPUTED_VALUE"""),2026.0)</f>
        <v>2026</v>
      </c>
      <c r="D1543" s="2">
        <f>IFERROR(__xludf.DUMMYFUNCTION("""COMPUTED_VALUE"""),46061.0)</f>
        <v>46061</v>
      </c>
      <c r="E1543" s="2" t="str">
        <f>IFERROR(__xludf.DUMMYFUNCTION("""COMPUTED_VALUE"""),"VF")</f>
        <v>VF</v>
      </c>
      <c r="F1543" s="2">
        <f>IFERROR(__xludf.DUMMYFUNCTION("""COMPUTED_VALUE"""),1.0)</f>
        <v>1</v>
      </c>
      <c r="G1543" s="2" t="str">
        <f>IFERROR(__xludf.DUMMYFUNCTION("""COMPUTED_VALUE"""),"PR060")</f>
        <v>PR060</v>
      </c>
      <c r="H1543" s="2" t="str">
        <f>IFERROR(__xludf.DUMMYFUNCTION("""COMPUTED_VALUE"""),"VD033")</f>
        <v>VD033</v>
      </c>
      <c r="I1543" s="2">
        <f>IFERROR(__xludf.DUMMYFUNCTION("""COMPUTED_VALUE"""),8.0)</f>
        <v>8</v>
      </c>
      <c r="J1543" s="2">
        <f>IFERROR(__xludf.DUMMYFUNCTION("""COMPUTED_VALUE"""),1526.4)</f>
        <v>1526.4</v>
      </c>
      <c r="K1543" s="2">
        <f>IFERROR(__xludf.DUMMYFUNCTION("""COMPUTED_VALUE"""),1526.4)</f>
        <v>1526.4</v>
      </c>
    </row>
    <row r="1544">
      <c r="A1544" s="2">
        <f>IFERROR(__xludf.DUMMYFUNCTION("""COMPUTED_VALUE"""),1000.0)</f>
        <v>1000</v>
      </c>
      <c r="B1544" s="2">
        <f>IFERROR(__xludf.DUMMYFUNCTION("""COMPUTED_VALUE"""),184565.0)</f>
        <v>184565</v>
      </c>
      <c r="C1544" s="2">
        <f>IFERROR(__xludf.DUMMYFUNCTION("""COMPUTED_VALUE"""),2026.0)</f>
        <v>2026</v>
      </c>
      <c r="D1544" s="2">
        <f>IFERROR(__xludf.DUMMYFUNCTION("""COMPUTED_VALUE"""),46061.0)</f>
        <v>46061</v>
      </c>
      <c r="E1544" s="2" t="str">
        <f>IFERROR(__xludf.DUMMYFUNCTION("""COMPUTED_VALUE"""),"VF")</f>
        <v>VF</v>
      </c>
      <c r="F1544" s="2">
        <f>IFERROR(__xludf.DUMMYFUNCTION("""COMPUTED_VALUE"""),1.0)</f>
        <v>1</v>
      </c>
      <c r="G1544" s="2" t="str">
        <f>IFERROR(__xludf.DUMMYFUNCTION("""COMPUTED_VALUE"""),"PR021")</f>
        <v>PR021</v>
      </c>
      <c r="H1544" s="2" t="str">
        <f>IFERROR(__xludf.DUMMYFUNCTION("""COMPUTED_VALUE"""),"VD016")</f>
        <v>VD016</v>
      </c>
      <c r="I1544" s="2">
        <f>IFERROR(__xludf.DUMMYFUNCTION("""COMPUTED_VALUE"""),18.0)</f>
        <v>18</v>
      </c>
      <c r="J1544" s="2">
        <f>IFERROR(__xludf.DUMMYFUNCTION("""COMPUTED_VALUE"""),5561.24)</f>
        <v>5561.24</v>
      </c>
      <c r="K1544" s="2">
        <f>IFERROR(__xludf.DUMMYFUNCTION("""COMPUTED_VALUE"""),5561.24)</f>
        <v>5561.24</v>
      </c>
    </row>
    <row r="1545">
      <c r="A1545" s="2">
        <f>IFERROR(__xludf.DUMMYFUNCTION("""COMPUTED_VALUE"""),1000.0)</f>
        <v>1000</v>
      </c>
      <c r="B1545" s="2">
        <f>IFERROR(__xludf.DUMMYFUNCTION("""COMPUTED_VALUE"""),184566.0)</f>
        <v>184566</v>
      </c>
      <c r="C1545" s="2">
        <f>IFERROR(__xludf.DUMMYFUNCTION("""COMPUTED_VALUE"""),2026.0)</f>
        <v>2026</v>
      </c>
      <c r="D1545" s="2">
        <f>IFERROR(__xludf.DUMMYFUNCTION("""COMPUTED_VALUE"""),46061.0)</f>
        <v>46061</v>
      </c>
      <c r="E1545" s="2" t="str">
        <f>IFERROR(__xludf.DUMMYFUNCTION("""COMPUTED_VALUE"""),"VF")</f>
        <v>VF</v>
      </c>
      <c r="F1545" s="2">
        <f>IFERROR(__xludf.DUMMYFUNCTION("""COMPUTED_VALUE"""),1.0)</f>
        <v>1</v>
      </c>
      <c r="G1545" s="2" t="str">
        <f>IFERROR(__xludf.DUMMYFUNCTION("""COMPUTED_VALUE"""),"PR035")</f>
        <v>PR035</v>
      </c>
      <c r="H1545" s="2" t="str">
        <f>IFERROR(__xludf.DUMMYFUNCTION("""COMPUTED_VALUE"""),"VD049")</f>
        <v>VD049</v>
      </c>
      <c r="I1545" s="2">
        <f>IFERROR(__xludf.DUMMYFUNCTION("""COMPUTED_VALUE"""),16.0)</f>
        <v>16</v>
      </c>
      <c r="J1545" s="2">
        <f>IFERROR(__xludf.DUMMYFUNCTION("""COMPUTED_VALUE"""),1564.77)</f>
        <v>1564.77</v>
      </c>
      <c r="K1545" s="2">
        <f>IFERROR(__xludf.DUMMYFUNCTION("""COMPUTED_VALUE"""),1564.77)</f>
        <v>1564.77</v>
      </c>
    </row>
    <row r="1546">
      <c r="A1546" s="2">
        <f>IFERROR(__xludf.DUMMYFUNCTION("""COMPUTED_VALUE"""),1000.0)</f>
        <v>1000</v>
      </c>
      <c r="B1546" s="2">
        <f>IFERROR(__xludf.DUMMYFUNCTION("""COMPUTED_VALUE"""),184567.0)</f>
        <v>184567</v>
      </c>
      <c r="C1546" s="2">
        <f>IFERROR(__xludf.DUMMYFUNCTION("""COMPUTED_VALUE"""),2026.0)</f>
        <v>2026</v>
      </c>
      <c r="D1546" s="2">
        <f>IFERROR(__xludf.DUMMYFUNCTION("""COMPUTED_VALUE"""),46061.0)</f>
        <v>46061</v>
      </c>
      <c r="E1546" s="2" t="str">
        <f>IFERROR(__xludf.DUMMYFUNCTION("""COMPUTED_VALUE"""),"VF")</f>
        <v>VF</v>
      </c>
      <c r="F1546" s="2">
        <f>IFERROR(__xludf.DUMMYFUNCTION("""COMPUTED_VALUE"""),1.0)</f>
        <v>1</v>
      </c>
      <c r="G1546" s="2" t="str">
        <f>IFERROR(__xludf.DUMMYFUNCTION("""COMPUTED_VALUE"""),"PR012")</f>
        <v>PR012</v>
      </c>
      <c r="H1546" s="2" t="str">
        <f>IFERROR(__xludf.DUMMYFUNCTION("""COMPUTED_VALUE"""),"VD036")</f>
        <v>VD036</v>
      </c>
      <c r="I1546" s="2">
        <f>IFERROR(__xludf.DUMMYFUNCTION("""COMPUTED_VALUE"""),2.0)</f>
        <v>2</v>
      </c>
      <c r="J1546" s="2">
        <f>IFERROR(__xludf.DUMMYFUNCTION("""COMPUTED_VALUE"""),98.78)</f>
        <v>98.78</v>
      </c>
      <c r="K1546" s="2">
        <f>IFERROR(__xludf.DUMMYFUNCTION("""COMPUTED_VALUE"""),98.78)</f>
        <v>98.78</v>
      </c>
    </row>
    <row r="1547">
      <c r="A1547" s="2">
        <f>IFERROR(__xludf.DUMMYFUNCTION("""COMPUTED_VALUE"""),1000.0)</f>
        <v>1000</v>
      </c>
      <c r="B1547" s="2">
        <f>IFERROR(__xludf.DUMMYFUNCTION("""COMPUTED_VALUE"""),184567.0)</f>
        <v>184567</v>
      </c>
      <c r="C1547" s="2">
        <f>IFERROR(__xludf.DUMMYFUNCTION("""COMPUTED_VALUE"""),2026.0)</f>
        <v>2026</v>
      </c>
      <c r="D1547" s="2">
        <f>IFERROR(__xludf.DUMMYFUNCTION("""COMPUTED_VALUE"""),46060.0)</f>
        <v>46060</v>
      </c>
      <c r="E1547" s="2" t="str">
        <f>IFERROR(__xludf.DUMMYFUNCTION("""COMPUTED_VALUE"""),"VF")</f>
        <v>VF</v>
      </c>
      <c r="F1547" s="2">
        <f>IFERROR(__xludf.DUMMYFUNCTION("""COMPUTED_VALUE"""),2.0)</f>
        <v>2</v>
      </c>
      <c r="G1547" s="2" t="str">
        <f>IFERROR(__xludf.DUMMYFUNCTION("""COMPUTED_VALUE"""),"PR018")</f>
        <v>PR018</v>
      </c>
      <c r="H1547" s="2" t="str">
        <f>IFERROR(__xludf.DUMMYFUNCTION("""COMPUTED_VALUE"""),"VD046")</f>
        <v>VD046</v>
      </c>
      <c r="I1547" s="2">
        <f>IFERROR(__xludf.DUMMYFUNCTION("""COMPUTED_VALUE"""),2.0)</f>
        <v>2</v>
      </c>
      <c r="J1547" s="2">
        <f>IFERROR(__xludf.DUMMYFUNCTION("""COMPUTED_VALUE"""),66.46)</f>
        <v>66.46</v>
      </c>
      <c r="K1547" s="2">
        <f>IFERROR(__xludf.DUMMYFUNCTION("""COMPUTED_VALUE"""),66.46)</f>
        <v>66.46</v>
      </c>
    </row>
    <row r="1548">
      <c r="A1548" s="2">
        <f>IFERROR(__xludf.DUMMYFUNCTION("""COMPUTED_VALUE"""),1000.0)</f>
        <v>1000</v>
      </c>
      <c r="B1548" s="2">
        <f>IFERROR(__xludf.DUMMYFUNCTION("""COMPUTED_VALUE"""),184568.0)</f>
        <v>184568</v>
      </c>
      <c r="C1548" s="2">
        <f>IFERROR(__xludf.DUMMYFUNCTION("""COMPUTED_VALUE"""),2026.0)</f>
        <v>2026</v>
      </c>
      <c r="D1548" s="2">
        <f>IFERROR(__xludf.DUMMYFUNCTION("""COMPUTED_VALUE"""),46060.0)</f>
        <v>46060</v>
      </c>
      <c r="E1548" s="2" t="str">
        <f>IFERROR(__xludf.DUMMYFUNCTION("""COMPUTED_VALUE"""),"VF")</f>
        <v>VF</v>
      </c>
      <c r="F1548" s="2">
        <f>IFERROR(__xludf.DUMMYFUNCTION("""COMPUTED_VALUE"""),1.0)</f>
        <v>1</v>
      </c>
      <c r="G1548" s="2" t="str">
        <f>IFERROR(__xludf.DUMMYFUNCTION("""COMPUTED_VALUE"""),"PR057")</f>
        <v>PR057</v>
      </c>
      <c r="H1548" s="2" t="str">
        <f>IFERROR(__xludf.DUMMYFUNCTION("""COMPUTED_VALUE"""),"VD042")</f>
        <v>VD042</v>
      </c>
      <c r="I1548" s="2">
        <f>IFERROR(__xludf.DUMMYFUNCTION("""COMPUTED_VALUE"""),6.0)</f>
        <v>6</v>
      </c>
      <c r="J1548" s="2">
        <f>IFERROR(__xludf.DUMMYFUNCTION("""COMPUTED_VALUE"""),577.16)</f>
        <v>577.16</v>
      </c>
      <c r="K1548" s="2">
        <f>IFERROR(__xludf.DUMMYFUNCTION("""COMPUTED_VALUE"""),577.16)</f>
        <v>577.16</v>
      </c>
    </row>
    <row r="1549">
      <c r="A1549" s="2">
        <f>IFERROR(__xludf.DUMMYFUNCTION("""COMPUTED_VALUE"""),1000.0)</f>
        <v>1000</v>
      </c>
      <c r="B1549" s="2">
        <f>IFERROR(__xludf.DUMMYFUNCTION("""COMPUTED_VALUE"""),184569.0)</f>
        <v>184569</v>
      </c>
      <c r="C1549" s="2">
        <f>IFERROR(__xludf.DUMMYFUNCTION("""COMPUTED_VALUE"""),2026.0)</f>
        <v>2026</v>
      </c>
      <c r="D1549" s="2">
        <f>IFERROR(__xludf.DUMMYFUNCTION("""COMPUTED_VALUE"""),46060.0)</f>
        <v>46060</v>
      </c>
      <c r="E1549" s="2" t="str">
        <f>IFERROR(__xludf.DUMMYFUNCTION("""COMPUTED_VALUE"""),"VF")</f>
        <v>VF</v>
      </c>
      <c r="F1549" s="2">
        <f>IFERROR(__xludf.DUMMYFUNCTION("""COMPUTED_VALUE"""),1.0)</f>
        <v>1</v>
      </c>
      <c r="G1549" s="2" t="str">
        <f>IFERROR(__xludf.DUMMYFUNCTION("""COMPUTED_VALUE"""),"PR018")</f>
        <v>PR018</v>
      </c>
      <c r="H1549" s="2" t="str">
        <f>IFERROR(__xludf.DUMMYFUNCTION("""COMPUTED_VALUE"""),"VD046")</f>
        <v>VD046</v>
      </c>
      <c r="I1549" s="2">
        <f>IFERROR(__xludf.DUMMYFUNCTION("""COMPUTED_VALUE"""),2.0)</f>
        <v>2</v>
      </c>
      <c r="J1549" s="2">
        <f>IFERROR(__xludf.DUMMYFUNCTION("""COMPUTED_VALUE"""),71.06)</f>
        <v>71.06</v>
      </c>
      <c r="K1549" s="2">
        <f>IFERROR(__xludf.DUMMYFUNCTION("""COMPUTED_VALUE"""),71.06)</f>
        <v>71.06</v>
      </c>
    </row>
    <row r="1550">
      <c r="A1550" s="2">
        <f>IFERROR(__xludf.DUMMYFUNCTION("""COMPUTED_VALUE"""),1000.0)</f>
        <v>1000</v>
      </c>
      <c r="B1550" s="2">
        <f>IFERROR(__xludf.DUMMYFUNCTION("""COMPUTED_VALUE"""),184569.0)</f>
        <v>184569</v>
      </c>
      <c r="C1550" s="2">
        <f>IFERROR(__xludf.DUMMYFUNCTION("""COMPUTED_VALUE"""),2026.0)</f>
        <v>2026</v>
      </c>
      <c r="D1550" s="2">
        <f>IFERROR(__xludf.DUMMYFUNCTION("""COMPUTED_VALUE"""),46060.0)</f>
        <v>46060</v>
      </c>
      <c r="E1550" s="2" t="str">
        <f>IFERROR(__xludf.DUMMYFUNCTION("""COMPUTED_VALUE"""),"VF")</f>
        <v>VF</v>
      </c>
      <c r="F1550" s="2">
        <f>IFERROR(__xludf.DUMMYFUNCTION("""COMPUTED_VALUE"""),2.0)</f>
        <v>2</v>
      </c>
      <c r="G1550" s="2" t="str">
        <f>IFERROR(__xludf.DUMMYFUNCTION("""COMPUTED_VALUE"""),"PR053")</f>
        <v>PR053</v>
      </c>
      <c r="H1550" s="2" t="str">
        <f>IFERROR(__xludf.DUMMYFUNCTION("""COMPUTED_VALUE"""),"VD039")</f>
        <v>VD039</v>
      </c>
      <c r="I1550" s="2">
        <f>IFERROR(__xludf.DUMMYFUNCTION("""COMPUTED_VALUE"""),14.0)</f>
        <v>14</v>
      </c>
      <c r="J1550" s="2">
        <f>IFERROR(__xludf.DUMMYFUNCTION("""COMPUTED_VALUE"""),761.47)</f>
        <v>761.47</v>
      </c>
      <c r="K1550" s="2">
        <f>IFERROR(__xludf.DUMMYFUNCTION("""COMPUTED_VALUE"""),761.47)</f>
        <v>761.47</v>
      </c>
    </row>
    <row r="1551">
      <c r="A1551" s="2">
        <f>IFERROR(__xludf.DUMMYFUNCTION("""COMPUTED_VALUE"""),1000.0)</f>
        <v>1000</v>
      </c>
      <c r="B1551" s="2">
        <f>IFERROR(__xludf.DUMMYFUNCTION("""COMPUTED_VALUE"""),184570.0)</f>
        <v>184570</v>
      </c>
      <c r="C1551" s="2">
        <f>IFERROR(__xludf.DUMMYFUNCTION("""COMPUTED_VALUE"""),2026.0)</f>
        <v>2026</v>
      </c>
      <c r="D1551" s="2">
        <f>IFERROR(__xludf.DUMMYFUNCTION("""COMPUTED_VALUE"""),46060.0)</f>
        <v>46060</v>
      </c>
      <c r="E1551" s="2" t="str">
        <f>IFERROR(__xludf.DUMMYFUNCTION("""COMPUTED_VALUE"""),"VF")</f>
        <v>VF</v>
      </c>
      <c r="F1551" s="2">
        <f>IFERROR(__xludf.DUMMYFUNCTION("""COMPUTED_VALUE"""),1.0)</f>
        <v>1</v>
      </c>
      <c r="G1551" s="2" t="str">
        <f>IFERROR(__xludf.DUMMYFUNCTION("""COMPUTED_VALUE"""),"PR053")</f>
        <v>PR053</v>
      </c>
      <c r="H1551" s="2" t="str">
        <f>IFERROR(__xludf.DUMMYFUNCTION("""COMPUTED_VALUE"""),"VD029")</f>
        <v>VD029</v>
      </c>
      <c r="I1551" s="2">
        <f>IFERROR(__xludf.DUMMYFUNCTION("""COMPUTED_VALUE"""),9.0)</f>
        <v>9</v>
      </c>
      <c r="J1551" s="2">
        <f>IFERROR(__xludf.DUMMYFUNCTION("""COMPUTED_VALUE"""),480.54)</f>
        <v>480.54</v>
      </c>
      <c r="K1551" s="2">
        <f>IFERROR(__xludf.DUMMYFUNCTION("""COMPUTED_VALUE"""),480.54)</f>
        <v>480.54</v>
      </c>
    </row>
    <row r="1552">
      <c r="A1552" s="2">
        <f>IFERROR(__xludf.DUMMYFUNCTION("""COMPUTED_VALUE"""),1000.0)</f>
        <v>1000</v>
      </c>
      <c r="B1552" s="2">
        <f>IFERROR(__xludf.DUMMYFUNCTION("""COMPUTED_VALUE"""),184571.0)</f>
        <v>184571</v>
      </c>
      <c r="C1552" s="2">
        <f>IFERROR(__xludf.DUMMYFUNCTION("""COMPUTED_VALUE"""),2026.0)</f>
        <v>2026</v>
      </c>
      <c r="D1552" s="2">
        <f>IFERROR(__xludf.DUMMYFUNCTION("""COMPUTED_VALUE"""),46060.0)</f>
        <v>46060</v>
      </c>
      <c r="E1552" s="2" t="str">
        <f>IFERROR(__xludf.DUMMYFUNCTION("""COMPUTED_VALUE"""),"VF")</f>
        <v>VF</v>
      </c>
      <c r="F1552" s="2">
        <f>IFERROR(__xludf.DUMMYFUNCTION("""COMPUTED_VALUE"""),1.0)</f>
        <v>1</v>
      </c>
      <c r="G1552" s="2" t="str">
        <f>IFERROR(__xludf.DUMMYFUNCTION("""COMPUTED_VALUE"""),"PR004")</f>
        <v>PR004</v>
      </c>
      <c r="H1552" s="2" t="str">
        <f>IFERROR(__xludf.DUMMYFUNCTION("""COMPUTED_VALUE"""),"VD049")</f>
        <v>VD049</v>
      </c>
      <c r="I1552" s="2">
        <f>IFERROR(__xludf.DUMMYFUNCTION("""COMPUTED_VALUE"""),2.0)</f>
        <v>2</v>
      </c>
      <c r="J1552" s="2">
        <f>IFERROR(__xludf.DUMMYFUNCTION("""COMPUTED_VALUE"""),307.4)</f>
        <v>307.4</v>
      </c>
      <c r="K1552" s="2">
        <f>IFERROR(__xludf.DUMMYFUNCTION("""COMPUTED_VALUE"""),307.4)</f>
        <v>307.4</v>
      </c>
    </row>
    <row r="1553">
      <c r="A1553" s="2">
        <f>IFERROR(__xludf.DUMMYFUNCTION("""COMPUTED_VALUE"""),2000.0)</f>
        <v>2000</v>
      </c>
      <c r="B1553" s="2">
        <f>IFERROR(__xludf.DUMMYFUNCTION("""COMPUTED_VALUE"""),184571.0)</f>
        <v>184571</v>
      </c>
      <c r="C1553" s="2">
        <f>IFERROR(__xludf.DUMMYFUNCTION("""COMPUTED_VALUE"""),2026.0)</f>
        <v>2026</v>
      </c>
      <c r="D1553" s="2">
        <f>IFERROR(__xludf.DUMMYFUNCTION("""COMPUTED_VALUE"""),46060.0)</f>
        <v>46060</v>
      </c>
      <c r="E1553" s="2" t="str">
        <f>IFERROR(__xludf.DUMMYFUNCTION("""COMPUTED_VALUE"""),"VF")</f>
        <v>VF</v>
      </c>
      <c r="F1553" s="2">
        <f>IFERROR(__xludf.DUMMYFUNCTION("""COMPUTED_VALUE"""),2.0)</f>
        <v>2</v>
      </c>
      <c r="G1553" s="2" t="str">
        <f>IFERROR(__xludf.DUMMYFUNCTION("""COMPUTED_VALUE"""),"PR005")</f>
        <v>PR005</v>
      </c>
      <c r="H1553" s="2" t="str">
        <f>IFERROR(__xludf.DUMMYFUNCTION("""COMPUTED_VALUE"""),"VD036")</f>
        <v>VD036</v>
      </c>
      <c r="I1553" s="2">
        <f>IFERROR(__xludf.DUMMYFUNCTION("""COMPUTED_VALUE"""),4.0)</f>
        <v>4</v>
      </c>
      <c r="J1553" s="2">
        <f>IFERROR(__xludf.DUMMYFUNCTION("""COMPUTED_VALUE"""),1050.0)</f>
        <v>1050</v>
      </c>
      <c r="K1553" s="2">
        <f>IFERROR(__xludf.DUMMYFUNCTION("""COMPUTED_VALUE"""),1050.0)</f>
        <v>1050</v>
      </c>
    </row>
    <row r="1554">
      <c r="A1554" s="2">
        <f>IFERROR(__xludf.DUMMYFUNCTION("""COMPUTED_VALUE"""),1000.0)</f>
        <v>1000</v>
      </c>
      <c r="B1554" s="2">
        <f>IFERROR(__xludf.DUMMYFUNCTION("""COMPUTED_VALUE"""),184572.0)</f>
        <v>184572</v>
      </c>
      <c r="C1554" s="2">
        <f>IFERROR(__xludf.DUMMYFUNCTION("""COMPUTED_VALUE"""),2026.0)</f>
        <v>2026</v>
      </c>
      <c r="D1554" s="2">
        <f>IFERROR(__xludf.DUMMYFUNCTION("""COMPUTED_VALUE"""),46060.0)</f>
        <v>46060</v>
      </c>
      <c r="E1554" s="2" t="str">
        <f>IFERROR(__xludf.DUMMYFUNCTION("""COMPUTED_VALUE"""),"VF")</f>
        <v>VF</v>
      </c>
      <c r="F1554" s="2">
        <f>IFERROR(__xludf.DUMMYFUNCTION("""COMPUTED_VALUE"""),1.0)</f>
        <v>1</v>
      </c>
      <c r="G1554" s="2" t="str">
        <f>IFERROR(__xludf.DUMMYFUNCTION("""COMPUTED_VALUE"""),"PR030")</f>
        <v>PR030</v>
      </c>
      <c r="H1554" s="2" t="str">
        <f>IFERROR(__xludf.DUMMYFUNCTION("""COMPUTED_VALUE"""),"VD018")</f>
        <v>VD018</v>
      </c>
      <c r="I1554" s="2">
        <f>IFERROR(__xludf.DUMMYFUNCTION("""COMPUTED_VALUE"""),5.0)</f>
        <v>5</v>
      </c>
      <c r="J1554" s="2">
        <f>IFERROR(__xludf.DUMMYFUNCTION("""COMPUTED_VALUE"""),1403.46)</f>
        <v>1403.46</v>
      </c>
      <c r="K1554" s="2">
        <f>IFERROR(__xludf.DUMMYFUNCTION("""COMPUTED_VALUE"""),1403.46)</f>
        <v>1403.46</v>
      </c>
    </row>
    <row r="1555">
      <c r="A1555" s="2">
        <f>IFERROR(__xludf.DUMMYFUNCTION("""COMPUTED_VALUE"""),2000.0)</f>
        <v>2000</v>
      </c>
      <c r="B1555" s="2">
        <f>IFERROR(__xludf.DUMMYFUNCTION("""COMPUTED_VALUE"""),184573.0)</f>
        <v>184573</v>
      </c>
      <c r="C1555" s="2">
        <f>IFERROR(__xludf.DUMMYFUNCTION("""COMPUTED_VALUE"""),2026.0)</f>
        <v>2026</v>
      </c>
      <c r="D1555" s="2">
        <f>IFERROR(__xludf.DUMMYFUNCTION("""COMPUTED_VALUE"""),46060.0)</f>
        <v>46060</v>
      </c>
      <c r="E1555" s="2" t="str">
        <f>IFERROR(__xludf.DUMMYFUNCTION("""COMPUTED_VALUE"""),"VF")</f>
        <v>VF</v>
      </c>
      <c r="F1555" s="2">
        <f>IFERROR(__xludf.DUMMYFUNCTION("""COMPUTED_VALUE"""),1.0)</f>
        <v>1</v>
      </c>
      <c r="G1555" s="2" t="str">
        <f>IFERROR(__xludf.DUMMYFUNCTION("""COMPUTED_VALUE"""),"PR013")</f>
        <v>PR013</v>
      </c>
      <c r="H1555" s="2" t="str">
        <f>IFERROR(__xludf.DUMMYFUNCTION("""COMPUTED_VALUE"""),"VD015")</f>
        <v>VD015</v>
      </c>
      <c r="I1555" s="2">
        <f>IFERROR(__xludf.DUMMYFUNCTION("""COMPUTED_VALUE"""),6.0)</f>
        <v>6</v>
      </c>
      <c r="J1555" s="2">
        <f>IFERROR(__xludf.DUMMYFUNCTION("""COMPUTED_VALUE"""),258.55)</f>
        <v>258.55</v>
      </c>
      <c r="K1555" s="2">
        <f>IFERROR(__xludf.DUMMYFUNCTION("""COMPUTED_VALUE"""),258.55)</f>
        <v>258.55</v>
      </c>
    </row>
    <row r="1556">
      <c r="A1556" s="2">
        <f>IFERROR(__xludf.DUMMYFUNCTION("""COMPUTED_VALUE"""),1000.0)</f>
        <v>1000</v>
      </c>
      <c r="B1556" s="2">
        <f>IFERROR(__xludf.DUMMYFUNCTION("""COMPUTED_VALUE"""),184574.0)</f>
        <v>184574</v>
      </c>
      <c r="C1556" s="2">
        <f>IFERROR(__xludf.DUMMYFUNCTION("""COMPUTED_VALUE"""),2026.0)</f>
        <v>2026</v>
      </c>
      <c r="D1556" s="2">
        <f>IFERROR(__xludf.DUMMYFUNCTION("""COMPUTED_VALUE"""),46060.0)</f>
        <v>46060</v>
      </c>
      <c r="E1556" s="2" t="str">
        <f>IFERROR(__xludf.DUMMYFUNCTION("""COMPUTED_VALUE"""),"VF")</f>
        <v>VF</v>
      </c>
      <c r="F1556" s="2">
        <f>IFERROR(__xludf.DUMMYFUNCTION("""COMPUTED_VALUE"""),1.0)</f>
        <v>1</v>
      </c>
      <c r="G1556" s="2" t="str">
        <f>IFERROR(__xludf.DUMMYFUNCTION("""COMPUTED_VALUE"""),"PR007")</f>
        <v>PR007</v>
      </c>
      <c r="H1556" s="2" t="str">
        <f>IFERROR(__xludf.DUMMYFUNCTION("""COMPUTED_VALUE"""),"VD029")</f>
        <v>VD029</v>
      </c>
      <c r="I1556" s="2">
        <f>IFERROR(__xludf.DUMMYFUNCTION("""COMPUTED_VALUE"""),9.0)</f>
        <v>9</v>
      </c>
      <c r="J1556" s="2">
        <f>IFERROR(__xludf.DUMMYFUNCTION("""COMPUTED_VALUE"""),811.76)</f>
        <v>811.76</v>
      </c>
      <c r="K1556" s="2">
        <f>IFERROR(__xludf.DUMMYFUNCTION("""COMPUTED_VALUE"""),811.76)</f>
        <v>811.76</v>
      </c>
    </row>
    <row r="1557">
      <c r="A1557" s="2">
        <f>IFERROR(__xludf.DUMMYFUNCTION("""COMPUTED_VALUE"""),1000.0)</f>
        <v>1000</v>
      </c>
      <c r="B1557" s="2">
        <f>IFERROR(__xludf.DUMMYFUNCTION("""COMPUTED_VALUE"""),184575.0)</f>
        <v>184575</v>
      </c>
      <c r="C1557" s="2">
        <f>IFERROR(__xludf.DUMMYFUNCTION("""COMPUTED_VALUE"""),2026.0)</f>
        <v>2026</v>
      </c>
      <c r="D1557" s="2">
        <f>IFERROR(__xludf.DUMMYFUNCTION("""COMPUTED_VALUE"""),46060.0)</f>
        <v>46060</v>
      </c>
      <c r="E1557" s="2" t="str">
        <f>IFERROR(__xludf.DUMMYFUNCTION("""COMPUTED_VALUE"""),"VF")</f>
        <v>VF</v>
      </c>
      <c r="F1557" s="2">
        <f>IFERROR(__xludf.DUMMYFUNCTION("""COMPUTED_VALUE"""),1.0)</f>
        <v>1</v>
      </c>
      <c r="G1557" s="2" t="str">
        <f>IFERROR(__xludf.DUMMYFUNCTION("""COMPUTED_VALUE"""),"PR035")</f>
        <v>PR035</v>
      </c>
      <c r="H1557" s="2" t="str">
        <f>IFERROR(__xludf.DUMMYFUNCTION("""COMPUTED_VALUE"""),"VD040")</f>
        <v>VD040</v>
      </c>
      <c r="I1557" s="2">
        <f>IFERROR(__xludf.DUMMYFUNCTION("""COMPUTED_VALUE"""),3.0)</f>
        <v>3</v>
      </c>
      <c r="J1557" s="2">
        <f>IFERROR(__xludf.DUMMYFUNCTION("""COMPUTED_VALUE"""),279.68)</f>
        <v>279.68</v>
      </c>
      <c r="K1557" s="2">
        <f>IFERROR(__xludf.DUMMYFUNCTION("""COMPUTED_VALUE"""),279.68)</f>
        <v>279.68</v>
      </c>
    </row>
    <row r="1558">
      <c r="A1558" s="2">
        <f>IFERROR(__xludf.DUMMYFUNCTION("""COMPUTED_VALUE"""),1000.0)</f>
        <v>1000</v>
      </c>
      <c r="B1558" s="2">
        <f>IFERROR(__xludf.DUMMYFUNCTION("""COMPUTED_VALUE"""),184575.0)</f>
        <v>184575</v>
      </c>
      <c r="C1558" s="2">
        <f>IFERROR(__xludf.DUMMYFUNCTION("""COMPUTED_VALUE"""),2026.0)</f>
        <v>2026</v>
      </c>
      <c r="D1558" s="2">
        <f>IFERROR(__xludf.DUMMYFUNCTION("""COMPUTED_VALUE"""),46059.0)</f>
        <v>46059</v>
      </c>
      <c r="E1558" s="2" t="str">
        <f>IFERROR(__xludf.DUMMYFUNCTION("""COMPUTED_VALUE"""),"VF")</f>
        <v>VF</v>
      </c>
      <c r="F1558" s="2">
        <f>IFERROR(__xludf.DUMMYFUNCTION("""COMPUTED_VALUE"""),2.0)</f>
        <v>2</v>
      </c>
      <c r="G1558" s="2" t="str">
        <f>IFERROR(__xludf.DUMMYFUNCTION("""COMPUTED_VALUE"""),"PR030")</f>
        <v>PR030</v>
      </c>
      <c r="H1558" s="2" t="str">
        <f>IFERROR(__xludf.DUMMYFUNCTION("""COMPUTED_VALUE"""),"VD010")</f>
        <v>VD010</v>
      </c>
      <c r="I1558" s="2">
        <f>IFERROR(__xludf.DUMMYFUNCTION("""COMPUTED_VALUE"""),20.0)</f>
        <v>20</v>
      </c>
      <c r="J1558" s="2">
        <f>IFERROR(__xludf.DUMMYFUNCTION("""COMPUTED_VALUE"""),5301.96)</f>
        <v>5301.96</v>
      </c>
      <c r="K1558" s="2">
        <f>IFERROR(__xludf.DUMMYFUNCTION("""COMPUTED_VALUE"""),5301.96)</f>
        <v>5301.96</v>
      </c>
    </row>
    <row r="1559">
      <c r="A1559" s="2">
        <f>IFERROR(__xludf.DUMMYFUNCTION("""COMPUTED_VALUE"""),1000.0)</f>
        <v>1000</v>
      </c>
      <c r="B1559" s="2">
        <f>IFERROR(__xludf.DUMMYFUNCTION("""COMPUTED_VALUE"""),184576.0)</f>
        <v>184576</v>
      </c>
      <c r="C1559" s="2">
        <f>IFERROR(__xludf.DUMMYFUNCTION("""COMPUTED_VALUE"""),2026.0)</f>
        <v>2026</v>
      </c>
      <c r="D1559" s="2">
        <f>IFERROR(__xludf.DUMMYFUNCTION("""COMPUTED_VALUE"""),46059.0)</f>
        <v>46059</v>
      </c>
      <c r="E1559" s="2" t="str">
        <f>IFERROR(__xludf.DUMMYFUNCTION("""COMPUTED_VALUE"""),"VF")</f>
        <v>VF</v>
      </c>
      <c r="F1559" s="2">
        <f>IFERROR(__xludf.DUMMYFUNCTION("""COMPUTED_VALUE"""),1.0)</f>
        <v>1</v>
      </c>
      <c r="G1559" s="2" t="str">
        <f>IFERROR(__xludf.DUMMYFUNCTION("""COMPUTED_VALUE"""),"PR018")</f>
        <v>PR018</v>
      </c>
      <c r="H1559" s="2" t="str">
        <f>IFERROR(__xludf.DUMMYFUNCTION("""COMPUTED_VALUE"""),"VD046")</f>
        <v>VD046</v>
      </c>
      <c r="I1559" s="2">
        <f>IFERROR(__xludf.DUMMYFUNCTION("""COMPUTED_VALUE"""),14.0)</f>
        <v>14</v>
      </c>
      <c r="J1559" s="2">
        <f>IFERROR(__xludf.DUMMYFUNCTION("""COMPUTED_VALUE"""),474.42)</f>
        <v>474.42</v>
      </c>
      <c r="K1559" s="2">
        <f>IFERROR(__xludf.DUMMYFUNCTION("""COMPUTED_VALUE"""),474.42)</f>
        <v>474.42</v>
      </c>
    </row>
    <row r="1560">
      <c r="A1560" s="2">
        <f>IFERROR(__xludf.DUMMYFUNCTION("""COMPUTED_VALUE"""),1000.0)</f>
        <v>1000</v>
      </c>
      <c r="B1560" s="2">
        <f>IFERROR(__xludf.DUMMYFUNCTION("""COMPUTED_VALUE"""),184577.0)</f>
        <v>184577</v>
      </c>
      <c r="C1560" s="2">
        <f>IFERROR(__xludf.DUMMYFUNCTION("""COMPUTED_VALUE"""),2026.0)</f>
        <v>2026</v>
      </c>
      <c r="D1560" s="2">
        <f>IFERROR(__xludf.DUMMYFUNCTION("""COMPUTED_VALUE"""),46059.0)</f>
        <v>46059</v>
      </c>
      <c r="E1560" s="2" t="str">
        <f>IFERROR(__xludf.DUMMYFUNCTION("""COMPUTED_VALUE"""),"VF")</f>
        <v>VF</v>
      </c>
      <c r="F1560" s="2">
        <f>IFERROR(__xludf.DUMMYFUNCTION("""COMPUTED_VALUE"""),1.0)</f>
        <v>1</v>
      </c>
      <c r="G1560" s="2" t="str">
        <f>IFERROR(__xludf.DUMMYFUNCTION("""COMPUTED_VALUE"""),"PR016")</f>
        <v>PR016</v>
      </c>
      <c r="H1560" s="2" t="str">
        <f>IFERROR(__xludf.DUMMYFUNCTION("""COMPUTED_VALUE"""),"VD044")</f>
        <v>VD044</v>
      </c>
      <c r="I1560" s="2">
        <f>IFERROR(__xludf.DUMMYFUNCTION("""COMPUTED_VALUE"""),16.0)</f>
        <v>16</v>
      </c>
      <c r="J1560" s="2">
        <f>IFERROR(__xludf.DUMMYFUNCTION("""COMPUTED_VALUE"""),430.98)</f>
        <v>430.98</v>
      </c>
      <c r="K1560" s="2">
        <f>IFERROR(__xludf.DUMMYFUNCTION("""COMPUTED_VALUE"""),430.98)</f>
        <v>430.98</v>
      </c>
    </row>
    <row r="1561">
      <c r="A1561" s="2">
        <f>IFERROR(__xludf.DUMMYFUNCTION("""COMPUTED_VALUE"""),1000.0)</f>
        <v>1000</v>
      </c>
      <c r="B1561" s="2">
        <f>IFERROR(__xludf.DUMMYFUNCTION("""COMPUTED_VALUE"""),184578.0)</f>
        <v>184578</v>
      </c>
      <c r="C1561" s="2">
        <f>IFERROR(__xludf.DUMMYFUNCTION("""COMPUTED_VALUE"""),2026.0)</f>
        <v>2026</v>
      </c>
      <c r="D1561" s="2">
        <f>IFERROR(__xludf.DUMMYFUNCTION("""COMPUTED_VALUE"""),46059.0)</f>
        <v>46059</v>
      </c>
      <c r="E1561" s="2" t="str">
        <f>IFERROR(__xludf.DUMMYFUNCTION("""COMPUTED_VALUE"""),"VF")</f>
        <v>VF</v>
      </c>
      <c r="F1561" s="2">
        <f>IFERROR(__xludf.DUMMYFUNCTION("""COMPUTED_VALUE"""),1.0)</f>
        <v>1</v>
      </c>
      <c r="G1561" s="2" t="str">
        <f>IFERROR(__xludf.DUMMYFUNCTION("""COMPUTED_VALUE"""),"PR030")</f>
        <v>PR030</v>
      </c>
      <c r="H1561" s="2" t="str">
        <f>IFERROR(__xludf.DUMMYFUNCTION("""COMPUTED_VALUE"""),"VD032")</f>
        <v>VD032</v>
      </c>
      <c r="I1561" s="2">
        <f>IFERROR(__xludf.DUMMYFUNCTION("""COMPUTED_VALUE"""),16.0)</f>
        <v>16</v>
      </c>
      <c r="J1561" s="2">
        <f>IFERROR(__xludf.DUMMYFUNCTION("""COMPUTED_VALUE"""),4574.24)</f>
        <v>4574.24</v>
      </c>
      <c r="K1561" s="2">
        <f>IFERROR(__xludf.DUMMYFUNCTION("""COMPUTED_VALUE"""),4574.24)</f>
        <v>4574.24</v>
      </c>
    </row>
    <row r="1562">
      <c r="A1562" s="2">
        <f>IFERROR(__xludf.DUMMYFUNCTION("""COMPUTED_VALUE"""),1000.0)</f>
        <v>1000</v>
      </c>
      <c r="B1562" s="2">
        <f>IFERROR(__xludf.DUMMYFUNCTION("""COMPUTED_VALUE"""),184579.0)</f>
        <v>184579</v>
      </c>
      <c r="C1562" s="2">
        <f>IFERROR(__xludf.DUMMYFUNCTION("""COMPUTED_VALUE"""),2026.0)</f>
        <v>2026</v>
      </c>
      <c r="D1562" s="2">
        <f>IFERROR(__xludf.DUMMYFUNCTION("""COMPUTED_VALUE"""),46059.0)</f>
        <v>46059</v>
      </c>
      <c r="E1562" s="2" t="str">
        <f>IFERROR(__xludf.DUMMYFUNCTION("""COMPUTED_VALUE"""),"VF")</f>
        <v>VF</v>
      </c>
      <c r="F1562" s="2">
        <f>IFERROR(__xludf.DUMMYFUNCTION("""COMPUTED_VALUE"""),1.0)</f>
        <v>1</v>
      </c>
      <c r="G1562" s="2" t="str">
        <f>IFERROR(__xludf.DUMMYFUNCTION("""COMPUTED_VALUE"""),"PR056")</f>
        <v>PR056</v>
      </c>
      <c r="H1562" s="2" t="str">
        <f>IFERROR(__xludf.DUMMYFUNCTION("""COMPUTED_VALUE"""),"VD018")</f>
        <v>VD018</v>
      </c>
      <c r="I1562" s="2">
        <f>IFERROR(__xludf.DUMMYFUNCTION("""COMPUTED_VALUE"""),20.0)</f>
        <v>20</v>
      </c>
      <c r="J1562" s="2">
        <f>IFERROR(__xludf.DUMMYFUNCTION("""COMPUTED_VALUE"""),1833.96)</f>
        <v>1833.96</v>
      </c>
      <c r="K1562" s="2">
        <f>IFERROR(__xludf.DUMMYFUNCTION("""COMPUTED_VALUE"""),1833.96)</f>
        <v>1833.96</v>
      </c>
    </row>
    <row r="1563">
      <c r="A1563" s="2">
        <f>IFERROR(__xludf.DUMMYFUNCTION("""COMPUTED_VALUE"""),1000.0)</f>
        <v>1000</v>
      </c>
      <c r="B1563" s="2">
        <f>IFERROR(__xludf.DUMMYFUNCTION("""COMPUTED_VALUE"""),184579.0)</f>
        <v>184579</v>
      </c>
      <c r="C1563" s="2">
        <f>IFERROR(__xludf.DUMMYFUNCTION("""COMPUTED_VALUE"""),2026.0)</f>
        <v>2026</v>
      </c>
      <c r="D1563" s="2">
        <f>IFERROR(__xludf.DUMMYFUNCTION("""COMPUTED_VALUE"""),46059.0)</f>
        <v>46059</v>
      </c>
      <c r="E1563" s="2" t="str">
        <f>IFERROR(__xludf.DUMMYFUNCTION("""COMPUTED_VALUE"""),"VF")</f>
        <v>VF</v>
      </c>
      <c r="F1563" s="2">
        <f>IFERROR(__xludf.DUMMYFUNCTION("""COMPUTED_VALUE"""),2.0)</f>
        <v>2</v>
      </c>
      <c r="G1563" s="2" t="str">
        <f>IFERROR(__xludf.DUMMYFUNCTION("""COMPUTED_VALUE"""),"PR037")</f>
        <v>PR037</v>
      </c>
      <c r="H1563" s="2" t="str">
        <f>IFERROR(__xludf.DUMMYFUNCTION("""COMPUTED_VALUE"""),"VD048")</f>
        <v>VD048</v>
      </c>
      <c r="I1563" s="2">
        <f>IFERROR(__xludf.DUMMYFUNCTION("""COMPUTED_VALUE"""),12.0)</f>
        <v>12</v>
      </c>
      <c r="J1563" s="2">
        <f>IFERROR(__xludf.DUMMYFUNCTION("""COMPUTED_VALUE"""),1764.0)</f>
        <v>1764</v>
      </c>
      <c r="K1563" s="2">
        <f>IFERROR(__xludf.DUMMYFUNCTION("""COMPUTED_VALUE"""),1764.0)</f>
        <v>1764</v>
      </c>
    </row>
    <row r="1564">
      <c r="A1564" s="2">
        <f>IFERROR(__xludf.DUMMYFUNCTION("""COMPUTED_VALUE"""),1000.0)</f>
        <v>1000</v>
      </c>
      <c r="B1564" s="2">
        <f>IFERROR(__xludf.DUMMYFUNCTION("""COMPUTED_VALUE"""),184580.0)</f>
        <v>184580</v>
      </c>
      <c r="C1564" s="2">
        <f>IFERROR(__xludf.DUMMYFUNCTION("""COMPUTED_VALUE"""),2026.0)</f>
        <v>2026</v>
      </c>
      <c r="D1564" s="2">
        <f>IFERROR(__xludf.DUMMYFUNCTION("""COMPUTED_VALUE"""),46059.0)</f>
        <v>46059</v>
      </c>
      <c r="E1564" s="2" t="str">
        <f>IFERROR(__xludf.DUMMYFUNCTION("""COMPUTED_VALUE"""),"VF")</f>
        <v>VF</v>
      </c>
      <c r="F1564" s="2">
        <f>IFERROR(__xludf.DUMMYFUNCTION("""COMPUTED_VALUE"""),1.0)</f>
        <v>1</v>
      </c>
      <c r="G1564" s="2" t="str">
        <f>IFERROR(__xludf.DUMMYFUNCTION("""COMPUTED_VALUE"""),"PR031")</f>
        <v>PR031</v>
      </c>
      <c r="H1564" s="2" t="str">
        <f>IFERROR(__xludf.DUMMYFUNCTION("""COMPUTED_VALUE"""),"VD032")</f>
        <v>VD032</v>
      </c>
      <c r="I1564" s="2">
        <f>IFERROR(__xludf.DUMMYFUNCTION("""COMPUTED_VALUE"""),14.0)</f>
        <v>14</v>
      </c>
      <c r="J1564" s="2">
        <f>IFERROR(__xludf.DUMMYFUNCTION("""COMPUTED_VALUE"""),3430.0)</f>
        <v>3430</v>
      </c>
      <c r="K1564" s="2">
        <f>IFERROR(__xludf.DUMMYFUNCTION("""COMPUTED_VALUE"""),3430.0)</f>
        <v>3430</v>
      </c>
    </row>
    <row r="1565">
      <c r="A1565" s="2">
        <f>IFERROR(__xludf.DUMMYFUNCTION("""COMPUTED_VALUE"""),2000.0)</f>
        <v>2000</v>
      </c>
      <c r="B1565" s="2">
        <f>IFERROR(__xludf.DUMMYFUNCTION("""COMPUTED_VALUE"""),184580.0)</f>
        <v>184580</v>
      </c>
      <c r="C1565" s="2">
        <f>IFERROR(__xludf.DUMMYFUNCTION("""COMPUTED_VALUE"""),2026.0)</f>
        <v>2026</v>
      </c>
      <c r="D1565" s="2">
        <f>IFERROR(__xludf.DUMMYFUNCTION("""COMPUTED_VALUE"""),46058.0)</f>
        <v>46058</v>
      </c>
      <c r="E1565" s="2" t="str">
        <f>IFERROR(__xludf.DUMMYFUNCTION("""COMPUTED_VALUE"""),"VF")</f>
        <v>VF</v>
      </c>
      <c r="F1565" s="2">
        <f>IFERROR(__xludf.DUMMYFUNCTION("""COMPUTED_VALUE"""),2.0)</f>
        <v>2</v>
      </c>
      <c r="G1565" s="2" t="str">
        <f>IFERROR(__xludf.DUMMYFUNCTION("""COMPUTED_VALUE"""),"PR016")</f>
        <v>PR016</v>
      </c>
      <c r="H1565" s="2" t="str">
        <f>IFERROR(__xludf.DUMMYFUNCTION("""COMPUTED_VALUE"""),"VD027")</f>
        <v>VD027</v>
      </c>
      <c r="I1565" s="2">
        <f>IFERROR(__xludf.DUMMYFUNCTION("""COMPUTED_VALUE"""),6.0)</f>
        <v>6</v>
      </c>
      <c r="J1565" s="2">
        <f>IFERROR(__xludf.DUMMYFUNCTION("""COMPUTED_VALUE"""),170.94)</f>
        <v>170.94</v>
      </c>
      <c r="K1565" s="2">
        <f>IFERROR(__xludf.DUMMYFUNCTION("""COMPUTED_VALUE"""),170.94)</f>
        <v>170.94</v>
      </c>
    </row>
    <row r="1566">
      <c r="A1566" s="2">
        <f>IFERROR(__xludf.DUMMYFUNCTION("""COMPUTED_VALUE"""),1000.0)</f>
        <v>1000</v>
      </c>
      <c r="B1566" s="2">
        <f>IFERROR(__xludf.DUMMYFUNCTION("""COMPUTED_VALUE"""),184581.0)</f>
        <v>184581</v>
      </c>
      <c r="C1566" s="2">
        <f>IFERROR(__xludf.DUMMYFUNCTION("""COMPUTED_VALUE"""),2026.0)</f>
        <v>2026</v>
      </c>
      <c r="D1566" s="2">
        <f>IFERROR(__xludf.DUMMYFUNCTION("""COMPUTED_VALUE"""),46058.0)</f>
        <v>46058</v>
      </c>
      <c r="E1566" s="2" t="str">
        <f>IFERROR(__xludf.DUMMYFUNCTION("""COMPUTED_VALUE"""),"VF")</f>
        <v>VF</v>
      </c>
      <c r="F1566" s="2">
        <f>IFERROR(__xludf.DUMMYFUNCTION("""COMPUTED_VALUE"""),1.0)</f>
        <v>1</v>
      </c>
      <c r="G1566" s="2" t="str">
        <f>IFERROR(__xludf.DUMMYFUNCTION("""COMPUTED_VALUE"""),"PR054")</f>
        <v>PR054</v>
      </c>
      <c r="H1566" s="2" t="str">
        <f>IFERROR(__xludf.DUMMYFUNCTION("""COMPUTED_VALUE"""),"VD032")</f>
        <v>VD032</v>
      </c>
      <c r="I1566" s="2">
        <f>IFERROR(__xludf.DUMMYFUNCTION("""COMPUTED_VALUE"""),6.0)</f>
        <v>6</v>
      </c>
      <c r="J1566" s="2">
        <f>IFERROR(__xludf.DUMMYFUNCTION("""COMPUTED_VALUE"""),329.34)</f>
        <v>329.34</v>
      </c>
      <c r="K1566" s="2">
        <f>IFERROR(__xludf.DUMMYFUNCTION("""COMPUTED_VALUE"""),329.34)</f>
        <v>329.34</v>
      </c>
    </row>
    <row r="1567">
      <c r="A1567" s="2">
        <f>IFERROR(__xludf.DUMMYFUNCTION("""COMPUTED_VALUE"""),1000.0)</f>
        <v>1000</v>
      </c>
      <c r="B1567" s="2">
        <f>IFERROR(__xludf.DUMMYFUNCTION("""COMPUTED_VALUE"""),184582.0)</f>
        <v>184582</v>
      </c>
      <c r="C1567" s="2">
        <f>IFERROR(__xludf.DUMMYFUNCTION("""COMPUTED_VALUE"""),2026.0)</f>
        <v>2026</v>
      </c>
      <c r="D1567" s="2">
        <f>IFERROR(__xludf.DUMMYFUNCTION("""COMPUTED_VALUE"""),46057.0)</f>
        <v>46057</v>
      </c>
      <c r="E1567" s="2" t="str">
        <f>IFERROR(__xludf.DUMMYFUNCTION("""COMPUTED_VALUE"""),"VF")</f>
        <v>VF</v>
      </c>
      <c r="F1567" s="2">
        <f>IFERROR(__xludf.DUMMYFUNCTION("""COMPUTED_VALUE"""),1.0)</f>
        <v>1</v>
      </c>
      <c r="G1567" s="2" t="str">
        <f>IFERROR(__xludf.DUMMYFUNCTION("""COMPUTED_VALUE"""),"PR035")</f>
        <v>PR035</v>
      </c>
      <c r="H1567" s="2" t="str">
        <f>IFERROR(__xludf.DUMMYFUNCTION("""COMPUTED_VALUE"""),"VD038")</f>
        <v>VD038</v>
      </c>
      <c r="I1567" s="2">
        <f>IFERROR(__xludf.DUMMYFUNCTION("""COMPUTED_VALUE"""),2.0)</f>
        <v>2</v>
      </c>
      <c r="J1567" s="2">
        <f>IFERROR(__xludf.DUMMYFUNCTION("""COMPUTED_VALUE"""),190.11)</f>
        <v>190.11</v>
      </c>
      <c r="K1567" s="2">
        <f>IFERROR(__xludf.DUMMYFUNCTION("""COMPUTED_VALUE"""),190.11)</f>
        <v>190.11</v>
      </c>
    </row>
    <row r="1568">
      <c r="A1568" s="2">
        <f>IFERROR(__xludf.DUMMYFUNCTION("""COMPUTED_VALUE"""),1000.0)</f>
        <v>1000</v>
      </c>
      <c r="B1568" s="2">
        <f>IFERROR(__xludf.DUMMYFUNCTION("""COMPUTED_VALUE"""),184582.0)</f>
        <v>184582</v>
      </c>
      <c r="C1568" s="2">
        <f>IFERROR(__xludf.DUMMYFUNCTION("""COMPUTED_VALUE"""),2026.0)</f>
        <v>2026</v>
      </c>
      <c r="D1568" s="2">
        <f>IFERROR(__xludf.DUMMYFUNCTION("""COMPUTED_VALUE"""),46057.0)</f>
        <v>46057</v>
      </c>
      <c r="E1568" s="2" t="str">
        <f>IFERROR(__xludf.DUMMYFUNCTION("""COMPUTED_VALUE"""),"VF")</f>
        <v>VF</v>
      </c>
      <c r="F1568" s="2">
        <f>IFERROR(__xludf.DUMMYFUNCTION("""COMPUTED_VALUE"""),2.0)</f>
        <v>2</v>
      </c>
      <c r="G1568" s="2" t="str">
        <f>IFERROR(__xludf.DUMMYFUNCTION("""COMPUTED_VALUE"""),"PR014")</f>
        <v>PR014</v>
      </c>
      <c r="H1568" s="2" t="str">
        <f>IFERROR(__xludf.DUMMYFUNCTION("""COMPUTED_VALUE"""),"VD016")</f>
        <v>VD016</v>
      </c>
      <c r="I1568" s="2">
        <f>IFERROR(__xludf.DUMMYFUNCTION("""COMPUTED_VALUE"""),1.0)</f>
        <v>1</v>
      </c>
      <c r="J1568" s="2">
        <f>IFERROR(__xludf.DUMMYFUNCTION("""COMPUTED_VALUE"""),42.29)</f>
        <v>42.29</v>
      </c>
      <c r="K1568" s="2">
        <f>IFERROR(__xludf.DUMMYFUNCTION("""COMPUTED_VALUE"""),42.29)</f>
        <v>42.29</v>
      </c>
    </row>
    <row r="1569">
      <c r="A1569" s="2">
        <f>IFERROR(__xludf.DUMMYFUNCTION("""COMPUTED_VALUE"""),1000.0)</f>
        <v>1000</v>
      </c>
      <c r="B1569" s="2">
        <f>IFERROR(__xludf.DUMMYFUNCTION("""COMPUTED_VALUE"""),184583.0)</f>
        <v>184583</v>
      </c>
      <c r="C1569" s="2">
        <f>IFERROR(__xludf.DUMMYFUNCTION("""COMPUTED_VALUE"""),2026.0)</f>
        <v>2026</v>
      </c>
      <c r="D1569" s="2">
        <f>IFERROR(__xludf.DUMMYFUNCTION("""COMPUTED_VALUE"""),46057.0)</f>
        <v>46057</v>
      </c>
      <c r="E1569" s="2" t="str">
        <f>IFERROR(__xludf.DUMMYFUNCTION("""COMPUTED_VALUE"""),"VF")</f>
        <v>VF</v>
      </c>
      <c r="F1569" s="2">
        <f>IFERROR(__xludf.DUMMYFUNCTION("""COMPUTED_VALUE"""),1.0)</f>
        <v>1</v>
      </c>
      <c r="G1569" s="2" t="str">
        <f>IFERROR(__xludf.DUMMYFUNCTION("""COMPUTED_VALUE"""),"PR009")</f>
        <v>PR009</v>
      </c>
      <c r="H1569" s="2" t="str">
        <f>IFERROR(__xludf.DUMMYFUNCTION("""COMPUTED_VALUE"""),"VD031")</f>
        <v>VD031</v>
      </c>
      <c r="I1569" s="2">
        <f>IFERROR(__xludf.DUMMYFUNCTION("""COMPUTED_VALUE"""),16.0)</f>
        <v>16</v>
      </c>
      <c r="J1569" s="2">
        <f>IFERROR(__xludf.DUMMYFUNCTION("""COMPUTED_VALUE"""),1516.13)</f>
        <v>1516.13</v>
      </c>
      <c r="K1569" s="2">
        <f>IFERROR(__xludf.DUMMYFUNCTION("""COMPUTED_VALUE"""),1516.13)</f>
        <v>1516.13</v>
      </c>
    </row>
    <row r="1570">
      <c r="A1570" s="2">
        <f>IFERROR(__xludf.DUMMYFUNCTION("""COMPUTED_VALUE"""),1000.0)</f>
        <v>1000</v>
      </c>
      <c r="B1570" s="2">
        <f>IFERROR(__xludf.DUMMYFUNCTION("""COMPUTED_VALUE"""),184584.0)</f>
        <v>184584</v>
      </c>
      <c r="C1570" s="2">
        <f>IFERROR(__xludf.DUMMYFUNCTION("""COMPUTED_VALUE"""),2026.0)</f>
        <v>2026</v>
      </c>
      <c r="D1570" s="2">
        <f>IFERROR(__xludf.DUMMYFUNCTION("""COMPUTED_VALUE"""),46056.0)</f>
        <v>46056</v>
      </c>
      <c r="E1570" s="2" t="str">
        <f>IFERROR(__xludf.DUMMYFUNCTION("""COMPUTED_VALUE"""),"VF")</f>
        <v>VF</v>
      </c>
      <c r="F1570" s="2">
        <f>IFERROR(__xludf.DUMMYFUNCTION("""COMPUTED_VALUE"""),1.0)</f>
        <v>1</v>
      </c>
      <c r="G1570" s="2" t="str">
        <f>IFERROR(__xludf.DUMMYFUNCTION("""COMPUTED_VALUE"""),"PR053")</f>
        <v>PR053</v>
      </c>
      <c r="H1570" s="2" t="str">
        <f>IFERROR(__xludf.DUMMYFUNCTION("""COMPUTED_VALUE"""),"VD036")</f>
        <v>VD036</v>
      </c>
      <c r="I1570" s="2">
        <f>IFERROR(__xludf.DUMMYFUNCTION("""COMPUTED_VALUE"""),18.0)</f>
        <v>18</v>
      </c>
      <c r="J1570" s="2">
        <f>IFERROR(__xludf.DUMMYFUNCTION("""COMPUTED_VALUE"""),961.07)</f>
        <v>961.07</v>
      </c>
      <c r="K1570" s="2">
        <f>IFERROR(__xludf.DUMMYFUNCTION("""COMPUTED_VALUE"""),961.07)</f>
        <v>961.07</v>
      </c>
    </row>
    <row r="1571">
      <c r="A1571" s="2">
        <f>IFERROR(__xludf.DUMMYFUNCTION("""COMPUTED_VALUE"""),1000.0)</f>
        <v>1000</v>
      </c>
      <c r="B1571" s="2">
        <f>IFERROR(__xludf.DUMMYFUNCTION("""COMPUTED_VALUE"""),184585.0)</f>
        <v>184585</v>
      </c>
      <c r="C1571" s="2">
        <f>IFERROR(__xludf.DUMMYFUNCTION("""COMPUTED_VALUE"""),2026.0)</f>
        <v>2026</v>
      </c>
      <c r="D1571" s="2">
        <f>IFERROR(__xludf.DUMMYFUNCTION("""COMPUTED_VALUE"""),46056.0)</f>
        <v>46056</v>
      </c>
      <c r="E1571" s="2" t="str">
        <f>IFERROR(__xludf.DUMMYFUNCTION("""COMPUTED_VALUE"""),"VF")</f>
        <v>VF</v>
      </c>
      <c r="F1571" s="2">
        <f>IFERROR(__xludf.DUMMYFUNCTION("""COMPUTED_VALUE"""),1.0)</f>
        <v>1</v>
      </c>
      <c r="G1571" s="2" t="str">
        <f>IFERROR(__xludf.DUMMYFUNCTION("""COMPUTED_VALUE"""),"PR051")</f>
        <v>PR051</v>
      </c>
      <c r="H1571" s="2" t="str">
        <f>IFERROR(__xludf.DUMMYFUNCTION("""COMPUTED_VALUE"""),"VD038")</f>
        <v>VD038</v>
      </c>
      <c r="I1571" s="2">
        <f>IFERROR(__xludf.DUMMYFUNCTION("""COMPUTED_VALUE"""),8.0)</f>
        <v>8</v>
      </c>
      <c r="J1571" s="2">
        <f>IFERROR(__xludf.DUMMYFUNCTION("""COMPUTED_VALUE"""),271.1)</f>
        <v>271.1</v>
      </c>
      <c r="K1571" s="2">
        <f>IFERROR(__xludf.DUMMYFUNCTION("""COMPUTED_VALUE"""),271.1)</f>
        <v>271.1</v>
      </c>
    </row>
    <row r="1572">
      <c r="A1572" s="2">
        <f>IFERROR(__xludf.DUMMYFUNCTION("""COMPUTED_VALUE"""),1000.0)</f>
        <v>1000</v>
      </c>
      <c r="B1572" s="2">
        <f>IFERROR(__xludf.DUMMYFUNCTION("""COMPUTED_VALUE"""),184585.0)</f>
        <v>184585</v>
      </c>
      <c r="C1572" s="2">
        <f>IFERROR(__xludf.DUMMYFUNCTION("""COMPUTED_VALUE"""),2026.0)</f>
        <v>2026</v>
      </c>
      <c r="D1572" s="2">
        <f>IFERROR(__xludf.DUMMYFUNCTION("""COMPUTED_VALUE"""),46056.0)</f>
        <v>46056</v>
      </c>
      <c r="E1572" s="2" t="str">
        <f>IFERROR(__xludf.DUMMYFUNCTION("""COMPUTED_VALUE"""),"VF")</f>
        <v>VF</v>
      </c>
      <c r="F1572" s="2">
        <f>IFERROR(__xludf.DUMMYFUNCTION("""COMPUTED_VALUE"""),2.0)</f>
        <v>2</v>
      </c>
      <c r="G1572" s="2" t="str">
        <f>IFERROR(__xludf.DUMMYFUNCTION("""COMPUTED_VALUE"""),"PR006")</f>
        <v>PR006</v>
      </c>
      <c r="H1572" s="2" t="str">
        <f>IFERROR(__xludf.DUMMYFUNCTION("""COMPUTED_VALUE"""),"VD035")</f>
        <v>VD035</v>
      </c>
      <c r="I1572" s="2">
        <f>IFERROR(__xludf.DUMMYFUNCTION("""COMPUTED_VALUE"""),5.0)</f>
        <v>5</v>
      </c>
      <c r="J1572" s="2">
        <f>IFERROR(__xludf.DUMMYFUNCTION("""COMPUTED_VALUE"""),215.46)</f>
        <v>215.46</v>
      </c>
      <c r="K1572" s="2">
        <f>IFERROR(__xludf.DUMMYFUNCTION("""COMPUTED_VALUE"""),215.46)</f>
        <v>215.46</v>
      </c>
    </row>
    <row r="1573">
      <c r="A1573" s="2">
        <f>IFERROR(__xludf.DUMMYFUNCTION("""COMPUTED_VALUE"""),1000.0)</f>
        <v>1000</v>
      </c>
      <c r="B1573" s="2">
        <f>IFERROR(__xludf.DUMMYFUNCTION("""COMPUTED_VALUE"""),184586.0)</f>
        <v>184586</v>
      </c>
      <c r="C1573" s="2">
        <f>IFERROR(__xludf.DUMMYFUNCTION("""COMPUTED_VALUE"""),2026.0)</f>
        <v>2026</v>
      </c>
      <c r="D1573" s="2">
        <f>IFERROR(__xludf.DUMMYFUNCTION("""COMPUTED_VALUE"""),46056.0)</f>
        <v>46056</v>
      </c>
      <c r="E1573" s="2" t="str">
        <f>IFERROR(__xludf.DUMMYFUNCTION("""COMPUTED_VALUE"""),"VF")</f>
        <v>VF</v>
      </c>
      <c r="F1573" s="2">
        <f>IFERROR(__xludf.DUMMYFUNCTION("""COMPUTED_VALUE"""),1.0)</f>
        <v>1</v>
      </c>
      <c r="G1573" s="2" t="str">
        <f>IFERROR(__xludf.DUMMYFUNCTION("""COMPUTED_VALUE"""),"PR046")</f>
        <v>PR046</v>
      </c>
      <c r="H1573" s="2" t="str">
        <f>IFERROR(__xludf.DUMMYFUNCTION("""COMPUTED_VALUE"""),"VD040")</f>
        <v>VD040</v>
      </c>
      <c r="I1573" s="2">
        <f>IFERROR(__xludf.DUMMYFUNCTION("""COMPUTED_VALUE"""),2.0)</f>
        <v>2</v>
      </c>
      <c r="J1573" s="2">
        <f>IFERROR(__xludf.DUMMYFUNCTION("""COMPUTED_VALUE"""),614.59)</f>
        <v>614.59</v>
      </c>
      <c r="K1573" s="2">
        <f>IFERROR(__xludf.DUMMYFUNCTION("""COMPUTED_VALUE"""),614.59)</f>
        <v>614.59</v>
      </c>
    </row>
    <row r="1574">
      <c r="A1574" s="2">
        <f>IFERROR(__xludf.DUMMYFUNCTION("""COMPUTED_VALUE"""),1000.0)</f>
        <v>1000</v>
      </c>
      <c r="B1574" s="2">
        <f>IFERROR(__xludf.DUMMYFUNCTION("""COMPUTED_VALUE"""),184587.0)</f>
        <v>184587</v>
      </c>
      <c r="C1574" s="2">
        <f>IFERROR(__xludf.DUMMYFUNCTION("""COMPUTED_VALUE"""),2026.0)</f>
        <v>2026</v>
      </c>
      <c r="D1574" s="2">
        <f>IFERROR(__xludf.DUMMYFUNCTION("""COMPUTED_VALUE"""),46056.0)</f>
        <v>46056</v>
      </c>
      <c r="E1574" s="2" t="str">
        <f>IFERROR(__xludf.DUMMYFUNCTION("""COMPUTED_VALUE"""),"VF")</f>
        <v>VF</v>
      </c>
      <c r="F1574" s="2">
        <f>IFERROR(__xludf.DUMMYFUNCTION("""COMPUTED_VALUE"""),1.0)</f>
        <v>1</v>
      </c>
      <c r="G1574" s="2" t="str">
        <f>IFERROR(__xludf.DUMMYFUNCTION("""COMPUTED_VALUE"""),"PR001")</f>
        <v>PR001</v>
      </c>
      <c r="H1574" s="2" t="str">
        <f>IFERROR(__xludf.DUMMYFUNCTION("""COMPUTED_VALUE"""),"VD020")</f>
        <v>VD020</v>
      </c>
      <c r="I1574" s="2">
        <f>IFERROR(__xludf.DUMMYFUNCTION("""COMPUTED_VALUE"""),12.0)</f>
        <v>12</v>
      </c>
      <c r="J1574" s="2">
        <f>IFERROR(__xludf.DUMMYFUNCTION("""COMPUTED_VALUE"""),806.62)</f>
        <v>806.62</v>
      </c>
      <c r="K1574" s="2">
        <f>IFERROR(__xludf.DUMMYFUNCTION("""COMPUTED_VALUE"""),806.62)</f>
        <v>806.62</v>
      </c>
    </row>
    <row r="1575">
      <c r="A1575" s="2">
        <f>IFERROR(__xludf.DUMMYFUNCTION("""COMPUTED_VALUE"""),1000.0)</f>
        <v>1000</v>
      </c>
      <c r="B1575" s="2">
        <f>IFERROR(__xludf.DUMMYFUNCTION("""COMPUTED_VALUE"""),184587.0)</f>
        <v>184587</v>
      </c>
      <c r="C1575" s="2">
        <f>IFERROR(__xludf.DUMMYFUNCTION("""COMPUTED_VALUE"""),2026.0)</f>
        <v>2026</v>
      </c>
      <c r="D1575" s="2">
        <f>IFERROR(__xludf.DUMMYFUNCTION("""COMPUTED_VALUE"""),46056.0)</f>
        <v>46056</v>
      </c>
      <c r="E1575" s="2" t="str">
        <f>IFERROR(__xludf.DUMMYFUNCTION("""COMPUTED_VALUE"""),"VF")</f>
        <v>VF</v>
      </c>
      <c r="F1575" s="2">
        <f>IFERROR(__xludf.DUMMYFUNCTION("""COMPUTED_VALUE"""),2.0)</f>
        <v>2</v>
      </c>
      <c r="G1575" s="2" t="str">
        <f>IFERROR(__xludf.DUMMYFUNCTION("""COMPUTED_VALUE"""),"PR022")</f>
        <v>PR022</v>
      </c>
      <c r="H1575" s="2" t="str">
        <f>IFERROR(__xludf.DUMMYFUNCTION("""COMPUTED_VALUE"""),"VD036")</f>
        <v>VD036</v>
      </c>
      <c r="I1575" s="2">
        <f>IFERROR(__xludf.DUMMYFUNCTION("""COMPUTED_VALUE"""),4.0)</f>
        <v>4</v>
      </c>
      <c r="J1575" s="2">
        <f>IFERROR(__xludf.DUMMYFUNCTION("""COMPUTED_VALUE"""),1212.0)</f>
        <v>1212</v>
      </c>
      <c r="K1575" s="2">
        <f>IFERROR(__xludf.DUMMYFUNCTION("""COMPUTED_VALUE"""),1212.0)</f>
        <v>1212</v>
      </c>
    </row>
    <row r="1576">
      <c r="A1576" s="2">
        <f>IFERROR(__xludf.DUMMYFUNCTION("""COMPUTED_VALUE"""),1000.0)</f>
        <v>1000</v>
      </c>
      <c r="B1576" s="2">
        <f>IFERROR(__xludf.DUMMYFUNCTION("""COMPUTED_VALUE"""),184588.0)</f>
        <v>184588</v>
      </c>
      <c r="C1576" s="2">
        <f>IFERROR(__xludf.DUMMYFUNCTION("""COMPUTED_VALUE"""),2026.0)</f>
        <v>2026</v>
      </c>
      <c r="D1576" s="2">
        <f>IFERROR(__xludf.DUMMYFUNCTION("""COMPUTED_VALUE"""),46056.0)</f>
        <v>46056</v>
      </c>
      <c r="E1576" s="2" t="str">
        <f>IFERROR(__xludf.DUMMYFUNCTION("""COMPUTED_VALUE"""),"VF")</f>
        <v>VF</v>
      </c>
      <c r="F1576" s="2">
        <f>IFERROR(__xludf.DUMMYFUNCTION("""COMPUTED_VALUE"""),1.0)</f>
        <v>1</v>
      </c>
      <c r="G1576" s="2" t="str">
        <f>IFERROR(__xludf.DUMMYFUNCTION("""COMPUTED_VALUE"""),"PR012")</f>
        <v>PR012</v>
      </c>
      <c r="H1576" s="2" t="str">
        <f>IFERROR(__xludf.DUMMYFUNCTION("""COMPUTED_VALUE"""),"VD036")</f>
        <v>VD036</v>
      </c>
      <c r="I1576" s="2">
        <f>IFERROR(__xludf.DUMMYFUNCTION("""COMPUTED_VALUE"""),20.0)</f>
        <v>20</v>
      </c>
      <c r="J1576" s="2">
        <f>IFERROR(__xludf.DUMMYFUNCTION("""COMPUTED_VALUE"""),987.78)</f>
        <v>987.78</v>
      </c>
      <c r="K1576" s="2">
        <f>IFERROR(__xludf.DUMMYFUNCTION("""COMPUTED_VALUE"""),987.78)</f>
        <v>987.78</v>
      </c>
    </row>
    <row r="1577">
      <c r="A1577" s="2">
        <f>IFERROR(__xludf.DUMMYFUNCTION("""COMPUTED_VALUE"""),1000.0)</f>
        <v>1000</v>
      </c>
      <c r="B1577" s="2">
        <f>IFERROR(__xludf.DUMMYFUNCTION("""COMPUTED_VALUE"""),184589.0)</f>
        <v>184589</v>
      </c>
      <c r="C1577" s="2">
        <f>IFERROR(__xludf.DUMMYFUNCTION("""COMPUTED_VALUE"""),2026.0)</f>
        <v>2026</v>
      </c>
      <c r="D1577" s="2">
        <f>IFERROR(__xludf.DUMMYFUNCTION("""COMPUTED_VALUE"""),46056.0)</f>
        <v>46056</v>
      </c>
      <c r="E1577" s="2" t="str">
        <f>IFERROR(__xludf.DUMMYFUNCTION("""COMPUTED_VALUE"""),"VF")</f>
        <v>VF</v>
      </c>
      <c r="F1577" s="2">
        <f>IFERROR(__xludf.DUMMYFUNCTION("""COMPUTED_VALUE"""),1.0)</f>
        <v>1</v>
      </c>
      <c r="G1577" s="2" t="str">
        <f>IFERROR(__xludf.DUMMYFUNCTION("""COMPUTED_VALUE"""),"PR031")</f>
        <v>PR031</v>
      </c>
      <c r="H1577" s="2" t="str">
        <f>IFERROR(__xludf.DUMMYFUNCTION("""COMPUTED_VALUE"""),"VD044")</f>
        <v>VD044</v>
      </c>
      <c r="I1577" s="2">
        <f>IFERROR(__xludf.DUMMYFUNCTION("""COMPUTED_VALUE"""),4.0)</f>
        <v>4</v>
      </c>
      <c r="J1577" s="2">
        <f>IFERROR(__xludf.DUMMYFUNCTION("""COMPUTED_VALUE"""),1038.8)</f>
        <v>1038.8</v>
      </c>
      <c r="K1577" s="2">
        <f>IFERROR(__xludf.DUMMYFUNCTION("""COMPUTED_VALUE"""),1038.8)</f>
        <v>1038.8</v>
      </c>
    </row>
    <row r="1578">
      <c r="A1578" s="2">
        <f>IFERROR(__xludf.DUMMYFUNCTION("""COMPUTED_VALUE"""),1000.0)</f>
        <v>1000</v>
      </c>
      <c r="B1578" s="2">
        <f>IFERROR(__xludf.DUMMYFUNCTION("""COMPUTED_VALUE"""),184590.0)</f>
        <v>184590</v>
      </c>
      <c r="C1578" s="2">
        <f>IFERROR(__xludf.DUMMYFUNCTION("""COMPUTED_VALUE"""),2026.0)</f>
        <v>2026</v>
      </c>
      <c r="D1578" s="2">
        <f>IFERROR(__xludf.DUMMYFUNCTION("""COMPUTED_VALUE"""),46056.0)</f>
        <v>46056</v>
      </c>
      <c r="E1578" s="2" t="str">
        <f>IFERROR(__xludf.DUMMYFUNCTION("""COMPUTED_VALUE"""),"VF")</f>
        <v>VF</v>
      </c>
      <c r="F1578" s="2">
        <f>IFERROR(__xludf.DUMMYFUNCTION("""COMPUTED_VALUE"""),1.0)</f>
        <v>1</v>
      </c>
      <c r="G1578" s="2" t="str">
        <f>IFERROR(__xludf.DUMMYFUNCTION("""COMPUTED_VALUE"""),"PR052")</f>
        <v>PR052</v>
      </c>
      <c r="H1578" s="2" t="str">
        <f>IFERROR(__xludf.DUMMYFUNCTION("""COMPUTED_VALUE"""),"VD044")</f>
        <v>VD044</v>
      </c>
      <c r="I1578" s="2">
        <f>IFERROR(__xludf.DUMMYFUNCTION("""COMPUTED_VALUE"""),16.0)</f>
        <v>16</v>
      </c>
      <c r="J1578" s="2">
        <f>IFERROR(__xludf.DUMMYFUNCTION("""COMPUTED_VALUE"""),814.37)</f>
        <v>814.37</v>
      </c>
      <c r="K1578" s="2">
        <f>IFERROR(__xludf.DUMMYFUNCTION("""COMPUTED_VALUE"""),814.37)</f>
        <v>814.37</v>
      </c>
    </row>
    <row r="1579">
      <c r="A1579" s="2">
        <f>IFERROR(__xludf.DUMMYFUNCTION("""COMPUTED_VALUE"""),1000.0)</f>
        <v>1000</v>
      </c>
      <c r="B1579" s="2">
        <f>IFERROR(__xludf.DUMMYFUNCTION("""COMPUTED_VALUE"""),184591.0)</f>
        <v>184591</v>
      </c>
      <c r="C1579" s="2">
        <f>IFERROR(__xludf.DUMMYFUNCTION("""COMPUTED_VALUE"""),2026.0)</f>
        <v>2026</v>
      </c>
      <c r="D1579" s="2">
        <f>IFERROR(__xludf.DUMMYFUNCTION("""COMPUTED_VALUE"""),46056.0)</f>
        <v>46056</v>
      </c>
      <c r="E1579" s="2" t="str">
        <f>IFERROR(__xludf.DUMMYFUNCTION("""COMPUTED_VALUE"""),"VF")</f>
        <v>VF</v>
      </c>
      <c r="F1579" s="2">
        <f>IFERROR(__xludf.DUMMYFUNCTION("""COMPUTED_VALUE"""),1.0)</f>
        <v>1</v>
      </c>
      <c r="G1579" s="2" t="str">
        <f>IFERROR(__xludf.DUMMYFUNCTION("""COMPUTED_VALUE"""),"PR005")</f>
        <v>PR005</v>
      </c>
      <c r="H1579" s="2" t="str">
        <f>IFERROR(__xludf.DUMMYFUNCTION("""COMPUTED_VALUE"""),"VD027")</f>
        <v>VD027</v>
      </c>
      <c r="I1579" s="2">
        <f>IFERROR(__xludf.DUMMYFUNCTION("""COMPUTED_VALUE"""),3.0)</f>
        <v>3</v>
      </c>
      <c r="J1579" s="2">
        <f>IFERROR(__xludf.DUMMYFUNCTION("""COMPUTED_VALUE"""),810.89)</f>
        <v>810.89</v>
      </c>
      <c r="K1579" s="2">
        <f>IFERROR(__xludf.DUMMYFUNCTION("""COMPUTED_VALUE"""),810.89)</f>
        <v>810.89</v>
      </c>
    </row>
    <row r="1580">
      <c r="A1580" s="2">
        <f>IFERROR(__xludf.DUMMYFUNCTION("""COMPUTED_VALUE"""),2000.0)</f>
        <v>2000</v>
      </c>
      <c r="B1580" s="2">
        <f>IFERROR(__xludf.DUMMYFUNCTION("""COMPUTED_VALUE"""),184592.0)</f>
        <v>184592</v>
      </c>
      <c r="C1580" s="2">
        <f>IFERROR(__xludf.DUMMYFUNCTION("""COMPUTED_VALUE"""),2026.0)</f>
        <v>2026</v>
      </c>
      <c r="D1580" s="2">
        <f>IFERROR(__xludf.DUMMYFUNCTION("""COMPUTED_VALUE"""),46056.0)</f>
        <v>46056</v>
      </c>
      <c r="E1580" s="2" t="str">
        <f>IFERROR(__xludf.DUMMYFUNCTION("""COMPUTED_VALUE"""),"VF")</f>
        <v>VF</v>
      </c>
      <c r="F1580" s="2">
        <f>IFERROR(__xludf.DUMMYFUNCTION("""COMPUTED_VALUE"""),1.0)</f>
        <v>1</v>
      </c>
      <c r="G1580" s="2" t="str">
        <f>IFERROR(__xludf.DUMMYFUNCTION("""COMPUTED_VALUE"""),"PR037")</f>
        <v>PR037</v>
      </c>
      <c r="H1580" s="2" t="str">
        <f>IFERROR(__xludf.DUMMYFUNCTION("""COMPUTED_VALUE"""),"VD045")</f>
        <v>VD045</v>
      </c>
      <c r="I1580" s="2">
        <f>IFERROR(__xludf.DUMMYFUNCTION("""COMPUTED_VALUE"""),9.0)</f>
        <v>9</v>
      </c>
      <c r="J1580" s="2">
        <f>IFERROR(__xludf.DUMMYFUNCTION("""COMPUTED_VALUE"""),1386.0)</f>
        <v>1386</v>
      </c>
      <c r="K1580" s="2">
        <f>IFERROR(__xludf.DUMMYFUNCTION("""COMPUTED_VALUE"""),1386.0)</f>
        <v>1386</v>
      </c>
    </row>
    <row r="1581">
      <c r="A1581" s="2">
        <f>IFERROR(__xludf.DUMMYFUNCTION("""COMPUTED_VALUE"""),1000.0)</f>
        <v>1000</v>
      </c>
      <c r="B1581" s="2">
        <f>IFERROR(__xludf.DUMMYFUNCTION("""COMPUTED_VALUE"""),184592.0)</f>
        <v>184592</v>
      </c>
      <c r="C1581" s="2">
        <f>IFERROR(__xludf.DUMMYFUNCTION("""COMPUTED_VALUE"""),2026.0)</f>
        <v>2026</v>
      </c>
      <c r="D1581" s="2">
        <f>IFERROR(__xludf.DUMMYFUNCTION("""COMPUTED_VALUE"""),46055.0)</f>
        <v>46055</v>
      </c>
      <c r="E1581" s="2" t="str">
        <f>IFERROR(__xludf.DUMMYFUNCTION("""COMPUTED_VALUE"""),"VF")</f>
        <v>VF</v>
      </c>
      <c r="F1581" s="2">
        <f>IFERROR(__xludf.DUMMYFUNCTION("""COMPUTED_VALUE"""),2.0)</f>
        <v>2</v>
      </c>
      <c r="G1581" s="2" t="str">
        <f>IFERROR(__xludf.DUMMYFUNCTION("""COMPUTED_VALUE"""),"PR014")</f>
        <v>PR014</v>
      </c>
      <c r="H1581" s="2" t="str">
        <f>IFERROR(__xludf.DUMMYFUNCTION("""COMPUTED_VALUE"""),"VD036")</f>
        <v>VD036</v>
      </c>
      <c r="I1581" s="2">
        <f>IFERROR(__xludf.DUMMYFUNCTION("""COMPUTED_VALUE"""),10.0)</f>
        <v>10</v>
      </c>
      <c r="J1581" s="2">
        <f>IFERROR(__xludf.DUMMYFUNCTION("""COMPUTED_VALUE"""),414.96)</f>
        <v>414.96</v>
      </c>
      <c r="K1581" s="2">
        <f>IFERROR(__xludf.DUMMYFUNCTION("""COMPUTED_VALUE"""),414.96)</f>
        <v>414.96</v>
      </c>
    </row>
    <row r="1582">
      <c r="A1582" s="2">
        <f>IFERROR(__xludf.DUMMYFUNCTION("""COMPUTED_VALUE"""),1000.0)</f>
        <v>1000</v>
      </c>
      <c r="B1582" s="2">
        <f>IFERROR(__xludf.DUMMYFUNCTION("""COMPUTED_VALUE"""),184593.0)</f>
        <v>184593</v>
      </c>
      <c r="C1582" s="2">
        <f>IFERROR(__xludf.DUMMYFUNCTION("""COMPUTED_VALUE"""),2026.0)</f>
        <v>2026</v>
      </c>
      <c r="D1582" s="2">
        <f>IFERROR(__xludf.DUMMYFUNCTION("""COMPUTED_VALUE"""),46055.0)</f>
        <v>46055</v>
      </c>
      <c r="E1582" s="2" t="str">
        <f>IFERROR(__xludf.DUMMYFUNCTION("""COMPUTED_VALUE"""),"VF")</f>
        <v>VF</v>
      </c>
      <c r="F1582" s="2">
        <f>IFERROR(__xludf.DUMMYFUNCTION("""COMPUTED_VALUE"""),1.0)</f>
        <v>1</v>
      </c>
      <c r="G1582" s="2" t="str">
        <f>IFERROR(__xludf.DUMMYFUNCTION("""COMPUTED_VALUE"""),"PR013")</f>
        <v>PR013</v>
      </c>
      <c r="H1582" s="2" t="str">
        <f>IFERROR(__xludf.DUMMYFUNCTION("""COMPUTED_VALUE"""),"VD036")</f>
        <v>VD036</v>
      </c>
      <c r="I1582" s="2">
        <f>IFERROR(__xludf.DUMMYFUNCTION("""COMPUTED_VALUE"""),16.0)</f>
        <v>16</v>
      </c>
      <c r="J1582" s="2">
        <f>IFERROR(__xludf.DUMMYFUNCTION("""COMPUTED_VALUE"""),670.32)</f>
        <v>670.32</v>
      </c>
      <c r="K1582" s="2">
        <f>IFERROR(__xludf.DUMMYFUNCTION("""COMPUTED_VALUE"""),670.32)</f>
        <v>670.32</v>
      </c>
    </row>
    <row r="1583">
      <c r="A1583" s="2">
        <f>IFERROR(__xludf.DUMMYFUNCTION("""COMPUTED_VALUE"""),2000.0)</f>
        <v>2000</v>
      </c>
      <c r="B1583" s="2">
        <f>IFERROR(__xludf.DUMMYFUNCTION("""COMPUTED_VALUE"""),184593.0)</f>
        <v>184593</v>
      </c>
      <c r="C1583" s="2">
        <f>IFERROR(__xludf.DUMMYFUNCTION("""COMPUTED_VALUE"""),2026.0)</f>
        <v>2026</v>
      </c>
      <c r="D1583" s="2">
        <f>IFERROR(__xludf.DUMMYFUNCTION("""COMPUTED_VALUE"""),46055.0)</f>
        <v>46055</v>
      </c>
      <c r="E1583" s="2" t="str">
        <f>IFERROR(__xludf.DUMMYFUNCTION("""COMPUTED_VALUE"""),"VF")</f>
        <v>VF</v>
      </c>
      <c r="F1583" s="2">
        <f>IFERROR(__xludf.DUMMYFUNCTION("""COMPUTED_VALUE"""),2.0)</f>
        <v>2</v>
      </c>
      <c r="G1583" s="2" t="str">
        <f>IFERROR(__xludf.DUMMYFUNCTION("""COMPUTED_VALUE"""),"PR001")</f>
        <v>PR001</v>
      </c>
      <c r="H1583" s="2" t="str">
        <f>IFERROR(__xludf.DUMMYFUNCTION("""COMPUTED_VALUE"""),"VD030")</f>
        <v>VD030</v>
      </c>
      <c r="I1583" s="2">
        <f>IFERROR(__xludf.DUMMYFUNCTION("""COMPUTED_VALUE"""),20.0)</f>
        <v>20</v>
      </c>
      <c r="J1583" s="2">
        <f>IFERROR(__xludf.DUMMYFUNCTION("""COMPUTED_VALUE"""),1423.44)</f>
        <v>1423.44</v>
      </c>
      <c r="K1583" s="2">
        <f>IFERROR(__xludf.DUMMYFUNCTION("""COMPUTED_VALUE"""),1423.44)</f>
        <v>1423.44</v>
      </c>
    </row>
    <row r="1584">
      <c r="A1584" s="2">
        <f>IFERROR(__xludf.DUMMYFUNCTION("""COMPUTED_VALUE"""),1000.0)</f>
        <v>1000</v>
      </c>
      <c r="B1584" s="2">
        <f>IFERROR(__xludf.DUMMYFUNCTION("""COMPUTED_VALUE"""),184594.0)</f>
        <v>184594</v>
      </c>
      <c r="C1584" s="2">
        <f>IFERROR(__xludf.DUMMYFUNCTION("""COMPUTED_VALUE"""),2026.0)</f>
        <v>2026</v>
      </c>
      <c r="D1584" s="2">
        <f>IFERROR(__xludf.DUMMYFUNCTION("""COMPUTED_VALUE"""),46055.0)</f>
        <v>46055</v>
      </c>
      <c r="E1584" s="2" t="str">
        <f>IFERROR(__xludf.DUMMYFUNCTION("""COMPUTED_VALUE"""),"VF")</f>
        <v>VF</v>
      </c>
      <c r="F1584" s="2">
        <f>IFERROR(__xludf.DUMMYFUNCTION("""COMPUTED_VALUE"""),1.0)</f>
        <v>1</v>
      </c>
      <c r="G1584" s="2" t="str">
        <f>IFERROR(__xludf.DUMMYFUNCTION("""COMPUTED_VALUE"""),"PR029")</f>
        <v>PR029</v>
      </c>
      <c r="H1584" s="2" t="str">
        <f>IFERROR(__xludf.DUMMYFUNCTION("""COMPUTED_VALUE"""),"VD024")</f>
        <v>VD024</v>
      </c>
      <c r="I1584" s="2">
        <f>IFERROR(__xludf.DUMMYFUNCTION("""COMPUTED_VALUE"""),4.0)</f>
        <v>4</v>
      </c>
      <c r="J1584" s="2">
        <f>IFERROR(__xludf.DUMMYFUNCTION("""COMPUTED_VALUE"""),1060.8)</f>
        <v>1060.8</v>
      </c>
      <c r="K1584" s="2">
        <f>IFERROR(__xludf.DUMMYFUNCTION("""COMPUTED_VALUE"""),1060.8)</f>
        <v>1060.8</v>
      </c>
    </row>
    <row r="1585">
      <c r="A1585" s="2">
        <f>IFERROR(__xludf.DUMMYFUNCTION("""COMPUTED_VALUE"""),1000.0)</f>
        <v>1000</v>
      </c>
      <c r="B1585" s="2">
        <f>IFERROR(__xludf.DUMMYFUNCTION("""COMPUTED_VALUE"""),184595.0)</f>
        <v>184595</v>
      </c>
      <c r="C1585" s="2">
        <f>IFERROR(__xludf.DUMMYFUNCTION("""COMPUTED_VALUE"""),2026.0)</f>
        <v>2026</v>
      </c>
      <c r="D1585" s="2">
        <f>IFERROR(__xludf.DUMMYFUNCTION("""COMPUTED_VALUE"""),46054.0)</f>
        <v>46054</v>
      </c>
      <c r="E1585" s="2" t="str">
        <f>IFERROR(__xludf.DUMMYFUNCTION("""COMPUTED_VALUE"""),"VF")</f>
        <v>VF</v>
      </c>
      <c r="F1585" s="2">
        <f>IFERROR(__xludf.DUMMYFUNCTION("""COMPUTED_VALUE"""),1.0)</f>
        <v>1</v>
      </c>
      <c r="G1585" s="2" t="str">
        <f>IFERROR(__xludf.DUMMYFUNCTION("""COMPUTED_VALUE"""),"PR008")</f>
        <v>PR008</v>
      </c>
      <c r="H1585" s="2" t="str">
        <f>IFERROR(__xludf.DUMMYFUNCTION("""COMPUTED_VALUE"""),"VD014")</f>
        <v>VD014</v>
      </c>
      <c r="I1585" s="2">
        <f>IFERROR(__xludf.DUMMYFUNCTION("""COMPUTED_VALUE"""),10.0)</f>
        <v>10</v>
      </c>
      <c r="J1585" s="2">
        <f>IFERROR(__xludf.DUMMYFUNCTION("""COMPUTED_VALUE"""),899.0)</f>
        <v>899</v>
      </c>
      <c r="K1585" s="2">
        <f>IFERROR(__xludf.DUMMYFUNCTION("""COMPUTED_VALUE"""),899.0)</f>
        <v>899</v>
      </c>
    </row>
    <row r="1586">
      <c r="A1586" s="2">
        <f>IFERROR(__xludf.DUMMYFUNCTION("""COMPUTED_VALUE"""),1000.0)</f>
        <v>1000</v>
      </c>
      <c r="B1586" s="2">
        <f>IFERROR(__xludf.DUMMYFUNCTION("""COMPUTED_VALUE"""),184596.0)</f>
        <v>184596</v>
      </c>
      <c r="C1586" s="2">
        <f>IFERROR(__xludf.DUMMYFUNCTION("""COMPUTED_VALUE"""),2026.0)</f>
        <v>2026</v>
      </c>
      <c r="D1586" s="2">
        <f>IFERROR(__xludf.DUMMYFUNCTION("""COMPUTED_VALUE"""),46054.0)</f>
        <v>46054</v>
      </c>
      <c r="E1586" s="2" t="str">
        <f>IFERROR(__xludf.DUMMYFUNCTION("""COMPUTED_VALUE"""),"VF")</f>
        <v>VF</v>
      </c>
      <c r="F1586" s="2">
        <f>IFERROR(__xludf.DUMMYFUNCTION("""COMPUTED_VALUE"""),1.0)</f>
        <v>1</v>
      </c>
      <c r="G1586" s="2" t="str">
        <f>IFERROR(__xludf.DUMMYFUNCTION("""COMPUTED_VALUE"""),"PR004")</f>
        <v>PR004</v>
      </c>
      <c r="H1586" s="2" t="str">
        <f>IFERROR(__xludf.DUMMYFUNCTION("""COMPUTED_VALUE"""),"VD042")</f>
        <v>VD042</v>
      </c>
      <c r="I1586" s="2">
        <f>IFERROR(__xludf.DUMMYFUNCTION("""COMPUTED_VALUE"""),2.0)</f>
        <v>2</v>
      </c>
      <c r="J1586" s="2">
        <f>IFERROR(__xludf.DUMMYFUNCTION("""COMPUTED_VALUE"""),301.6)</f>
        <v>301.6</v>
      </c>
      <c r="K1586" s="2">
        <f>IFERROR(__xludf.DUMMYFUNCTION("""COMPUTED_VALUE"""),301.6)</f>
        <v>301.6</v>
      </c>
    </row>
    <row r="1587">
      <c r="A1587" s="2">
        <f>IFERROR(__xludf.DUMMYFUNCTION("""COMPUTED_VALUE"""),1000.0)</f>
        <v>1000</v>
      </c>
      <c r="B1587" s="2">
        <f>IFERROR(__xludf.DUMMYFUNCTION("""COMPUTED_VALUE"""),184596.0)</f>
        <v>184596</v>
      </c>
      <c r="C1587" s="2">
        <f>IFERROR(__xludf.DUMMYFUNCTION("""COMPUTED_VALUE"""),2026.0)</f>
        <v>2026</v>
      </c>
      <c r="D1587" s="2">
        <f>IFERROR(__xludf.DUMMYFUNCTION("""COMPUTED_VALUE"""),46054.0)</f>
        <v>46054</v>
      </c>
      <c r="E1587" s="2" t="str">
        <f>IFERROR(__xludf.DUMMYFUNCTION("""COMPUTED_VALUE"""),"VF")</f>
        <v>VF</v>
      </c>
      <c r="F1587" s="2">
        <f>IFERROR(__xludf.DUMMYFUNCTION("""COMPUTED_VALUE"""),2.0)</f>
        <v>2</v>
      </c>
      <c r="G1587" s="2" t="str">
        <f>IFERROR(__xludf.DUMMYFUNCTION("""COMPUTED_VALUE"""),"PR007")</f>
        <v>PR007</v>
      </c>
      <c r="H1587" s="2" t="str">
        <f>IFERROR(__xludf.DUMMYFUNCTION("""COMPUTED_VALUE"""),"VD045")</f>
        <v>VD045</v>
      </c>
      <c r="I1587" s="2">
        <f>IFERROR(__xludf.DUMMYFUNCTION("""COMPUTED_VALUE"""),14.0)</f>
        <v>14</v>
      </c>
      <c r="J1587" s="2">
        <f>IFERROR(__xludf.DUMMYFUNCTION("""COMPUTED_VALUE"""),1226.65)</f>
        <v>1226.65</v>
      </c>
      <c r="K1587" s="2">
        <f>IFERROR(__xludf.DUMMYFUNCTION("""COMPUTED_VALUE"""),1226.65)</f>
        <v>1226.65</v>
      </c>
    </row>
    <row r="1588">
      <c r="A1588" s="2">
        <f>IFERROR(__xludf.DUMMYFUNCTION("""COMPUTED_VALUE"""),1000.0)</f>
        <v>1000</v>
      </c>
      <c r="B1588" s="2">
        <f>IFERROR(__xludf.DUMMYFUNCTION("""COMPUTED_VALUE"""),184597.0)</f>
        <v>184597</v>
      </c>
      <c r="C1588" s="2">
        <f>IFERROR(__xludf.DUMMYFUNCTION("""COMPUTED_VALUE"""),2026.0)</f>
        <v>2026</v>
      </c>
      <c r="D1588" s="2">
        <f>IFERROR(__xludf.DUMMYFUNCTION("""COMPUTED_VALUE"""),46054.0)</f>
        <v>46054</v>
      </c>
      <c r="E1588" s="2" t="str">
        <f>IFERROR(__xludf.DUMMYFUNCTION("""COMPUTED_VALUE"""),"VF")</f>
        <v>VF</v>
      </c>
      <c r="F1588" s="2">
        <f>IFERROR(__xludf.DUMMYFUNCTION("""COMPUTED_VALUE"""),1.0)</f>
        <v>1</v>
      </c>
      <c r="G1588" s="2" t="str">
        <f>IFERROR(__xludf.DUMMYFUNCTION("""COMPUTED_VALUE"""),"PR060")</f>
        <v>PR060</v>
      </c>
      <c r="H1588" s="2" t="str">
        <f>IFERROR(__xludf.DUMMYFUNCTION("""COMPUTED_VALUE"""),"VD011")</f>
        <v>VD011</v>
      </c>
      <c r="I1588" s="2">
        <f>IFERROR(__xludf.DUMMYFUNCTION("""COMPUTED_VALUE"""),10.0)</f>
        <v>10</v>
      </c>
      <c r="J1588" s="2">
        <f>IFERROR(__xludf.DUMMYFUNCTION("""COMPUTED_VALUE"""),1926.0)</f>
        <v>1926</v>
      </c>
      <c r="K1588" s="2">
        <f>IFERROR(__xludf.DUMMYFUNCTION("""COMPUTED_VALUE"""),1926.0)</f>
        <v>1926</v>
      </c>
    </row>
    <row r="1589">
      <c r="A1589" s="2">
        <f>IFERROR(__xludf.DUMMYFUNCTION("""COMPUTED_VALUE"""),1000.0)</f>
        <v>1000</v>
      </c>
      <c r="B1589" s="2">
        <f>IFERROR(__xludf.DUMMYFUNCTION("""COMPUTED_VALUE"""),184598.0)</f>
        <v>184598</v>
      </c>
      <c r="C1589" s="2">
        <f>IFERROR(__xludf.DUMMYFUNCTION("""COMPUTED_VALUE"""),2026.0)</f>
        <v>2026</v>
      </c>
      <c r="D1589" s="2">
        <f>IFERROR(__xludf.DUMMYFUNCTION("""COMPUTED_VALUE"""),46054.0)</f>
        <v>46054</v>
      </c>
      <c r="E1589" s="2" t="str">
        <f>IFERROR(__xludf.DUMMYFUNCTION("""COMPUTED_VALUE"""),"VF")</f>
        <v>VF</v>
      </c>
      <c r="F1589" s="2">
        <f>IFERROR(__xludf.DUMMYFUNCTION("""COMPUTED_VALUE"""),1.0)</f>
        <v>1</v>
      </c>
      <c r="G1589" s="2" t="str">
        <f>IFERROR(__xludf.DUMMYFUNCTION("""COMPUTED_VALUE"""),"PR057")</f>
        <v>PR057</v>
      </c>
      <c r="H1589" s="2" t="str">
        <f>IFERROR(__xludf.DUMMYFUNCTION("""COMPUTED_VALUE"""),"VD036")</f>
        <v>VD036</v>
      </c>
      <c r="I1589" s="2">
        <f>IFERROR(__xludf.DUMMYFUNCTION("""COMPUTED_VALUE"""),10.0)</f>
        <v>10</v>
      </c>
      <c r="J1589" s="2">
        <f>IFERROR(__xludf.DUMMYFUNCTION("""COMPUTED_VALUE"""),979.91)</f>
        <v>979.91</v>
      </c>
      <c r="K1589" s="2">
        <f>IFERROR(__xludf.DUMMYFUNCTION("""COMPUTED_VALUE"""),979.91)</f>
        <v>979.91</v>
      </c>
    </row>
    <row r="1590">
      <c r="A1590" s="2">
        <f>IFERROR(__xludf.DUMMYFUNCTION("""COMPUTED_VALUE"""),1000.0)</f>
        <v>1000</v>
      </c>
      <c r="B1590" s="2">
        <f>IFERROR(__xludf.DUMMYFUNCTION("""COMPUTED_VALUE"""),184599.0)</f>
        <v>184599</v>
      </c>
      <c r="C1590" s="2">
        <f>IFERROR(__xludf.DUMMYFUNCTION("""COMPUTED_VALUE"""),2026.0)</f>
        <v>2026</v>
      </c>
      <c r="D1590" s="2">
        <f>IFERROR(__xludf.DUMMYFUNCTION("""COMPUTED_VALUE"""),46053.0)</f>
        <v>46053</v>
      </c>
      <c r="E1590" s="2" t="str">
        <f>IFERROR(__xludf.DUMMYFUNCTION("""COMPUTED_VALUE"""),"VF")</f>
        <v>VF</v>
      </c>
      <c r="F1590" s="2">
        <f>IFERROR(__xludf.DUMMYFUNCTION("""COMPUTED_VALUE"""),1.0)</f>
        <v>1</v>
      </c>
      <c r="G1590" s="2" t="str">
        <f>IFERROR(__xludf.DUMMYFUNCTION("""COMPUTED_VALUE"""),"PR036")</f>
        <v>PR036</v>
      </c>
      <c r="H1590" s="2" t="str">
        <f>IFERROR(__xludf.DUMMYFUNCTION("""COMPUTED_VALUE"""),"VD017")</f>
        <v>VD017</v>
      </c>
      <c r="I1590" s="2">
        <f>IFERROR(__xludf.DUMMYFUNCTION("""COMPUTED_VALUE"""),10.0)</f>
        <v>10</v>
      </c>
      <c r="J1590" s="2">
        <f>IFERROR(__xludf.DUMMYFUNCTION("""COMPUTED_VALUE"""),981.75)</f>
        <v>981.75</v>
      </c>
      <c r="K1590" s="2">
        <f>IFERROR(__xludf.DUMMYFUNCTION("""COMPUTED_VALUE"""),981.75)</f>
        <v>981.75</v>
      </c>
    </row>
    <row r="1591">
      <c r="A1591" s="2">
        <f>IFERROR(__xludf.DUMMYFUNCTION("""COMPUTED_VALUE"""),1000.0)</f>
        <v>1000</v>
      </c>
      <c r="B1591" s="2">
        <f>IFERROR(__xludf.DUMMYFUNCTION("""COMPUTED_VALUE"""),184599.0)</f>
        <v>184599</v>
      </c>
      <c r="C1591" s="2">
        <f>IFERROR(__xludf.DUMMYFUNCTION("""COMPUTED_VALUE"""),2026.0)</f>
        <v>2026</v>
      </c>
      <c r="D1591" s="2">
        <f>IFERROR(__xludf.DUMMYFUNCTION("""COMPUTED_VALUE"""),46053.0)</f>
        <v>46053</v>
      </c>
      <c r="E1591" s="2" t="str">
        <f>IFERROR(__xludf.DUMMYFUNCTION("""COMPUTED_VALUE"""),"VF")</f>
        <v>VF</v>
      </c>
      <c r="F1591" s="2">
        <f>IFERROR(__xludf.DUMMYFUNCTION("""COMPUTED_VALUE"""),2.0)</f>
        <v>2</v>
      </c>
      <c r="G1591" s="2" t="str">
        <f>IFERROR(__xludf.DUMMYFUNCTION("""COMPUTED_VALUE"""),"PR045")</f>
        <v>PR045</v>
      </c>
      <c r="H1591" s="2" t="str">
        <f>IFERROR(__xludf.DUMMYFUNCTION("""COMPUTED_VALUE"""),"VD019")</f>
        <v>VD019</v>
      </c>
      <c r="I1591" s="2">
        <f>IFERROR(__xludf.DUMMYFUNCTION("""COMPUTED_VALUE"""),4.0)</f>
        <v>4</v>
      </c>
      <c r="J1591" s="2">
        <f>IFERROR(__xludf.DUMMYFUNCTION("""COMPUTED_VALUE"""),292.9)</f>
        <v>292.9</v>
      </c>
      <c r="K1591" s="2">
        <f>IFERROR(__xludf.DUMMYFUNCTION("""COMPUTED_VALUE"""),292.9)</f>
        <v>292.9</v>
      </c>
    </row>
    <row r="1592">
      <c r="A1592" s="2">
        <f>IFERROR(__xludf.DUMMYFUNCTION("""COMPUTED_VALUE"""),1000.0)</f>
        <v>1000</v>
      </c>
      <c r="B1592" s="2">
        <f>IFERROR(__xludf.DUMMYFUNCTION("""COMPUTED_VALUE"""),184600.0)</f>
        <v>184600</v>
      </c>
      <c r="C1592" s="2">
        <f>IFERROR(__xludf.DUMMYFUNCTION("""COMPUTED_VALUE"""),2026.0)</f>
        <v>2026</v>
      </c>
      <c r="D1592" s="2">
        <f>IFERROR(__xludf.DUMMYFUNCTION("""COMPUTED_VALUE"""),46053.0)</f>
        <v>46053</v>
      </c>
      <c r="E1592" s="2" t="str">
        <f>IFERROR(__xludf.DUMMYFUNCTION("""COMPUTED_VALUE"""),"VF")</f>
        <v>VF</v>
      </c>
      <c r="F1592" s="2">
        <f>IFERROR(__xludf.DUMMYFUNCTION("""COMPUTED_VALUE"""),1.0)</f>
        <v>1</v>
      </c>
      <c r="G1592" s="2" t="str">
        <f>IFERROR(__xludf.DUMMYFUNCTION("""COMPUTED_VALUE"""),"PR058")</f>
        <v>PR058</v>
      </c>
      <c r="H1592" s="2" t="str">
        <f>IFERROR(__xludf.DUMMYFUNCTION("""COMPUTED_VALUE"""),"VD029")</f>
        <v>VD029</v>
      </c>
      <c r="I1592" s="2">
        <f>IFERROR(__xludf.DUMMYFUNCTION("""COMPUTED_VALUE"""),18.0)</f>
        <v>18</v>
      </c>
      <c r="J1592" s="2">
        <f>IFERROR(__xludf.DUMMYFUNCTION("""COMPUTED_VALUE"""),3434.4)</f>
        <v>3434.4</v>
      </c>
      <c r="K1592" s="2">
        <f>IFERROR(__xludf.DUMMYFUNCTION("""COMPUTED_VALUE"""),3434.4)</f>
        <v>3434.4</v>
      </c>
    </row>
    <row r="1593">
      <c r="A1593" s="2">
        <f>IFERROR(__xludf.DUMMYFUNCTION("""COMPUTED_VALUE"""),1000.0)</f>
        <v>1000</v>
      </c>
      <c r="B1593" s="2">
        <f>IFERROR(__xludf.DUMMYFUNCTION("""COMPUTED_VALUE"""),184600.0)</f>
        <v>184600</v>
      </c>
      <c r="C1593" s="2">
        <f>IFERROR(__xludf.DUMMYFUNCTION("""COMPUTED_VALUE"""),2026.0)</f>
        <v>2026</v>
      </c>
      <c r="D1593" s="2">
        <f>IFERROR(__xludf.DUMMYFUNCTION("""COMPUTED_VALUE"""),46053.0)</f>
        <v>46053</v>
      </c>
      <c r="E1593" s="2" t="str">
        <f>IFERROR(__xludf.DUMMYFUNCTION("""COMPUTED_VALUE"""),"VF")</f>
        <v>VF</v>
      </c>
      <c r="F1593" s="2">
        <f>IFERROR(__xludf.DUMMYFUNCTION("""COMPUTED_VALUE"""),2.0)</f>
        <v>2</v>
      </c>
      <c r="G1593" s="2" t="str">
        <f>IFERROR(__xludf.DUMMYFUNCTION("""COMPUTED_VALUE"""),"PR010")</f>
        <v>PR010</v>
      </c>
      <c r="H1593" s="2" t="str">
        <f>IFERROR(__xludf.DUMMYFUNCTION("""COMPUTED_VALUE"""),"VD046")</f>
        <v>VD046</v>
      </c>
      <c r="I1593" s="2">
        <f>IFERROR(__xludf.DUMMYFUNCTION("""COMPUTED_VALUE"""),14.0)</f>
        <v>14</v>
      </c>
      <c r="J1593" s="2">
        <f>IFERROR(__xludf.DUMMYFUNCTION("""COMPUTED_VALUE"""),666.32)</f>
        <v>666.32</v>
      </c>
      <c r="K1593" s="2">
        <f>IFERROR(__xludf.DUMMYFUNCTION("""COMPUTED_VALUE"""),666.32)</f>
        <v>666.32</v>
      </c>
    </row>
    <row r="1594">
      <c r="A1594" s="2">
        <f>IFERROR(__xludf.DUMMYFUNCTION("""COMPUTED_VALUE"""),1000.0)</f>
        <v>1000</v>
      </c>
      <c r="B1594" s="2">
        <f>IFERROR(__xludf.DUMMYFUNCTION("""COMPUTED_VALUE"""),184601.0)</f>
        <v>184601</v>
      </c>
      <c r="C1594" s="2">
        <f>IFERROR(__xludf.DUMMYFUNCTION("""COMPUTED_VALUE"""),2026.0)</f>
        <v>2026</v>
      </c>
      <c r="D1594" s="2">
        <f>IFERROR(__xludf.DUMMYFUNCTION("""COMPUTED_VALUE"""),46052.0)</f>
        <v>46052</v>
      </c>
      <c r="E1594" s="2" t="str">
        <f>IFERROR(__xludf.DUMMYFUNCTION("""COMPUTED_VALUE"""),"VF")</f>
        <v>VF</v>
      </c>
      <c r="F1594" s="2">
        <f>IFERROR(__xludf.DUMMYFUNCTION("""COMPUTED_VALUE"""),1.0)</f>
        <v>1</v>
      </c>
      <c r="G1594" s="2" t="str">
        <f>IFERROR(__xludf.DUMMYFUNCTION("""COMPUTED_VALUE"""),"PR036")</f>
        <v>PR036</v>
      </c>
      <c r="H1594" s="2" t="str">
        <f>IFERROR(__xludf.DUMMYFUNCTION("""COMPUTED_VALUE"""),"VD017")</f>
        <v>VD017</v>
      </c>
      <c r="I1594" s="2">
        <f>IFERROR(__xludf.DUMMYFUNCTION("""COMPUTED_VALUE"""),5.0)</f>
        <v>5</v>
      </c>
      <c r="J1594" s="2">
        <f>IFERROR(__xludf.DUMMYFUNCTION("""COMPUTED_VALUE"""),486.2)</f>
        <v>486.2</v>
      </c>
      <c r="K1594" s="2">
        <f>IFERROR(__xludf.DUMMYFUNCTION("""COMPUTED_VALUE"""),486.2)</f>
        <v>486.2</v>
      </c>
    </row>
    <row r="1595">
      <c r="A1595" s="2">
        <f>IFERROR(__xludf.DUMMYFUNCTION("""COMPUTED_VALUE"""),1000.0)</f>
        <v>1000</v>
      </c>
      <c r="B1595" s="2">
        <f>IFERROR(__xludf.DUMMYFUNCTION("""COMPUTED_VALUE"""),184602.0)</f>
        <v>184602</v>
      </c>
      <c r="C1595" s="2">
        <f>IFERROR(__xludf.DUMMYFUNCTION("""COMPUTED_VALUE"""),2026.0)</f>
        <v>2026</v>
      </c>
      <c r="D1595" s="2">
        <f>IFERROR(__xludf.DUMMYFUNCTION("""COMPUTED_VALUE"""),46052.0)</f>
        <v>46052</v>
      </c>
      <c r="E1595" s="2" t="str">
        <f>IFERROR(__xludf.DUMMYFUNCTION("""COMPUTED_VALUE"""),"VF")</f>
        <v>VF</v>
      </c>
      <c r="F1595" s="2">
        <f>IFERROR(__xludf.DUMMYFUNCTION("""COMPUTED_VALUE"""),1.0)</f>
        <v>1</v>
      </c>
      <c r="G1595" s="2" t="str">
        <f>IFERROR(__xludf.DUMMYFUNCTION("""COMPUTED_VALUE"""),"PR014")</f>
        <v>PR014</v>
      </c>
      <c r="H1595" s="2" t="str">
        <f>IFERROR(__xludf.DUMMYFUNCTION("""COMPUTED_VALUE"""),"VD048")</f>
        <v>VD048</v>
      </c>
      <c r="I1595" s="2">
        <f>IFERROR(__xludf.DUMMYFUNCTION("""COMPUTED_VALUE"""),4.0)</f>
        <v>4</v>
      </c>
      <c r="J1595" s="2">
        <f>IFERROR(__xludf.DUMMYFUNCTION("""COMPUTED_VALUE"""),172.37)</f>
        <v>172.37</v>
      </c>
      <c r="K1595" s="2">
        <f>IFERROR(__xludf.DUMMYFUNCTION("""COMPUTED_VALUE"""),172.37)</f>
        <v>172.37</v>
      </c>
    </row>
    <row r="1596">
      <c r="A1596" s="2">
        <f>IFERROR(__xludf.DUMMYFUNCTION("""COMPUTED_VALUE"""),1000.0)</f>
        <v>1000</v>
      </c>
      <c r="B1596" s="2">
        <f>IFERROR(__xludf.DUMMYFUNCTION("""COMPUTED_VALUE"""),184603.0)</f>
        <v>184603</v>
      </c>
      <c r="C1596" s="2">
        <f>IFERROR(__xludf.DUMMYFUNCTION("""COMPUTED_VALUE"""),2026.0)</f>
        <v>2026</v>
      </c>
      <c r="D1596" s="2">
        <f>IFERROR(__xludf.DUMMYFUNCTION("""COMPUTED_VALUE"""),46052.0)</f>
        <v>46052</v>
      </c>
      <c r="E1596" s="2" t="str">
        <f>IFERROR(__xludf.DUMMYFUNCTION("""COMPUTED_VALUE"""),"VF")</f>
        <v>VF</v>
      </c>
      <c r="F1596" s="2">
        <f>IFERROR(__xludf.DUMMYFUNCTION("""COMPUTED_VALUE"""),1.0)</f>
        <v>1</v>
      </c>
      <c r="G1596" s="2" t="str">
        <f>IFERROR(__xludf.DUMMYFUNCTION("""COMPUTED_VALUE"""),"PR041")</f>
        <v>PR041</v>
      </c>
      <c r="H1596" s="2" t="str">
        <f>IFERROR(__xludf.DUMMYFUNCTION("""COMPUTED_VALUE"""),"VD042")</f>
        <v>VD042</v>
      </c>
      <c r="I1596" s="2">
        <f>IFERROR(__xludf.DUMMYFUNCTION("""COMPUTED_VALUE"""),2.0)</f>
        <v>2</v>
      </c>
      <c r="J1596" s="2">
        <f>IFERROR(__xludf.DUMMYFUNCTION("""COMPUTED_VALUE"""),120.78)</f>
        <v>120.78</v>
      </c>
      <c r="K1596" s="2">
        <f>IFERROR(__xludf.DUMMYFUNCTION("""COMPUTED_VALUE"""),120.78)</f>
        <v>120.78</v>
      </c>
    </row>
    <row r="1597">
      <c r="A1597" s="2">
        <f>IFERROR(__xludf.DUMMYFUNCTION("""COMPUTED_VALUE"""),1000.0)</f>
        <v>1000</v>
      </c>
      <c r="B1597" s="2">
        <f>IFERROR(__xludf.DUMMYFUNCTION("""COMPUTED_VALUE"""),184604.0)</f>
        <v>184604</v>
      </c>
      <c r="C1597" s="2">
        <f>IFERROR(__xludf.DUMMYFUNCTION("""COMPUTED_VALUE"""),2026.0)</f>
        <v>2026</v>
      </c>
      <c r="D1597" s="2">
        <f>IFERROR(__xludf.DUMMYFUNCTION("""COMPUTED_VALUE"""),46052.0)</f>
        <v>46052</v>
      </c>
      <c r="E1597" s="2" t="str">
        <f>IFERROR(__xludf.DUMMYFUNCTION("""COMPUTED_VALUE"""),"VF")</f>
        <v>VF</v>
      </c>
      <c r="F1597" s="2">
        <f>IFERROR(__xludf.DUMMYFUNCTION("""COMPUTED_VALUE"""),1.0)</f>
        <v>1</v>
      </c>
      <c r="G1597" s="2" t="str">
        <f>IFERROR(__xludf.DUMMYFUNCTION("""COMPUTED_VALUE"""),"PR019")</f>
        <v>PR019</v>
      </c>
      <c r="H1597" s="2" t="str">
        <f>IFERROR(__xludf.DUMMYFUNCTION("""COMPUTED_VALUE"""),"VD034")</f>
        <v>VD034</v>
      </c>
      <c r="I1597" s="2">
        <f>IFERROR(__xludf.DUMMYFUNCTION("""COMPUTED_VALUE"""),7.0)</f>
        <v>7</v>
      </c>
      <c r="J1597" s="2">
        <f>IFERROR(__xludf.DUMMYFUNCTION("""COMPUTED_VALUE"""),373.75)</f>
        <v>373.75</v>
      </c>
      <c r="K1597" s="2">
        <f>IFERROR(__xludf.DUMMYFUNCTION("""COMPUTED_VALUE"""),373.75)</f>
        <v>373.75</v>
      </c>
    </row>
    <row r="1598">
      <c r="A1598" s="2">
        <f>IFERROR(__xludf.DUMMYFUNCTION("""COMPUTED_VALUE"""),1000.0)</f>
        <v>1000</v>
      </c>
      <c r="B1598" s="2">
        <f>IFERROR(__xludf.DUMMYFUNCTION("""COMPUTED_VALUE"""),184605.0)</f>
        <v>184605</v>
      </c>
      <c r="C1598" s="2">
        <f>IFERROR(__xludf.DUMMYFUNCTION("""COMPUTED_VALUE"""),2026.0)</f>
        <v>2026</v>
      </c>
      <c r="D1598" s="2">
        <f>IFERROR(__xludf.DUMMYFUNCTION("""COMPUTED_VALUE"""),46052.0)</f>
        <v>46052</v>
      </c>
      <c r="E1598" s="2" t="str">
        <f>IFERROR(__xludf.DUMMYFUNCTION("""COMPUTED_VALUE"""),"VF")</f>
        <v>VF</v>
      </c>
      <c r="F1598" s="2">
        <f>IFERROR(__xludf.DUMMYFUNCTION("""COMPUTED_VALUE"""),1.0)</f>
        <v>1</v>
      </c>
      <c r="G1598" s="2" t="str">
        <f>IFERROR(__xludf.DUMMYFUNCTION("""COMPUTED_VALUE"""),"PR024")</f>
        <v>PR024</v>
      </c>
      <c r="H1598" s="2" t="str">
        <f>IFERROR(__xludf.DUMMYFUNCTION("""COMPUTED_VALUE"""),"VD048")</f>
        <v>VD048</v>
      </c>
      <c r="I1598" s="2">
        <f>IFERROR(__xludf.DUMMYFUNCTION("""COMPUTED_VALUE"""),3.0)</f>
        <v>3</v>
      </c>
      <c r="J1598" s="2">
        <f>IFERROR(__xludf.DUMMYFUNCTION("""COMPUTED_VALUE"""),795.29)</f>
        <v>795.29</v>
      </c>
      <c r="K1598" s="2">
        <f>IFERROR(__xludf.DUMMYFUNCTION("""COMPUTED_VALUE"""),795.29)</f>
        <v>795.29</v>
      </c>
    </row>
    <row r="1599">
      <c r="A1599" s="2">
        <f>IFERROR(__xludf.DUMMYFUNCTION("""COMPUTED_VALUE"""),1000.0)</f>
        <v>1000</v>
      </c>
      <c r="B1599" s="2">
        <f>IFERROR(__xludf.DUMMYFUNCTION("""COMPUTED_VALUE"""),184606.0)</f>
        <v>184606</v>
      </c>
      <c r="C1599" s="2">
        <f>IFERROR(__xludf.DUMMYFUNCTION("""COMPUTED_VALUE"""),2026.0)</f>
        <v>2026</v>
      </c>
      <c r="D1599" s="2">
        <f>IFERROR(__xludf.DUMMYFUNCTION("""COMPUTED_VALUE"""),46051.0)</f>
        <v>46051</v>
      </c>
      <c r="E1599" s="2" t="str">
        <f>IFERROR(__xludf.DUMMYFUNCTION("""COMPUTED_VALUE"""),"VF")</f>
        <v>VF</v>
      </c>
      <c r="F1599" s="2">
        <f>IFERROR(__xludf.DUMMYFUNCTION("""COMPUTED_VALUE"""),1.0)</f>
        <v>1</v>
      </c>
      <c r="G1599" s="2" t="str">
        <f>IFERROR(__xludf.DUMMYFUNCTION("""COMPUTED_VALUE"""),"PR044")</f>
        <v>PR044</v>
      </c>
      <c r="H1599" s="2" t="str">
        <f>IFERROR(__xludf.DUMMYFUNCTION("""COMPUTED_VALUE"""),"VD046")</f>
        <v>VD046</v>
      </c>
      <c r="I1599" s="2">
        <f>IFERROR(__xludf.DUMMYFUNCTION("""COMPUTED_VALUE"""),14.0)</f>
        <v>14</v>
      </c>
      <c r="J1599" s="2">
        <f>IFERROR(__xludf.DUMMYFUNCTION("""COMPUTED_VALUE"""),1055.6)</f>
        <v>1055.6</v>
      </c>
      <c r="K1599" s="2">
        <f>IFERROR(__xludf.DUMMYFUNCTION("""COMPUTED_VALUE"""),1055.6)</f>
        <v>1055.6</v>
      </c>
    </row>
    <row r="1600">
      <c r="A1600" s="2">
        <f>IFERROR(__xludf.DUMMYFUNCTION("""COMPUTED_VALUE"""),1000.0)</f>
        <v>1000</v>
      </c>
      <c r="B1600" s="2">
        <f>IFERROR(__xludf.DUMMYFUNCTION("""COMPUTED_VALUE"""),184607.0)</f>
        <v>184607</v>
      </c>
      <c r="C1600" s="2">
        <f>IFERROR(__xludf.DUMMYFUNCTION("""COMPUTED_VALUE"""),2026.0)</f>
        <v>2026</v>
      </c>
      <c r="D1600" s="2">
        <f>IFERROR(__xludf.DUMMYFUNCTION("""COMPUTED_VALUE"""),46051.0)</f>
        <v>46051</v>
      </c>
      <c r="E1600" s="2" t="str">
        <f>IFERROR(__xludf.DUMMYFUNCTION("""COMPUTED_VALUE"""),"VF")</f>
        <v>VF</v>
      </c>
      <c r="F1600" s="2">
        <f>IFERROR(__xludf.DUMMYFUNCTION("""COMPUTED_VALUE"""),1.0)</f>
        <v>1</v>
      </c>
      <c r="G1600" s="2" t="str">
        <f>IFERROR(__xludf.DUMMYFUNCTION("""COMPUTED_VALUE"""),"PR042")</f>
        <v>PR042</v>
      </c>
      <c r="H1600" s="2" t="str">
        <f>IFERROR(__xludf.DUMMYFUNCTION("""COMPUTED_VALUE"""),"VD048")</f>
        <v>VD048</v>
      </c>
      <c r="I1600" s="2">
        <f>IFERROR(__xludf.DUMMYFUNCTION("""COMPUTED_VALUE"""),7.0)</f>
        <v>7</v>
      </c>
      <c r="J1600" s="2">
        <f>IFERROR(__xludf.DUMMYFUNCTION("""COMPUTED_VALUE"""),399.67)</f>
        <v>399.67</v>
      </c>
      <c r="K1600" s="2">
        <f>IFERROR(__xludf.DUMMYFUNCTION("""COMPUTED_VALUE"""),399.67)</f>
        <v>399.67</v>
      </c>
    </row>
    <row r="1601">
      <c r="A1601" s="2">
        <f>IFERROR(__xludf.DUMMYFUNCTION("""COMPUTED_VALUE"""),2000.0)</f>
        <v>2000</v>
      </c>
      <c r="B1601" s="2">
        <f>IFERROR(__xludf.DUMMYFUNCTION("""COMPUTED_VALUE"""),184607.0)</f>
        <v>184607</v>
      </c>
      <c r="C1601" s="2">
        <f>IFERROR(__xludf.DUMMYFUNCTION("""COMPUTED_VALUE"""),2026.0)</f>
        <v>2026</v>
      </c>
      <c r="D1601" s="2">
        <f>IFERROR(__xludf.DUMMYFUNCTION("""COMPUTED_VALUE"""),46051.0)</f>
        <v>46051</v>
      </c>
      <c r="E1601" s="2" t="str">
        <f>IFERROR(__xludf.DUMMYFUNCTION("""COMPUTED_VALUE"""),"VF")</f>
        <v>VF</v>
      </c>
      <c r="F1601" s="2">
        <f>IFERROR(__xludf.DUMMYFUNCTION("""COMPUTED_VALUE"""),2.0)</f>
        <v>2</v>
      </c>
      <c r="G1601" s="2" t="str">
        <f>IFERROR(__xludf.DUMMYFUNCTION("""COMPUTED_VALUE"""),"PR014")</f>
        <v>PR014</v>
      </c>
      <c r="H1601" s="2" t="str">
        <f>IFERROR(__xludf.DUMMYFUNCTION("""COMPUTED_VALUE"""),"VD017")</f>
        <v>VD017</v>
      </c>
      <c r="I1601" s="2">
        <f>IFERROR(__xludf.DUMMYFUNCTION("""COMPUTED_VALUE"""),10.0)</f>
        <v>10</v>
      </c>
      <c r="J1601" s="2">
        <f>IFERROR(__xludf.DUMMYFUNCTION("""COMPUTED_VALUE"""),438.9)</f>
        <v>438.9</v>
      </c>
      <c r="K1601" s="2">
        <f>IFERROR(__xludf.DUMMYFUNCTION("""COMPUTED_VALUE"""),438.9)</f>
        <v>438.9</v>
      </c>
    </row>
    <row r="1602">
      <c r="A1602" s="2">
        <f>IFERROR(__xludf.DUMMYFUNCTION("""COMPUTED_VALUE"""),1000.0)</f>
        <v>1000</v>
      </c>
      <c r="B1602" s="2">
        <f>IFERROR(__xludf.DUMMYFUNCTION("""COMPUTED_VALUE"""),184608.0)</f>
        <v>184608</v>
      </c>
      <c r="C1602" s="2">
        <f>IFERROR(__xludf.DUMMYFUNCTION("""COMPUTED_VALUE"""),2026.0)</f>
        <v>2026</v>
      </c>
      <c r="D1602" s="2">
        <f>IFERROR(__xludf.DUMMYFUNCTION("""COMPUTED_VALUE"""),46051.0)</f>
        <v>46051</v>
      </c>
      <c r="E1602" s="2" t="str">
        <f>IFERROR(__xludf.DUMMYFUNCTION("""COMPUTED_VALUE"""),"VF")</f>
        <v>VF</v>
      </c>
      <c r="F1602" s="2">
        <f>IFERROR(__xludf.DUMMYFUNCTION("""COMPUTED_VALUE"""),1.0)</f>
        <v>1</v>
      </c>
      <c r="G1602" s="2" t="str">
        <f>IFERROR(__xludf.DUMMYFUNCTION("""COMPUTED_VALUE"""),"PR015")</f>
        <v>PR015</v>
      </c>
      <c r="H1602" s="2" t="str">
        <f>IFERROR(__xludf.DUMMYFUNCTION("""COMPUTED_VALUE"""),"VD022")</f>
        <v>VD022</v>
      </c>
      <c r="I1602" s="2">
        <f>IFERROR(__xludf.DUMMYFUNCTION("""COMPUTED_VALUE"""),6.0)</f>
        <v>6</v>
      </c>
      <c r="J1602" s="2">
        <f>IFERROR(__xludf.DUMMYFUNCTION("""COMPUTED_VALUE"""),262.65)</f>
        <v>262.65</v>
      </c>
      <c r="K1602" s="2">
        <f>IFERROR(__xludf.DUMMYFUNCTION("""COMPUTED_VALUE"""),262.65)</f>
        <v>262.65</v>
      </c>
    </row>
    <row r="1603">
      <c r="A1603" s="2">
        <f>IFERROR(__xludf.DUMMYFUNCTION("""COMPUTED_VALUE"""),1000.0)</f>
        <v>1000</v>
      </c>
      <c r="B1603" s="2">
        <f>IFERROR(__xludf.DUMMYFUNCTION("""COMPUTED_VALUE"""),184609.0)</f>
        <v>184609</v>
      </c>
      <c r="C1603" s="2">
        <f>IFERROR(__xludf.DUMMYFUNCTION("""COMPUTED_VALUE"""),2026.0)</f>
        <v>2026</v>
      </c>
      <c r="D1603" s="2">
        <f>IFERROR(__xludf.DUMMYFUNCTION("""COMPUTED_VALUE"""),46051.0)</f>
        <v>46051</v>
      </c>
      <c r="E1603" s="2" t="str">
        <f>IFERROR(__xludf.DUMMYFUNCTION("""COMPUTED_VALUE"""),"VF")</f>
        <v>VF</v>
      </c>
      <c r="F1603" s="2">
        <f>IFERROR(__xludf.DUMMYFUNCTION("""COMPUTED_VALUE"""),1.0)</f>
        <v>1</v>
      </c>
      <c r="G1603" s="2" t="str">
        <f>IFERROR(__xludf.DUMMYFUNCTION("""COMPUTED_VALUE"""),"PR025")</f>
        <v>PR025</v>
      </c>
      <c r="H1603" s="2" t="str">
        <f>IFERROR(__xludf.DUMMYFUNCTION("""COMPUTED_VALUE"""),"VD034")</f>
        <v>VD034</v>
      </c>
      <c r="I1603" s="2">
        <f>IFERROR(__xludf.DUMMYFUNCTION("""COMPUTED_VALUE"""),4.0)</f>
        <v>4</v>
      </c>
      <c r="J1603" s="2">
        <f>IFERROR(__xludf.DUMMYFUNCTION("""COMPUTED_VALUE"""),1295.57)</f>
        <v>1295.57</v>
      </c>
      <c r="K1603" s="2">
        <f>IFERROR(__xludf.DUMMYFUNCTION("""COMPUTED_VALUE"""),1295.57)</f>
        <v>1295.57</v>
      </c>
    </row>
    <row r="1604">
      <c r="A1604" s="2">
        <f>IFERROR(__xludf.DUMMYFUNCTION("""COMPUTED_VALUE"""),1000.0)</f>
        <v>1000</v>
      </c>
      <c r="B1604" s="2">
        <f>IFERROR(__xludf.DUMMYFUNCTION("""COMPUTED_VALUE"""),184610.0)</f>
        <v>184610</v>
      </c>
      <c r="C1604" s="2">
        <f>IFERROR(__xludf.DUMMYFUNCTION("""COMPUTED_VALUE"""),2026.0)</f>
        <v>2026</v>
      </c>
      <c r="D1604" s="2">
        <f>IFERROR(__xludf.DUMMYFUNCTION("""COMPUTED_VALUE"""),46051.0)</f>
        <v>46051</v>
      </c>
      <c r="E1604" s="2" t="str">
        <f>IFERROR(__xludf.DUMMYFUNCTION("""COMPUTED_VALUE"""),"VF")</f>
        <v>VF</v>
      </c>
      <c r="F1604" s="2">
        <f>IFERROR(__xludf.DUMMYFUNCTION("""COMPUTED_VALUE"""),1.0)</f>
        <v>1</v>
      </c>
      <c r="G1604" s="2" t="str">
        <f>IFERROR(__xludf.DUMMYFUNCTION("""COMPUTED_VALUE"""),"PR001")</f>
        <v>PR001</v>
      </c>
      <c r="H1604" s="2" t="str">
        <f>IFERROR(__xludf.DUMMYFUNCTION("""COMPUTED_VALUE"""),"VD022")</f>
        <v>VD022</v>
      </c>
      <c r="I1604" s="2">
        <f>IFERROR(__xludf.DUMMYFUNCTION("""COMPUTED_VALUE"""),9.0)</f>
        <v>9</v>
      </c>
      <c r="J1604" s="2">
        <f>IFERROR(__xludf.DUMMYFUNCTION("""COMPUTED_VALUE"""),640.55)</f>
        <v>640.55</v>
      </c>
      <c r="K1604" s="2">
        <f>IFERROR(__xludf.DUMMYFUNCTION("""COMPUTED_VALUE"""),640.55)</f>
        <v>640.55</v>
      </c>
    </row>
    <row r="1605">
      <c r="A1605" s="2">
        <f>IFERROR(__xludf.DUMMYFUNCTION("""COMPUTED_VALUE"""),1000.0)</f>
        <v>1000</v>
      </c>
      <c r="B1605" s="2">
        <f>IFERROR(__xludf.DUMMYFUNCTION("""COMPUTED_VALUE"""),184611.0)</f>
        <v>184611</v>
      </c>
      <c r="C1605" s="2">
        <f>IFERROR(__xludf.DUMMYFUNCTION("""COMPUTED_VALUE"""),2026.0)</f>
        <v>2026</v>
      </c>
      <c r="D1605" s="2">
        <f>IFERROR(__xludf.DUMMYFUNCTION("""COMPUTED_VALUE"""),46051.0)</f>
        <v>46051</v>
      </c>
      <c r="E1605" s="2" t="str">
        <f>IFERROR(__xludf.DUMMYFUNCTION("""COMPUTED_VALUE"""),"VF")</f>
        <v>VF</v>
      </c>
      <c r="F1605" s="2">
        <f>IFERROR(__xludf.DUMMYFUNCTION("""COMPUTED_VALUE"""),1.0)</f>
        <v>1</v>
      </c>
      <c r="G1605" s="2" t="str">
        <f>IFERROR(__xludf.DUMMYFUNCTION("""COMPUTED_VALUE"""),"PR013")</f>
        <v>PR013</v>
      </c>
      <c r="H1605" s="2" t="str">
        <f>IFERROR(__xludf.DUMMYFUNCTION("""COMPUTED_VALUE"""),"VD019")</f>
        <v>VD019</v>
      </c>
      <c r="I1605" s="2">
        <f>IFERROR(__xludf.DUMMYFUNCTION("""COMPUTED_VALUE"""),20.0)</f>
        <v>20</v>
      </c>
      <c r="J1605" s="2">
        <f>IFERROR(__xludf.DUMMYFUNCTION("""COMPUTED_VALUE"""),869.82)</f>
        <v>869.82</v>
      </c>
      <c r="K1605" s="2">
        <f>IFERROR(__xludf.DUMMYFUNCTION("""COMPUTED_VALUE"""),869.82)</f>
        <v>869.82</v>
      </c>
    </row>
    <row r="1606">
      <c r="A1606" s="2">
        <f>IFERROR(__xludf.DUMMYFUNCTION("""COMPUTED_VALUE"""),1000.0)</f>
        <v>1000</v>
      </c>
      <c r="B1606" s="2">
        <f>IFERROR(__xludf.DUMMYFUNCTION("""COMPUTED_VALUE"""),184612.0)</f>
        <v>184612</v>
      </c>
      <c r="C1606" s="2">
        <f>IFERROR(__xludf.DUMMYFUNCTION("""COMPUTED_VALUE"""),2026.0)</f>
        <v>2026</v>
      </c>
      <c r="D1606" s="2">
        <f>IFERROR(__xludf.DUMMYFUNCTION("""COMPUTED_VALUE"""),46051.0)</f>
        <v>46051</v>
      </c>
      <c r="E1606" s="2" t="str">
        <f>IFERROR(__xludf.DUMMYFUNCTION("""COMPUTED_VALUE"""),"VF")</f>
        <v>VF</v>
      </c>
      <c r="F1606" s="2">
        <f>IFERROR(__xludf.DUMMYFUNCTION("""COMPUTED_VALUE"""),1.0)</f>
        <v>1</v>
      </c>
      <c r="G1606" s="2" t="str">
        <f>IFERROR(__xludf.DUMMYFUNCTION("""COMPUTED_VALUE"""),"PR058")</f>
        <v>PR058</v>
      </c>
      <c r="H1606" s="2" t="str">
        <f>IFERROR(__xludf.DUMMYFUNCTION("""COMPUTED_VALUE"""),"VD042")</f>
        <v>VD042</v>
      </c>
      <c r="I1606" s="2">
        <f>IFERROR(__xludf.DUMMYFUNCTION("""COMPUTED_VALUE"""),3.0)</f>
        <v>3</v>
      </c>
      <c r="J1606" s="2">
        <f>IFERROR(__xludf.DUMMYFUNCTION("""COMPUTED_VALUE"""),577.8)</f>
        <v>577.8</v>
      </c>
      <c r="K1606" s="2">
        <f>IFERROR(__xludf.DUMMYFUNCTION("""COMPUTED_VALUE"""),577.8)</f>
        <v>577.8</v>
      </c>
    </row>
    <row r="1607">
      <c r="A1607" s="2">
        <f>IFERROR(__xludf.DUMMYFUNCTION("""COMPUTED_VALUE"""),2000.0)</f>
        <v>2000</v>
      </c>
      <c r="B1607" s="2">
        <f>IFERROR(__xludf.DUMMYFUNCTION("""COMPUTED_VALUE"""),184613.0)</f>
        <v>184613</v>
      </c>
      <c r="C1607" s="2">
        <f>IFERROR(__xludf.DUMMYFUNCTION("""COMPUTED_VALUE"""),2026.0)</f>
        <v>2026</v>
      </c>
      <c r="D1607" s="2">
        <f>IFERROR(__xludf.DUMMYFUNCTION("""COMPUTED_VALUE"""),46051.0)</f>
        <v>46051</v>
      </c>
      <c r="E1607" s="2" t="str">
        <f>IFERROR(__xludf.DUMMYFUNCTION("""COMPUTED_VALUE"""),"VF")</f>
        <v>VF</v>
      </c>
      <c r="F1607" s="2">
        <f>IFERROR(__xludf.DUMMYFUNCTION("""COMPUTED_VALUE"""),1.0)</f>
        <v>1</v>
      </c>
      <c r="G1607" s="2" t="str">
        <f>IFERROR(__xludf.DUMMYFUNCTION("""COMPUTED_VALUE"""),"PR053")</f>
        <v>PR053</v>
      </c>
      <c r="H1607" s="2" t="str">
        <f>IFERROR(__xludf.DUMMYFUNCTION("""COMPUTED_VALUE"""),"VD022")</f>
        <v>VD022</v>
      </c>
      <c r="I1607" s="2">
        <f>IFERROR(__xludf.DUMMYFUNCTION("""COMPUTED_VALUE"""),4.0)</f>
        <v>4</v>
      </c>
      <c r="J1607" s="2">
        <f>IFERROR(__xludf.DUMMYFUNCTION("""COMPUTED_VALUE"""),217.56)</f>
        <v>217.56</v>
      </c>
      <c r="K1607" s="2">
        <f>IFERROR(__xludf.DUMMYFUNCTION("""COMPUTED_VALUE"""),217.56)</f>
        <v>217.56</v>
      </c>
    </row>
    <row r="1608">
      <c r="A1608" s="2">
        <f>IFERROR(__xludf.DUMMYFUNCTION("""COMPUTED_VALUE"""),1000.0)</f>
        <v>1000</v>
      </c>
      <c r="B1608" s="2">
        <f>IFERROR(__xludf.DUMMYFUNCTION("""COMPUTED_VALUE"""),184614.0)</f>
        <v>184614</v>
      </c>
      <c r="C1608" s="2">
        <f>IFERROR(__xludf.DUMMYFUNCTION("""COMPUTED_VALUE"""),2026.0)</f>
        <v>2026</v>
      </c>
      <c r="D1608" s="2">
        <f>IFERROR(__xludf.DUMMYFUNCTION("""COMPUTED_VALUE"""),46051.0)</f>
        <v>46051</v>
      </c>
      <c r="E1608" s="2" t="str">
        <f>IFERROR(__xludf.DUMMYFUNCTION("""COMPUTED_VALUE"""),"VF")</f>
        <v>VF</v>
      </c>
      <c r="F1608" s="2">
        <f>IFERROR(__xludf.DUMMYFUNCTION("""COMPUTED_VALUE"""),1.0)</f>
        <v>1</v>
      </c>
      <c r="G1608" s="2" t="str">
        <f>IFERROR(__xludf.DUMMYFUNCTION("""COMPUTED_VALUE"""),"PR047")</f>
        <v>PR047</v>
      </c>
      <c r="H1608" s="2" t="str">
        <f>IFERROR(__xludf.DUMMYFUNCTION("""COMPUTED_VALUE"""),"VD025")</f>
        <v>VD025</v>
      </c>
      <c r="I1608" s="2">
        <f>IFERROR(__xludf.DUMMYFUNCTION("""COMPUTED_VALUE"""),2.0)</f>
        <v>2</v>
      </c>
      <c r="J1608" s="2">
        <f>IFERROR(__xludf.DUMMYFUNCTION("""COMPUTED_VALUE"""),631.98)</f>
        <v>631.98</v>
      </c>
      <c r="K1608" s="2">
        <f>IFERROR(__xludf.DUMMYFUNCTION("""COMPUTED_VALUE"""),631.98)</f>
        <v>631.98</v>
      </c>
    </row>
    <row r="1609">
      <c r="A1609" s="2">
        <f>IFERROR(__xludf.DUMMYFUNCTION("""COMPUTED_VALUE"""),1000.0)</f>
        <v>1000</v>
      </c>
      <c r="B1609" s="2">
        <f>IFERROR(__xludf.DUMMYFUNCTION("""COMPUTED_VALUE"""),184615.0)</f>
        <v>184615</v>
      </c>
      <c r="C1609" s="2">
        <f>IFERROR(__xludf.DUMMYFUNCTION("""COMPUTED_VALUE"""),2026.0)</f>
        <v>2026</v>
      </c>
      <c r="D1609" s="2">
        <f>IFERROR(__xludf.DUMMYFUNCTION("""COMPUTED_VALUE"""),46051.0)</f>
        <v>46051</v>
      </c>
      <c r="E1609" s="2" t="str">
        <f>IFERROR(__xludf.DUMMYFUNCTION("""COMPUTED_VALUE"""),"VF")</f>
        <v>VF</v>
      </c>
      <c r="F1609" s="2">
        <f>IFERROR(__xludf.DUMMYFUNCTION("""COMPUTED_VALUE"""),1.0)</f>
        <v>1</v>
      </c>
      <c r="G1609" s="2" t="str">
        <f>IFERROR(__xludf.DUMMYFUNCTION("""COMPUTED_VALUE"""),"PR044")</f>
        <v>PR044</v>
      </c>
      <c r="H1609" s="2" t="str">
        <f>IFERROR(__xludf.DUMMYFUNCTION("""COMPUTED_VALUE"""),"VD026")</f>
        <v>VD026</v>
      </c>
      <c r="I1609" s="2">
        <f>IFERROR(__xludf.DUMMYFUNCTION("""COMPUTED_VALUE"""),7.0)</f>
        <v>7</v>
      </c>
      <c r="J1609" s="2">
        <f>IFERROR(__xludf.DUMMYFUNCTION("""COMPUTED_VALUE"""),522.73)</f>
        <v>522.73</v>
      </c>
      <c r="K1609" s="2">
        <f>IFERROR(__xludf.DUMMYFUNCTION("""COMPUTED_VALUE"""),522.73)</f>
        <v>522.73</v>
      </c>
    </row>
    <row r="1610">
      <c r="A1610" s="2">
        <f>IFERROR(__xludf.DUMMYFUNCTION("""COMPUTED_VALUE"""),1000.0)</f>
        <v>1000</v>
      </c>
      <c r="B1610" s="2">
        <f>IFERROR(__xludf.DUMMYFUNCTION("""COMPUTED_VALUE"""),184616.0)</f>
        <v>184616</v>
      </c>
      <c r="C1610" s="2">
        <f>IFERROR(__xludf.DUMMYFUNCTION("""COMPUTED_VALUE"""),2026.0)</f>
        <v>2026</v>
      </c>
      <c r="D1610" s="2">
        <f>IFERROR(__xludf.DUMMYFUNCTION("""COMPUTED_VALUE"""),46051.0)</f>
        <v>46051</v>
      </c>
      <c r="E1610" s="2" t="str">
        <f>IFERROR(__xludf.DUMMYFUNCTION("""COMPUTED_VALUE"""),"VF")</f>
        <v>VF</v>
      </c>
      <c r="F1610" s="2">
        <f>IFERROR(__xludf.DUMMYFUNCTION("""COMPUTED_VALUE"""),1.0)</f>
        <v>1</v>
      </c>
      <c r="G1610" s="2" t="str">
        <f>IFERROR(__xludf.DUMMYFUNCTION("""COMPUTED_VALUE"""),"PR050")</f>
        <v>PR050</v>
      </c>
      <c r="H1610" s="2" t="str">
        <f>IFERROR(__xludf.DUMMYFUNCTION("""COMPUTED_VALUE"""),"VD039")</f>
        <v>VD039</v>
      </c>
      <c r="I1610" s="2">
        <f>IFERROR(__xludf.DUMMYFUNCTION("""COMPUTED_VALUE"""),12.0)</f>
        <v>12</v>
      </c>
      <c r="J1610" s="2">
        <f>IFERROR(__xludf.DUMMYFUNCTION("""COMPUTED_VALUE"""),410.59)</f>
        <v>410.59</v>
      </c>
      <c r="K1610" s="2">
        <f>IFERROR(__xludf.DUMMYFUNCTION("""COMPUTED_VALUE"""),410.59)</f>
        <v>410.59</v>
      </c>
    </row>
    <row r="1611">
      <c r="A1611" s="2">
        <f>IFERROR(__xludf.DUMMYFUNCTION("""COMPUTED_VALUE"""),1000.0)</f>
        <v>1000</v>
      </c>
      <c r="B1611" s="2">
        <f>IFERROR(__xludf.DUMMYFUNCTION("""COMPUTED_VALUE"""),184616.0)</f>
        <v>184616</v>
      </c>
      <c r="C1611" s="2">
        <f>IFERROR(__xludf.DUMMYFUNCTION("""COMPUTED_VALUE"""),2026.0)</f>
        <v>2026</v>
      </c>
      <c r="D1611" s="2">
        <f>IFERROR(__xludf.DUMMYFUNCTION("""COMPUTED_VALUE"""),46051.0)</f>
        <v>46051</v>
      </c>
      <c r="E1611" s="2" t="str">
        <f>IFERROR(__xludf.DUMMYFUNCTION("""COMPUTED_VALUE"""),"VF")</f>
        <v>VF</v>
      </c>
      <c r="F1611" s="2">
        <f>IFERROR(__xludf.DUMMYFUNCTION("""COMPUTED_VALUE"""),2.0)</f>
        <v>2</v>
      </c>
      <c r="G1611" s="2" t="str">
        <f>IFERROR(__xludf.DUMMYFUNCTION("""COMPUTED_VALUE"""),"PR042")</f>
        <v>PR042</v>
      </c>
      <c r="H1611" s="2" t="str">
        <f>IFERROR(__xludf.DUMMYFUNCTION("""COMPUTED_VALUE"""),"VD040")</f>
        <v>VD040</v>
      </c>
      <c r="I1611" s="2">
        <f>IFERROR(__xludf.DUMMYFUNCTION("""COMPUTED_VALUE"""),8.0)</f>
        <v>8</v>
      </c>
      <c r="J1611" s="2">
        <f>IFERROR(__xludf.DUMMYFUNCTION("""COMPUTED_VALUE"""),447.98)</f>
        <v>447.98</v>
      </c>
      <c r="K1611" s="2">
        <f>IFERROR(__xludf.DUMMYFUNCTION("""COMPUTED_VALUE"""),447.98)</f>
        <v>447.98</v>
      </c>
    </row>
    <row r="1612">
      <c r="A1612" s="2">
        <f>IFERROR(__xludf.DUMMYFUNCTION("""COMPUTED_VALUE"""),2000.0)</f>
        <v>2000</v>
      </c>
      <c r="B1612" s="2">
        <f>IFERROR(__xludf.DUMMYFUNCTION("""COMPUTED_VALUE"""),184616.0)</f>
        <v>184616</v>
      </c>
      <c r="C1612" s="2">
        <f>IFERROR(__xludf.DUMMYFUNCTION("""COMPUTED_VALUE"""),2026.0)</f>
        <v>2026</v>
      </c>
      <c r="D1612" s="2">
        <f>IFERROR(__xludf.DUMMYFUNCTION("""COMPUTED_VALUE"""),46050.0)</f>
        <v>46050</v>
      </c>
      <c r="E1612" s="2" t="str">
        <f>IFERROR(__xludf.DUMMYFUNCTION("""COMPUTED_VALUE"""),"VF")</f>
        <v>VF</v>
      </c>
      <c r="F1612" s="2">
        <f>IFERROR(__xludf.DUMMYFUNCTION("""COMPUTED_VALUE"""),3.0)</f>
        <v>3</v>
      </c>
      <c r="G1612" s="2" t="str">
        <f>IFERROR(__xludf.DUMMYFUNCTION("""COMPUTED_VALUE"""),"PR003")</f>
        <v>PR003</v>
      </c>
      <c r="H1612" s="2" t="str">
        <f>IFERROR(__xludf.DUMMYFUNCTION("""COMPUTED_VALUE"""),"VD038")</f>
        <v>VD038</v>
      </c>
      <c r="I1612" s="2">
        <f>IFERROR(__xludf.DUMMYFUNCTION("""COMPUTED_VALUE"""),2.0)</f>
        <v>2</v>
      </c>
      <c r="J1612" s="2">
        <f>IFERROR(__xludf.DUMMYFUNCTION("""COMPUTED_VALUE"""),143.22)</f>
        <v>143.22</v>
      </c>
      <c r="K1612" s="2">
        <f>IFERROR(__xludf.DUMMYFUNCTION("""COMPUTED_VALUE"""),143.22)</f>
        <v>143.22</v>
      </c>
    </row>
    <row r="1613">
      <c r="A1613" s="2">
        <f>IFERROR(__xludf.DUMMYFUNCTION("""COMPUTED_VALUE"""),1000.0)</f>
        <v>1000</v>
      </c>
      <c r="B1613" s="2">
        <f>IFERROR(__xludf.DUMMYFUNCTION("""COMPUTED_VALUE"""),184617.0)</f>
        <v>184617</v>
      </c>
      <c r="C1613" s="2">
        <f>IFERROR(__xludf.DUMMYFUNCTION("""COMPUTED_VALUE"""),2026.0)</f>
        <v>2026</v>
      </c>
      <c r="D1613" s="2">
        <f>IFERROR(__xludf.DUMMYFUNCTION("""COMPUTED_VALUE"""),46050.0)</f>
        <v>46050</v>
      </c>
      <c r="E1613" s="2" t="str">
        <f>IFERROR(__xludf.DUMMYFUNCTION("""COMPUTED_VALUE"""),"VF")</f>
        <v>VF</v>
      </c>
      <c r="F1613" s="2">
        <f>IFERROR(__xludf.DUMMYFUNCTION("""COMPUTED_VALUE"""),1.0)</f>
        <v>1</v>
      </c>
      <c r="G1613" s="2" t="str">
        <f>IFERROR(__xludf.DUMMYFUNCTION("""COMPUTED_VALUE"""),"PR010")</f>
        <v>PR010</v>
      </c>
      <c r="H1613" s="2" t="str">
        <f>IFERROR(__xludf.DUMMYFUNCTION("""COMPUTED_VALUE"""),"VD025")</f>
        <v>VD025</v>
      </c>
      <c r="I1613" s="2">
        <f>IFERROR(__xludf.DUMMYFUNCTION("""COMPUTED_VALUE"""),6.0)</f>
        <v>6</v>
      </c>
      <c r="J1613" s="2">
        <f>IFERROR(__xludf.DUMMYFUNCTION("""COMPUTED_VALUE"""),274.79)</f>
        <v>274.79</v>
      </c>
      <c r="K1613" s="2">
        <f>IFERROR(__xludf.DUMMYFUNCTION("""COMPUTED_VALUE"""),274.79)</f>
        <v>274.79</v>
      </c>
    </row>
    <row r="1614">
      <c r="A1614" s="2">
        <f>IFERROR(__xludf.DUMMYFUNCTION("""COMPUTED_VALUE"""),1000.0)</f>
        <v>1000</v>
      </c>
      <c r="B1614" s="2">
        <f>IFERROR(__xludf.DUMMYFUNCTION("""COMPUTED_VALUE"""),184618.0)</f>
        <v>184618</v>
      </c>
      <c r="C1614" s="2">
        <f>IFERROR(__xludf.DUMMYFUNCTION("""COMPUTED_VALUE"""),2026.0)</f>
        <v>2026</v>
      </c>
      <c r="D1614" s="2">
        <f>IFERROR(__xludf.DUMMYFUNCTION("""COMPUTED_VALUE"""),46050.0)</f>
        <v>46050</v>
      </c>
      <c r="E1614" s="2" t="str">
        <f>IFERROR(__xludf.DUMMYFUNCTION("""COMPUTED_VALUE"""),"VF")</f>
        <v>VF</v>
      </c>
      <c r="F1614" s="2">
        <f>IFERROR(__xludf.DUMMYFUNCTION("""COMPUTED_VALUE"""),1.0)</f>
        <v>1</v>
      </c>
      <c r="G1614" s="2" t="str">
        <f>IFERROR(__xludf.DUMMYFUNCTION("""COMPUTED_VALUE"""),"PR043")</f>
        <v>PR043</v>
      </c>
      <c r="H1614" s="2" t="str">
        <f>IFERROR(__xludf.DUMMYFUNCTION("""COMPUTED_VALUE"""),"VD013")</f>
        <v>VD013</v>
      </c>
      <c r="I1614" s="2">
        <f>IFERROR(__xludf.DUMMYFUNCTION("""COMPUTED_VALUE"""),6.0)</f>
        <v>6</v>
      </c>
      <c r="J1614" s="2">
        <f>IFERROR(__xludf.DUMMYFUNCTION("""COMPUTED_VALUE"""),439.35)</f>
        <v>439.35</v>
      </c>
      <c r="K1614" s="2">
        <f>IFERROR(__xludf.DUMMYFUNCTION("""COMPUTED_VALUE"""),439.35)</f>
        <v>439.35</v>
      </c>
    </row>
    <row r="1615">
      <c r="A1615" s="2">
        <f>IFERROR(__xludf.DUMMYFUNCTION("""COMPUTED_VALUE"""),1000.0)</f>
        <v>1000</v>
      </c>
      <c r="B1615" s="2">
        <f>IFERROR(__xludf.DUMMYFUNCTION("""COMPUTED_VALUE"""),184619.0)</f>
        <v>184619</v>
      </c>
      <c r="C1615" s="2">
        <f>IFERROR(__xludf.DUMMYFUNCTION("""COMPUTED_VALUE"""),2026.0)</f>
        <v>2026</v>
      </c>
      <c r="D1615" s="2">
        <f>IFERROR(__xludf.DUMMYFUNCTION("""COMPUTED_VALUE"""),46049.0)</f>
        <v>46049</v>
      </c>
      <c r="E1615" s="2" t="str">
        <f>IFERROR(__xludf.DUMMYFUNCTION("""COMPUTED_VALUE"""),"VF")</f>
        <v>VF</v>
      </c>
      <c r="F1615" s="2">
        <f>IFERROR(__xludf.DUMMYFUNCTION("""COMPUTED_VALUE"""),1.0)</f>
        <v>1</v>
      </c>
      <c r="G1615" s="2" t="str">
        <f>IFERROR(__xludf.DUMMYFUNCTION("""COMPUTED_VALUE"""),"PR012")</f>
        <v>PR012</v>
      </c>
      <c r="H1615" s="2" t="str">
        <f>IFERROR(__xludf.DUMMYFUNCTION("""COMPUTED_VALUE"""),"VD035")</f>
        <v>VD035</v>
      </c>
      <c r="I1615" s="2">
        <f>IFERROR(__xludf.DUMMYFUNCTION("""COMPUTED_VALUE"""),6.0)</f>
        <v>6</v>
      </c>
      <c r="J1615" s="2">
        <f>IFERROR(__xludf.DUMMYFUNCTION("""COMPUTED_VALUE"""),293.4)</f>
        <v>293.4</v>
      </c>
      <c r="K1615" s="2">
        <f>IFERROR(__xludf.DUMMYFUNCTION("""COMPUTED_VALUE"""),293.4)</f>
        <v>293.4</v>
      </c>
    </row>
    <row r="1616">
      <c r="A1616" s="2">
        <f>IFERROR(__xludf.DUMMYFUNCTION("""COMPUTED_VALUE"""),1000.0)</f>
        <v>1000</v>
      </c>
      <c r="B1616" s="2">
        <f>IFERROR(__xludf.DUMMYFUNCTION("""COMPUTED_VALUE"""),184620.0)</f>
        <v>184620</v>
      </c>
      <c r="C1616" s="2">
        <f>IFERROR(__xludf.DUMMYFUNCTION("""COMPUTED_VALUE"""),2026.0)</f>
        <v>2026</v>
      </c>
      <c r="D1616" s="2">
        <f>IFERROR(__xludf.DUMMYFUNCTION("""COMPUTED_VALUE"""),46049.0)</f>
        <v>46049</v>
      </c>
      <c r="E1616" s="2" t="str">
        <f>IFERROR(__xludf.DUMMYFUNCTION("""COMPUTED_VALUE"""),"VF")</f>
        <v>VF</v>
      </c>
      <c r="F1616" s="2">
        <f>IFERROR(__xludf.DUMMYFUNCTION("""COMPUTED_VALUE"""),1.0)</f>
        <v>1</v>
      </c>
      <c r="G1616" s="2" t="str">
        <f>IFERROR(__xludf.DUMMYFUNCTION("""COMPUTED_VALUE"""),"PR007")</f>
        <v>PR007</v>
      </c>
      <c r="H1616" s="2" t="str">
        <f>IFERROR(__xludf.DUMMYFUNCTION("""COMPUTED_VALUE"""),"VD017")</f>
        <v>VD017</v>
      </c>
      <c r="I1616" s="2">
        <f>IFERROR(__xludf.DUMMYFUNCTION("""COMPUTED_VALUE"""),12.0)</f>
        <v>12</v>
      </c>
      <c r="J1616" s="2">
        <f>IFERROR(__xludf.DUMMYFUNCTION("""COMPUTED_VALUE"""),1123.57)</f>
        <v>1123.57</v>
      </c>
      <c r="K1616" s="2">
        <f>IFERROR(__xludf.DUMMYFUNCTION("""COMPUTED_VALUE"""),1123.57)</f>
        <v>1123.57</v>
      </c>
    </row>
    <row r="1617">
      <c r="A1617" s="2">
        <f>IFERROR(__xludf.DUMMYFUNCTION("""COMPUTED_VALUE"""),1000.0)</f>
        <v>1000</v>
      </c>
      <c r="B1617" s="2">
        <f>IFERROR(__xludf.DUMMYFUNCTION("""COMPUTED_VALUE"""),184621.0)</f>
        <v>184621</v>
      </c>
      <c r="C1617" s="2">
        <f>IFERROR(__xludf.DUMMYFUNCTION("""COMPUTED_VALUE"""),2026.0)</f>
        <v>2026</v>
      </c>
      <c r="D1617" s="2">
        <f>IFERROR(__xludf.DUMMYFUNCTION("""COMPUTED_VALUE"""),46049.0)</f>
        <v>46049</v>
      </c>
      <c r="E1617" s="2" t="str">
        <f>IFERROR(__xludf.DUMMYFUNCTION("""COMPUTED_VALUE"""),"VF")</f>
        <v>VF</v>
      </c>
      <c r="F1617" s="2">
        <f>IFERROR(__xludf.DUMMYFUNCTION("""COMPUTED_VALUE"""),1.0)</f>
        <v>1</v>
      </c>
      <c r="G1617" s="2" t="str">
        <f>IFERROR(__xludf.DUMMYFUNCTION("""COMPUTED_VALUE"""),"PR042")</f>
        <v>PR042</v>
      </c>
      <c r="H1617" s="2" t="str">
        <f>IFERROR(__xludf.DUMMYFUNCTION("""COMPUTED_VALUE"""),"VD021")</f>
        <v>VD021</v>
      </c>
      <c r="I1617" s="2">
        <f>IFERROR(__xludf.DUMMYFUNCTION("""COMPUTED_VALUE"""),14.0)</f>
        <v>14</v>
      </c>
      <c r="J1617" s="2">
        <f>IFERROR(__xludf.DUMMYFUNCTION("""COMPUTED_VALUE"""),791.66)</f>
        <v>791.66</v>
      </c>
      <c r="K1617" s="2">
        <f>IFERROR(__xludf.DUMMYFUNCTION("""COMPUTED_VALUE"""),791.66)</f>
        <v>791.66</v>
      </c>
    </row>
    <row r="1618">
      <c r="A1618" s="2">
        <f>IFERROR(__xludf.DUMMYFUNCTION("""COMPUTED_VALUE"""),1000.0)</f>
        <v>1000</v>
      </c>
      <c r="B1618" s="2">
        <f>IFERROR(__xludf.DUMMYFUNCTION("""COMPUTED_VALUE"""),184622.0)</f>
        <v>184622</v>
      </c>
      <c r="C1618" s="2">
        <f>IFERROR(__xludf.DUMMYFUNCTION("""COMPUTED_VALUE"""),2026.0)</f>
        <v>2026</v>
      </c>
      <c r="D1618" s="2">
        <f>IFERROR(__xludf.DUMMYFUNCTION("""COMPUTED_VALUE"""),46049.0)</f>
        <v>46049</v>
      </c>
      <c r="E1618" s="2" t="str">
        <f>IFERROR(__xludf.DUMMYFUNCTION("""COMPUTED_VALUE"""),"VF")</f>
        <v>VF</v>
      </c>
      <c r="F1618" s="2">
        <f>IFERROR(__xludf.DUMMYFUNCTION("""COMPUTED_VALUE"""),1.0)</f>
        <v>1</v>
      </c>
      <c r="G1618" s="2" t="str">
        <f>IFERROR(__xludf.DUMMYFUNCTION("""COMPUTED_VALUE"""),"PR035")</f>
        <v>PR035</v>
      </c>
      <c r="H1618" s="2" t="str">
        <f>IFERROR(__xludf.DUMMYFUNCTION("""COMPUTED_VALUE"""),"VD033")</f>
        <v>VD033</v>
      </c>
      <c r="I1618" s="2">
        <f>IFERROR(__xludf.DUMMYFUNCTION("""COMPUTED_VALUE"""),4.0)</f>
        <v>4</v>
      </c>
      <c r="J1618" s="2">
        <f>IFERROR(__xludf.DUMMYFUNCTION("""COMPUTED_VALUE"""),391.19)</f>
        <v>391.19</v>
      </c>
      <c r="K1618" s="2">
        <f>IFERROR(__xludf.DUMMYFUNCTION("""COMPUTED_VALUE"""),391.19)</f>
        <v>391.19</v>
      </c>
    </row>
    <row r="1619">
      <c r="A1619" s="2">
        <f>IFERROR(__xludf.DUMMYFUNCTION("""COMPUTED_VALUE"""),1000.0)</f>
        <v>1000</v>
      </c>
      <c r="B1619" s="2">
        <f>IFERROR(__xludf.DUMMYFUNCTION("""COMPUTED_VALUE"""),184622.0)</f>
        <v>184622</v>
      </c>
      <c r="C1619" s="2">
        <f>IFERROR(__xludf.DUMMYFUNCTION("""COMPUTED_VALUE"""),2026.0)</f>
        <v>2026</v>
      </c>
      <c r="D1619" s="2">
        <f>IFERROR(__xludf.DUMMYFUNCTION("""COMPUTED_VALUE"""),46049.0)</f>
        <v>46049</v>
      </c>
      <c r="E1619" s="2" t="str">
        <f>IFERROR(__xludf.DUMMYFUNCTION("""COMPUTED_VALUE"""),"VF")</f>
        <v>VF</v>
      </c>
      <c r="F1619" s="2">
        <f>IFERROR(__xludf.DUMMYFUNCTION("""COMPUTED_VALUE"""),2.0)</f>
        <v>2</v>
      </c>
      <c r="G1619" s="2" t="str">
        <f>IFERROR(__xludf.DUMMYFUNCTION("""COMPUTED_VALUE"""),"PR040")</f>
        <v>PR040</v>
      </c>
      <c r="H1619" s="2" t="str">
        <f>IFERROR(__xludf.DUMMYFUNCTION("""COMPUTED_VALUE"""),"VD027")</f>
        <v>VD027</v>
      </c>
      <c r="I1619" s="2">
        <f>IFERROR(__xludf.DUMMYFUNCTION("""COMPUTED_VALUE"""),16.0)</f>
        <v>16</v>
      </c>
      <c r="J1619" s="2">
        <f>IFERROR(__xludf.DUMMYFUNCTION("""COMPUTED_VALUE"""),1176.0)</f>
        <v>1176</v>
      </c>
      <c r="K1619" s="2">
        <f>IFERROR(__xludf.DUMMYFUNCTION("""COMPUTED_VALUE"""),1176.0)</f>
        <v>1176</v>
      </c>
    </row>
    <row r="1620">
      <c r="A1620" s="2">
        <f>IFERROR(__xludf.DUMMYFUNCTION("""COMPUTED_VALUE"""),1000.0)</f>
        <v>1000</v>
      </c>
      <c r="B1620" s="2">
        <f>IFERROR(__xludf.DUMMYFUNCTION("""COMPUTED_VALUE"""),184623.0)</f>
        <v>184623</v>
      </c>
      <c r="C1620" s="2">
        <f>IFERROR(__xludf.DUMMYFUNCTION("""COMPUTED_VALUE"""),2026.0)</f>
        <v>2026</v>
      </c>
      <c r="D1620" s="2">
        <f>IFERROR(__xludf.DUMMYFUNCTION("""COMPUTED_VALUE"""),46049.0)</f>
        <v>46049</v>
      </c>
      <c r="E1620" s="2" t="str">
        <f>IFERROR(__xludf.DUMMYFUNCTION("""COMPUTED_VALUE"""),"VF")</f>
        <v>VF</v>
      </c>
      <c r="F1620" s="2">
        <f>IFERROR(__xludf.DUMMYFUNCTION("""COMPUTED_VALUE"""),1.0)</f>
        <v>1</v>
      </c>
      <c r="G1620" s="2" t="str">
        <f>IFERROR(__xludf.DUMMYFUNCTION("""COMPUTED_VALUE"""),"PR027")</f>
        <v>PR027</v>
      </c>
      <c r="H1620" s="2" t="str">
        <f>IFERROR(__xludf.DUMMYFUNCTION("""COMPUTED_VALUE"""),"VD022")</f>
        <v>VD022</v>
      </c>
      <c r="I1620" s="2">
        <f>IFERROR(__xludf.DUMMYFUNCTION("""COMPUTED_VALUE"""),6.0)</f>
        <v>6</v>
      </c>
      <c r="J1620" s="2">
        <f>IFERROR(__xludf.DUMMYFUNCTION("""COMPUTED_VALUE"""),763.2)</f>
        <v>763.2</v>
      </c>
      <c r="K1620" s="2">
        <f>IFERROR(__xludf.DUMMYFUNCTION("""COMPUTED_VALUE"""),763.2)</f>
        <v>763.2</v>
      </c>
    </row>
    <row r="1621">
      <c r="A1621" s="2">
        <f>IFERROR(__xludf.DUMMYFUNCTION("""COMPUTED_VALUE"""),1000.0)</f>
        <v>1000</v>
      </c>
      <c r="B1621" s="2">
        <f>IFERROR(__xludf.DUMMYFUNCTION("""COMPUTED_VALUE"""),184624.0)</f>
        <v>184624</v>
      </c>
      <c r="C1621" s="2">
        <f>IFERROR(__xludf.DUMMYFUNCTION("""COMPUTED_VALUE"""),2026.0)</f>
        <v>2026</v>
      </c>
      <c r="D1621" s="2">
        <f>IFERROR(__xludf.DUMMYFUNCTION("""COMPUTED_VALUE"""),46049.0)</f>
        <v>46049</v>
      </c>
      <c r="E1621" s="2" t="str">
        <f>IFERROR(__xludf.DUMMYFUNCTION("""COMPUTED_VALUE"""),"VF")</f>
        <v>VF</v>
      </c>
      <c r="F1621" s="2">
        <f>IFERROR(__xludf.DUMMYFUNCTION("""COMPUTED_VALUE"""),1.0)</f>
        <v>1</v>
      </c>
      <c r="G1621" s="2" t="str">
        <f>IFERROR(__xludf.DUMMYFUNCTION("""COMPUTED_VALUE"""),"PR006")</f>
        <v>PR006</v>
      </c>
      <c r="H1621" s="2" t="str">
        <f>IFERROR(__xludf.DUMMYFUNCTION("""COMPUTED_VALUE"""),"VD020")</f>
        <v>VD020</v>
      </c>
      <c r="I1621" s="2">
        <f>IFERROR(__xludf.DUMMYFUNCTION("""COMPUTED_VALUE"""),7.0)</f>
        <v>7</v>
      </c>
      <c r="J1621" s="2">
        <f>IFERROR(__xludf.DUMMYFUNCTION("""COMPUTED_VALUE"""),279.3)</f>
        <v>279.3</v>
      </c>
      <c r="K1621" s="2">
        <f>IFERROR(__xludf.DUMMYFUNCTION("""COMPUTED_VALUE"""),279.3)</f>
        <v>279.3</v>
      </c>
    </row>
    <row r="1622">
      <c r="A1622" s="2">
        <f>IFERROR(__xludf.DUMMYFUNCTION("""COMPUTED_VALUE"""),1000.0)</f>
        <v>1000</v>
      </c>
      <c r="B1622" s="2">
        <f>IFERROR(__xludf.DUMMYFUNCTION("""COMPUTED_VALUE"""),184625.0)</f>
        <v>184625</v>
      </c>
      <c r="C1622" s="2">
        <f>IFERROR(__xludf.DUMMYFUNCTION("""COMPUTED_VALUE"""),2026.0)</f>
        <v>2026</v>
      </c>
      <c r="D1622" s="2">
        <f>IFERROR(__xludf.DUMMYFUNCTION("""COMPUTED_VALUE"""),46048.0)</f>
        <v>46048</v>
      </c>
      <c r="E1622" s="2" t="str">
        <f>IFERROR(__xludf.DUMMYFUNCTION("""COMPUTED_VALUE"""),"VF")</f>
        <v>VF</v>
      </c>
      <c r="F1622" s="2">
        <f>IFERROR(__xludf.DUMMYFUNCTION("""COMPUTED_VALUE"""),1.0)</f>
        <v>1</v>
      </c>
      <c r="G1622" s="2" t="str">
        <f>IFERROR(__xludf.DUMMYFUNCTION("""COMPUTED_VALUE"""),"PR005")</f>
        <v>PR005</v>
      </c>
      <c r="H1622" s="2" t="str">
        <f>IFERROR(__xludf.DUMMYFUNCTION("""COMPUTED_VALUE"""),"VD018")</f>
        <v>VD018</v>
      </c>
      <c r="I1622" s="2">
        <f>IFERROR(__xludf.DUMMYFUNCTION("""COMPUTED_VALUE"""),18.0)</f>
        <v>18</v>
      </c>
      <c r="J1622" s="2">
        <f>IFERROR(__xludf.DUMMYFUNCTION("""COMPUTED_VALUE"""),4958.89)</f>
        <v>4958.89</v>
      </c>
      <c r="K1622" s="2">
        <f>IFERROR(__xludf.DUMMYFUNCTION("""COMPUTED_VALUE"""),4958.89)</f>
        <v>4958.89</v>
      </c>
    </row>
    <row r="1623">
      <c r="A1623" s="2">
        <f>IFERROR(__xludf.DUMMYFUNCTION("""COMPUTED_VALUE"""),1000.0)</f>
        <v>1000</v>
      </c>
      <c r="B1623" s="2">
        <f>IFERROR(__xludf.DUMMYFUNCTION("""COMPUTED_VALUE"""),184625.0)</f>
        <v>184625</v>
      </c>
      <c r="C1623" s="2">
        <f>IFERROR(__xludf.DUMMYFUNCTION("""COMPUTED_VALUE"""),2026.0)</f>
        <v>2026</v>
      </c>
      <c r="D1623" s="2">
        <f>IFERROR(__xludf.DUMMYFUNCTION("""COMPUTED_VALUE"""),46048.0)</f>
        <v>46048</v>
      </c>
      <c r="E1623" s="2" t="str">
        <f>IFERROR(__xludf.DUMMYFUNCTION("""COMPUTED_VALUE"""),"VF")</f>
        <v>VF</v>
      </c>
      <c r="F1623" s="2">
        <f>IFERROR(__xludf.DUMMYFUNCTION("""COMPUTED_VALUE"""),2.0)</f>
        <v>2</v>
      </c>
      <c r="G1623" s="2" t="str">
        <f>IFERROR(__xludf.DUMMYFUNCTION("""COMPUTED_VALUE"""),"PR046")</f>
        <v>PR046</v>
      </c>
      <c r="H1623" s="2" t="str">
        <f>IFERROR(__xludf.DUMMYFUNCTION("""COMPUTED_VALUE"""),"VD034")</f>
        <v>VD034</v>
      </c>
      <c r="I1623" s="2">
        <f>IFERROR(__xludf.DUMMYFUNCTION("""COMPUTED_VALUE"""),20.0)</f>
        <v>20</v>
      </c>
      <c r="J1623" s="2">
        <f>IFERROR(__xludf.DUMMYFUNCTION("""COMPUTED_VALUE"""),6261.84)</f>
        <v>6261.84</v>
      </c>
      <c r="K1623" s="2">
        <f>IFERROR(__xludf.DUMMYFUNCTION("""COMPUTED_VALUE"""),6261.84)</f>
        <v>6261.84</v>
      </c>
    </row>
    <row r="1624">
      <c r="A1624" s="2">
        <f>IFERROR(__xludf.DUMMYFUNCTION("""COMPUTED_VALUE"""),1000.0)</f>
        <v>1000</v>
      </c>
      <c r="B1624" s="2">
        <f>IFERROR(__xludf.DUMMYFUNCTION("""COMPUTED_VALUE"""),184626.0)</f>
        <v>184626</v>
      </c>
      <c r="C1624" s="2">
        <f>IFERROR(__xludf.DUMMYFUNCTION("""COMPUTED_VALUE"""),2026.0)</f>
        <v>2026</v>
      </c>
      <c r="D1624" s="2">
        <f>IFERROR(__xludf.DUMMYFUNCTION("""COMPUTED_VALUE"""),46048.0)</f>
        <v>46048</v>
      </c>
      <c r="E1624" s="2" t="str">
        <f>IFERROR(__xludf.DUMMYFUNCTION("""COMPUTED_VALUE"""),"VF")</f>
        <v>VF</v>
      </c>
      <c r="F1624" s="2">
        <f>IFERROR(__xludf.DUMMYFUNCTION("""COMPUTED_VALUE"""),1.0)</f>
        <v>1</v>
      </c>
      <c r="G1624" s="2" t="str">
        <f>IFERROR(__xludf.DUMMYFUNCTION("""COMPUTED_VALUE"""),"PR001")</f>
        <v>PR001</v>
      </c>
      <c r="H1624" s="2" t="str">
        <f>IFERROR(__xludf.DUMMYFUNCTION("""COMPUTED_VALUE"""),"VD041")</f>
        <v>VD041</v>
      </c>
      <c r="I1624" s="2">
        <f>IFERROR(__xludf.DUMMYFUNCTION("""COMPUTED_VALUE"""),10.0)</f>
        <v>10</v>
      </c>
      <c r="J1624" s="2">
        <f>IFERROR(__xludf.DUMMYFUNCTION("""COMPUTED_VALUE"""),705.13)</f>
        <v>705.13</v>
      </c>
      <c r="K1624" s="2">
        <f>IFERROR(__xludf.DUMMYFUNCTION("""COMPUTED_VALUE"""),705.13)</f>
        <v>705.13</v>
      </c>
    </row>
    <row r="1625">
      <c r="A1625" s="2">
        <f>IFERROR(__xludf.DUMMYFUNCTION("""COMPUTED_VALUE"""),1000.0)</f>
        <v>1000</v>
      </c>
      <c r="B1625" s="2">
        <f>IFERROR(__xludf.DUMMYFUNCTION("""COMPUTED_VALUE"""),184626.0)</f>
        <v>184626</v>
      </c>
      <c r="C1625" s="2">
        <f>IFERROR(__xludf.DUMMYFUNCTION("""COMPUTED_VALUE"""),2026.0)</f>
        <v>2026</v>
      </c>
      <c r="D1625" s="2">
        <f>IFERROR(__xludf.DUMMYFUNCTION("""COMPUTED_VALUE"""),46048.0)</f>
        <v>46048</v>
      </c>
      <c r="E1625" s="2" t="str">
        <f>IFERROR(__xludf.DUMMYFUNCTION("""COMPUTED_VALUE"""),"VF")</f>
        <v>VF</v>
      </c>
      <c r="F1625" s="2">
        <f>IFERROR(__xludf.DUMMYFUNCTION("""COMPUTED_VALUE"""),2.0)</f>
        <v>2</v>
      </c>
      <c r="G1625" s="2" t="str">
        <f>IFERROR(__xludf.DUMMYFUNCTION("""COMPUTED_VALUE"""),"PR037")</f>
        <v>PR037</v>
      </c>
      <c r="H1625" s="2" t="str">
        <f>IFERROR(__xludf.DUMMYFUNCTION("""COMPUTED_VALUE"""),"VD028")</f>
        <v>VD028</v>
      </c>
      <c r="I1625" s="2">
        <f>IFERROR(__xludf.DUMMYFUNCTION("""COMPUTED_VALUE"""),12.0)</f>
        <v>12</v>
      </c>
      <c r="J1625" s="2">
        <f>IFERROR(__xludf.DUMMYFUNCTION("""COMPUTED_VALUE"""),1680.0)</f>
        <v>1680</v>
      </c>
      <c r="K1625" s="2">
        <f>IFERROR(__xludf.DUMMYFUNCTION("""COMPUTED_VALUE"""),1680.0)</f>
        <v>1680</v>
      </c>
    </row>
    <row r="1626">
      <c r="A1626" s="2">
        <f>IFERROR(__xludf.DUMMYFUNCTION("""COMPUTED_VALUE"""),1000.0)</f>
        <v>1000</v>
      </c>
      <c r="B1626" s="2">
        <f>IFERROR(__xludf.DUMMYFUNCTION("""COMPUTED_VALUE"""),184627.0)</f>
        <v>184627</v>
      </c>
      <c r="C1626" s="2">
        <f>IFERROR(__xludf.DUMMYFUNCTION("""COMPUTED_VALUE"""),2026.0)</f>
        <v>2026</v>
      </c>
      <c r="D1626" s="2">
        <f>IFERROR(__xludf.DUMMYFUNCTION("""COMPUTED_VALUE"""),46048.0)</f>
        <v>46048</v>
      </c>
      <c r="E1626" s="2" t="str">
        <f>IFERROR(__xludf.DUMMYFUNCTION("""COMPUTED_VALUE"""),"VF")</f>
        <v>VF</v>
      </c>
      <c r="F1626" s="2">
        <f>IFERROR(__xludf.DUMMYFUNCTION("""COMPUTED_VALUE"""),1.0)</f>
        <v>1</v>
      </c>
      <c r="G1626" s="2" t="str">
        <f>IFERROR(__xludf.DUMMYFUNCTION("""COMPUTED_VALUE"""),"PR036")</f>
        <v>PR036</v>
      </c>
      <c r="H1626" s="2" t="str">
        <f>IFERROR(__xludf.DUMMYFUNCTION("""COMPUTED_VALUE"""),"VD038")</f>
        <v>VD038</v>
      </c>
      <c r="I1626" s="2">
        <f>IFERROR(__xludf.DUMMYFUNCTION("""COMPUTED_VALUE"""),4.0)</f>
        <v>4</v>
      </c>
      <c r="J1626" s="2">
        <f>IFERROR(__xludf.DUMMYFUNCTION("""COMPUTED_VALUE"""),388.96)</f>
        <v>388.96</v>
      </c>
      <c r="K1626" s="2">
        <f>IFERROR(__xludf.DUMMYFUNCTION("""COMPUTED_VALUE"""),388.96)</f>
        <v>388.96</v>
      </c>
    </row>
    <row r="1627">
      <c r="A1627" s="2">
        <f>IFERROR(__xludf.DUMMYFUNCTION("""COMPUTED_VALUE"""),1000.0)</f>
        <v>1000</v>
      </c>
      <c r="B1627" s="2">
        <f>IFERROR(__xludf.DUMMYFUNCTION("""COMPUTED_VALUE"""),184628.0)</f>
        <v>184628</v>
      </c>
      <c r="C1627" s="2">
        <f>IFERROR(__xludf.DUMMYFUNCTION("""COMPUTED_VALUE"""),2026.0)</f>
        <v>2026</v>
      </c>
      <c r="D1627" s="2">
        <f>IFERROR(__xludf.DUMMYFUNCTION("""COMPUTED_VALUE"""),46048.0)</f>
        <v>46048</v>
      </c>
      <c r="E1627" s="2" t="str">
        <f>IFERROR(__xludf.DUMMYFUNCTION("""COMPUTED_VALUE"""),"VF")</f>
        <v>VF</v>
      </c>
      <c r="F1627" s="2">
        <f>IFERROR(__xludf.DUMMYFUNCTION("""COMPUTED_VALUE"""),1.0)</f>
        <v>1</v>
      </c>
      <c r="G1627" s="2" t="str">
        <f>IFERROR(__xludf.DUMMYFUNCTION("""COMPUTED_VALUE"""),"PR035")</f>
        <v>PR035</v>
      </c>
      <c r="H1627" s="2" t="str">
        <f>IFERROR(__xludf.DUMMYFUNCTION("""COMPUTED_VALUE"""),"VD018")</f>
        <v>VD018</v>
      </c>
      <c r="I1627" s="2">
        <f>IFERROR(__xludf.DUMMYFUNCTION("""COMPUTED_VALUE"""),6.0)</f>
        <v>6</v>
      </c>
      <c r="J1627" s="2">
        <f>IFERROR(__xludf.DUMMYFUNCTION("""COMPUTED_VALUE"""),548.4)</f>
        <v>548.4</v>
      </c>
      <c r="K1627" s="2">
        <f>IFERROR(__xludf.DUMMYFUNCTION("""COMPUTED_VALUE"""),548.4)</f>
        <v>548.4</v>
      </c>
    </row>
    <row r="1628">
      <c r="A1628" s="2">
        <f>IFERROR(__xludf.DUMMYFUNCTION("""COMPUTED_VALUE"""),1000.0)</f>
        <v>1000</v>
      </c>
      <c r="B1628" s="2">
        <f>IFERROR(__xludf.DUMMYFUNCTION("""COMPUTED_VALUE"""),184629.0)</f>
        <v>184629</v>
      </c>
      <c r="C1628" s="2">
        <f>IFERROR(__xludf.DUMMYFUNCTION("""COMPUTED_VALUE"""),2026.0)</f>
        <v>2026</v>
      </c>
      <c r="D1628" s="2">
        <f>IFERROR(__xludf.DUMMYFUNCTION("""COMPUTED_VALUE"""),46047.0)</f>
        <v>46047</v>
      </c>
      <c r="E1628" s="2" t="str">
        <f>IFERROR(__xludf.DUMMYFUNCTION("""COMPUTED_VALUE"""),"VF")</f>
        <v>VF</v>
      </c>
      <c r="F1628" s="2">
        <f>IFERROR(__xludf.DUMMYFUNCTION("""COMPUTED_VALUE"""),1.0)</f>
        <v>1</v>
      </c>
      <c r="G1628" s="2" t="str">
        <f>IFERROR(__xludf.DUMMYFUNCTION("""COMPUTED_VALUE"""),"PR057")</f>
        <v>PR057</v>
      </c>
      <c r="H1628" s="2" t="str">
        <f>IFERROR(__xludf.DUMMYFUNCTION("""COMPUTED_VALUE"""),"VD014")</f>
        <v>VD014</v>
      </c>
      <c r="I1628" s="2">
        <f>IFERROR(__xludf.DUMMYFUNCTION("""COMPUTED_VALUE"""),3.0)</f>
        <v>3</v>
      </c>
      <c r="J1628" s="2">
        <f>IFERROR(__xludf.DUMMYFUNCTION("""COMPUTED_VALUE"""),285.88)</f>
        <v>285.88</v>
      </c>
      <c r="K1628" s="2">
        <f>IFERROR(__xludf.DUMMYFUNCTION("""COMPUTED_VALUE"""),285.88)</f>
        <v>285.88</v>
      </c>
    </row>
    <row r="1629">
      <c r="A1629" s="2">
        <f>IFERROR(__xludf.DUMMYFUNCTION("""COMPUTED_VALUE"""),2000.0)</f>
        <v>2000</v>
      </c>
      <c r="B1629" s="2">
        <f>IFERROR(__xludf.DUMMYFUNCTION("""COMPUTED_VALUE"""),184630.0)</f>
        <v>184630</v>
      </c>
      <c r="C1629" s="2">
        <f>IFERROR(__xludf.DUMMYFUNCTION("""COMPUTED_VALUE"""),2026.0)</f>
        <v>2026</v>
      </c>
      <c r="D1629" s="2">
        <f>IFERROR(__xludf.DUMMYFUNCTION("""COMPUTED_VALUE"""),46047.0)</f>
        <v>46047</v>
      </c>
      <c r="E1629" s="2" t="str">
        <f>IFERROR(__xludf.DUMMYFUNCTION("""COMPUTED_VALUE"""),"VF")</f>
        <v>VF</v>
      </c>
      <c r="F1629" s="2">
        <f>IFERROR(__xludf.DUMMYFUNCTION("""COMPUTED_VALUE"""),1.0)</f>
        <v>1</v>
      </c>
      <c r="G1629" s="2" t="str">
        <f>IFERROR(__xludf.DUMMYFUNCTION("""COMPUTED_VALUE"""),"PR033")</f>
        <v>PR033</v>
      </c>
      <c r="H1629" s="2" t="str">
        <f>IFERROR(__xludf.DUMMYFUNCTION("""COMPUTED_VALUE"""),"VD043")</f>
        <v>VD043</v>
      </c>
      <c r="I1629" s="2">
        <f>IFERROR(__xludf.DUMMYFUNCTION("""COMPUTED_VALUE"""),20.0)</f>
        <v>20</v>
      </c>
      <c r="J1629" s="2">
        <f>IFERROR(__xludf.DUMMYFUNCTION("""COMPUTED_VALUE"""),5717.8)</f>
        <v>5717.8</v>
      </c>
      <c r="K1629" s="2">
        <f>IFERROR(__xludf.DUMMYFUNCTION("""COMPUTED_VALUE"""),5717.8)</f>
        <v>5717.8</v>
      </c>
    </row>
    <row r="1630">
      <c r="A1630" s="2">
        <f>IFERROR(__xludf.DUMMYFUNCTION("""COMPUTED_VALUE"""),1000.0)</f>
        <v>1000</v>
      </c>
      <c r="B1630" s="2">
        <f>IFERROR(__xludf.DUMMYFUNCTION("""COMPUTED_VALUE"""),184631.0)</f>
        <v>184631</v>
      </c>
      <c r="C1630" s="2">
        <f>IFERROR(__xludf.DUMMYFUNCTION("""COMPUTED_VALUE"""),2026.0)</f>
        <v>2026</v>
      </c>
      <c r="D1630" s="2">
        <f>IFERROR(__xludf.DUMMYFUNCTION("""COMPUTED_VALUE"""),46047.0)</f>
        <v>46047</v>
      </c>
      <c r="E1630" s="2" t="str">
        <f>IFERROR(__xludf.DUMMYFUNCTION("""COMPUTED_VALUE"""),"VF")</f>
        <v>VF</v>
      </c>
      <c r="F1630" s="2">
        <f>IFERROR(__xludf.DUMMYFUNCTION("""COMPUTED_VALUE"""),1.0)</f>
        <v>1</v>
      </c>
      <c r="G1630" s="2" t="str">
        <f>IFERROR(__xludf.DUMMYFUNCTION("""COMPUTED_VALUE"""),"PR041")</f>
        <v>PR041</v>
      </c>
      <c r="H1630" s="2" t="str">
        <f>IFERROR(__xludf.DUMMYFUNCTION("""COMPUTED_VALUE"""),"VD022")</f>
        <v>VD022</v>
      </c>
      <c r="I1630" s="2">
        <f>IFERROR(__xludf.DUMMYFUNCTION("""COMPUTED_VALUE"""),6.0)</f>
        <v>6</v>
      </c>
      <c r="J1630" s="2">
        <f>IFERROR(__xludf.DUMMYFUNCTION("""COMPUTED_VALUE"""),345.87)</f>
        <v>345.87</v>
      </c>
      <c r="K1630" s="2">
        <f>IFERROR(__xludf.DUMMYFUNCTION("""COMPUTED_VALUE"""),345.87)</f>
        <v>345.87</v>
      </c>
    </row>
    <row r="1631">
      <c r="A1631" s="2">
        <f>IFERROR(__xludf.DUMMYFUNCTION("""COMPUTED_VALUE"""),1000.0)</f>
        <v>1000</v>
      </c>
      <c r="B1631" s="2">
        <f>IFERROR(__xludf.DUMMYFUNCTION("""COMPUTED_VALUE"""),184632.0)</f>
        <v>184632</v>
      </c>
      <c r="C1631" s="2">
        <f>IFERROR(__xludf.DUMMYFUNCTION("""COMPUTED_VALUE"""),2026.0)</f>
        <v>2026</v>
      </c>
      <c r="D1631" s="2">
        <f>IFERROR(__xludf.DUMMYFUNCTION("""COMPUTED_VALUE"""),46046.0)</f>
        <v>46046</v>
      </c>
      <c r="E1631" s="2" t="str">
        <f>IFERROR(__xludf.DUMMYFUNCTION("""COMPUTED_VALUE"""),"VF")</f>
        <v>VF</v>
      </c>
      <c r="F1631" s="2">
        <f>IFERROR(__xludf.DUMMYFUNCTION("""COMPUTED_VALUE"""),1.0)</f>
        <v>1</v>
      </c>
      <c r="G1631" s="2" t="str">
        <f>IFERROR(__xludf.DUMMYFUNCTION("""COMPUTED_VALUE"""),"PR010")</f>
        <v>PR010</v>
      </c>
      <c r="H1631" s="2" t="str">
        <f>IFERROR(__xludf.DUMMYFUNCTION("""COMPUTED_VALUE"""),"VD030")</f>
        <v>VD030</v>
      </c>
      <c r="I1631" s="2">
        <f>IFERROR(__xludf.DUMMYFUNCTION("""COMPUTED_VALUE"""),4.0)</f>
        <v>4</v>
      </c>
      <c r="J1631" s="2">
        <f>IFERROR(__xludf.DUMMYFUNCTION("""COMPUTED_VALUE"""),183.19)</f>
        <v>183.19</v>
      </c>
      <c r="K1631" s="2">
        <f>IFERROR(__xludf.DUMMYFUNCTION("""COMPUTED_VALUE"""),183.19)</f>
        <v>183.19</v>
      </c>
    </row>
    <row r="1632">
      <c r="A1632" s="2">
        <f>IFERROR(__xludf.DUMMYFUNCTION("""COMPUTED_VALUE"""),1000.0)</f>
        <v>1000</v>
      </c>
      <c r="B1632" s="2">
        <f>IFERROR(__xludf.DUMMYFUNCTION("""COMPUTED_VALUE"""),184633.0)</f>
        <v>184633</v>
      </c>
      <c r="C1632" s="2">
        <f>IFERROR(__xludf.DUMMYFUNCTION("""COMPUTED_VALUE"""),2026.0)</f>
        <v>2026</v>
      </c>
      <c r="D1632" s="2">
        <f>IFERROR(__xludf.DUMMYFUNCTION("""COMPUTED_VALUE"""),46046.0)</f>
        <v>46046</v>
      </c>
      <c r="E1632" s="2" t="str">
        <f>IFERROR(__xludf.DUMMYFUNCTION("""COMPUTED_VALUE"""),"VF")</f>
        <v>VF</v>
      </c>
      <c r="F1632" s="2">
        <f>IFERROR(__xludf.DUMMYFUNCTION("""COMPUTED_VALUE"""),1.0)</f>
        <v>1</v>
      </c>
      <c r="G1632" s="2" t="str">
        <f>IFERROR(__xludf.DUMMYFUNCTION("""COMPUTED_VALUE"""),"PR026")</f>
        <v>PR026</v>
      </c>
      <c r="H1632" s="2" t="str">
        <f>IFERROR(__xludf.DUMMYFUNCTION("""COMPUTED_VALUE"""),"VD010")</f>
        <v>VD010</v>
      </c>
      <c r="I1632" s="2">
        <f>IFERROR(__xludf.DUMMYFUNCTION("""COMPUTED_VALUE"""),16.0)</f>
        <v>16</v>
      </c>
      <c r="J1632" s="2">
        <f>IFERROR(__xludf.DUMMYFUNCTION("""COMPUTED_VALUE"""),6102.26)</f>
        <v>6102.26</v>
      </c>
      <c r="K1632" s="2">
        <f>IFERROR(__xludf.DUMMYFUNCTION("""COMPUTED_VALUE"""),6102.26)</f>
        <v>6102.26</v>
      </c>
    </row>
    <row r="1633">
      <c r="A1633" s="2">
        <f>IFERROR(__xludf.DUMMYFUNCTION("""COMPUTED_VALUE"""),1000.0)</f>
        <v>1000</v>
      </c>
      <c r="B1633" s="2">
        <f>IFERROR(__xludf.DUMMYFUNCTION("""COMPUTED_VALUE"""),184634.0)</f>
        <v>184634</v>
      </c>
      <c r="C1633" s="2">
        <f>IFERROR(__xludf.DUMMYFUNCTION("""COMPUTED_VALUE"""),2026.0)</f>
        <v>2026</v>
      </c>
      <c r="D1633" s="2">
        <f>IFERROR(__xludf.DUMMYFUNCTION("""COMPUTED_VALUE"""),46045.0)</f>
        <v>46045</v>
      </c>
      <c r="E1633" s="2" t="str">
        <f>IFERROR(__xludf.DUMMYFUNCTION("""COMPUTED_VALUE"""),"VF")</f>
        <v>VF</v>
      </c>
      <c r="F1633" s="2">
        <f>IFERROR(__xludf.DUMMYFUNCTION("""COMPUTED_VALUE"""),1.0)</f>
        <v>1</v>
      </c>
      <c r="G1633" s="2" t="str">
        <f>IFERROR(__xludf.DUMMYFUNCTION("""COMPUTED_VALUE"""),"PR052")</f>
        <v>PR052</v>
      </c>
      <c r="H1633" s="2" t="str">
        <f>IFERROR(__xludf.DUMMYFUNCTION("""COMPUTED_VALUE"""),"VD043")</f>
        <v>VD043</v>
      </c>
      <c r="I1633" s="2">
        <f>IFERROR(__xludf.DUMMYFUNCTION("""COMPUTED_VALUE"""),1.0)</f>
        <v>1</v>
      </c>
      <c r="J1633" s="2">
        <f>IFERROR(__xludf.DUMMYFUNCTION("""COMPUTED_VALUE"""),54.89)</f>
        <v>54.89</v>
      </c>
      <c r="K1633" s="2">
        <f>IFERROR(__xludf.DUMMYFUNCTION("""COMPUTED_VALUE"""),54.89)</f>
        <v>54.89</v>
      </c>
    </row>
    <row r="1634">
      <c r="A1634" s="2">
        <f>IFERROR(__xludf.DUMMYFUNCTION("""COMPUTED_VALUE"""),1000.0)</f>
        <v>1000</v>
      </c>
      <c r="B1634" s="2">
        <f>IFERROR(__xludf.DUMMYFUNCTION("""COMPUTED_VALUE"""),184635.0)</f>
        <v>184635</v>
      </c>
      <c r="C1634" s="2">
        <f>IFERROR(__xludf.DUMMYFUNCTION("""COMPUTED_VALUE"""),2026.0)</f>
        <v>2026</v>
      </c>
      <c r="D1634" s="2">
        <f>IFERROR(__xludf.DUMMYFUNCTION("""COMPUTED_VALUE"""),46045.0)</f>
        <v>46045</v>
      </c>
      <c r="E1634" s="2" t="str">
        <f>IFERROR(__xludf.DUMMYFUNCTION("""COMPUTED_VALUE"""),"VF")</f>
        <v>VF</v>
      </c>
      <c r="F1634" s="2">
        <f>IFERROR(__xludf.DUMMYFUNCTION("""COMPUTED_VALUE"""),1.0)</f>
        <v>1</v>
      </c>
      <c r="G1634" s="2" t="str">
        <f>IFERROR(__xludf.DUMMYFUNCTION("""COMPUTED_VALUE"""),"PR015")</f>
        <v>PR015</v>
      </c>
      <c r="H1634" s="2" t="str">
        <f>IFERROR(__xludf.DUMMYFUNCTION("""COMPUTED_VALUE"""),"VD041")</f>
        <v>VD041</v>
      </c>
      <c r="I1634" s="2">
        <f>IFERROR(__xludf.DUMMYFUNCTION("""COMPUTED_VALUE"""),4.0)</f>
        <v>4</v>
      </c>
      <c r="J1634" s="2">
        <f>IFERROR(__xludf.DUMMYFUNCTION("""COMPUTED_VALUE"""),187.0)</f>
        <v>187</v>
      </c>
      <c r="K1634" s="2">
        <f>IFERROR(__xludf.DUMMYFUNCTION("""COMPUTED_VALUE"""),187.0)</f>
        <v>187</v>
      </c>
    </row>
    <row r="1635">
      <c r="A1635" s="2">
        <f>IFERROR(__xludf.DUMMYFUNCTION("""COMPUTED_VALUE"""),2000.0)</f>
        <v>2000</v>
      </c>
      <c r="B1635" s="2">
        <f>IFERROR(__xludf.DUMMYFUNCTION("""COMPUTED_VALUE"""),184636.0)</f>
        <v>184636</v>
      </c>
      <c r="C1635" s="2">
        <f>IFERROR(__xludf.DUMMYFUNCTION("""COMPUTED_VALUE"""),2026.0)</f>
        <v>2026</v>
      </c>
      <c r="D1635" s="2">
        <f>IFERROR(__xludf.DUMMYFUNCTION("""COMPUTED_VALUE"""),46044.0)</f>
        <v>46044</v>
      </c>
      <c r="E1635" s="2" t="str">
        <f>IFERROR(__xludf.DUMMYFUNCTION("""COMPUTED_VALUE"""),"VF")</f>
        <v>VF</v>
      </c>
      <c r="F1635" s="2">
        <f>IFERROR(__xludf.DUMMYFUNCTION("""COMPUTED_VALUE"""),1.0)</f>
        <v>1</v>
      </c>
      <c r="G1635" s="2" t="str">
        <f>IFERROR(__xludf.DUMMYFUNCTION("""COMPUTED_VALUE"""),"PR034")</f>
        <v>PR034</v>
      </c>
      <c r="H1635" s="2" t="str">
        <f>IFERROR(__xludf.DUMMYFUNCTION("""COMPUTED_VALUE"""),"VD020")</f>
        <v>VD020</v>
      </c>
      <c r="I1635" s="2">
        <f>IFERROR(__xludf.DUMMYFUNCTION("""COMPUTED_VALUE"""),3.0)</f>
        <v>3</v>
      </c>
      <c r="J1635" s="2">
        <f>IFERROR(__xludf.DUMMYFUNCTION("""COMPUTED_VALUE"""),272.4)</f>
        <v>272.4</v>
      </c>
      <c r="K1635" s="2">
        <f>IFERROR(__xludf.DUMMYFUNCTION("""COMPUTED_VALUE"""),272.4)</f>
        <v>272.4</v>
      </c>
    </row>
    <row r="1636">
      <c r="A1636" s="2">
        <f>IFERROR(__xludf.DUMMYFUNCTION("""COMPUTED_VALUE"""),1000.0)</f>
        <v>1000</v>
      </c>
      <c r="B1636" s="2">
        <f>IFERROR(__xludf.DUMMYFUNCTION("""COMPUTED_VALUE"""),184637.0)</f>
        <v>184637</v>
      </c>
      <c r="C1636" s="2">
        <f>IFERROR(__xludf.DUMMYFUNCTION("""COMPUTED_VALUE"""),2026.0)</f>
        <v>2026</v>
      </c>
      <c r="D1636" s="2">
        <f>IFERROR(__xludf.DUMMYFUNCTION("""COMPUTED_VALUE"""),46044.0)</f>
        <v>46044</v>
      </c>
      <c r="E1636" s="2" t="str">
        <f>IFERROR(__xludf.DUMMYFUNCTION("""COMPUTED_VALUE"""),"VF")</f>
        <v>VF</v>
      </c>
      <c r="F1636" s="2">
        <f>IFERROR(__xludf.DUMMYFUNCTION("""COMPUTED_VALUE"""),1.0)</f>
        <v>1</v>
      </c>
      <c r="G1636" s="2" t="str">
        <f>IFERROR(__xludf.DUMMYFUNCTION("""COMPUTED_VALUE"""),"PR013")</f>
        <v>PR013</v>
      </c>
      <c r="H1636" s="2" t="str">
        <f>IFERROR(__xludf.DUMMYFUNCTION("""COMPUTED_VALUE"""),"VD044")</f>
        <v>VD044</v>
      </c>
      <c r="I1636" s="2">
        <f>IFERROR(__xludf.DUMMYFUNCTION("""COMPUTED_VALUE"""),2.0)</f>
        <v>2</v>
      </c>
      <c r="J1636" s="2">
        <f>IFERROR(__xludf.DUMMYFUNCTION("""COMPUTED_VALUE"""),84.59)</f>
        <v>84.59</v>
      </c>
      <c r="K1636" s="2">
        <f>IFERROR(__xludf.DUMMYFUNCTION("""COMPUTED_VALUE"""),84.59)</f>
        <v>84.59</v>
      </c>
    </row>
    <row r="1637">
      <c r="A1637" s="2">
        <f>IFERROR(__xludf.DUMMYFUNCTION("""COMPUTED_VALUE"""),2000.0)</f>
        <v>2000</v>
      </c>
      <c r="B1637" s="2">
        <f>IFERROR(__xludf.DUMMYFUNCTION("""COMPUTED_VALUE"""),184638.0)</f>
        <v>184638</v>
      </c>
      <c r="C1637" s="2">
        <f>IFERROR(__xludf.DUMMYFUNCTION("""COMPUTED_VALUE"""),2026.0)</f>
        <v>2026</v>
      </c>
      <c r="D1637" s="2">
        <f>IFERROR(__xludf.DUMMYFUNCTION("""COMPUTED_VALUE"""),46043.0)</f>
        <v>46043</v>
      </c>
      <c r="E1637" s="2" t="str">
        <f>IFERROR(__xludf.DUMMYFUNCTION("""COMPUTED_VALUE"""),"VF")</f>
        <v>VF</v>
      </c>
      <c r="F1637" s="2">
        <f>IFERROR(__xludf.DUMMYFUNCTION("""COMPUTED_VALUE"""),1.0)</f>
        <v>1</v>
      </c>
      <c r="G1637" s="2" t="str">
        <f>IFERROR(__xludf.DUMMYFUNCTION("""COMPUTED_VALUE"""),"PR054")</f>
        <v>PR054</v>
      </c>
      <c r="H1637" s="2" t="str">
        <f>IFERROR(__xludf.DUMMYFUNCTION("""COMPUTED_VALUE"""),"VD031")</f>
        <v>VD031</v>
      </c>
      <c r="I1637" s="2">
        <f>IFERROR(__xludf.DUMMYFUNCTION("""COMPUTED_VALUE"""),6.0)</f>
        <v>6</v>
      </c>
      <c r="J1637" s="2">
        <f>IFERROR(__xludf.DUMMYFUNCTION("""COMPUTED_VALUE"""),305.39)</f>
        <v>305.39</v>
      </c>
      <c r="K1637" s="2">
        <f>IFERROR(__xludf.DUMMYFUNCTION("""COMPUTED_VALUE"""),305.39)</f>
        <v>305.39</v>
      </c>
    </row>
    <row r="1638">
      <c r="A1638" s="2">
        <f>IFERROR(__xludf.DUMMYFUNCTION("""COMPUTED_VALUE"""),1000.0)</f>
        <v>1000</v>
      </c>
      <c r="B1638" s="2">
        <f>IFERROR(__xludf.DUMMYFUNCTION("""COMPUTED_VALUE"""),184639.0)</f>
        <v>184639</v>
      </c>
      <c r="C1638" s="2">
        <f>IFERROR(__xludf.DUMMYFUNCTION("""COMPUTED_VALUE"""),2026.0)</f>
        <v>2026</v>
      </c>
      <c r="D1638" s="2">
        <f>IFERROR(__xludf.DUMMYFUNCTION("""COMPUTED_VALUE"""),46043.0)</f>
        <v>46043</v>
      </c>
      <c r="E1638" s="2" t="str">
        <f>IFERROR(__xludf.DUMMYFUNCTION("""COMPUTED_VALUE"""),"VF")</f>
        <v>VF</v>
      </c>
      <c r="F1638" s="2">
        <f>IFERROR(__xludf.DUMMYFUNCTION("""COMPUTED_VALUE"""),1.0)</f>
        <v>1</v>
      </c>
      <c r="G1638" s="2" t="str">
        <f>IFERROR(__xludf.DUMMYFUNCTION("""COMPUTED_VALUE"""),"PR005")</f>
        <v>PR005</v>
      </c>
      <c r="H1638" s="2" t="str">
        <f>IFERROR(__xludf.DUMMYFUNCTION("""COMPUTED_VALUE"""),"VD039")</f>
        <v>VD039</v>
      </c>
      <c r="I1638" s="2">
        <f>IFERROR(__xludf.DUMMYFUNCTION("""COMPUTED_VALUE"""),10.0)</f>
        <v>10</v>
      </c>
      <c r="J1638" s="2">
        <f>IFERROR(__xludf.DUMMYFUNCTION("""COMPUTED_VALUE"""),2806.92)</f>
        <v>2806.92</v>
      </c>
      <c r="K1638" s="2">
        <f>IFERROR(__xludf.DUMMYFUNCTION("""COMPUTED_VALUE"""),2806.92)</f>
        <v>2806.92</v>
      </c>
    </row>
    <row r="1639">
      <c r="A1639" s="2">
        <f>IFERROR(__xludf.DUMMYFUNCTION("""COMPUTED_VALUE"""),1000.0)</f>
        <v>1000</v>
      </c>
      <c r="B1639" s="2">
        <f>IFERROR(__xludf.DUMMYFUNCTION("""COMPUTED_VALUE"""),184640.0)</f>
        <v>184640</v>
      </c>
      <c r="C1639" s="2">
        <f>IFERROR(__xludf.DUMMYFUNCTION("""COMPUTED_VALUE"""),2026.0)</f>
        <v>2026</v>
      </c>
      <c r="D1639" s="2">
        <f>IFERROR(__xludf.DUMMYFUNCTION("""COMPUTED_VALUE"""),46043.0)</f>
        <v>46043</v>
      </c>
      <c r="E1639" s="2" t="str">
        <f>IFERROR(__xludf.DUMMYFUNCTION("""COMPUTED_VALUE"""),"VF")</f>
        <v>VF</v>
      </c>
      <c r="F1639" s="2">
        <f>IFERROR(__xludf.DUMMYFUNCTION("""COMPUTED_VALUE"""),1.0)</f>
        <v>1</v>
      </c>
      <c r="G1639" s="2" t="str">
        <f>IFERROR(__xludf.DUMMYFUNCTION("""COMPUTED_VALUE"""),"PR046")</f>
        <v>PR046</v>
      </c>
      <c r="H1639" s="2" t="str">
        <f>IFERROR(__xludf.DUMMYFUNCTION("""COMPUTED_VALUE"""),"VD027")</f>
        <v>VD027</v>
      </c>
      <c r="I1639" s="2">
        <f>IFERROR(__xludf.DUMMYFUNCTION("""COMPUTED_VALUE"""),14.0)</f>
        <v>14</v>
      </c>
      <c r="J1639" s="2">
        <f>IFERROR(__xludf.DUMMYFUNCTION("""COMPUTED_VALUE"""),4383.29)</f>
        <v>4383.29</v>
      </c>
      <c r="K1639" s="2">
        <f>IFERROR(__xludf.DUMMYFUNCTION("""COMPUTED_VALUE"""),4383.29)</f>
        <v>4383.29</v>
      </c>
    </row>
    <row r="1640">
      <c r="A1640" s="2">
        <f>IFERROR(__xludf.DUMMYFUNCTION("""COMPUTED_VALUE"""),2000.0)</f>
        <v>2000</v>
      </c>
      <c r="B1640" s="2">
        <f>IFERROR(__xludf.DUMMYFUNCTION("""COMPUTED_VALUE"""),184640.0)</f>
        <v>184640</v>
      </c>
      <c r="C1640" s="2">
        <f>IFERROR(__xludf.DUMMYFUNCTION("""COMPUTED_VALUE"""),2026.0)</f>
        <v>2026</v>
      </c>
      <c r="D1640" s="2">
        <f>IFERROR(__xludf.DUMMYFUNCTION("""COMPUTED_VALUE"""),46043.0)</f>
        <v>46043</v>
      </c>
      <c r="E1640" s="2" t="str">
        <f>IFERROR(__xludf.DUMMYFUNCTION("""COMPUTED_VALUE"""),"VF")</f>
        <v>VF</v>
      </c>
      <c r="F1640" s="2">
        <f>IFERROR(__xludf.DUMMYFUNCTION("""COMPUTED_VALUE"""),2.0)</f>
        <v>2</v>
      </c>
      <c r="G1640" s="2" t="str">
        <f>IFERROR(__xludf.DUMMYFUNCTION("""COMPUTED_VALUE"""),"PR019")</f>
        <v>PR019</v>
      </c>
      <c r="H1640" s="2" t="str">
        <f>IFERROR(__xludf.DUMMYFUNCTION("""COMPUTED_VALUE"""),"VD015")</f>
        <v>VD015</v>
      </c>
      <c r="I1640" s="2">
        <f>IFERROR(__xludf.DUMMYFUNCTION("""COMPUTED_VALUE"""),9.0)</f>
        <v>9</v>
      </c>
      <c r="J1640" s="2">
        <f>IFERROR(__xludf.DUMMYFUNCTION("""COMPUTED_VALUE"""),485.03)</f>
        <v>485.03</v>
      </c>
      <c r="K1640" s="2">
        <f>IFERROR(__xludf.DUMMYFUNCTION("""COMPUTED_VALUE"""),485.03)</f>
        <v>485.03</v>
      </c>
    </row>
    <row r="1641">
      <c r="A1641" s="2">
        <f>IFERROR(__xludf.DUMMYFUNCTION("""COMPUTED_VALUE"""),1000.0)</f>
        <v>1000</v>
      </c>
      <c r="B1641" s="2">
        <f>IFERROR(__xludf.DUMMYFUNCTION("""COMPUTED_VALUE"""),184641.0)</f>
        <v>184641</v>
      </c>
      <c r="C1641" s="2">
        <f>IFERROR(__xludf.DUMMYFUNCTION("""COMPUTED_VALUE"""),2026.0)</f>
        <v>2026</v>
      </c>
      <c r="D1641" s="2">
        <f>IFERROR(__xludf.DUMMYFUNCTION("""COMPUTED_VALUE"""),46042.0)</f>
        <v>46042</v>
      </c>
      <c r="E1641" s="2" t="str">
        <f>IFERROR(__xludf.DUMMYFUNCTION("""COMPUTED_VALUE"""),"VF")</f>
        <v>VF</v>
      </c>
      <c r="F1641" s="2">
        <f>IFERROR(__xludf.DUMMYFUNCTION("""COMPUTED_VALUE"""),1.0)</f>
        <v>1</v>
      </c>
      <c r="G1641" s="2" t="str">
        <f>IFERROR(__xludf.DUMMYFUNCTION("""COMPUTED_VALUE"""),"PR047")</f>
        <v>PR047</v>
      </c>
      <c r="H1641" s="2" t="str">
        <f>IFERROR(__xludf.DUMMYFUNCTION("""COMPUTED_VALUE"""),"VD026")</f>
        <v>VD026</v>
      </c>
      <c r="I1641" s="2">
        <f>IFERROR(__xludf.DUMMYFUNCTION("""COMPUTED_VALUE"""),2.0)</f>
        <v>2</v>
      </c>
      <c r="J1641" s="2">
        <f>IFERROR(__xludf.DUMMYFUNCTION("""COMPUTED_VALUE"""),608.79)</f>
        <v>608.79</v>
      </c>
      <c r="K1641" s="2">
        <f>IFERROR(__xludf.DUMMYFUNCTION("""COMPUTED_VALUE"""),608.79)</f>
        <v>608.79</v>
      </c>
    </row>
    <row r="1642">
      <c r="A1642" s="2">
        <f>IFERROR(__xludf.DUMMYFUNCTION("""COMPUTED_VALUE"""),1000.0)</f>
        <v>1000</v>
      </c>
      <c r="B1642" s="2">
        <f>IFERROR(__xludf.DUMMYFUNCTION("""COMPUTED_VALUE"""),184642.0)</f>
        <v>184642</v>
      </c>
      <c r="C1642" s="2">
        <f>IFERROR(__xludf.DUMMYFUNCTION("""COMPUTED_VALUE"""),2026.0)</f>
        <v>2026</v>
      </c>
      <c r="D1642" s="2">
        <f>IFERROR(__xludf.DUMMYFUNCTION("""COMPUTED_VALUE"""),46042.0)</f>
        <v>46042</v>
      </c>
      <c r="E1642" s="2" t="str">
        <f>IFERROR(__xludf.DUMMYFUNCTION("""COMPUTED_VALUE"""),"VF")</f>
        <v>VF</v>
      </c>
      <c r="F1642" s="2">
        <f>IFERROR(__xludf.DUMMYFUNCTION("""COMPUTED_VALUE"""),1.0)</f>
        <v>1</v>
      </c>
      <c r="G1642" s="2" t="str">
        <f>IFERROR(__xludf.DUMMYFUNCTION("""COMPUTED_VALUE"""),"PR058")</f>
        <v>PR058</v>
      </c>
      <c r="H1642" s="2" t="str">
        <f>IFERROR(__xludf.DUMMYFUNCTION("""COMPUTED_VALUE"""),"VD037")</f>
        <v>VD037</v>
      </c>
      <c r="I1642" s="2">
        <f>IFERROR(__xludf.DUMMYFUNCTION("""COMPUTED_VALUE"""),16.0)</f>
        <v>16</v>
      </c>
      <c r="J1642" s="2">
        <f>IFERROR(__xludf.DUMMYFUNCTION("""COMPUTED_VALUE"""),3139.2)</f>
        <v>3139.2</v>
      </c>
      <c r="K1642" s="2">
        <f>IFERROR(__xludf.DUMMYFUNCTION("""COMPUTED_VALUE"""),3139.2)</f>
        <v>3139.2</v>
      </c>
    </row>
    <row r="1643">
      <c r="A1643" s="2">
        <f>IFERROR(__xludf.DUMMYFUNCTION("""COMPUTED_VALUE"""),1000.0)</f>
        <v>1000</v>
      </c>
      <c r="B1643" s="2">
        <f>IFERROR(__xludf.DUMMYFUNCTION("""COMPUTED_VALUE"""),184643.0)</f>
        <v>184643</v>
      </c>
      <c r="C1643" s="2">
        <f>IFERROR(__xludf.DUMMYFUNCTION("""COMPUTED_VALUE"""),2026.0)</f>
        <v>2026</v>
      </c>
      <c r="D1643" s="2">
        <f>IFERROR(__xludf.DUMMYFUNCTION("""COMPUTED_VALUE"""),46042.0)</f>
        <v>46042</v>
      </c>
      <c r="E1643" s="2" t="str">
        <f>IFERROR(__xludf.DUMMYFUNCTION("""COMPUTED_VALUE"""),"VF")</f>
        <v>VF</v>
      </c>
      <c r="F1643" s="2">
        <f>IFERROR(__xludf.DUMMYFUNCTION("""COMPUTED_VALUE"""),1.0)</f>
        <v>1</v>
      </c>
      <c r="G1643" s="2" t="str">
        <f>IFERROR(__xludf.DUMMYFUNCTION("""COMPUTED_VALUE"""),"PR030")</f>
        <v>PR030</v>
      </c>
      <c r="H1643" s="2" t="str">
        <f>IFERROR(__xludf.DUMMYFUNCTION("""COMPUTED_VALUE"""),"VD035")</f>
        <v>VD035</v>
      </c>
      <c r="I1643" s="2">
        <f>IFERROR(__xludf.DUMMYFUNCTION("""COMPUTED_VALUE"""),8.0)</f>
        <v>8</v>
      </c>
      <c r="J1643" s="2">
        <f>IFERROR(__xludf.DUMMYFUNCTION("""COMPUTED_VALUE"""),2287.12)</f>
        <v>2287.12</v>
      </c>
      <c r="K1643" s="2">
        <f>IFERROR(__xludf.DUMMYFUNCTION("""COMPUTED_VALUE"""),2287.12)</f>
        <v>2287.12</v>
      </c>
    </row>
    <row r="1644">
      <c r="A1644" s="2">
        <f>IFERROR(__xludf.DUMMYFUNCTION("""COMPUTED_VALUE"""),2000.0)</f>
        <v>2000</v>
      </c>
      <c r="B1644" s="2">
        <f>IFERROR(__xludf.DUMMYFUNCTION("""COMPUTED_VALUE"""),184644.0)</f>
        <v>184644</v>
      </c>
      <c r="C1644" s="2">
        <f>IFERROR(__xludf.DUMMYFUNCTION("""COMPUTED_VALUE"""),2026.0)</f>
        <v>2026</v>
      </c>
      <c r="D1644" s="2">
        <f>IFERROR(__xludf.DUMMYFUNCTION("""COMPUTED_VALUE"""),46042.0)</f>
        <v>46042</v>
      </c>
      <c r="E1644" s="2" t="str">
        <f>IFERROR(__xludf.DUMMYFUNCTION("""COMPUTED_VALUE"""),"VF")</f>
        <v>VF</v>
      </c>
      <c r="F1644" s="2">
        <f>IFERROR(__xludf.DUMMYFUNCTION("""COMPUTED_VALUE"""),1.0)</f>
        <v>1</v>
      </c>
      <c r="G1644" s="2" t="str">
        <f>IFERROR(__xludf.DUMMYFUNCTION("""COMPUTED_VALUE"""),"PR031")</f>
        <v>PR031</v>
      </c>
      <c r="H1644" s="2" t="str">
        <f>IFERROR(__xludf.DUMMYFUNCTION("""COMPUTED_VALUE"""),"VD043")</f>
        <v>VD043</v>
      </c>
      <c r="I1644" s="2">
        <f>IFERROR(__xludf.DUMMYFUNCTION("""COMPUTED_VALUE"""),20.0)</f>
        <v>20</v>
      </c>
      <c r="J1644" s="2">
        <f>IFERROR(__xludf.DUMMYFUNCTION("""COMPUTED_VALUE"""),5047.0)</f>
        <v>5047</v>
      </c>
      <c r="K1644" s="2">
        <f>IFERROR(__xludf.DUMMYFUNCTION("""COMPUTED_VALUE"""),5047.0)</f>
        <v>5047</v>
      </c>
    </row>
    <row r="1645">
      <c r="A1645" s="2">
        <f>IFERROR(__xludf.DUMMYFUNCTION("""COMPUTED_VALUE"""),2000.0)</f>
        <v>2000</v>
      </c>
      <c r="B1645" s="2">
        <f>IFERROR(__xludf.DUMMYFUNCTION("""COMPUTED_VALUE"""),184645.0)</f>
        <v>184645</v>
      </c>
      <c r="C1645" s="2">
        <f>IFERROR(__xludf.DUMMYFUNCTION("""COMPUTED_VALUE"""),2026.0)</f>
        <v>2026</v>
      </c>
      <c r="D1645" s="2">
        <f>IFERROR(__xludf.DUMMYFUNCTION("""COMPUTED_VALUE"""),46042.0)</f>
        <v>46042</v>
      </c>
      <c r="E1645" s="2" t="str">
        <f>IFERROR(__xludf.DUMMYFUNCTION("""COMPUTED_VALUE"""),"VF")</f>
        <v>VF</v>
      </c>
      <c r="F1645" s="2">
        <f>IFERROR(__xludf.DUMMYFUNCTION("""COMPUTED_VALUE"""),1.0)</f>
        <v>1</v>
      </c>
      <c r="G1645" s="2" t="str">
        <f>IFERROR(__xludf.DUMMYFUNCTION("""COMPUTED_VALUE"""),"PR013")</f>
        <v>PR013</v>
      </c>
      <c r="H1645" s="2" t="str">
        <f>IFERROR(__xludf.DUMMYFUNCTION("""COMPUTED_VALUE"""),"VD034")</f>
        <v>VD034</v>
      </c>
      <c r="I1645" s="2">
        <f>IFERROR(__xludf.DUMMYFUNCTION("""COMPUTED_VALUE"""),4.0)</f>
        <v>4</v>
      </c>
      <c r="J1645" s="2">
        <f>IFERROR(__xludf.DUMMYFUNCTION("""COMPUTED_VALUE"""),167.58)</f>
        <v>167.58</v>
      </c>
      <c r="K1645" s="2">
        <f>IFERROR(__xludf.DUMMYFUNCTION("""COMPUTED_VALUE"""),167.58)</f>
        <v>167.58</v>
      </c>
    </row>
    <row r="1646">
      <c r="A1646" s="2">
        <f>IFERROR(__xludf.DUMMYFUNCTION("""COMPUTED_VALUE"""),1000.0)</f>
        <v>1000</v>
      </c>
      <c r="B1646" s="2">
        <f>IFERROR(__xludf.DUMMYFUNCTION("""COMPUTED_VALUE"""),184646.0)</f>
        <v>184646</v>
      </c>
      <c r="C1646" s="2">
        <f>IFERROR(__xludf.DUMMYFUNCTION("""COMPUTED_VALUE"""),2026.0)</f>
        <v>2026</v>
      </c>
      <c r="D1646" s="2">
        <f>IFERROR(__xludf.DUMMYFUNCTION("""COMPUTED_VALUE"""),46041.0)</f>
        <v>46041</v>
      </c>
      <c r="E1646" s="2" t="str">
        <f>IFERROR(__xludf.DUMMYFUNCTION("""COMPUTED_VALUE"""),"VF")</f>
        <v>VF</v>
      </c>
      <c r="F1646" s="2">
        <f>IFERROR(__xludf.DUMMYFUNCTION("""COMPUTED_VALUE"""),1.0)</f>
        <v>1</v>
      </c>
      <c r="G1646" s="2" t="str">
        <f>IFERROR(__xludf.DUMMYFUNCTION("""COMPUTED_VALUE"""),"PR036")</f>
        <v>PR036</v>
      </c>
      <c r="H1646" s="2" t="str">
        <f>IFERROR(__xludf.DUMMYFUNCTION("""COMPUTED_VALUE"""),"VD039")</f>
        <v>VD039</v>
      </c>
      <c r="I1646" s="2">
        <f>IFERROR(__xludf.DUMMYFUNCTION("""COMPUTED_VALUE"""),7.0)</f>
        <v>7</v>
      </c>
      <c r="J1646" s="2">
        <f>IFERROR(__xludf.DUMMYFUNCTION("""COMPUTED_VALUE"""),706.86)</f>
        <v>706.86</v>
      </c>
      <c r="K1646" s="2">
        <f>IFERROR(__xludf.DUMMYFUNCTION("""COMPUTED_VALUE"""),706.86)</f>
        <v>706.86</v>
      </c>
    </row>
    <row r="1647">
      <c r="A1647" s="2">
        <f>IFERROR(__xludf.DUMMYFUNCTION("""COMPUTED_VALUE"""),1000.0)</f>
        <v>1000</v>
      </c>
      <c r="B1647" s="2">
        <f>IFERROR(__xludf.DUMMYFUNCTION("""COMPUTED_VALUE"""),184647.0)</f>
        <v>184647</v>
      </c>
      <c r="C1647" s="2">
        <f>IFERROR(__xludf.DUMMYFUNCTION("""COMPUTED_VALUE"""),2026.0)</f>
        <v>2026</v>
      </c>
      <c r="D1647" s="2">
        <f>IFERROR(__xludf.DUMMYFUNCTION("""COMPUTED_VALUE"""),46041.0)</f>
        <v>46041</v>
      </c>
      <c r="E1647" s="2" t="str">
        <f>IFERROR(__xludf.DUMMYFUNCTION("""COMPUTED_VALUE"""),"VF")</f>
        <v>VF</v>
      </c>
      <c r="F1647" s="2">
        <f>IFERROR(__xludf.DUMMYFUNCTION("""COMPUTED_VALUE"""),1.0)</f>
        <v>1</v>
      </c>
      <c r="G1647" s="2" t="str">
        <f>IFERROR(__xludf.DUMMYFUNCTION("""COMPUTED_VALUE"""),"PR050")</f>
        <v>PR050</v>
      </c>
      <c r="H1647" s="2" t="str">
        <f>IFERROR(__xludf.DUMMYFUNCTION("""COMPUTED_VALUE"""),"VD025")</f>
        <v>VD025</v>
      </c>
      <c r="I1647" s="2">
        <f>IFERROR(__xludf.DUMMYFUNCTION("""COMPUTED_VALUE"""),9.0)</f>
        <v>9</v>
      </c>
      <c r="J1647" s="2">
        <f>IFERROR(__xludf.DUMMYFUNCTION("""COMPUTED_VALUE"""),304.98)</f>
        <v>304.98</v>
      </c>
      <c r="K1647" s="2">
        <f>IFERROR(__xludf.DUMMYFUNCTION("""COMPUTED_VALUE"""),304.98)</f>
        <v>304.98</v>
      </c>
    </row>
    <row r="1648">
      <c r="A1648" s="2">
        <f>IFERROR(__xludf.DUMMYFUNCTION("""COMPUTED_VALUE"""),1000.0)</f>
        <v>1000</v>
      </c>
      <c r="B1648" s="2">
        <f>IFERROR(__xludf.DUMMYFUNCTION("""COMPUTED_VALUE"""),184648.0)</f>
        <v>184648</v>
      </c>
      <c r="C1648" s="2">
        <f>IFERROR(__xludf.DUMMYFUNCTION("""COMPUTED_VALUE"""),2026.0)</f>
        <v>2026</v>
      </c>
      <c r="D1648" s="2">
        <f>IFERROR(__xludf.DUMMYFUNCTION("""COMPUTED_VALUE"""),46041.0)</f>
        <v>46041</v>
      </c>
      <c r="E1648" s="2" t="str">
        <f>IFERROR(__xludf.DUMMYFUNCTION("""COMPUTED_VALUE"""),"VF")</f>
        <v>VF</v>
      </c>
      <c r="F1648" s="2">
        <f>IFERROR(__xludf.DUMMYFUNCTION("""COMPUTED_VALUE"""),1.0)</f>
        <v>1</v>
      </c>
      <c r="G1648" s="2" t="str">
        <f>IFERROR(__xludf.DUMMYFUNCTION("""COMPUTED_VALUE"""),"PR055")</f>
        <v>PR055</v>
      </c>
      <c r="H1648" s="2" t="str">
        <f>IFERROR(__xludf.DUMMYFUNCTION("""COMPUTED_VALUE"""),"VD040")</f>
        <v>VD040</v>
      </c>
      <c r="I1648" s="2">
        <f>IFERROR(__xludf.DUMMYFUNCTION("""COMPUTED_VALUE"""),20.0)</f>
        <v>20</v>
      </c>
      <c r="J1648" s="2">
        <f>IFERROR(__xludf.DUMMYFUNCTION("""COMPUTED_VALUE"""),1923.86)</f>
        <v>1923.86</v>
      </c>
      <c r="K1648" s="2">
        <f>IFERROR(__xludf.DUMMYFUNCTION("""COMPUTED_VALUE"""),1923.86)</f>
        <v>1923.86</v>
      </c>
    </row>
    <row r="1649">
      <c r="A1649" s="2">
        <f>IFERROR(__xludf.DUMMYFUNCTION("""COMPUTED_VALUE"""),1000.0)</f>
        <v>1000</v>
      </c>
      <c r="B1649" s="2">
        <f>IFERROR(__xludf.DUMMYFUNCTION("""COMPUTED_VALUE"""),184649.0)</f>
        <v>184649</v>
      </c>
      <c r="C1649" s="2">
        <f>IFERROR(__xludf.DUMMYFUNCTION("""COMPUTED_VALUE"""),2026.0)</f>
        <v>2026</v>
      </c>
      <c r="D1649" s="2">
        <f>IFERROR(__xludf.DUMMYFUNCTION("""COMPUTED_VALUE"""),46041.0)</f>
        <v>46041</v>
      </c>
      <c r="E1649" s="2" t="str">
        <f>IFERROR(__xludf.DUMMYFUNCTION("""COMPUTED_VALUE"""),"VF")</f>
        <v>VF</v>
      </c>
      <c r="F1649" s="2">
        <f>IFERROR(__xludf.DUMMYFUNCTION("""COMPUTED_VALUE"""),1.0)</f>
        <v>1</v>
      </c>
      <c r="G1649" s="2" t="str">
        <f>IFERROR(__xludf.DUMMYFUNCTION("""COMPUTED_VALUE"""),"PR007")</f>
        <v>PR007</v>
      </c>
      <c r="H1649" s="2" t="str">
        <f>IFERROR(__xludf.DUMMYFUNCTION("""COMPUTED_VALUE"""),"VD012")</f>
        <v>VD012</v>
      </c>
      <c r="I1649" s="2">
        <f>IFERROR(__xludf.DUMMYFUNCTION("""COMPUTED_VALUE"""),16.0)</f>
        <v>16</v>
      </c>
      <c r="J1649" s="2">
        <f>IFERROR(__xludf.DUMMYFUNCTION("""COMPUTED_VALUE"""),1470.61)</f>
        <v>1470.61</v>
      </c>
      <c r="K1649" s="2">
        <f>IFERROR(__xludf.DUMMYFUNCTION("""COMPUTED_VALUE"""),1470.61)</f>
        <v>1470.61</v>
      </c>
    </row>
    <row r="1650">
      <c r="A1650" s="2">
        <f>IFERROR(__xludf.DUMMYFUNCTION("""COMPUTED_VALUE"""),1000.0)</f>
        <v>1000</v>
      </c>
      <c r="B1650" s="2">
        <f>IFERROR(__xludf.DUMMYFUNCTION("""COMPUTED_VALUE"""),184650.0)</f>
        <v>184650</v>
      </c>
      <c r="C1650" s="2">
        <f>IFERROR(__xludf.DUMMYFUNCTION("""COMPUTED_VALUE"""),2026.0)</f>
        <v>2026</v>
      </c>
      <c r="D1650" s="2">
        <f>IFERROR(__xludf.DUMMYFUNCTION("""COMPUTED_VALUE"""),46041.0)</f>
        <v>46041</v>
      </c>
      <c r="E1650" s="2" t="str">
        <f>IFERROR(__xludf.DUMMYFUNCTION("""COMPUTED_VALUE"""),"VF")</f>
        <v>VF</v>
      </c>
      <c r="F1650" s="2">
        <f>IFERROR(__xludf.DUMMYFUNCTION("""COMPUTED_VALUE"""),1.0)</f>
        <v>1</v>
      </c>
      <c r="G1650" s="2" t="str">
        <f>IFERROR(__xludf.DUMMYFUNCTION("""COMPUTED_VALUE"""),"PR002")</f>
        <v>PR002</v>
      </c>
      <c r="H1650" s="2" t="str">
        <f>IFERROR(__xludf.DUMMYFUNCTION("""COMPUTED_VALUE"""),"VD042")</f>
        <v>VD042</v>
      </c>
      <c r="I1650" s="2">
        <f>IFERROR(__xludf.DUMMYFUNCTION("""COMPUTED_VALUE"""),10.0)</f>
        <v>10</v>
      </c>
      <c r="J1650" s="2">
        <f>IFERROR(__xludf.DUMMYFUNCTION("""COMPUTED_VALUE"""),712.98)</f>
        <v>712.98</v>
      </c>
      <c r="K1650" s="2">
        <f>IFERROR(__xludf.DUMMYFUNCTION("""COMPUTED_VALUE"""),712.98)</f>
        <v>712.98</v>
      </c>
    </row>
    <row r="1651">
      <c r="A1651" s="2">
        <f>IFERROR(__xludf.DUMMYFUNCTION("""COMPUTED_VALUE"""),1000.0)</f>
        <v>1000</v>
      </c>
      <c r="B1651" s="2">
        <f>IFERROR(__xludf.DUMMYFUNCTION("""COMPUTED_VALUE"""),184651.0)</f>
        <v>184651</v>
      </c>
      <c r="C1651" s="2">
        <f>IFERROR(__xludf.DUMMYFUNCTION("""COMPUTED_VALUE"""),2026.0)</f>
        <v>2026</v>
      </c>
      <c r="D1651" s="2">
        <f>IFERROR(__xludf.DUMMYFUNCTION("""COMPUTED_VALUE"""),46041.0)</f>
        <v>46041</v>
      </c>
      <c r="E1651" s="2" t="str">
        <f>IFERROR(__xludf.DUMMYFUNCTION("""COMPUTED_VALUE"""),"VF")</f>
        <v>VF</v>
      </c>
      <c r="F1651" s="2">
        <f>IFERROR(__xludf.DUMMYFUNCTION("""COMPUTED_VALUE"""),1.0)</f>
        <v>1</v>
      </c>
      <c r="G1651" s="2" t="str">
        <f>IFERROR(__xludf.DUMMYFUNCTION("""COMPUTED_VALUE"""),"PR030")</f>
        <v>PR030</v>
      </c>
      <c r="H1651" s="2" t="str">
        <f>IFERROR(__xludf.DUMMYFUNCTION("""COMPUTED_VALUE"""),"VD013")</f>
        <v>VD013</v>
      </c>
      <c r="I1651" s="2">
        <f>IFERROR(__xludf.DUMMYFUNCTION("""COMPUTED_VALUE"""),12.0)</f>
        <v>12</v>
      </c>
      <c r="J1651" s="2">
        <f>IFERROR(__xludf.DUMMYFUNCTION("""COMPUTED_VALUE"""),3118.8)</f>
        <v>3118.8</v>
      </c>
      <c r="K1651" s="2">
        <f>IFERROR(__xludf.DUMMYFUNCTION("""COMPUTED_VALUE"""),3118.8)</f>
        <v>3118.8</v>
      </c>
    </row>
    <row r="1652">
      <c r="A1652" s="2">
        <f>IFERROR(__xludf.DUMMYFUNCTION("""COMPUTED_VALUE"""),2000.0)</f>
        <v>2000</v>
      </c>
      <c r="B1652" s="2">
        <f>IFERROR(__xludf.DUMMYFUNCTION("""COMPUTED_VALUE"""),184652.0)</f>
        <v>184652</v>
      </c>
      <c r="C1652" s="2">
        <f>IFERROR(__xludf.DUMMYFUNCTION("""COMPUTED_VALUE"""),2026.0)</f>
        <v>2026</v>
      </c>
      <c r="D1652" s="2">
        <f>IFERROR(__xludf.DUMMYFUNCTION("""COMPUTED_VALUE"""),46041.0)</f>
        <v>46041</v>
      </c>
      <c r="E1652" s="2" t="str">
        <f>IFERROR(__xludf.DUMMYFUNCTION("""COMPUTED_VALUE"""),"VF")</f>
        <v>VF</v>
      </c>
      <c r="F1652" s="2">
        <f>IFERROR(__xludf.DUMMYFUNCTION("""COMPUTED_VALUE"""),1.0)</f>
        <v>1</v>
      </c>
      <c r="G1652" s="2" t="str">
        <f>IFERROR(__xludf.DUMMYFUNCTION("""COMPUTED_VALUE"""),"PR060")</f>
        <v>PR060</v>
      </c>
      <c r="H1652" s="2" t="str">
        <f>IFERROR(__xludf.DUMMYFUNCTION("""COMPUTED_VALUE"""),"VD027")</f>
        <v>VD027</v>
      </c>
      <c r="I1652" s="2">
        <f>IFERROR(__xludf.DUMMYFUNCTION("""COMPUTED_VALUE"""),14.0)</f>
        <v>14</v>
      </c>
      <c r="J1652" s="2">
        <f>IFERROR(__xludf.DUMMYFUNCTION("""COMPUTED_VALUE"""),2520.0)</f>
        <v>2520</v>
      </c>
      <c r="K1652" s="2">
        <f>IFERROR(__xludf.DUMMYFUNCTION("""COMPUTED_VALUE"""),2520.0)</f>
        <v>2520</v>
      </c>
    </row>
    <row r="1653">
      <c r="A1653" s="2">
        <f>IFERROR(__xludf.DUMMYFUNCTION("""COMPUTED_VALUE"""),1000.0)</f>
        <v>1000</v>
      </c>
      <c r="B1653" s="2">
        <f>IFERROR(__xludf.DUMMYFUNCTION("""COMPUTED_VALUE"""),184653.0)</f>
        <v>184653</v>
      </c>
      <c r="C1653" s="2">
        <f>IFERROR(__xludf.DUMMYFUNCTION("""COMPUTED_VALUE"""),2026.0)</f>
        <v>2026</v>
      </c>
      <c r="D1653" s="2">
        <f>IFERROR(__xludf.DUMMYFUNCTION("""COMPUTED_VALUE"""),46041.0)</f>
        <v>46041</v>
      </c>
      <c r="E1653" s="2" t="str">
        <f>IFERROR(__xludf.DUMMYFUNCTION("""COMPUTED_VALUE"""),"VF")</f>
        <v>VF</v>
      </c>
      <c r="F1653" s="2">
        <f>IFERROR(__xludf.DUMMYFUNCTION("""COMPUTED_VALUE"""),1.0)</f>
        <v>1</v>
      </c>
      <c r="G1653" s="2" t="str">
        <f>IFERROR(__xludf.DUMMYFUNCTION("""COMPUTED_VALUE"""),"PR040")</f>
        <v>PR040</v>
      </c>
      <c r="H1653" s="2" t="str">
        <f>IFERROR(__xludf.DUMMYFUNCTION("""COMPUTED_VALUE"""),"VD039")</f>
        <v>VD039</v>
      </c>
      <c r="I1653" s="2">
        <f>IFERROR(__xludf.DUMMYFUNCTION("""COMPUTED_VALUE"""),7.0)</f>
        <v>7</v>
      </c>
      <c r="J1653" s="2">
        <f>IFERROR(__xludf.DUMMYFUNCTION("""COMPUTED_VALUE"""),504.7)</f>
        <v>504.7</v>
      </c>
      <c r="K1653" s="2">
        <f>IFERROR(__xludf.DUMMYFUNCTION("""COMPUTED_VALUE"""),504.7)</f>
        <v>504.7</v>
      </c>
    </row>
    <row r="1654">
      <c r="A1654" s="2">
        <f>IFERROR(__xludf.DUMMYFUNCTION("""COMPUTED_VALUE"""),1000.0)</f>
        <v>1000</v>
      </c>
      <c r="B1654" s="2">
        <f>IFERROR(__xludf.DUMMYFUNCTION("""COMPUTED_VALUE"""),184654.0)</f>
        <v>184654</v>
      </c>
      <c r="C1654" s="2">
        <f>IFERROR(__xludf.DUMMYFUNCTION("""COMPUTED_VALUE"""),2026.0)</f>
        <v>2026</v>
      </c>
      <c r="D1654" s="2">
        <f>IFERROR(__xludf.DUMMYFUNCTION("""COMPUTED_VALUE"""),46041.0)</f>
        <v>46041</v>
      </c>
      <c r="E1654" s="2" t="str">
        <f>IFERROR(__xludf.DUMMYFUNCTION("""COMPUTED_VALUE"""),"VF")</f>
        <v>VF</v>
      </c>
      <c r="F1654" s="2">
        <f>IFERROR(__xludf.DUMMYFUNCTION("""COMPUTED_VALUE"""),1.0)</f>
        <v>1</v>
      </c>
      <c r="G1654" s="2" t="str">
        <f>IFERROR(__xludf.DUMMYFUNCTION("""COMPUTED_VALUE"""),"PR052")</f>
        <v>PR052</v>
      </c>
      <c r="H1654" s="2" t="str">
        <f>IFERROR(__xludf.DUMMYFUNCTION("""COMPUTED_VALUE"""),"VD016")</f>
        <v>VD016</v>
      </c>
      <c r="I1654" s="2">
        <f>IFERROR(__xludf.DUMMYFUNCTION("""COMPUTED_VALUE"""),7.0)</f>
        <v>7</v>
      </c>
      <c r="J1654" s="2">
        <f>IFERROR(__xludf.DUMMYFUNCTION("""COMPUTED_VALUE"""),363.27)</f>
        <v>363.27</v>
      </c>
      <c r="K1654" s="2">
        <f>IFERROR(__xludf.DUMMYFUNCTION("""COMPUTED_VALUE"""),363.27)</f>
        <v>363.27</v>
      </c>
    </row>
    <row r="1655">
      <c r="A1655" s="2">
        <f>IFERROR(__xludf.DUMMYFUNCTION("""COMPUTED_VALUE"""),1000.0)</f>
        <v>1000</v>
      </c>
      <c r="B1655" s="2">
        <f>IFERROR(__xludf.DUMMYFUNCTION("""COMPUTED_VALUE"""),184654.0)</f>
        <v>184654</v>
      </c>
      <c r="C1655" s="2">
        <f>IFERROR(__xludf.DUMMYFUNCTION("""COMPUTED_VALUE"""),2026.0)</f>
        <v>2026</v>
      </c>
      <c r="D1655" s="2">
        <f>IFERROR(__xludf.DUMMYFUNCTION("""COMPUTED_VALUE"""),46041.0)</f>
        <v>46041</v>
      </c>
      <c r="E1655" s="2" t="str">
        <f>IFERROR(__xludf.DUMMYFUNCTION("""COMPUTED_VALUE"""),"VF")</f>
        <v>VF</v>
      </c>
      <c r="F1655" s="2">
        <f>IFERROR(__xludf.DUMMYFUNCTION("""COMPUTED_VALUE"""),2.0)</f>
        <v>2</v>
      </c>
      <c r="G1655" s="2" t="str">
        <f>IFERROR(__xludf.DUMMYFUNCTION("""COMPUTED_VALUE"""),"PR057")</f>
        <v>PR057</v>
      </c>
      <c r="H1655" s="2" t="str">
        <f>IFERROR(__xludf.DUMMYFUNCTION("""COMPUTED_VALUE"""),"VD035")</f>
        <v>VD035</v>
      </c>
      <c r="I1655" s="2">
        <f>IFERROR(__xludf.DUMMYFUNCTION("""COMPUTED_VALUE"""),2.0)</f>
        <v>2</v>
      </c>
      <c r="J1655" s="2">
        <f>IFERROR(__xludf.DUMMYFUNCTION("""COMPUTED_VALUE"""),188.79)</f>
        <v>188.79</v>
      </c>
      <c r="K1655" s="2">
        <f>IFERROR(__xludf.DUMMYFUNCTION("""COMPUTED_VALUE"""),188.79)</f>
        <v>188.79</v>
      </c>
    </row>
    <row r="1656">
      <c r="A1656" s="2">
        <f>IFERROR(__xludf.DUMMYFUNCTION("""COMPUTED_VALUE"""),1000.0)</f>
        <v>1000</v>
      </c>
      <c r="B1656" s="2">
        <f>IFERROR(__xludf.DUMMYFUNCTION("""COMPUTED_VALUE"""),184655.0)</f>
        <v>184655</v>
      </c>
      <c r="C1656" s="2">
        <f>IFERROR(__xludf.DUMMYFUNCTION("""COMPUTED_VALUE"""),2026.0)</f>
        <v>2026</v>
      </c>
      <c r="D1656" s="2">
        <f>IFERROR(__xludf.DUMMYFUNCTION("""COMPUTED_VALUE"""),46040.0)</f>
        <v>46040</v>
      </c>
      <c r="E1656" s="2" t="str">
        <f>IFERROR(__xludf.DUMMYFUNCTION("""COMPUTED_VALUE"""),"VF")</f>
        <v>VF</v>
      </c>
      <c r="F1656" s="2">
        <f>IFERROR(__xludf.DUMMYFUNCTION("""COMPUTED_VALUE"""),1.0)</f>
        <v>1</v>
      </c>
      <c r="G1656" s="2" t="str">
        <f>IFERROR(__xludf.DUMMYFUNCTION("""COMPUTED_VALUE"""),"PR019")</f>
        <v>PR019</v>
      </c>
      <c r="H1656" s="2" t="str">
        <f>IFERROR(__xludf.DUMMYFUNCTION("""COMPUTED_VALUE"""),"VD031")</f>
        <v>VD031</v>
      </c>
      <c r="I1656" s="2">
        <f>IFERROR(__xludf.DUMMYFUNCTION("""COMPUTED_VALUE"""),9.0)</f>
        <v>9</v>
      </c>
      <c r="J1656" s="2">
        <f>IFERROR(__xludf.DUMMYFUNCTION("""COMPUTED_VALUE"""),480.54)</f>
        <v>480.54</v>
      </c>
      <c r="K1656" s="2">
        <f>IFERROR(__xludf.DUMMYFUNCTION("""COMPUTED_VALUE"""),480.54)</f>
        <v>480.54</v>
      </c>
    </row>
    <row r="1657">
      <c r="A1657" s="2">
        <f>IFERROR(__xludf.DUMMYFUNCTION("""COMPUTED_VALUE"""),1000.0)</f>
        <v>1000</v>
      </c>
      <c r="B1657" s="2">
        <f>IFERROR(__xludf.DUMMYFUNCTION("""COMPUTED_VALUE"""),184656.0)</f>
        <v>184656</v>
      </c>
      <c r="C1657" s="2">
        <f>IFERROR(__xludf.DUMMYFUNCTION("""COMPUTED_VALUE"""),2026.0)</f>
        <v>2026</v>
      </c>
      <c r="D1657" s="2">
        <f>IFERROR(__xludf.DUMMYFUNCTION("""COMPUTED_VALUE"""),46040.0)</f>
        <v>46040</v>
      </c>
      <c r="E1657" s="2" t="str">
        <f>IFERROR(__xludf.DUMMYFUNCTION("""COMPUTED_VALUE"""),"VF")</f>
        <v>VF</v>
      </c>
      <c r="F1657" s="2">
        <f>IFERROR(__xludf.DUMMYFUNCTION("""COMPUTED_VALUE"""),1.0)</f>
        <v>1</v>
      </c>
      <c r="G1657" s="2" t="str">
        <f>IFERROR(__xludf.DUMMYFUNCTION("""COMPUTED_VALUE"""),"PR049")</f>
        <v>PR049</v>
      </c>
      <c r="H1657" s="2" t="str">
        <f>IFERROR(__xludf.DUMMYFUNCTION("""COMPUTED_VALUE"""),"VD044")</f>
        <v>VD044</v>
      </c>
      <c r="I1657" s="2">
        <f>IFERROR(__xludf.DUMMYFUNCTION("""COMPUTED_VALUE"""),2.0)</f>
        <v>2</v>
      </c>
      <c r="J1657" s="2">
        <f>IFERROR(__xludf.DUMMYFUNCTION("""COMPUTED_VALUE"""),70.41)</f>
        <v>70.41</v>
      </c>
      <c r="K1657" s="2">
        <f>IFERROR(__xludf.DUMMYFUNCTION("""COMPUTED_VALUE"""),70.41)</f>
        <v>70.41</v>
      </c>
    </row>
    <row r="1658">
      <c r="A1658" s="2">
        <f>IFERROR(__xludf.DUMMYFUNCTION("""COMPUTED_VALUE"""),1000.0)</f>
        <v>1000</v>
      </c>
      <c r="B1658" s="2">
        <f>IFERROR(__xludf.DUMMYFUNCTION("""COMPUTED_VALUE"""),184657.0)</f>
        <v>184657</v>
      </c>
      <c r="C1658" s="2">
        <f>IFERROR(__xludf.DUMMYFUNCTION("""COMPUTED_VALUE"""),2026.0)</f>
        <v>2026</v>
      </c>
      <c r="D1658" s="2">
        <f>IFERROR(__xludf.DUMMYFUNCTION("""COMPUTED_VALUE"""),46040.0)</f>
        <v>46040</v>
      </c>
      <c r="E1658" s="2" t="str">
        <f>IFERROR(__xludf.DUMMYFUNCTION("""COMPUTED_VALUE"""),"VF")</f>
        <v>VF</v>
      </c>
      <c r="F1658" s="2">
        <f>IFERROR(__xludf.DUMMYFUNCTION("""COMPUTED_VALUE"""),1.0)</f>
        <v>1</v>
      </c>
      <c r="G1658" s="2" t="str">
        <f>IFERROR(__xludf.DUMMYFUNCTION("""COMPUTED_VALUE"""),"PR017")</f>
        <v>PR017</v>
      </c>
      <c r="H1658" s="2" t="str">
        <f>IFERROR(__xludf.DUMMYFUNCTION("""COMPUTED_VALUE"""),"VD033")</f>
        <v>VD033</v>
      </c>
      <c r="I1658" s="2">
        <f>IFERROR(__xludf.DUMMYFUNCTION("""COMPUTED_VALUE"""),4.0)</f>
        <v>4</v>
      </c>
      <c r="J1658" s="2">
        <f>IFERROR(__xludf.DUMMYFUNCTION("""COMPUTED_VALUE"""),131.56)</f>
        <v>131.56</v>
      </c>
      <c r="K1658" s="2">
        <f>IFERROR(__xludf.DUMMYFUNCTION("""COMPUTED_VALUE"""),131.56)</f>
        <v>131.56</v>
      </c>
    </row>
    <row r="1659">
      <c r="A1659" s="2">
        <f>IFERROR(__xludf.DUMMYFUNCTION("""COMPUTED_VALUE"""),2000.0)</f>
        <v>2000</v>
      </c>
      <c r="B1659" s="2">
        <f>IFERROR(__xludf.DUMMYFUNCTION("""COMPUTED_VALUE"""),184657.0)</f>
        <v>184657</v>
      </c>
      <c r="C1659" s="2">
        <f>IFERROR(__xludf.DUMMYFUNCTION("""COMPUTED_VALUE"""),2026.0)</f>
        <v>2026</v>
      </c>
      <c r="D1659" s="2">
        <f>IFERROR(__xludf.DUMMYFUNCTION("""COMPUTED_VALUE"""),46040.0)</f>
        <v>46040</v>
      </c>
      <c r="E1659" s="2" t="str">
        <f>IFERROR(__xludf.DUMMYFUNCTION("""COMPUTED_VALUE"""),"VF")</f>
        <v>VF</v>
      </c>
      <c r="F1659" s="2">
        <f>IFERROR(__xludf.DUMMYFUNCTION("""COMPUTED_VALUE"""),2.0)</f>
        <v>2</v>
      </c>
      <c r="G1659" s="2" t="str">
        <f>IFERROR(__xludf.DUMMYFUNCTION("""COMPUTED_VALUE"""),"PR034")</f>
        <v>PR034</v>
      </c>
      <c r="H1659" s="2" t="str">
        <f>IFERROR(__xludf.DUMMYFUNCTION("""COMPUTED_VALUE"""),"VD015")</f>
        <v>VD015</v>
      </c>
      <c r="I1659" s="2">
        <f>IFERROR(__xludf.DUMMYFUNCTION("""COMPUTED_VALUE"""),6.0)</f>
        <v>6</v>
      </c>
      <c r="J1659" s="2">
        <f>IFERROR(__xludf.DUMMYFUNCTION("""COMPUTED_VALUE"""),544.79)</f>
        <v>544.79</v>
      </c>
      <c r="K1659" s="2">
        <f>IFERROR(__xludf.DUMMYFUNCTION("""COMPUTED_VALUE"""),544.79)</f>
        <v>544.79</v>
      </c>
    </row>
    <row r="1660">
      <c r="A1660" s="2">
        <f>IFERROR(__xludf.DUMMYFUNCTION("""COMPUTED_VALUE"""),1000.0)</f>
        <v>1000</v>
      </c>
      <c r="B1660" s="2">
        <f>IFERROR(__xludf.DUMMYFUNCTION("""COMPUTED_VALUE"""),184658.0)</f>
        <v>184658</v>
      </c>
      <c r="C1660" s="2">
        <f>IFERROR(__xludf.DUMMYFUNCTION("""COMPUTED_VALUE"""),2026.0)</f>
        <v>2026</v>
      </c>
      <c r="D1660" s="2">
        <f>IFERROR(__xludf.DUMMYFUNCTION("""COMPUTED_VALUE"""),46040.0)</f>
        <v>46040</v>
      </c>
      <c r="E1660" s="2" t="str">
        <f>IFERROR(__xludf.DUMMYFUNCTION("""COMPUTED_VALUE"""),"VF")</f>
        <v>VF</v>
      </c>
      <c r="F1660" s="2">
        <f>IFERROR(__xludf.DUMMYFUNCTION("""COMPUTED_VALUE"""),1.0)</f>
        <v>1</v>
      </c>
      <c r="G1660" s="2" t="str">
        <f>IFERROR(__xludf.DUMMYFUNCTION("""COMPUTED_VALUE"""),"PR048")</f>
        <v>PR048</v>
      </c>
      <c r="H1660" s="2" t="str">
        <f>IFERROR(__xludf.DUMMYFUNCTION("""COMPUTED_VALUE"""),"VD043")</f>
        <v>VD043</v>
      </c>
      <c r="I1660" s="2">
        <f>IFERROR(__xludf.DUMMYFUNCTION("""COMPUTED_VALUE"""),9.0)</f>
        <v>9</v>
      </c>
      <c r="J1660" s="2">
        <f>IFERROR(__xludf.DUMMYFUNCTION("""COMPUTED_VALUE"""),2713.46)</f>
        <v>2713.46</v>
      </c>
      <c r="K1660" s="2">
        <f>IFERROR(__xludf.DUMMYFUNCTION("""COMPUTED_VALUE"""),2713.46)</f>
        <v>2713.46</v>
      </c>
    </row>
    <row r="1661">
      <c r="A1661" s="2">
        <f>IFERROR(__xludf.DUMMYFUNCTION("""COMPUTED_VALUE"""),1000.0)</f>
        <v>1000</v>
      </c>
      <c r="B1661" s="2">
        <f>IFERROR(__xludf.DUMMYFUNCTION("""COMPUTED_VALUE"""),184659.0)</f>
        <v>184659</v>
      </c>
      <c r="C1661" s="2">
        <f>IFERROR(__xludf.DUMMYFUNCTION("""COMPUTED_VALUE"""),2026.0)</f>
        <v>2026</v>
      </c>
      <c r="D1661" s="2">
        <f>IFERROR(__xludf.DUMMYFUNCTION("""COMPUTED_VALUE"""),46040.0)</f>
        <v>46040</v>
      </c>
      <c r="E1661" s="2" t="str">
        <f>IFERROR(__xludf.DUMMYFUNCTION("""COMPUTED_VALUE"""),"VF")</f>
        <v>VF</v>
      </c>
      <c r="F1661" s="2">
        <f>IFERROR(__xludf.DUMMYFUNCTION("""COMPUTED_VALUE"""),1.0)</f>
        <v>1</v>
      </c>
      <c r="G1661" s="2" t="str">
        <f>IFERROR(__xludf.DUMMYFUNCTION("""COMPUTED_VALUE"""),"PR004")</f>
        <v>PR004</v>
      </c>
      <c r="H1661" s="2" t="str">
        <f>IFERROR(__xludf.DUMMYFUNCTION("""COMPUTED_VALUE"""),"VD037")</f>
        <v>VD037</v>
      </c>
      <c r="I1661" s="2">
        <f>IFERROR(__xludf.DUMMYFUNCTION("""COMPUTED_VALUE"""),5.0)</f>
        <v>5</v>
      </c>
      <c r="J1661" s="2">
        <f>IFERROR(__xludf.DUMMYFUNCTION("""COMPUTED_VALUE"""),725.0)</f>
        <v>725</v>
      </c>
      <c r="K1661" s="2">
        <f>IFERROR(__xludf.DUMMYFUNCTION("""COMPUTED_VALUE"""),725.0)</f>
        <v>725</v>
      </c>
    </row>
    <row r="1662">
      <c r="A1662" s="2">
        <f>IFERROR(__xludf.DUMMYFUNCTION("""COMPUTED_VALUE"""),2000.0)</f>
        <v>2000</v>
      </c>
      <c r="B1662" s="2">
        <f>IFERROR(__xludf.DUMMYFUNCTION("""COMPUTED_VALUE"""),184660.0)</f>
        <v>184660</v>
      </c>
      <c r="C1662" s="2">
        <f>IFERROR(__xludf.DUMMYFUNCTION("""COMPUTED_VALUE"""),2026.0)</f>
        <v>2026</v>
      </c>
      <c r="D1662" s="2">
        <f>IFERROR(__xludf.DUMMYFUNCTION("""COMPUTED_VALUE"""),46039.0)</f>
        <v>46039</v>
      </c>
      <c r="E1662" s="2" t="str">
        <f>IFERROR(__xludf.DUMMYFUNCTION("""COMPUTED_VALUE"""),"VF")</f>
        <v>VF</v>
      </c>
      <c r="F1662" s="2">
        <f>IFERROR(__xludf.DUMMYFUNCTION("""COMPUTED_VALUE"""),1.0)</f>
        <v>1</v>
      </c>
      <c r="G1662" s="2" t="str">
        <f>IFERROR(__xludf.DUMMYFUNCTION("""COMPUTED_VALUE"""),"PR059")</f>
        <v>PR059</v>
      </c>
      <c r="H1662" s="2" t="str">
        <f>IFERROR(__xludf.DUMMYFUNCTION("""COMPUTED_VALUE"""),"VD049")</f>
        <v>VD049</v>
      </c>
      <c r="I1662" s="2">
        <f>IFERROR(__xludf.DUMMYFUNCTION("""COMPUTED_VALUE"""),5.0)</f>
        <v>5</v>
      </c>
      <c r="J1662" s="2">
        <f>IFERROR(__xludf.DUMMYFUNCTION("""COMPUTED_VALUE"""),945.0)</f>
        <v>945</v>
      </c>
      <c r="K1662" s="2">
        <f>IFERROR(__xludf.DUMMYFUNCTION("""COMPUTED_VALUE"""),945.0)</f>
        <v>945</v>
      </c>
    </row>
    <row r="1663">
      <c r="A1663" s="2">
        <f>IFERROR(__xludf.DUMMYFUNCTION("""COMPUTED_VALUE"""),1000.0)</f>
        <v>1000</v>
      </c>
      <c r="B1663" s="2">
        <f>IFERROR(__xludf.DUMMYFUNCTION("""COMPUTED_VALUE"""),184661.0)</f>
        <v>184661</v>
      </c>
      <c r="C1663" s="2">
        <f>IFERROR(__xludf.DUMMYFUNCTION("""COMPUTED_VALUE"""),2026.0)</f>
        <v>2026</v>
      </c>
      <c r="D1663" s="2">
        <f>IFERROR(__xludf.DUMMYFUNCTION("""COMPUTED_VALUE"""),46039.0)</f>
        <v>46039</v>
      </c>
      <c r="E1663" s="2" t="str">
        <f>IFERROR(__xludf.DUMMYFUNCTION("""COMPUTED_VALUE"""),"VF")</f>
        <v>VF</v>
      </c>
      <c r="F1663" s="2">
        <f>IFERROR(__xludf.DUMMYFUNCTION("""COMPUTED_VALUE"""),1.0)</f>
        <v>1</v>
      </c>
      <c r="G1663" s="2" t="str">
        <f>IFERROR(__xludf.DUMMYFUNCTION("""COMPUTED_VALUE"""),"PR005")</f>
        <v>PR005</v>
      </c>
      <c r="H1663" s="2" t="str">
        <f>IFERROR(__xludf.DUMMYFUNCTION("""COMPUTED_VALUE"""),"VD018")</f>
        <v>VD018</v>
      </c>
      <c r="I1663" s="2">
        <f>IFERROR(__xludf.DUMMYFUNCTION("""COMPUTED_VALUE"""),20.0)</f>
        <v>20</v>
      </c>
      <c r="J1663" s="2">
        <f>IFERROR(__xludf.DUMMYFUNCTION("""COMPUTED_VALUE"""),5717.8)</f>
        <v>5717.8</v>
      </c>
      <c r="K1663" s="2">
        <f>IFERROR(__xludf.DUMMYFUNCTION("""COMPUTED_VALUE"""),5717.8)</f>
        <v>5717.8</v>
      </c>
    </row>
    <row r="1664">
      <c r="A1664" s="2">
        <f>IFERROR(__xludf.DUMMYFUNCTION("""COMPUTED_VALUE"""),2000.0)</f>
        <v>2000</v>
      </c>
      <c r="B1664" s="2">
        <f>IFERROR(__xludf.DUMMYFUNCTION("""COMPUTED_VALUE"""),184662.0)</f>
        <v>184662</v>
      </c>
      <c r="C1664" s="2">
        <f>IFERROR(__xludf.DUMMYFUNCTION("""COMPUTED_VALUE"""),2026.0)</f>
        <v>2026</v>
      </c>
      <c r="D1664" s="2">
        <f>IFERROR(__xludf.DUMMYFUNCTION("""COMPUTED_VALUE"""),46039.0)</f>
        <v>46039</v>
      </c>
      <c r="E1664" s="2" t="str">
        <f>IFERROR(__xludf.DUMMYFUNCTION("""COMPUTED_VALUE"""),"VF")</f>
        <v>VF</v>
      </c>
      <c r="F1664" s="2">
        <f>IFERROR(__xludf.DUMMYFUNCTION("""COMPUTED_VALUE"""),1.0)</f>
        <v>1</v>
      </c>
      <c r="G1664" s="2" t="str">
        <f>IFERROR(__xludf.DUMMYFUNCTION("""COMPUTED_VALUE"""),"PR050")</f>
        <v>PR050</v>
      </c>
      <c r="H1664" s="2" t="str">
        <f>IFERROR(__xludf.DUMMYFUNCTION("""COMPUTED_VALUE"""),"VD010")</f>
        <v>VD010</v>
      </c>
      <c r="I1664" s="2">
        <f>IFERROR(__xludf.DUMMYFUNCTION("""COMPUTED_VALUE"""),10.0)</f>
        <v>10</v>
      </c>
      <c r="J1664" s="2">
        <f>IFERROR(__xludf.DUMMYFUNCTION("""COMPUTED_VALUE"""),342.16)</f>
        <v>342.16</v>
      </c>
      <c r="K1664" s="2">
        <f>IFERROR(__xludf.DUMMYFUNCTION("""COMPUTED_VALUE"""),342.16)</f>
        <v>342.16</v>
      </c>
    </row>
    <row r="1665">
      <c r="A1665" s="2">
        <f>IFERROR(__xludf.DUMMYFUNCTION("""COMPUTED_VALUE"""),1000.0)</f>
        <v>1000</v>
      </c>
      <c r="B1665" s="2">
        <f>IFERROR(__xludf.DUMMYFUNCTION("""COMPUTED_VALUE"""),184663.0)</f>
        <v>184663</v>
      </c>
      <c r="C1665" s="2">
        <f>IFERROR(__xludf.DUMMYFUNCTION("""COMPUTED_VALUE"""),2026.0)</f>
        <v>2026</v>
      </c>
      <c r="D1665" s="2">
        <f>IFERROR(__xludf.DUMMYFUNCTION("""COMPUTED_VALUE"""),46039.0)</f>
        <v>46039</v>
      </c>
      <c r="E1665" s="2" t="str">
        <f>IFERROR(__xludf.DUMMYFUNCTION("""COMPUTED_VALUE"""),"VF")</f>
        <v>VF</v>
      </c>
      <c r="F1665" s="2">
        <f>IFERROR(__xludf.DUMMYFUNCTION("""COMPUTED_VALUE"""),1.0)</f>
        <v>1</v>
      </c>
      <c r="G1665" s="2" t="str">
        <f>IFERROR(__xludf.DUMMYFUNCTION("""COMPUTED_VALUE"""),"PR033")</f>
        <v>PR033</v>
      </c>
      <c r="H1665" s="2" t="str">
        <f>IFERROR(__xludf.DUMMYFUNCTION("""COMPUTED_VALUE"""),"VD042")</f>
        <v>VD042</v>
      </c>
      <c r="I1665" s="2">
        <f>IFERROR(__xludf.DUMMYFUNCTION("""COMPUTED_VALUE"""),8.0)</f>
        <v>8</v>
      </c>
      <c r="J1665" s="2">
        <f>IFERROR(__xludf.DUMMYFUNCTION("""COMPUTED_VALUE"""),2079.2)</f>
        <v>2079.2</v>
      </c>
      <c r="K1665" s="2">
        <f>IFERROR(__xludf.DUMMYFUNCTION("""COMPUTED_VALUE"""),2079.2)</f>
        <v>2079.2</v>
      </c>
    </row>
    <row r="1666">
      <c r="A1666" s="2">
        <f>IFERROR(__xludf.DUMMYFUNCTION("""COMPUTED_VALUE"""),1000.0)</f>
        <v>1000</v>
      </c>
      <c r="B1666" s="2">
        <f>IFERROR(__xludf.DUMMYFUNCTION("""COMPUTED_VALUE"""),184664.0)</f>
        <v>184664</v>
      </c>
      <c r="C1666" s="2">
        <f>IFERROR(__xludf.DUMMYFUNCTION("""COMPUTED_VALUE"""),2026.0)</f>
        <v>2026</v>
      </c>
      <c r="D1666" s="2">
        <f>IFERROR(__xludf.DUMMYFUNCTION("""COMPUTED_VALUE"""),46039.0)</f>
        <v>46039</v>
      </c>
      <c r="E1666" s="2" t="str">
        <f>IFERROR(__xludf.DUMMYFUNCTION("""COMPUTED_VALUE"""),"VF")</f>
        <v>VF</v>
      </c>
      <c r="F1666" s="2">
        <f>IFERROR(__xludf.DUMMYFUNCTION("""COMPUTED_VALUE"""),1.0)</f>
        <v>1</v>
      </c>
      <c r="G1666" s="2" t="str">
        <f>IFERROR(__xludf.DUMMYFUNCTION("""COMPUTED_VALUE"""),"PR038")</f>
        <v>PR038</v>
      </c>
      <c r="H1666" s="2" t="str">
        <f>IFERROR(__xludf.DUMMYFUNCTION("""COMPUTED_VALUE"""),"VD027")</f>
        <v>VD027</v>
      </c>
      <c r="I1666" s="2">
        <f>IFERROR(__xludf.DUMMYFUNCTION("""COMPUTED_VALUE"""),14.0)</f>
        <v>14</v>
      </c>
      <c r="J1666" s="2">
        <f>IFERROR(__xludf.DUMMYFUNCTION("""COMPUTED_VALUE"""),2080.62)</f>
        <v>2080.62</v>
      </c>
      <c r="K1666" s="2">
        <f>IFERROR(__xludf.DUMMYFUNCTION("""COMPUTED_VALUE"""),2080.62)</f>
        <v>2080.62</v>
      </c>
    </row>
    <row r="1667">
      <c r="A1667" s="2">
        <f>IFERROR(__xludf.DUMMYFUNCTION("""COMPUTED_VALUE"""),1000.0)</f>
        <v>1000</v>
      </c>
      <c r="B1667" s="2">
        <f>IFERROR(__xludf.DUMMYFUNCTION("""COMPUTED_VALUE"""),184664.0)</f>
        <v>184664</v>
      </c>
      <c r="C1667" s="2">
        <f>IFERROR(__xludf.DUMMYFUNCTION("""COMPUTED_VALUE"""),2026.0)</f>
        <v>2026</v>
      </c>
      <c r="D1667" s="2">
        <f>IFERROR(__xludf.DUMMYFUNCTION("""COMPUTED_VALUE"""),46039.0)</f>
        <v>46039</v>
      </c>
      <c r="E1667" s="2" t="str">
        <f>IFERROR(__xludf.DUMMYFUNCTION("""COMPUTED_VALUE"""),"VF")</f>
        <v>VF</v>
      </c>
      <c r="F1667" s="2">
        <f>IFERROR(__xludf.DUMMYFUNCTION("""COMPUTED_VALUE"""),2.0)</f>
        <v>2</v>
      </c>
      <c r="G1667" s="2" t="str">
        <f>IFERROR(__xludf.DUMMYFUNCTION("""COMPUTED_VALUE"""),"PR032")</f>
        <v>PR032</v>
      </c>
      <c r="H1667" s="2" t="str">
        <f>IFERROR(__xludf.DUMMYFUNCTION("""COMPUTED_VALUE"""),"VD034")</f>
        <v>VD034</v>
      </c>
      <c r="I1667" s="2">
        <f>IFERROR(__xludf.DUMMYFUNCTION("""COMPUTED_VALUE"""),7.0)</f>
        <v>7</v>
      </c>
      <c r="J1667" s="2">
        <f>IFERROR(__xludf.DUMMYFUNCTION("""COMPUTED_VALUE"""),1907.5)</f>
        <v>1907.5</v>
      </c>
      <c r="K1667" s="2">
        <f>IFERROR(__xludf.DUMMYFUNCTION("""COMPUTED_VALUE"""),1907.5)</f>
        <v>1907.5</v>
      </c>
    </row>
    <row r="1668">
      <c r="A1668" s="2">
        <f>IFERROR(__xludf.DUMMYFUNCTION("""COMPUTED_VALUE"""),1000.0)</f>
        <v>1000</v>
      </c>
      <c r="B1668" s="2">
        <f>IFERROR(__xludf.DUMMYFUNCTION("""COMPUTED_VALUE"""),184665.0)</f>
        <v>184665</v>
      </c>
      <c r="C1668" s="2">
        <f>IFERROR(__xludf.DUMMYFUNCTION("""COMPUTED_VALUE"""),2026.0)</f>
        <v>2026</v>
      </c>
      <c r="D1668" s="2">
        <f>IFERROR(__xludf.DUMMYFUNCTION("""COMPUTED_VALUE"""),46038.0)</f>
        <v>46038</v>
      </c>
      <c r="E1668" s="2" t="str">
        <f>IFERROR(__xludf.DUMMYFUNCTION("""COMPUTED_VALUE"""),"VF")</f>
        <v>VF</v>
      </c>
      <c r="F1668" s="2">
        <f>IFERROR(__xludf.DUMMYFUNCTION("""COMPUTED_VALUE"""),1.0)</f>
        <v>1</v>
      </c>
      <c r="G1668" s="2" t="str">
        <f>IFERROR(__xludf.DUMMYFUNCTION("""COMPUTED_VALUE"""),"PR042")</f>
        <v>PR042</v>
      </c>
      <c r="H1668" s="2" t="str">
        <f>IFERROR(__xludf.DUMMYFUNCTION("""COMPUTED_VALUE"""),"VD012")</f>
        <v>VD012</v>
      </c>
      <c r="I1668" s="2">
        <f>IFERROR(__xludf.DUMMYFUNCTION("""COMPUTED_VALUE"""),2.0)</f>
        <v>2</v>
      </c>
      <c r="J1668" s="2">
        <f>IFERROR(__xludf.DUMMYFUNCTION("""COMPUTED_VALUE"""),109.8)</f>
        <v>109.8</v>
      </c>
      <c r="K1668" s="2">
        <f>IFERROR(__xludf.DUMMYFUNCTION("""COMPUTED_VALUE"""),109.8)</f>
        <v>109.8</v>
      </c>
    </row>
    <row r="1669">
      <c r="A1669" s="2">
        <f>IFERROR(__xludf.DUMMYFUNCTION("""COMPUTED_VALUE"""),1000.0)</f>
        <v>1000</v>
      </c>
      <c r="B1669" s="2">
        <f>IFERROR(__xludf.DUMMYFUNCTION("""COMPUTED_VALUE"""),184666.0)</f>
        <v>184666</v>
      </c>
      <c r="C1669" s="2">
        <f>IFERROR(__xludf.DUMMYFUNCTION("""COMPUTED_VALUE"""),2026.0)</f>
        <v>2026</v>
      </c>
      <c r="D1669" s="2">
        <f>IFERROR(__xludf.DUMMYFUNCTION("""COMPUTED_VALUE"""),46038.0)</f>
        <v>46038</v>
      </c>
      <c r="E1669" s="2" t="str">
        <f>IFERROR(__xludf.DUMMYFUNCTION("""COMPUTED_VALUE"""),"VF")</f>
        <v>VF</v>
      </c>
      <c r="F1669" s="2">
        <f>IFERROR(__xludf.DUMMYFUNCTION("""COMPUTED_VALUE"""),1.0)</f>
        <v>1</v>
      </c>
      <c r="G1669" s="2" t="str">
        <f>IFERROR(__xludf.DUMMYFUNCTION("""COMPUTED_VALUE"""),"PR017")</f>
        <v>PR017</v>
      </c>
      <c r="H1669" s="2" t="str">
        <f>IFERROR(__xludf.DUMMYFUNCTION("""COMPUTED_VALUE"""),"VD018")</f>
        <v>VD018</v>
      </c>
      <c r="I1669" s="2">
        <f>IFERROR(__xludf.DUMMYFUNCTION("""COMPUTED_VALUE"""),20.0)</f>
        <v>20</v>
      </c>
      <c r="J1669" s="2">
        <f>IFERROR(__xludf.DUMMYFUNCTION("""COMPUTED_VALUE"""),657.8)</f>
        <v>657.8</v>
      </c>
      <c r="K1669" s="2">
        <f>IFERROR(__xludf.DUMMYFUNCTION("""COMPUTED_VALUE"""),657.8)</f>
        <v>657.8</v>
      </c>
    </row>
    <row r="1670">
      <c r="A1670" s="2">
        <f>IFERROR(__xludf.DUMMYFUNCTION("""COMPUTED_VALUE"""),1000.0)</f>
        <v>1000</v>
      </c>
      <c r="B1670" s="2">
        <f>IFERROR(__xludf.DUMMYFUNCTION("""COMPUTED_VALUE"""),184667.0)</f>
        <v>184667</v>
      </c>
      <c r="C1670" s="2">
        <f>IFERROR(__xludf.DUMMYFUNCTION("""COMPUTED_VALUE"""),2026.0)</f>
        <v>2026</v>
      </c>
      <c r="D1670" s="2">
        <f>IFERROR(__xludf.DUMMYFUNCTION("""COMPUTED_VALUE"""),46038.0)</f>
        <v>46038</v>
      </c>
      <c r="E1670" s="2" t="str">
        <f>IFERROR(__xludf.DUMMYFUNCTION("""COMPUTED_VALUE"""),"VF")</f>
        <v>VF</v>
      </c>
      <c r="F1670" s="2">
        <f>IFERROR(__xludf.DUMMYFUNCTION("""COMPUTED_VALUE"""),1.0)</f>
        <v>1</v>
      </c>
      <c r="G1670" s="2" t="str">
        <f>IFERROR(__xludf.DUMMYFUNCTION("""COMPUTED_VALUE"""),"PR037")</f>
        <v>PR037</v>
      </c>
      <c r="H1670" s="2" t="str">
        <f>IFERROR(__xludf.DUMMYFUNCTION("""COMPUTED_VALUE"""),"VD013")</f>
        <v>VD013</v>
      </c>
      <c r="I1670" s="2">
        <f>IFERROR(__xludf.DUMMYFUNCTION("""COMPUTED_VALUE"""),10.0)</f>
        <v>10</v>
      </c>
      <c r="J1670" s="2">
        <f>IFERROR(__xludf.DUMMYFUNCTION("""COMPUTED_VALUE"""),1414.0)</f>
        <v>1414</v>
      </c>
      <c r="K1670" s="2">
        <f>IFERROR(__xludf.DUMMYFUNCTION("""COMPUTED_VALUE"""),1414.0)</f>
        <v>1414</v>
      </c>
    </row>
    <row r="1671">
      <c r="A1671" s="2">
        <f>IFERROR(__xludf.DUMMYFUNCTION("""COMPUTED_VALUE"""),1000.0)</f>
        <v>1000</v>
      </c>
      <c r="B1671" s="2">
        <f>IFERROR(__xludf.DUMMYFUNCTION("""COMPUTED_VALUE"""),184668.0)</f>
        <v>184668</v>
      </c>
      <c r="C1671" s="2">
        <f>IFERROR(__xludf.DUMMYFUNCTION("""COMPUTED_VALUE"""),2026.0)</f>
        <v>2026</v>
      </c>
      <c r="D1671" s="2">
        <f>IFERROR(__xludf.DUMMYFUNCTION("""COMPUTED_VALUE"""),46038.0)</f>
        <v>46038</v>
      </c>
      <c r="E1671" s="2" t="str">
        <f>IFERROR(__xludf.DUMMYFUNCTION("""COMPUTED_VALUE"""),"VF")</f>
        <v>VF</v>
      </c>
      <c r="F1671" s="2">
        <f>IFERROR(__xludf.DUMMYFUNCTION("""COMPUTED_VALUE"""),1.0)</f>
        <v>1</v>
      </c>
      <c r="G1671" s="2" t="str">
        <f>IFERROR(__xludf.DUMMYFUNCTION("""COMPUTED_VALUE"""),"PR041")</f>
        <v>PR041</v>
      </c>
      <c r="H1671" s="2" t="str">
        <f>IFERROR(__xludf.DUMMYFUNCTION("""COMPUTED_VALUE"""),"VD021")</f>
        <v>VD021</v>
      </c>
      <c r="I1671" s="2">
        <f>IFERROR(__xludf.DUMMYFUNCTION("""COMPUTED_VALUE"""),8.0)</f>
        <v>8</v>
      </c>
      <c r="J1671" s="2">
        <f>IFERROR(__xludf.DUMMYFUNCTION("""COMPUTED_VALUE"""),443.59)</f>
        <v>443.59</v>
      </c>
      <c r="K1671" s="2">
        <f>IFERROR(__xludf.DUMMYFUNCTION("""COMPUTED_VALUE"""),443.59)</f>
        <v>443.59</v>
      </c>
    </row>
    <row r="1672">
      <c r="A1672" s="2">
        <f>IFERROR(__xludf.DUMMYFUNCTION("""COMPUTED_VALUE"""),2000.0)</f>
        <v>2000</v>
      </c>
      <c r="B1672" s="2">
        <f>IFERROR(__xludf.DUMMYFUNCTION("""COMPUTED_VALUE"""),184669.0)</f>
        <v>184669</v>
      </c>
      <c r="C1672" s="2">
        <f>IFERROR(__xludf.DUMMYFUNCTION("""COMPUTED_VALUE"""),2026.0)</f>
        <v>2026</v>
      </c>
      <c r="D1672" s="2">
        <f>IFERROR(__xludf.DUMMYFUNCTION("""COMPUTED_VALUE"""),46037.0)</f>
        <v>46037</v>
      </c>
      <c r="E1672" s="2" t="str">
        <f>IFERROR(__xludf.DUMMYFUNCTION("""COMPUTED_VALUE"""),"VF")</f>
        <v>VF</v>
      </c>
      <c r="F1672" s="2">
        <f>IFERROR(__xludf.DUMMYFUNCTION("""COMPUTED_VALUE"""),1.0)</f>
        <v>1</v>
      </c>
      <c r="G1672" s="2" t="str">
        <f>IFERROR(__xludf.DUMMYFUNCTION("""COMPUTED_VALUE"""),"PR039")</f>
        <v>PR039</v>
      </c>
      <c r="H1672" s="2" t="str">
        <f>IFERROR(__xludf.DUMMYFUNCTION("""COMPUTED_VALUE"""),"VD032")</f>
        <v>VD032</v>
      </c>
      <c r="I1672" s="2">
        <f>IFERROR(__xludf.DUMMYFUNCTION("""COMPUTED_VALUE"""),8.0)</f>
        <v>8</v>
      </c>
      <c r="J1672" s="2">
        <f>IFERROR(__xludf.DUMMYFUNCTION("""COMPUTED_VALUE"""),1214.72)</f>
        <v>1214.72</v>
      </c>
      <c r="K1672" s="2">
        <f>IFERROR(__xludf.DUMMYFUNCTION("""COMPUTED_VALUE"""),1214.72)</f>
        <v>1214.72</v>
      </c>
    </row>
    <row r="1673">
      <c r="A1673" s="2">
        <f>IFERROR(__xludf.DUMMYFUNCTION("""COMPUTED_VALUE"""),1000.0)</f>
        <v>1000</v>
      </c>
      <c r="B1673" s="2">
        <f>IFERROR(__xludf.DUMMYFUNCTION("""COMPUTED_VALUE"""),184670.0)</f>
        <v>184670</v>
      </c>
      <c r="C1673" s="2">
        <f>IFERROR(__xludf.DUMMYFUNCTION("""COMPUTED_VALUE"""),2026.0)</f>
        <v>2026</v>
      </c>
      <c r="D1673" s="2">
        <f>IFERROR(__xludf.DUMMYFUNCTION("""COMPUTED_VALUE"""),46037.0)</f>
        <v>46037</v>
      </c>
      <c r="E1673" s="2" t="str">
        <f>IFERROR(__xludf.DUMMYFUNCTION("""COMPUTED_VALUE"""),"VF")</f>
        <v>VF</v>
      </c>
      <c r="F1673" s="2">
        <f>IFERROR(__xludf.DUMMYFUNCTION("""COMPUTED_VALUE"""),1.0)</f>
        <v>1</v>
      </c>
      <c r="G1673" s="2" t="str">
        <f>IFERROR(__xludf.DUMMYFUNCTION("""COMPUTED_VALUE"""),"PR043")</f>
        <v>PR043</v>
      </c>
      <c r="H1673" s="2" t="str">
        <f>IFERROR(__xludf.DUMMYFUNCTION("""COMPUTED_VALUE"""),"VD026")</f>
        <v>VD026</v>
      </c>
      <c r="I1673" s="2">
        <f>IFERROR(__xludf.DUMMYFUNCTION("""COMPUTED_VALUE"""),2.0)</f>
        <v>2</v>
      </c>
      <c r="J1673" s="2">
        <f>IFERROR(__xludf.DUMMYFUNCTION("""COMPUTED_VALUE"""),152.25)</f>
        <v>152.25</v>
      </c>
      <c r="K1673" s="2">
        <f>IFERROR(__xludf.DUMMYFUNCTION("""COMPUTED_VALUE"""),152.25)</f>
        <v>152.25</v>
      </c>
    </row>
    <row r="1674">
      <c r="A1674" s="2">
        <f>IFERROR(__xludf.DUMMYFUNCTION("""COMPUTED_VALUE"""),1000.0)</f>
        <v>1000</v>
      </c>
      <c r="B1674" s="2">
        <f>IFERROR(__xludf.DUMMYFUNCTION("""COMPUTED_VALUE"""),184670.0)</f>
        <v>184670</v>
      </c>
      <c r="C1674" s="2">
        <f>IFERROR(__xludf.DUMMYFUNCTION("""COMPUTED_VALUE"""),2026.0)</f>
        <v>2026</v>
      </c>
      <c r="D1674" s="2">
        <f>IFERROR(__xludf.DUMMYFUNCTION("""COMPUTED_VALUE"""),46037.0)</f>
        <v>46037</v>
      </c>
      <c r="E1674" s="2" t="str">
        <f>IFERROR(__xludf.DUMMYFUNCTION("""COMPUTED_VALUE"""),"VF")</f>
        <v>VF</v>
      </c>
      <c r="F1674" s="2">
        <f>IFERROR(__xludf.DUMMYFUNCTION("""COMPUTED_VALUE"""),2.0)</f>
        <v>2</v>
      </c>
      <c r="G1674" s="2" t="str">
        <f>IFERROR(__xludf.DUMMYFUNCTION("""COMPUTED_VALUE"""),"PR046")</f>
        <v>PR046</v>
      </c>
      <c r="H1674" s="2" t="str">
        <f>IFERROR(__xludf.DUMMYFUNCTION("""COMPUTED_VALUE"""),"VD038")</f>
        <v>VD038</v>
      </c>
      <c r="I1674" s="2">
        <f>IFERROR(__xludf.DUMMYFUNCTION("""COMPUTED_VALUE"""),8.0)</f>
        <v>8</v>
      </c>
      <c r="J1674" s="2">
        <f>IFERROR(__xludf.DUMMYFUNCTION("""COMPUTED_VALUE"""),2527.93)</f>
        <v>2527.93</v>
      </c>
      <c r="K1674" s="2">
        <f>IFERROR(__xludf.DUMMYFUNCTION("""COMPUTED_VALUE"""),2527.93)</f>
        <v>2527.93</v>
      </c>
    </row>
    <row r="1675">
      <c r="A1675" s="2">
        <f>IFERROR(__xludf.DUMMYFUNCTION("""COMPUTED_VALUE"""),1000.0)</f>
        <v>1000</v>
      </c>
      <c r="B1675" s="2">
        <f>IFERROR(__xludf.DUMMYFUNCTION("""COMPUTED_VALUE"""),184671.0)</f>
        <v>184671</v>
      </c>
      <c r="C1675" s="2">
        <f>IFERROR(__xludf.DUMMYFUNCTION("""COMPUTED_VALUE"""),2026.0)</f>
        <v>2026</v>
      </c>
      <c r="D1675" s="2">
        <f>IFERROR(__xludf.DUMMYFUNCTION("""COMPUTED_VALUE"""),46037.0)</f>
        <v>46037</v>
      </c>
      <c r="E1675" s="2" t="str">
        <f>IFERROR(__xludf.DUMMYFUNCTION("""COMPUTED_VALUE"""),"VF")</f>
        <v>VF</v>
      </c>
      <c r="F1675" s="2">
        <f>IFERROR(__xludf.DUMMYFUNCTION("""COMPUTED_VALUE"""),1.0)</f>
        <v>1</v>
      </c>
      <c r="G1675" s="2" t="str">
        <f>IFERROR(__xludf.DUMMYFUNCTION("""COMPUTED_VALUE"""),"PR006")</f>
        <v>PR006</v>
      </c>
      <c r="H1675" s="2" t="str">
        <f>IFERROR(__xludf.DUMMYFUNCTION("""COMPUTED_VALUE"""),"VD030")</f>
        <v>VD030</v>
      </c>
      <c r="I1675" s="2">
        <f>IFERROR(__xludf.DUMMYFUNCTION("""COMPUTED_VALUE"""),8.0)</f>
        <v>8</v>
      </c>
      <c r="J1675" s="2">
        <f>IFERROR(__xludf.DUMMYFUNCTION("""COMPUTED_VALUE"""),335.16)</f>
        <v>335.16</v>
      </c>
      <c r="K1675" s="2">
        <f>IFERROR(__xludf.DUMMYFUNCTION("""COMPUTED_VALUE"""),335.16)</f>
        <v>335.16</v>
      </c>
    </row>
    <row r="1676">
      <c r="A1676" s="2">
        <f>IFERROR(__xludf.DUMMYFUNCTION("""COMPUTED_VALUE"""),1000.0)</f>
        <v>1000</v>
      </c>
      <c r="B1676" s="2">
        <f>IFERROR(__xludf.DUMMYFUNCTION("""COMPUTED_VALUE"""),184672.0)</f>
        <v>184672</v>
      </c>
      <c r="C1676" s="2">
        <f>IFERROR(__xludf.DUMMYFUNCTION("""COMPUTED_VALUE"""),2026.0)</f>
        <v>2026</v>
      </c>
      <c r="D1676" s="2">
        <f>IFERROR(__xludf.DUMMYFUNCTION("""COMPUTED_VALUE"""),46037.0)</f>
        <v>46037</v>
      </c>
      <c r="E1676" s="2" t="str">
        <f>IFERROR(__xludf.DUMMYFUNCTION("""COMPUTED_VALUE"""),"VF")</f>
        <v>VF</v>
      </c>
      <c r="F1676" s="2">
        <f>IFERROR(__xludf.DUMMYFUNCTION("""COMPUTED_VALUE"""),1.0)</f>
        <v>1</v>
      </c>
      <c r="G1676" s="2" t="str">
        <f>IFERROR(__xludf.DUMMYFUNCTION("""COMPUTED_VALUE"""),"PR052")</f>
        <v>PR052</v>
      </c>
      <c r="H1676" s="2" t="str">
        <f>IFERROR(__xludf.DUMMYFUNCTION("""COMPUTED_VALUE"""),"VD032")</f>
        <v>VD032</v>
      </c>
      <c r="I1676" s="2">
        <f>IFERROR(__xludf.DUMMYFUNCTION("""COMPUTED_VALUE"""),1.0)</f>
        <v>1</v>
      </c>
      <c r="J1676" s="2">
        <f>IFERROR(__xludf.DUMMYFUNCTION("""COMPUTED_VALUE"""),50.4)</f>
        <v>50.4</v>
      </c>
      <c r="K1676" s="2">
        <f>IFERROR(__xludf.DUMMYFUNCTION("""COMPUTED_VALUE"""),50.4)</f>
        <v>50.4</v>
      </c>
    </row>
    <row r="1677">
      <c r="A1677" s="2">
        <f>IFERROR(__xludf.DUMMYFUNCTION("""COMPUTED_VALUE"""),1000.0)</f>
        <v>1000</v>
      </c>
      <c r="B1677" s="2">
        <f>IFERROR(__xludf.DUMMYFUNCTION("""COMPUTED_VALUE"""),184673.0)</f>
        <v>184673</v>
      </c>
      <c r="C1677" s="2">
        <f>IFERROR(__xludf.DUMMYFUNCTION("""COMPUTED_VALUE"""),2026.0)</f>
        <v>2026</v>
      </c>
      <c r="D1677" s="2">
        <f>IFERROR(__xludf.DUMMYFUNCTION("""COMPUTED_VALUE"""),46037.0)</f>
        <v>46037</v>
      </c>
      <c r="E1677" s="2" t="str">
        <f>IFERROR(__xludf.DUMMYFUNCTION("""COMPUTED_VALUE"""),"VF")</f>
        <v>VF</v>
      </c>
      <c r="F1677" s="2">
        <f>IFERROR(__xludf.DUMMYFUNCTION("""COMPUTED_VALUE"""),1.0)</f>
        <v>1</v>
      </c>
      <c r="G1677" s="2" t="str">
        <f>IFERROR(__xludf.DUMMYFUNCTION("""COMPUTED_VALUE"""),"PR057")</f>
        <v>PR057</v>
      </c>
      <c r="H1677" s="2" t="str">
        <f>IFERROR(__xludf.DUMMYFUNCTION("""COMPUTED_VALUE"""),"VD038")</f>
        <v>VD038</v>
      </c>
      <c r="I1677" s="2">
        <f>IFERROR(__xludf.DUMMYFUNCTION("""COMPUTED_VALUE"""),2.0)</f>
        <v>2</v>
      </c>
      <c r="J1677" s="2">
        <f>IFERROR(__xludf.DUMMYFUNCTION("""COMPUTED_VALUE"""),197.78)</f>
        <v>197.78</v>
      </c>
      <c r="K1677" s="2">
        <f>IFERROR(__xludf.DUMMYFUNCTION("""COMPUTED_VALUE"""),197.78)</f>
        <v>197.78</v>
      </c>
    </row>
    <row r="1678">
      <c r="A1678" s="2">
        <f>IFERROR(__xludf.DUMMYFUNCTION("""COMPUTED_VALUE"""),1000.0)</f>
        <v>1000</v>
      </c>
      <c r="B1678" s="2">
        <f>IFERROR(__xludf.DUMMYFUNCTION("""COMPUTED_VALUE"""),184674.0)</f>
        <v>184674</v>
      </c>
      <c r="C1678" s="2">
        <f>IFERROR(__xludf.DUMMYFUNCTION("""COMPUTED_VALUE"""),2026.0)</f>
        <v>2026</v>
      </c>
      <c r="D1678" s="2">
        <f>IFERROR(__xludf.DUMMYFUNCTION("""COMPUTED_VALUE"""),46036.0)</f>
        <v>46036</v>
      </c>
      <c r="E1678" s="2" t="str">
        <f>IFERROR(__xludf.DUMMYFUNCTION("""COMPUTED_VALUE"""),"VF")</f>
        <v>VF</v>
      </c>
      <c r="F1678" s="2">
        <f>IFERROR(__xludf.DUMMYFUNCTION("""COMPUTED_VALUE"""),1.0)</f>
        <v>1</v>
      </c>
      <c r="G1678" s="2" t="str">
        <f>IFERROR(__xludf.DUMMYFUNCTION("""COMPUTED_VALUE"""),"PR056")</f>
        <v>PR056</v>
      </c>
      <c r="H1678" s="2" t="str">
        <f>IFERROR(__xludf.DUMMYFUNCTION("""COMPUTED_VALUE"""),"VD020")</f>
        <v>VD020</v>
      </c>
      <c r="I1678" s="2">
        <f>IFERROR(__xludf.DUMMYFUNCTION("""COMPUTED_VALUE"""),6.0)</f>
        <v>6</v>
      </c>
      <c r="J1678" s="2">
        <f>IFERROR(__xludf.DUMMYFUNCTION("""COMPUTED_VALUE"""),587.95)</f>
        <v>587.95</v>
      </c>
      <c r="K1678" s="2">
        <f>IFERROR(__xludf.DUMMYFUNCTION("""COMPUTED_VALUE"""),587.95)</f>
        <v>587.95</v>
      </c>
    </row>
    <row r="1679">
      <c r="A1679" s="2">
        <f>IFERROR(__xludf.DUMMYFUNCTION("""COMPUTED_VALUE"""),1000.0)</f>
        <v>1000</v>
      </c>
      <c r="B1679" s="2">
        <f>IFERROR(__xludf.DUMMYFUNCTION("""COMPUTED_VALUE"""),184674.0)</f>
        <v>184674</v>
      </c>
      <c r="C1679" s="2">
        <f>IFERROR(__xludf.DUMMYFUNCTION("""COMPUTED_VALUE"""),2026.0)</f>
        <v>2026</v>
      </c>
      <c r="D1679" s="2">
        <f>IFERROR(__xludf.DUMMYFUNCTION("""COMPUTED_VALUE"""),46036.0)</f>
        <v>46036</v>
      </c>
      <c r="E1679" s="2" t="str">
        <f>IFERROR(__xludf.DUMMYFUNCTION("""COMPUTED_VALUE"""),"VF")</f>
        <v>VF</v>
      </c>
      <c r="F1679" s="2">
        <f>IFERROR(__xludf.DUMMYFUNCTION("""COMPUTED_VALUE"""),2.0)</f>
        <v>2</v>
      </c>
      <c r="G1679" s="2" t="str">
        <f>IFERROR(__xludf.DUMMYFUNCTION("""COMPUTED_VALUE"""),"PR024")</f>
        <v>PR024</v>
      </c>
      <c r="H1679" s="2" t="str">
        <f>IFERROR(__xludf.DUMMYFUNCTION("""COMPUTED_VALUE"""),"VD049")</f>
        <v>VD049</v>
      </c>
      <c r="I1679" s="2">
        <f>IFERROR(__xludf.DUMMYFUNCTION("""COMPUTED_VALUE"""),3.0)</f>
        <v>3</v>
      </c>
      <c r="J1679" s="2">
        <f>IFERROR(__xludf.DUMMYFUNCTION("""COMPUTED_VALUE"""),810.89)</f>
        <v>810.89</v>
      </c>
      <c r="K1679" s="2">
        <f>IFERROR(__xludf.DUMMYFUNCTION("""COMPUTED_VALUE"""),810.89)</f>
        <v>810.89</v>
      </c>
    </row>
    <row r="1680">
      <c r="A1680" s="2">
        <f>IFERROR(__xludf.DUMMYFUNCTION("""COMPUTED_VALUE"""),1000.0)</f>
        <v>1000</v>
      </c>
      <c r="B1680" s="2">
        <f>IFERROR(__xludf.DUMMYFUNCTION("""COMPUTED_VALUE"""),184675.0)</f>
        <v>184675</v>
      </c>
      <c r="C1680" s="2">
        <f>IFERROR(__xludf.DUMMYFUNCTION("""COMPUTED_VALUE"""),2026.0)</f>
        <v>2026</v>
      </c>
      <c r="D1680" s="2">
        <f>IFERROR(__xludf.DUMMYFUNCTION("""COMPUTED_VALUE"""),46036.0)</f>
        <v>46036</v>
      </c>
      <c r="E1680" s="2" t="str">
        <f>IFERROR(__xludf.DUMMYFUNCTION("""COMPUTED_VALUE"""),"VF")</f>
        <v>VF</v>
      </c>
      <c r="F1680" s="2">
        <f>IFERROR(__xludf.DUMMYFUNCTION("""COMPUTED_VALUE"""),1.0)</f>
        <v>1</v>
      </c>
      <c r="G1680" s="2" t="str">
        <f>IFERROR(__xludf.DUMMYFUNCTION("""COMPUTED_VALUE"""),"PR036")</f>
        <v>PR036</v>
      </c>
      <c r="H1680" s="2" t="str">
        <f>IFERROR(__xludf.DUMMYFUNCTION("""COMPUTED_VALUE"""),"VD021")</f>
        <v>VD021</v>
      </c>
      <c r="I1680" s="2">
        <f>IFERROR(__xludf.DUMMYFUNCTION("""COMPUTED_VALUE"""),2.0)</f>
        <v>2</v>
      </c>
      <c r="J1680" s="2">
        <f>IFERROR(__xludf.DUMMYFUNCTION("""COMPUTED_VALUE"""),198.22)</f>
        <v>198.22</v>
      </c>
      <c r="K1680" s="2">
        <f>IFERROR(__xludf.DUMMYFUNCTION("""COMPUTED_VALUE"""),198.22)</f>
        <v>198.22</v>
      </c>
    </row>
    <row r="1681">
      <c r="A1681" s="2">
        <f>IFERROR(__xludf.DUMMYFUNCTION("""COMPUTED_VALUE"""),2000.0)</f>
        <v>2000</v>
      </c>
      <c r="B1681" s="2">
        <f>IFERROR(__xludf.DUMMYFUNCTION("""COMPUTED_VALUE"""),184676.0)</f>
        <v>184676</v>
      </c>
      <c r="C1681" s="2">
        <f>IFERROR(__xludf.DUMMYFUNCTION("""COMPUTED_VALUE"""),2026.0)</f>
        <v>2026</v>
      </c>
      <c r="D1681" s="2">
        <f>IFERROR(__xludf.DUMMYFUNCTION("""COMPUTED_VALUE"""),46036.0)</f>
        <v>46036</v>
      </c>
      <c r="E1681" s="2" t="str">
        <f>IFERROR(__xludf.DUMMYFUNCTION("""COMPUTED_VALUE"""),"VF")</f>
        <v>VF</v>
      </c>
      <c r="F1681" s="2">
        <f>IFERROR(__xludf.DUMMYFUNCTION("""COMPUTED_VALUE"""),1.0)</f>
        <v>1</v>
      </c>
      <c r="G1681" s="2" t="str">
        <f>IFERROR(__xludf.DUMMYFUNCTION("""COMPUTED_VALUE"""),"PR024")</f>
        <v>PR024</v>
      </c>
      <c r="H1681" s="2" t="str">
        <f>IFERROR(__xludf.DUMMYFUNCTION("""COMPUTED_VALUE"""),"VD031")</f>
        <v>VD031</v>
      </c>
      <c r="I1681" s="2">
        <f>IFERROR(__xludf.DUMMYFUNCTION("""COMPUTED_VALUE"""),4.0)</f>
        <v>4</v>
      </c>
      <c r="J1681" s="2">
        <f>IFERROR(__xludf.DUMMYFUNCTION("""COMPUTED_VALUE"""),1101.98)</f>
        <v>1101.98</v>
      </c>
      <c r="K1681" s="2">
        <f>IFERROR(__xludf.DUMMYFUNCTION("""COMPUTED_VALUE"""),1101.98)</f>
        <v>1101.98</v>
      </c>
    </row>
    <row r="1682">
      <c r="A1682" s="2">
        <f>IFERROR(__xludf.DUMMYFUNCTION("""COMPUTED_VALUE"""),2000.0)</f>
        <v>2000</v>
      </c>
      <c r="B1682" s="2">
        <f>IFERROR(__xludf.DUMMYFUNCTION("""COMPUTED_VALUE"""),184677.0)</f>
        <v>184677</v>
      </c>
      <c r="C1682" s="2">
        <f>IFERROR(__xludf.DUMMYFUNCTION("""COMPUTED_VALUE"""),2026.0)</f>
        <v>2026</v>
      </c>
      <c r="D1682" s="2">
        <f>IFERROR(__xludf.DUMMYFUNCTION("""COMPUTED_VALUE"""),46035.0)</f>
        <v>46035</v>
      </c>
      <c r="E1682" s="2" t="str">
        <f>IFERROR(__xludf.DUMMYFUNCTION("""COMPUTED_VALUE"""),"VF")</f>
        <v>VF</v>
      </c>
      <c r="F1682" s="2">
        <f>IFERROR(__xludf.DUMMYFUNCTION("""COMPUTED_VALUE"""),1.0)</f>
        <v>1</v>
      </c>
      <c r="G1682" s="2" t="str">
        <f>IFERROR(__xludf.DUMMYFUNCTION("""COMPUTED_VALUE"""),"PR011")</f>
        <v>PR011</v>
      </c>
      <c r="H1682" s="2" t="str">
        <f>IFERROR(__xludf.DUMMYFUNCTION("""COMPUTED_VALUE"""),"VD019")</f>
        <v>VD019</v>
      </c>
      <c r="I1682" s="2">
        <f>IFERROR(__xludf.DUMMYFUNCTION("""COMPUTED_VALUE"""),20.0)</f>
        <v>20</v>
      </c>
      <c r="J1682" s="2">
        <f>IFERROR(__xludf.DUMMYFUNCTION("""COMPUTED_VALUE"""),938.0)</f>
        <v>938</v>
      </c>
      <c r="K1682" s="2">
        <f>IFERROR(__xludf.DUMMYFUNCTION("""COMPUTED_VALUE"""),938.0)</f>
        <v>938</v>
      </c>
    </row>
    <row r="1683">
      <c r="A1683" s="2">
        <f>IFERROR(__xludf.DUMMYFUNCTION("""COMPUTED_VALUE"""),2000.0)</f>
        <v>2000</v>
      </c>
      <c r="B1683" s="2">
        <f>IFERROR(__xludf.DUMMYFUNCTION("""COMPUTED_VALUE"""),184678.0)</f>
        <v>184678</v>
      </c>
      <c r="C1683" s="2">
        <f>IFERROR(__xludf.DUMMYFUNCTION("""COMPUTED_VALUE"""),2026.0)</f>
        <v>2026</v>
      </c>
      <c r="D1683" s="2">
        <f>IFERROR(__xludf.DUMMYFUNCTION("""COMPUTED_VALUE"""),46035.0)</f>
        <v>46035</v>
      </c>
      <c r="E1683" s="2" t="str">
        <f>IFERROR(__xludf.DUMMYFUNCTION("""COMPUTED_VALUE"""),"VF")</f>
        <v>VF</v>
      </c>
      <c r="F1683" s="2">
        <f>IFERROR(__xludf.DUMMYFUNCTION("""COMPUTED_VALUE"""),1.0)</f>
        <v>1</v>
      </c>
      <c r="G1683" s="2" t="str">
        <f>IFERROR(__xludf.DUMMYFUNCTION("""COMPUTED_VALUE"""),"PR019")</f>
        <v>PR019</v>
      </c>
      <c r="H1683" s="2" t="str">
        <f>IFERROR(__xludf.DUMMYFUNCTION("""COMPUTED_VALUE"""),"VD012")</f>
        <v>VD012</v>
      </c>
      <c r="I1683" s="2">
        <f>IFERROR(__xludf.DUMMYFUNCTION("""COMPUTED_VALUE"""),10.0)</f>
        <v>10</v>
      </c>
      <c r="J1683" s="2">
        <f>IFERROR(__xludf.DUMMYFUNCTION("""COMPUTED_VALUE"""),533.93)</f>
        <v>533.93</v>
      </c>
      <c r="K1683" s="2">
        <f>IFERROR(__xludf.DUMMYFUNCTION("""COMPUTED_VALUE"""),533.93)</f>
        <v>533.93</v>
      </c>
    </row>
    <row r="1684">
      <c r="A1684" s="2">
        <f>IFERROR(__xludf.DUMMYFUNCTION("""COMPUTED_VALUE"""),2000.0)</f>
        <v>2000</v>
      </c>
      <c r="B1684" s="2">
        <f>IFERROR(__xludf.DUMMYFUNCTION("""COMPUTED_VALUE"""),184679.0)</f>
        <v>184679</v>
      </c>
      <c r="C1684" s="2">
        <f>IFERROR(__xludf.DUMMYFUNCTION("""COMPUTED_VALUE"""),2026.0)</f>
        <v>2026</v>
      </c>
      <c r="D1684" s="2">
        <f>IFERROR(__xludf.DUMMYFUNCTION("""COMPUTED_VALUE"""),46035.0)</f>
        <v>46035</v>
      </c>
      <c r="E1684" s="2" t="str">
        <f>IFERROR(__xludf.DUMMYFUNCTION("""COMPUTED_VALUE"""),"VF")</f>
        <v>VF</v>
      </c>
      <c r="F1684" s="2">
        <f>IFERROR(__xludf.DUMMYFUNCTION("""COMPUTED_VALUE"""),1.0)</f>
        <v>1</v>
      </c>
      <c r="G1684" s="2" t="str">
        <f>IFERROR(__xludf.DUMMYFUNCTION("""COMPUTED_VALUE"""),"PR058")</f>
        <v>PR058</v>
      </c>
      <c r="H1684" s="2" t="str">
        <f>IFERROR(__xludf.DUMMYFUNCTION("""COMPUTED_VALUE"""),"VD019")</f>
        <v>VD019</v>
      </c>
      <c r="I1684" s="2">
        <f>IFERROR(__xludf.DUMMYFUNCTION("""COMPUTED_VALUE"""),7.0)</f>
        <v>7</v>
      </c>
      <c r="J1684" s="2">
        <f>IFERROR(__xludf.DUMMYFUNCTION("""COMPUTED_VALUE"""),1386.0)</f>
        <v>1386</v>
      </c>
      <c r="K1684" s="2">
        <f>IFERROR(__xludf.DUMMYFUNCTION("""COMPUTED_VALUE"""),1386.0)</f>
        <v>1386</v>
      </c>
    </row>
    <row r="1685">
      <c r="A1685" s="2">
        <f>IFERROR(__xludf.DUMMYFUNCTION("""COMPUTED_VALUE"""),1000.0)</f>
        <v>1000</v>
      </c>
      <c r="B1685" s="2">
        <f>IFERROR(__xludf.DUMMYFUNCTION("""COMPUTED_VALUE"""),184680.0)</f>
        <v>184680</v>
      </c>
      <c r="C1685" s="2">
        <f>IFERROR(__xludf.DUMMYFUNCTION("""COMPUTED_VALUE"""),2026.0)</f>
        <v>2026</v>
      </c>
      <c r="D1685" s="2">
        <f>IFERROR(__xludf.DUMMYFUNCTION("""COMPUTED_VALUE"""),46034.0)</f>
        <v>46034</v>
      </c>
      <c r="E1685" s="2" t="str">
        <f>IFERROR(__xludf.DUMMYFUNCTION("""COMPUTED_VALUE"""),"VF")</f>
        <v>VF</v>
      </c>
      <c r="F1685" s="2">
        <f>IFERROR(__xludf.DUMMYFUNCTION("""COMPUTED_VALUE"""),1.0)</f>
        <v>1</v>
      </c>
      <c r="G1685" s="2" t="str">
        <f>IFERROR(__xludf.DUMMYFUNCTION("""COMPUTED_VALUE"""),"PR034")</f>
        <v>PR034</v>
      </c>
      <c r="H1685" s="2" t="str">
        <f>IFERROR(__xludf.DUMMYFUNCTION("""COMPUTED_VALUE"""),"VD039")</f>
        <v>VD039</v>
      </c>
      <c r="I1685" s="2">
        <f>IFERROR(__xludf.DUMMYFUNCTION("""COMPUTED_VALUE"""),16.0)</f>
        <v>16</v>
      </c>
      <c r="J1685" s="2">
        <f>IFERROR(__xludf.DUMMYFUNCTION("""COMPUTED_VALUE"""),1524.7)</f>
        <v>1524.7</v>
      </c>
      <c r="K1685" s="2">
        <f>IFERROR(__xludf.DUMMYFUNCTION("""COMPUTED_VALUE"""),1524.7)</f>
        <v>1524.7</v>
      </c>
    </row>
    <row r="1686">
      <c r="A1686" s="2">
        <f>IFERROR(__xludf.DUMMYFUNCTION("""COMPUTED_VALUE"""),1000.0)</f>
        <v>1000</v>
      </c>
      <c r="B1686" s="2">
        <f>IFERROR(__xludf.DUMMYFUNCTION("""COMPUTED_VALUE"""),184681.0)</f>
        <v>184681</v>
      </c>
      <c r="C1686" s="2">
        <f>IFERROR(__xludf.DUMMYFUNCTION("""COMPUTED_VALUE"""),2026.0)</f>
        <v>2026</v>
      </c>
      <c r="D1686" s="2">
        <f>IFERROR(__xludf.DUMMYFUNCTION("""COMPUTED_VALUE"""),46034.0)</f>
        <v>46034</v>
      </c>
      <c r="E1686" s="2" t="str">
        <f>IFERROR(__xludf.DUMMYFUNCTION("""COMPUTED_VALUE"""),"VF")</f>
        <v>VF</v>
      </c>
      <c r="F1686" s="2">
        <f>IFERROR(__xludf.DUMMYFUNCTION("""COMPUTED_VALUE"""),1.0)</f>
        <v>1</v>
      </c>
      <c r="G1686" s="2" t="str">
        <f>IFERROR(__xludf.DUMMYFUNCTION("""COMPUTED_VALUE"""),"PR043")</f>
        <v>PR043</v>
      </c>
      <c r="H1686" s="2" t="str">
        <f>IFERROR(__xludf.DUMMYFUNCTION("""COMPUTED_VALUE"""),"VD046")</f>
        <v>VD046</v>
      </c>
      <c r="I1686" s="2">
        <f>IFERROR(__xludf.DUMMYFUNCTION("""COMPUTED_VALUE"""),3.0)</f>
        <v>3</v>
      </c>
      <c r="J1686" s="2">
        <f>IFERROR(__xludf.DUMMYFUNCTION("""COMPUTED_VALUE"""),230.55)</f>
        <v>230.55</v>
      </c>
      <c r="K1686" s="2">
        <f>IFERROR(__xludf.DUMMYFUNCTION("""COMPUTED_VALUE"""),230.55)</f>
        <v>230.55</v>
      </c>
    </row>
    <row r="1687">
      <c r="A1687" s="2">
        <f>IFERROR(__xludf.DUMMYFUNCTION("""COMPUTED_VALUE"""),1000.0)</f>
        <v>1000</v>
      </c>
      <c r="B1687" s="2">
        <f>IFERROR(__xludf.DUMMYFUNCTION("""COMPUTED_VALUE"""),184682.0)</f>
        <v>184682</v>
      </c>
      <c r="C1687" s="2">
        <f>IFERROR(__xludf.DUMMYFUNCTION("""COMPUTED_VALUE"""),2026.0)</f>
        <v>2026</v>
      </c>
      <c r="D1687" s="2">
        <f>IFERROR(__xludf.DUMMYFUNCTION("""COMPUTED_VALUE"""),46034.0)</f>
        <v>46034</v>
      </c>
      <c r="E1687" s="2" t="str">
        <f>IFERROR(__xludf.DUMMYFUNCTION("""COMPUTED_VALUE"""),"VF")</f>
        <v>VF</v>
      </c>
      <c r="F1687" s="2">
        <f>IFERROR(__xludf.DUMMYFUNCTION("""COMPUTED_VALUE"""),1.0)</f>
        <v>1</v>
      </c>
      <c r="G1687" s="2" t="str">
        <f>IFERROR(__xludf.DUMMYFUNCTION("""COMPUTED_VALUE"""),"PR052")</f>
        <v>PR052</v>
      </c>
      <c r="H1687" s="2" t="str">
        <f>IFERROR(__xludf.DUMMYFUNCTION("""COMPUTED_VALUE"""),"VD045")</f>
        <v>VD045</v>
      </c>
      <c r="I1687" s="2">
        <f>IFERROR(__xludf.DUMMYFUNCTION("""COMPUTED_VALUE"""),3.0)</f>
        <v>3</v>
      </c>
      <c r="J1687" s="2">
        <f>IFERROR(__xludf.DUMMYFUNCTION("""COMPUTED_VALUE"""),163.17)</f>
        <v>163.17</v>
      </c>
      <c r="K1687" s="2">
        <f>IFERROR(__xludf.DUMMYFUNCTION("""COMPUTED_VALUE"""),163.17)</f>
        <v>163.17</v>
      </c>
    </row>
    <row r="1688">
      <c r="A1688" s="2">
        <f>IFERROR(__xludf.DUMMYFUNCTION("""COMPUTED_VALUE"""),1000.0)</f>
        <v>1000</v>
      </c>
      <c r="B1688" s="2">
        <f>IFERROR(__xludf.DUMMYFUNCTION("""COMPUTED_VALUE"""),184683.0)</f>
        <v>184683</v>
      </c>
      <c r="C1688" s="2">
        <f>IFERROR(__xludf.DUMMYFUNCTION("""COMPUTED_VALUE"""),2026.0)</f>
        <v>2026</v>
      </c>
      <c r="D1688" s="2">
        <f>IFERROR(__xludf.DUMMYFUNCTION("""COMPUTED_VALUE"""),46034.0)</f>
        <v>46034</v>
      </c>
      <c r="E1688" s="2" t="str">
        <f>IFERROR(__xludf.DUMMYFUNCTION("""COMPUTED_VALUE"""),"VF")</f>
        <v>VF</v>
      </c>
      <c r="F1688" s="2">
        <f>IFERROR(__xludf.DUMMYFUNCTION("""COMPUTED_VALUE"""),1.0)</f>
        <v>1</v>
      </c>
      <c r="G1688" s="2" t="str">
        <f>IFERROR(__xludf.DUMMYFUNCTION("""COMPUTED_VALUE"""),"PR054")</f>
        <v>PR054</v>
      </c>
      <c r="H1688" s="2" t="str">
        <f>IFERROR(__xludf.DUMMYFUNCTION("""COMPUTED_VALUE"""),"VD041")</f>
        <v>VD041</v>
      </c>
      <c r="I1688" s="2">
        <f>IFERROR(__xludf.DUMMYFUNCTION("""COMPUTED_VALUE"""),12.0)</f>
        <v>12</v>
      </c>
      <c r="J1688" s="2">
        <f>IFERROR(__xludf.DUMMYFUNCTION("""COMPUTED_VALUE"""),622.75)</f>
        <v>622.75</v>
      </c>
      <c r="K1688" s="2">
        <f>IFERROR(__xludf.DUMMYFUNCTION("""COMPUTED_VALUE"""),622.75)</f>
        <v>622.75</v>
      </c>
    </row>
    <row r="1689">
      <c r="A1689" s="2">
        <f>IFERROR(__xludf.DUMMYFUNCTION("""COMPUTED_VALUE"""),1000.0)</f>
        <v>1000</v>
      </c>
      <c r="B1689" s="2">
        <f>IFERROR(__xludf.DUMMYFUNCTION("""COMPUTED_VALUE"""),184684.0)</f>
        <v>184684</v>
      </c>
      <c r="C1689" s="2">
        <f>IFERROR(__xludf.DUMMYFUNCTION("""COMPUTED_VALUE"""),2026.0)</f>
        <v>2026</v>
      </c>
      <c r="D1689" s="2">
        <f>IFERROR(__xludf.DUMMYFUNCTION("""COMPUTED_VALUE"""),46034.0)</f>
        <v>46034</v>
      </c>
      <c r="E1689" s="2" t="str">
        <f>IFERROR(__xludf.DUMMYFUNCTION("""COMPUTED_VALUE"""),"VF")</f>
        <v>VF</v>
      </c>
      <c r="F1689" s="2">
        <f>IFERROR(__xludf.DUMMYFUNCTION("""COMPUTED_VALUE"""),1.0)</f>
        <v>1</v>
      </c>
      <c r="G1689" s="2" t="str">
        <f>IFERROR(__xludf.DUMMYFUNCTION("""COMPUTED_VALUE"""),"PR059")</f>
        <v>PR059</v>
      </c>
      <c r="H1689" s="2" t="str">
        <f>IFERROR(__xludf.DUMMYFUNCTION("""COMPUTED_VALUE"""),"VD014")</f>
        <v>VD014</v>
      </c>
      <c r="I1689" s="2">
        <f>IFERROR(__xludf.DUMMYFUNCTION("""COMPUTED_VALUE"""),7.0)</f>
        <v>7</v>
      </c>
      <c r="J1689" s="2">
        <f>IFERROR(__xludf.DUMMYFUNCTION("""COMPUTED_VALUE"""),1310.4)</f>
        <v>1310.4</v>
      </c>
      <c r="K1689" s="2">
        <f>IFERROR(__xludf.DUMMYFUNCTION("""COMPUTED_VALUE"""),1310.4)</f>
        <v>1310.4</v>
      </c>
    </row>
    <row r="1690">
      <c r="A1690" s="2">
        <f>IFERROR(__xludf.DUMMYFUNCTION("""COMPUTED_VALUE"""),1000.0)</f>
        <v>1000</v>
      </c>
      <c r="B1690" s="2">
        <f>IFERROR(__xludf.DUMMYFUNCTION("""COMPUTED_VALUE"""),184685.0)</f>
        <v>184685</v>
      </c>
      <c r="C1690" s="2">
        <f>IFERROR(__xludf.DUMMYFUNCTION("""COMPUTED_VALUE"""),2026.0)</f>
        <v>2026</v>
      </c>
      <c r="D1690" s="2">
        <f>IFERROR(__xludf.DUMMYFUNCTION("""COMPUTED_VALUE"""),46033.0)</f>
        <v>46033</v>
      </c>
      <c r="E1690" s="2" t="str">
        <f>IFERROR(__xludf.DUMMYFUNCTION("""COMPUTED_VALUE"""),"VF")</f>
        <v>VF</v>
      </c>
      <c r="F1690" s="2">
        <f>IFERROR(__xludf.DUMMYFUNCTION("""COMPUTED_VALUE"""),1.0)</f>
        <v>1</v>
      </c>
      <c r="G1690" s="2" t="str">
        <f>IFERROR(__xludf.DUMMYFUNCTION("""COMPUTED_VALUE"""),"PR020")</f>
        <v>PR020</v>
      </c>
      <c r="H1690" s="2" t="str">
        <f>IFERROR(__xludf.DUMMYFUNCTION("""COMPUTED_VALUE"""),"VD036")</f>
        <v>VD036</v>
      </c>
      <c r="I1690" s="2">
        <f>IFERROR(__xludf.DUMMYFUNCTION("""COMPUTED_VALUE"""),20.0)</f>
        <v>20</v>
      </c>
      <c r="J1690" s="2">
        <f>IFERROR(__xludf.DUMMYFUNCTION("""COMPUTED_VALUE"""),6357.88)</f>
        <v>6357.88</v>
      </c>
      <c r="K1690" s="2">
        <f>IFERROR(__xludf.DUMMYFUNCTION("""COMPUTED_VALUE"""),6357.88)</f>
        <v>6357.88</v>
      </c>
    </row>
    <row r="1691">
      <c r="A1691" s="2">
        <f>IFERROR(__xludf.DUMMYFUNCTION("""COMPUTED_VALUE"""),1000.0)</f>
        <v>1000</v>
      </c>
      <c r="B1691" s="2">
        <f>IFERROR(__xludf.DUMMYFUNCTION("""COMPUTED_VALUE"""),184685.0)</f>
        <v>184685</v>
      </c>
      <c r="C1691" s="2">
        <f>IFERROR(__xludf.DUMMYFUNCTION("""COMPUTED_VALUE"""),2026.0)</f>
        <v>2026</v>
      </c>
      <c r="D1691" s="2">
        <f>IFERROR(__xludf.DUMMYFUNCTION("""COMPUTED_VALUE"""),46033.0)</f>
        <v>46033</v>
      </c>
      <c r="E1691" s="2" t="str">
        <f>IFERROR(__xludf.DUMMYFUNCTION("""COMPUTED_VALUE"""),"VF")</f>
        <v>VF</v>
      </c>
      <c r="F1691" s="2">
        <f>IFERROR(__xludf.DUMMYFUNCTION("""COMPUTED_VALUE"""),2.0)</f>
        <v>2</v>
      </c>
      <c r="G1691" s="2" t="str">
        <f>IFERROR(__xludf.DUMMYFUNCTION("""COMPUTED_VALUE"""),"PR017")</f>
        <v>PR017</v>
      </c>
      <c r="H1691" s="2" t="str">
        <f>IFERROR(__xludf.DUMMYFUNCTION("""COMPUTED_VALUE"""),"VD027")</f>
        <v>VD027</v>
      </c>
      <c r="I1691" s="2">
        <f>IFERROR(__xludf.DUMMYFUNCTION("""COMPUTED_VALUE"""),12.0)</f>
        <v>12</v>
      </c>
      <c r="J1691" s="2">
        <f>IFERROR(__xludf.DUMMYFUNCTION("""COMPUTED_VALUE"""),391.09)</f>
        <v>391.09</v>
      </c>
      <c r="K1691" s="2">
        <f>IFERROR(__xludf.DUMMYFUNCTION("""COMPUTED_VALUE"""),391.09)</f>
        <v>391.09</v>
      </c>
    </row>
    <row r="1692">
      <c r="A1692" s="2">
        <f>IFERROR(__xludf.DUMMYFUNCTION("""COMPUTED_VALUE"""),1000.0)</f>
        <v>1000</v>
      </c>
      <c r="B1692" s="2">
        <f>IFERROR(__xludf.DUMMYFUNCTION("""COMPUTED_VALUE"""),184686.0)</f>
        <v>184686</v>
      </c>
      <c r="C1692" s="2">
        <f>IFERROR(__xludf.DUMMYFUNCTION("""COMPUTED_VALUE"""),2026.0)</f>
        <v>2026</v>
      </c>
      <c r="D1692" s="2">
        <f>IFERROR(__xludf.DUMMYFUNCTION("""COMPUTED_VALUE"""),46033.0)</f>
        <v>46033</v>
      </c>
      <c r="E1692" s="2" t="str">
        <f>IFERROR(__xludf.DUMMYFUNCTION("""COMPUTED_VALUE"""),"VF")</f>
        <v>VF</v>
      </c>
      <c r="F1692" s="2">
        <f>IFERROR(__xludf.DUMMYFUNCTION("""COMPUTED_VALUE"""),1.0)</f>
        <v>1</v>
      </c>
      <c r="G1692" s="2" t="str">
        <f>IFERROR(__xludf.DUMMYFUNCTION("""COMPUTED_VALUE"""),"PR049")</f>
        <v>PR049</v>
      </c>
      <c r="H1692" s="2" t="str">
        <f>IFERROR(__xludf.DUMMYFUNCTION("""COMPUTED_VALUE"""),"VD039")</f>
        <v>VD039</v>
      </c>
      <c r="I1692" s="2">
        <f>IFERROR(__xludf.DUMMYFUNCTION("""COMPUTED_VALUE"""),4.0)</f>
        <v>4</v>
      </c>
      <c r="J1692" s="2">
        <f>IFERROR(__xludf.DUMMYFUNCTION("""COMPUTED_VALUE"""),139.5)</f>
        <v>139.5</v>
      </c>
      <c r="K1692" s="2">
        <f>IFERROR(__xludf.DUMMYFUNCTION("""COMPUTED_VALUE"""),139.5)</f>
        <v>139.5</v>
      </c>
    </row>
    <row r="1693">
      <c r="A1693" s="2">
        <f>IFERROR(__xludf.DUMMYFUNCTION("""COMPUTED_VALUE"""),2000.0)</f>
        <v>2000</v>
      </c>
      <c r="B1693" s="2">
        <f>IFERROR(__xludf.DUMMYFUNCTION("""COMPUTED_VALUE"""),184687.0)</f>
        <v>184687</v>
      </c>
      <c r="C1693" s="2">
        <f>IFERROR(__xludf.DUMMYFUNCTION("""COMPUTED_VALUE"""),2026.0)</f>
        <v>2026</v>
      </c>
      <c r="D1693" s="2">
        <f>IFERROR(__xludf.DUMMYFUNCTION("""COMPUTED_VALUE"""),46033.0)</f>
        <v>46033</v>
      </c>
      <c r="E1693" s="2" t="str">
        <f>IFERROR(__xludf.DUMMYFUNCTION("""COMPUTED_VALUE"""),"VF")</f>
        <v>VF</v>
      </c>
      <c r="F1693" s="2">
        <f>IFERROR(__xludf.DUMMYFUNCTION("""COMPUTED_VALUE"""),1.0)</f>
        <v>1</v>
      </c>
      <c r="G1693" s="2" t="str">
        <f>IFERROR(__xludf.DUMMYFUNCTION("""COMPUTED_VALUE"""),"PR034")</f>
        <v>PR034</v>
      </c>
      <c r="H1693" s="2" t="str">
        <f>IFERROR(__xludf.DUMMYFUNCTION("""COMPUTED_VALUE"""),"VD017")</f>
        <v>VD017</v>
      </c>
      <c r="I1693" s="2">
        <f>IFERROR(__xludf.DUMMYFUNCTION("""COMPUTED_VALUE"""),8.0)</f>
        <v>8</v>
      </c>
      <c r="J1693" s="2">
        <f>IFERROR(__xludf.DUMMYFUNCTION("""COMPUTED_VALUE"""),733.58)</f>
        <v>733.58</v>
      </c>
      <c r="K1693" s="2">
        <f>IFERROR(__xludf.DUMMYFUNCTION("""COMPUTED_VALUE"""),733.58)</f>
        <v>733.58</v>
      </c>
    </row>
    <row r="1694">
      <c r="A1694" s="2">
        <f>IFERROR(__xludf.DUMMYFUNCTION("""COMPUTED_VALUE"""),2000.0)</f>
        <v>2000</v>
      </c>
      <c r="B1694" s="2">
        <f>IFERROR(__xludf.DUMMYFUNCTION("""COMPUTED_VALUE"""),184688.0)</f>
        <v>184688</v>
      </c>
      <c r="C1694" s="2">
        <f>IFERROR(__xludf.DUMMYFUNCTION("""COMPUTED_VALUE"""),2026.0)</f>
        <v>2026</v>
      </c>
      <c r="D1694" s="2">
        <f>IFERROR(__xludf.DUMMYFUNCTION("""COMPUTED_VALUE"""),46032.0)</f>
        <v>46032</v>
      </c>
      <c r="E1694" s="2" t="str">
        <f>IFERROR(__xludf.DUMMYFUNCTION("""COMPUTED_VALUE"""),"VF")</f>
        <v>VF</v>
      </c>
      <c r="F1694" s="2">
        <f>IFERROR(__xludf.DUMMYFUNCTION("""COMPUTED_VALUE"""),1.0)</f>
        <v>1</v>
      </c>
      <c r="G1694" s="2" t="str">
        <f>IFERROR(__xludf.DUMMYFUNCTION("""COMPUTED_VALUE"""),"PR045")</f>
        <v>PR045</v>
      </c>
      <c r="H1694" s="2" t="str">
        <f>IFERROR(__xludf.DUMMYFUNCTION("""COMPUTED_VALUE"""),"VD045")</f>
        <v>VD045</v>
      </c>
      <c r="I1694" s="2">
        <f>IFERROR(__xludf.DUMMYFUNCTION("""COMPUTED_VALUE"""),14.0)</f>
        <v>14</v>
      </c>
      <c r="J1694" s="2">
        <f>IFERROR(__xludf.DUMMYFUNCTION("""COMPUTED_VALUE"""),1025.15)</f>
        <v>1025.15</v>
      </c>
      <c r="K1694" s="2">
        <f>IFERROR(__xludf.DUMMYFUNCTION("""COMPUTED_VALUE"""),1025.15)</f>
        <v>1025.15</v>
      </c>
    </row>
    <row r="1695">
      <c r="A1695" s="2">
        <f>IFERROR(__xludf.DUMMYFUNCTION("""COMPUTED_VALUE"""),2000.0)</f>
        <v>2000</v>
      </c>
      <c r="B1695" s="2">
        <f>IFERROR(__xludf.DUMMYFUNCTION("""COMPUTED_VALUE"""),184688.0)</f>
        <v>184688</v>
      </c>
      <c r="C1695" s="2">
        <f>IFERROR(__xludf.DUMMYFUNCTION("""COMPUTED_VALUE"""),2026.0)</f>
        <v>2026</v>
      </c>
      <c r="D1695" s="2">
        <f>IFERROR(__xludf.DUMMYFUNCTION("""COMPUTED_VALUE"""),46032.0)</f>
        <v>46032</v>
      </c>
      <c r="E1695" s="2" t="str">
        <f>IFERROR(__xludf.DUMMYFUNCTION("""COMPUTED_VALUE"""),"VF")</f>
        <v>VF</v>
      </c>
      <c r="F1695" s="2">
        <f>IFERROR(__xludf.DUMMYFUNCTION("""COMPUTED_VALUE"""),2.0)</f>
        <v>2</v>
      </c>
      <c r="G1695" s="2" t="str">
        <f>IFERROR(__xludf.DUMMYFUNCTION("""COMPUTED_VALUE"""),"PR018")</f>
        <v>PR018</v>
      </c>
      <c r="H1695" s="2" t="str">
        <f>IFERROR(__xludf.DUMMYFUNCTION("""COMPUTED_VALUE"""),"VD018")</f>
        <v>VD018</v>
      </c>
      <c r="I1695" s="2">
        <f>IFERROR(__xludf.DUMMYFUNCTION("""COMPUTED_VALUE"""),4.0)</f>
        <v>4</v>
      </c>
      <c r="J1695" s="2">
        <f>IFERROR(__xludf.DUMMYFUNCTION("""COMPUTED_VALUE"""),139.5)</f>
        <v>139.5</v>
      </c>
      <c r="K1695" s="2">
        <f>IFERROR(__xludf.DUMMYFUNCTION("""COMPUTED_VALUE"""),139.5)</f>
        <v>139.5</v>
      </c>
    </row>
    <row r="1696">
      <c r="A1696" s="2">
        <f>IFERROR(__xludf.DUMMYFUNCTION("""COMPUTED_VALUE"""),2000.0)</f>
        <v>2000</v>
      </c>
      <c r="B1696" s="2">
        <f>IFERROR(__xludf.DUMMYFUNCTION("""COMPUTED_VALUE"""),184688.0)</f>
        <v>184688</v>
      </c>
      <c r="C1696" s="2">
        <f>IFERROR(__xludf.DUMMYFUNCTION("""COMPUTED_VALUE"""),2026.0)</f>
        <v>2026</v>
      </c>
      <c r="D1696" s="2">
        <f>IFERROR(__xludf.DUMMYFUNCTION("""COMPUTED_VALUE"""),46032.0)</f>
        <v>46032</v>
      </c>
      <c r="E1696" s="2" t="str">
        <f>IFERROR(__xludf.DUMMYFUNCTION("""COMPUTED_VALUE"""),"VF")</f>
        <v>VF</v>
      </c>
      <c r="F1696" s="2">
        <f>IFERROR(__xludf.DUMMYFUNCTION("""COMPUTED_VALUE"""),3.0)</f>
        <v>3</v>
      </c>
      <c r="G1696" s="2" t="str">
        <f>IFERROR(__xludf.DUMMYFUNCTION("""COMPUTED_VALUE"""),"PR008")</f>
        <v>PR008</v>
      </c>
      <c r="H1696" s="2" t="str">
        <f>IFERROR(__xludf.DUMMYFUNCTION("""COMPUTED_VALUE"""),"VD016")</f>
        <v>VD016</v>
      </c>
      <c r="I1696" s="2">
        <f>IFERROR(__xludf.DUMMYFUNCTION("""COMPUTED_VALUE"""),6.0)</f>
        <v>6</v>
      </c>
      <c r="J1696" s="2">
        <f>IFERROR(__xludf.DUMMYFUNCTION("""COMPUTED_VALUE"""),539.4)</f>
        <v>539.4</v>
      </c>
      <c r="K1696" s="2">
        <f>IFERROR(__xludf.DUMMYFUNCTION("""COMPUTED_VALUE"""),539.4)</f>
        <v>539.4</v>
      </c>
    </row>
    <row r="1697">
      <c r="A1697" s="2">
        <f>IFERROR(__xludf.DUMMYFUNCTION("""COMPUTED_VALUE"""),1000.0)</f>
        <v>1000</v>
      </c>
      <c r="B1697" s="2">
        <f>IFERROR(__xludf.DUMMYFUNCTION("""COMPUTED_VALUE"""),184689.0)</f>
        <v>184689</v>
      </c>
      <c r="C1697" s="2">
        <f>IFERROR(__xludf.DUMMYFUNCTION("""COMPUTED_VALUE"""),2026.0)</f>
        <v>2026</v>
      </c>
      <c r="D1697" s="2">
        <f>IFERROR(__xludf.DUMMYFUNCTION("""COMPUTED_VALUE"""),46032.0)</f>
        <v>46032</v>
      </c>
      <c r="E1697" s="2" t="str">
        <f>IFERROR(__xludf.DUMMYFUNCTION("""COMPUTED_VALUE"""),"VF")</f>
        <v>VF</v>
      </c>
      <c r="F1697" s="2">
        <f>IFERROR(__xludf.DUMMYFUNCTION("""COMPUTED_VALUE"""),1.0)</f>
        <v>1</v>
      </c>
      <c r="G1697" s="2" t="str">
        <f>IFERROR(__xludf.DUMMYFUNCTION("""COMPUTED_VALUE"""),"PR013")</f>
        <v>PR013</v>
      </c>
      <c r="H1697" s="2" t="str">
        <f>IFERROR(__xludf.DUMMYFUNCTION("""COMPUTED_VALUE"""),"VD036")</f>
        <v>VD036</v>
      </c>
      <c r="I1697" s="2">
        <f>IFERROR(__xludf.DUMMYFUNCTION("""COMPUTED_VALUE"""),3.0)</f>
        <v>3</v>
      </c>
      <c r="J1697" s="2">
        <f>IFERROR(__xludf.DUMMYFUNCTION("""COMPUTED_VALUE"""),124.49)</f>
        <v>124.49</v>
      </c>
      <c r="K1697" s="2">
        <f>IFERROR(__xludf.DUMMYFUNCTION("""COMPUTED_VALUE"""),124.49)</f>
        <v>124.49</v>
      </c>
    </row>
    <row r="1698">
      <c r="A1698" s="2">
        <f>IFERROR(__xludf.DUMMYFUNCTION("""COMPUTED_VALUE"""),1000.0)</f>
        <v>1000</v>
      </c>
      <c r="B1698" s="2">
        <f>IFERROR(__xludf.DUMMYFUNCTION("""COMPUTED_VALUE"""),184690.0)</f>
        <v>184690</v>
      </c>
      <c r="C1698" s="2">
        <f>IFERROR(__xludf.DUMMYFUNCTION("""COMPUTED_VALUE"""),2026.0)</f>
        <v>2026</v>
      </c>
      <c r="D1698" s="2">
        <f>IFERROR(__xludf.DUMMYFUNCTION("""COMPUTED_VALUE"""),46032.0)</f>
        <v>46032</v>
      </c>
      <c r="E1698" s="2" t="str">
        <f>IFERROR(__xludf.DUMMYFUNCTION("""COMPUTED_VALUE"""),"VF")</f>
        <v>VF</v>
      </c>
      <c r="F1698" s="2">
        <f>IFERROR(__xludf.DUMMYFUNCTION("""COMPUTED_VALUE"""),1.0)</f>
        <v>1</v>
      </c>
      <c r="G1698" s="2" t="str">
        <f>IFERROR(__xludf.DUMMYFUNCTION("""COMPUTED_VALUE"""),"PR055")</f>
        <v>PR055</v>
      </c>
      <c r="H1698" s="2" t="str">
        <f>IFERROR(__xludf.DUMMYFUNCTION("""COMPUTED_VALUE"""),"VD016")</f>
        <v>VD016</v>
      </c>
      <c r="I1698" s="2">
        <f>IFERROR(__xludf.DUMMYFUNCTION("""COMPUTED_VALUE"""),9.0)</f>
        <v>9</v>
      </c>
      <c r="J1698" s="2">
        <f>IFERROR(__xludf.DUMMYFUNCTION("""COMPUTED_VALUE"""),881.92)</f>
        <v>881.92</v>
      </c>
      <c r="K1698" s="2">
        <f>IFERROR(__xludf.DUMMYFUNCTION("""COMPUTED_VALUE"""),881.92)</f>
        <v>881.92</v>
      </c>
    </row>
    <row r="1699">
      <c r="A1699" s="2">
        <f>IFERROR(__xludf.DUMMYFUNCTION("""COMPUTED_VALUE"""),1000.0)</f>
        <v>1000</v>
      </c>
      <c r="B1699" s="2">
        <f>IFERROR(__xludf.DUMMYFUNCTION("""COMPUTED_VALUE"""),184691.0)</f>
        <v>184691</v>
      </c>
      <c r="C1699" s="2">
        <f>IFERROR(__xludf.DUMMYFUNCTION("""COMPUTED_VALUE"""),2026.0)</f>
        <v>2026</v>
      </c>
      <c r="D1699" s="2">
        <f>IFERROR(__xludf.DUMMYFUNCTION("""COMPUTED_VALUE"""),46031.0)</f>
        <v>46031</v>
      </c>
      <c r="E1699" s="2" t="str">
        <f>IFERROR(__xludf.DUMMYFUNCTION("""COMPUTED_VALUE"""),"VF")</f>
        <v>VF</v>
      </c>
      <c r="F1699" s="2">
        <f>IFERROR(__xludf.DUMMYFUNCTION("""COMPUTED_VALUE"""),1.0)</f>
        <v>1</v>
      </c>
      <c r="G1699" s="2" t="str">
        <f>IFERROR(__xludf.DUMMYFUNCTION("""COMPUTED_VALUE"""),"PR037")</f>
        <v>PR037</v>
      </c>
      <c r="H1699" s="2" t="str">
        <f>IFERROR(__xludf.DUMMYFUNCTION("""COMPUTED_VALUE"""),"VD048")</f>
        <v>VD048</v>
      </c>
      <c r="I1699" s="2">
        <f>IFERROR(__xludf.DUMMYFUNCTION("""COMPUTED_VALUE"""),1.0)</f>
        <v>1</v>
      </c>
      <c r="J1699" s="2">
        <f>IFERROR(__xludf.DUMMYFUNCTION("""COMPUTED_VALUE"""),154.0)</f>
        <v>154</v>
      </c>
      <c r="K1699" s="2">
        <f>IFERROR(__xludf.DUMMYFUNCTION("""COMPUTED_VALUE"""),154.0)</f>
        <v>154</v>
      </c>
    </row>
    <row r="1700">
      <c r="A1700" s="2">
        <f>IFERROR(__xludf.DUMMYFUNCTION("""COMPUTED_VALUE"""),2000.0)</f>
        <v>2000</v>
      </c>
      <c r="B1700" s="2">
        <f>IFERROR(__xludf.DUMMYFUNCTION("""COMPUTED_VALUE"""),184692.0)</f>
        <v>184692</v>
      </c>
      <c r="C1700" s="2">
        <f>IFERROR(__xludf.DUMMYFUNCTION("""COMPUTED_VALUE"""),2026.0)</f>
        <v>2026</v>
      </c>
      <c r="D1700" s="2">
        <f>IFERROR(__xludf.DUMMYFUNCTION("""COMPUTED_VALUE"""),46031.0)</f>
        <v>46031</v>
      </c>
      <c r="E1700" s="2" t="str">
        <f>IFERROR(__xludf.DUMMYFUNCTION("""COMPUTED_VALUE"""),"VF")</f>
        <v>VF</v>
      </c>
      <c r="F1700" s="2">
        <f>IFERROR(__xludf.DUMMYFUNCTION("""COMPUTED_VALUE"""),1.0)</f>
        <v>1</v>
      </c>
      <c r="G1700" s="2" t="str">
        <f>IFERROR(__xludf.DUMMYFUNCTION("""COMPUTED_VALUE"""),"PR036")</f>
        <v>PR036</v>
      </c>
      <c r="H1700" s="2" t="str">
        <f>IFERROR(__xludf.DUMMYFUNCTION("""COMPUTED_VALUE"""),"VD029")</f>
        <v>VD029</v>
      </c>
      <c r="I1700" s="2">
        <f>IFERROR(__xludf.DUMMYFUNCTION("""COMPUTED_VALUE"""),8.0)</f>
        <v>8</v>
      </c>
      <c r="J1700" s="2">
        <f>IFERROR(__xludf.DUMMYFUNCTION("""COMPUTED_VALUE"""),748.0)</f>
        <v>748</v>
      </c>
      <c r="K1700" s="2">
        <f>IFERROR(__xludf.DUMMYFUNCTION("""COMPUTED_VALUE"""),748.0)</f>
        <v>748</v>
      </c>
    </row>
    <row r="1701">
      <c r="A1701" s="2">
        <f>IFERROR(__xludf.DUMMYFUNCTION("""COMPUTED_VALUE"""),1000.0)</f>
        <v>1000</v>
      </c>
      <c r="B1701" s="2">
        <f>IFERROR(__xludf.DUMMYFUNCTION("""COMPUTED_VALUE"""),184693.0)</f>
        <v>184693</v>
      </c>
      <c r="C1701" s="2">
        <f>IFERROR(__xludf.DUMMYFUNCTION("""COMPUTED_VALUE"""),2026.0)</f>
        <v>2026</v>
      </c>
      <c r="D1701" s="2">
        <f>IFERROR(__xludf.DUMMYFUNCTION("""COMPUTED_VALUE"""),46031.0)</f>
        <v>46031</v>
      </c>
      <c r="E1701" s="2" t="str">
        <f>IFERROR(__xludf.DUMMYFUNCTION("""COMPUTED_VALUE"""),"VF")</f>
        <v>VF</v>
      </c>
      <c r="F1701" s="2">
        <f>IFERROR(__xludf.DUMMYFUNCTION("""COMPUTED_VALUE"""),1.0)</f>
        <v>1</v>
      </c>
      <c r="G1701" s="2" t="str">
        <f>IFERROR(__xludf.DUMMYFUNCTION("""COMPUTED_VALUE"""),"PR008")</f>
        <v>PR008</v>
      </c>
      <c r="H1701" s="2" t="str">
        <f>IFERROR(__xludf.DUMMYFUNCTION("""COMPUTED_VALUE"""),"VD013")</f>
        <v>VD013</v>
      </c>
      <c r="I1701" s="2">
        <f>IFERROR(__xludf.DUMMYFUNCTION("""COMPUTED_VALUE"""),20.0)</f>
        <v>20</v>
      </c>
      <c r="J1701" s="2">
        <f>IFERROR(__xludf.DUMMYFUNCTION("""COMPUTED_VALUE"""),1815.98)</f>
        <v>1815.98</v>
      </c>
      <c r="K1701" s="2">
        <f>IFERROR(__xludf.DUMMYFUNCTION("""COMPUTED_VALUE"""),1815.98)</f>
        <v>1815.98</v>
      </c>
    </row>
    <row r="1702">
      <c r="A1702" s="2">
        <f>IFERROR(__xludf.DUMMYFUNCTION("""COMPUTED_VALUE"""),1000.0)</f>
        <v>1000</v>
      </c>
      <c r="B1702" s="2">
        <f>IFERROR(__xludf.DUMMYFUNCTION("""COMPUTED_VALUE"""),184694.0)</f>
        <v>184694</v>
      </c>
      <c r="C1702" s="2">
        <f>IFERROR(__xludf.DUMMYFUNCTION("""COMPUTED_VALUE"""),2026.0)</f>
        <v>2026</v>
      </c>
      <c r="D1702" s="2">
        <f>IFERROR(__xludf.DUMMYFUNCTION("""COMPUTED_VALUE"""),46030.0)</f>
        <v>46030</v>
      </c>
      <c r="E1702" s="2" t="str">
        <f>IFERROR(__xludf.DUMMYFUNCTION("""COMPUTED_VALUE"""),"VF")</f>
        <v>VF</v>
      </c>
      <c r="F1702" s="2">
        <f>IFERROR(__xludf.DUMMYFUNCTION("""COMPUTED_VALUE"""),1.0)</f>
        <v>1</v>
      </c>
      <c r="G1702" s="2" t="str">
        <f>IFERROR(__xludf.DUMMYFUNCTION("""COMPUTED_VALUE"""),"PR056")</f>
        <v>PR056</v>
      </c>
      <c r="H1702" s="2" t="str">
        <f>IFERROR(__xludf.DUMMYFUNCTION("""COMPUTED_VALUE"""),"VD032")</f>
        <v>VD032</v>
      </c>
      <c r="I1702" s="2">
        <f>IFERROR(__xludf.DUMMYFUNCTION("""COMPUTED_VALUE"""),10.0)</f>
        <v>10</v>
      </c>
      <c r="J1702" s="2">
        <f>IFERROR(__xludf.DUMMYFUNCTION("""COMPUTED_VALUE"""),961.93)</f>
        <v>961.93</v>
      </c>
      <c r="K1702" s="2">
        <f>IFERROR(__xludf.DUMMYFUNCTION("""COMPUTED_VALUE"""),961.93)</f>
        <v>961.93</v>
      </c>
    </row>
    <row r="1703">
      <c r="A1703" s="2">
        <f>IFERROR(__xludf.DUMMYFUNCTION("""COMPUTED_VALUE"""),1000.0)</f>
        <v>1000</v>
      </c>
      <c r="B1703" s="2">
        <f>IFERROR(__xludf.DUMMYFUNCTION("""COMPUTED_VALUE"""),184694.0)</f>
        <v>184694</v>
      </c>
      <c r="C1703" s="2">
        <f>IFERROR(__xludf.DUMMYFUNCTION("""COMPUTED_VALUE"""),2026.0)</f>
        <v>2026</v>
      </c>
      <c r="D1703" s="2">
        <f>IFERROR(__xludf.DUMMYFUNCTION("""COMPUTED_VALUE"""),46030.0)</f>
        <v>46030</v>
      </c>
      <c r="E1703" s="2" t="str">
        <f>IFERROR(__xludf.DUMMYFUNCTION("""COMPUTED_VALUE"""),"VF")</f>
        <v>VF</v>
      </c>
      <c r="F1703" s="2">
        <f>IFERROR(__xludf.DUMMYFUNCTION("""COMPUTED_VALUE"""),2.0)</f>
        <v>2</v>
      </c>
      <c r="G1703" s="2" t="str">
        <f>IFERROR(__xludf.DUMMYFUNCTION("""COMPUTED_VALUE"""),"PR033")</f>
        <v>PR033</v>
      </c>
      <c r="H1703" s="2" t="str">
        <f>IFERROR(__xludf.DUMMYFUNCTION("""COMPUTED_VALUE"""),"VD012")</f>
        <v>VD012</v>
      </c>
      <c r="I1703" s="2">
        <f>IFERROR(__xludf.DUMMYFUNCTION("""COMPUTED_VALUE"""),8.0)</f>
        <v>8</v>
      </c>
      <c r="J1703" s="2">
        <f>IFERROR(__xludf.DUMMYFUNCTION("""COMPUTED_VALUE"""),2141.58)</f>
        <v>2141.58</v>
      </c>
      <c r="K1703" s="2">
        <f>IFERROR(__xludf.DUMMYFUNCTION("""COMPUTED_VALUE"""),2141.58)</f>
        <v>2141.58</v>
      </c>
    </row>
    <row r="1704">
      <c r="A1704" s="2">
        <f>IFERROR(__xludf.DUMMYFUNCTION("""COMPUTED_VALUE"""),1000.0)</f>
        <v>1000</v>
      </c>
      <c r="B1704" s="2">
        <f>IFERROR(__xludf.DUMMYFUNCTION("""COMPUTED_VALUE"""),184695.0)</f>
        <v>184695</v>
      </c>
      <c r="C1704" s="2">
        <f>IFERROR(__xludf.DUMMYFUNCTION("""COMPUTED_VALUE"""),2026.0)</f>
        <v>2026</v>
      </c>
      <c r="D1704" s="2">
        <f>IFERROR(__xludf.DUMMYFUNCTION("""COMPUTED_VALUE"""),46030.0)</f>
        <v>46030</v>
      </c>
      <c r="E1704" s="2" t="str">
        <f>IFERROR(__xludf.DUMMYFUNCTION("""COMPUTED_VALUE"""),"VF")</f>
        <v>VF</v>
      </c>
      <c r="F1704" s="2">
        <f>IFERROR(__xludf.DUMMYFUNCTION("""COMPUTED_VALUE"""),1.0)</f>
        <v>1</v>
      </c>
      <c r="G1704" s="2" t="str">
        <f>IFERROR(__xludf.DUMMYFUNCTION("""COMPUTED_VALUE"""),"PR001")</f>
        <v>PR001</v>
      </c>
      <c r="H1704" s="2" t="str">
        <f>IFERROR(__xludf.DUMMYFUNCTION("""COMPUTED_VALUE"""),"VD036")</f>
        <v>VD036</v>
      </c>
      <c r="I1704" s="2">
        <f>IFERROR(__xludf.DUMMYFUNCTION("""COMPUTED_VALUE"""),2.0)</f>
        <v>2</v>
      </c>
      <c r="J1704" s="2">
        <f>IFERROR(__xludf.DUMMYFUNCTION("""COMPUTED_VALUE"""),139.71)</f>
        <v>139.71</v>
      </c>
      <c r="K1704" s="2">
        <f>IFERROR(__xludf.DUMMYFUNCTION("""COMPUTED_VALUE"""),139.71)</f>
        <v>139.71</v>
      </c>
    </row>
    <row r="1705">
      <c r="A1705" s="2">
        <f>IFERROR(__xludf.DUMMYFUNCTION("""COMPUTED_VALUE"""),1000.0)</f>
        <v>1000</v>
      </c>
      <c r="B1705" s="2">
        <f>IFERROR(__xludf.DUMMYFUNCTION("""COMPUTED_VALUE"""),184695.0)</f>
        <v>184695</v>
      </c>
      <c r="C1705" s="2">
        <f>IFERROR(__xludf.DUMMYFUNCTION("""COMPUTED_VALUE"""),2026.0)</f>
        <v>2026</v>
      </c>
      <c r="D1705" s="2">
        <f>IFERROR(__xludf.DUMMYFUNCTION("""COMPUTED_VALUE"""),46030.0)</f>
        <v>46030</v>
      </c>
      <c r="E1705" s="2" t="str">
        <f>IFERROR(__xludf.DUMMYFUNCTION("""COMPUTED_VALUE"""),"VF")</f>
        <v>VF</v>
      </c>
      <c r="F1705" s="2">
        <f>IFERROR(__xludf.DUMMYFUNCTION("""COMPUTED_VALUE"""),2.0)</f>
        <v>2</v>
      </c>
      <c r="G1705" s="2" t="str">
        <f>IFERROR(__xludf.DUMMYFUNCTION("""COMPUTED_VALUE"""),"PR007")</f>
        <v>PR007</v>
      </c>
      <c r="H1705" s="2" t="str">
        <f>IFERROR(__xludf.DUMMYFUNCTION("""COMPUTED_VALUE"""),"VD022")</f>
        <v>VD022</v>
      </c>
      <c r="I1705" s="2">
        <f>IFERROR(__xludf.DUMMYFUNCTION("""COMPUTED_VALUE"""),4.0)</f>
        <v>4</v>
      </c>
      <c r="J1705" s="2">
        <f>IFERROR(__xludf.DUMMYFUNCTION("""COMPUTED_VALUE"""),350.47)</f>
        <v>350.47</v>
      </c>
      <c r="K1705" s="2">
        <f>IFERROR(__xludf.DUMMYFUNCTION("""COMPUTED_VALUE"""),350.47)</f>
        <v>350.47</v>
      </c>
    </row>
    <row r="1706">
      <c r="A1706" s="2">
        <f>IFERROR(__xludf.DUMMYFUNCTION("""COMPUTED_VALUE"""),1000.0)</f>
        <v>1000</v>
      </c>
      <c r="B1706" s="2">
        <f>IFERROR(__xludf.DUMMYFUNCTION("""COMPUTED_VALUE"""),184695.0)</f>
        <v>184695</v>
      </c>
      <c r="C1706" s="2">
        <f>IFERROR(__xludf.DUMMYFUNCTION("""COMPUTED_VALUE"""),2026.0)</f>
        <v>2026</v>
      </c>
      <c r="D1706" s="2">
        <f>IFERROR(__xludf.DUMMYFUNCTION("""COMPUTED_VALUE"""),46030.0)</f>
        <v>46030</v>
      </c>
      <c r="E1706" s="2" t="str">
        <f>IFERROR(__xludf.DUMMYFUNCTION("""COMPUTED_VALUE"""),"VF")</f>
        <v>VF</v>
      </c>
      <c r="F1706" s="2">
        <f>IFERROR(__xludf.DUMMYFUNCTION("""COMPUTED_VALUE"""),3.0)</f>
        <v>3</v>
      </c>
      <c r="G1706" s="2" t="str">
        <f>IFERROR(__xludf.DUMMYFUNCTION("""COMPUTED_VALUE"""),"PR056")</f>
        <v>PR056</v>
      </c>
      <c r="H1706" s="2" t="str">
        <f>IFERROR(__xludf.DUMMYFUNCTION("""COMPUTED_VALUE"""),"VD010")</f>
        <v>VD010</v>
      </c>
      <c r="I1706" s="2">
        <f>IFERROR(__xludf.DUMMYFUNCTION("""COMPUTED_VALUE"""),20.0)</f>
        <v>20</v>
      </c>
      <c r="J1706" s="2">
        <f>IFERROR(__xludf.DUMMYFUNCTION("""COMPUTED_VALUE"""),1905.88)</f>
        <v>1905.88</v>
      </c>
      <c r="K1706" s="2">
        <f>IFERROR(__xludf.DUMMYFUNCTION("""COMPUTED_VALUE"""),1905.88)</f>
        <v>1905.88</v>
      </c>
    </row>
    <row r="1707">
      <c r="A1707" s="2">
        <f>IFERROR(__xludf.DUMMYFUNCTION("""COMPUTED_VALUE"""),1000.0)</f>
        <v>1000</v>
      </c>
      <c r="B1707" s="2">
        <f>IFERROR(__xludf.DUMMYFUNCTION("""COMPUTED_VALUE"""),184695.0)</f>
        <v>184695</v>
      </c>
      <c r="C1707" s="2">
        <f>IFERROR(__xludf.DUMMYFUNCTION("""COMPUTED_VALUE"""),2026.0)</f>
        <v>2026</v>
      </c>
      <c r="D1707" s="2">
        <f>IFERROR(__xludf.DUMMYFUNCTION("""COMPUTED_VALUE"""),46029.0)</f>
        <v>46029</v>
      </c>
      <c r="E1707" s="2" t="str">
        <f>IFERROR(__xludf.DUMMYFUNCTION("""COMPUTED_VALUE"""),"VF")</f>
        <v>VF</v>
      </c>
      <c r="F1707" s="2">
        <f>IFERROR(__xludf.DUMMYFUNCTION("""COMPUTED_VALUE"""),4.0)</f>
        <v>4</v>
      </c>
      <c r="G1707" s="2" t="str">
        <f>IFERROR(__xludf.DUMMYFUNCTION("""COMPUTED_VALUE"""),"PR055")</f>
        <v>PR055</v>
      </c>
      <c r="H1707" s="2" t="str">
        <f>IFERROR(__xludf.DUMMYFUNCTION("""COMPUTED_VALUE"""),"VD025")</f>
        <v>VD025</v>
      </c>
      <c r="I1707" s="2">
        <f>IFERROR(__xludf.DUMMYFUNCTION("""COMPUTED_VALUE"""),10.0)</f>
        <v>10</v>
      </c>
      <c r="J1707" s="2">
        <f>IFERROR(__xludf.DUMMYFUNCTION("""COMPUTED_VALUE"""),952.94)</f>
        <v>952.94</v>
      </c>
      <c r="K1707" s="2">
        <f>IFERROR(__xludf.DUMMYFUNCTION("""COMPUTED_VALUE"""),952.94)</f>
        <v>952.94</v>
      </c>
    </row>
    <row r="1708">
      <c r="A1708" s="2">
        <f>IFERROR(__xludf.DUMMYFUNCTION("""COMPUTED_VALUE"""),2000.0)</f>
        <v>2000</v>
      </c>
      <c r="B1708" s="2">
        <f>IFERROR(__xludf.DUMMYFUNCTION("""COMPUTED_VALUE"""),184696.0)</f>
        <v>184696</v>
      </c>
      <c r="C1708" s="2">
        <f>IFERROR(__xludf.DUMMYFUNCTION("""COMPUTED_VALUE"""),2026.0)</f>
        <v>2026</v>
      </c>
      <c r="D1708" s="2">
        <f>IFERROR(__xludf.DUMMYFUNCTION("""COMPUTED_VALUE"""),46029.0)</f>
        <v>46029</v>
      </c>
      <c r="E1708" s="2" t="str">
        <f>IFERROR(__xludf.DUMMYFUNCTION("""COMPUTED_VALUE"""),"VF")</f>
        <v>VF</v>
      </c>
      <c r="F1708" s="2">
        <f>IFERROR(__xludf.DUMMYFUNCTION("""COMPUTED_VALUE"""),1.0)</f>
        <v>1</v>
      </c>
      <c r="G1708" s="2" t="str">
        <f>IFERROR(__xludf.DUMMYFUNCTION("""COMPUTED_VALUE"""),"PR055")</f>
        <v>PR055</v>
      </c>
      <c r="H1708" s="2" t="str">
        <f>IFERROR(__xludf.DUMMYFUNCTION("""COMPUTED_VALUE"""),"VD030")</f>
        <v>VD030</v>
      </c>
      <c r="I1708" s="2">
        <f>IFERROR(__xludf.DUMMYFUNCTION("""COMPUTED_VALUE"""),2.0)</f>
        <v>2</v>
      </c>
      <c r="J1708" s="2">
        <f>IFERROR(__xludf.DUMMYFUNCTION("""COMPUTED_VALUE"""),190.59)</f>
        <v>190.59</v>
      </c>
      <c r="K1708" s="2">
        <f>IFERROR(__xludf.DUMMYFUNCTION("""COMPUTED_VALUE"""),190.59)</f>
        <v>190.59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" t="str">
        <f>IFERROR(__xludf.DUMMYFUNCTION("IMPORTRANGE(""https://docs.google.com/spreadsheets/d/1wDatiNabBWFvhbng0IgSrI0LbZ9kw3ciTUIdsOHVncU"",""A1:F100"")"),"Código")</f>
        <v>Código</v>
      </c>
      <c r="B1" s="2" t="str">
        <f>IFERROR(__xludf.DUMMYFUNCTION("""COMPUTED_VALUE"""),"Producto")</f>
        <v>Producto</v>
      </c>
      <c r="C1" s="2" t="str">
        <f>IFERROR(__xludf.DUMMYFUNCTION("""COMPUTED_VALUE"""),"Talla")</f>
        <v>Talla</v>
      </c>
      <c r="D1" s="2" t="str">
        <f>IFERROR(__xludf.DUMMYFUNCTION("""COMPUTED_VALUE"""),"Categoría")</f>
        <v>Categoría</v>
      </c>
      <c r="E1" s="2" t="str">
        <f>IFERROR(__xludf.DUMMYFUNCTION("""COMPUTED_VALUE"""),"Costo Unitario")</f>
        <v>Costo Unitario</v>
      </c>
      <c r="F1" s="2" t="str">
        <f>IFERROR(__xludf.DUMMYFUNCTION("""COMPUTED_VALUE"""),"Precio Unitario")</f>
        <v>Precio Unitario</v>
      </c>
    </row>
    <row r="2">
      <c r="A2" s="2" t="str">
        <f>IFERROR(__xludf.DUMMYFUNCTION("""COMPUTED_VALUE"""),"PR001")</f>
        <v>PR001</v>
      </c>
      <c r="B2" s="2" t="str">
        <f>IFERROR(__xludf.DUMMYFUNCTION("""COMPUTED_VALUE"""),"Bermuda")</f>
        <v>Bermuda</v>
      </c>
      <c r="C2" s="2" t="str">
        <f>IFERROR(__xludf.DUMMYFUNCTION("""COMPUTED_VALUE"""),"S")</f>
        <v>S</v>
      </c>
      <c r="D2" s="2" t="str">
        <f>IFERROR(__xludf.DUMMYFUNCTION("""COMPUTED_VALUE"""),"Ropa")</f>
        <v>Ropa</v>
      </c>
      <c r="E2" s="2" t="str">
        <f>IFERROR(__xludf.DUMMYFUNCTION("""COMPUTED_VALUE"""),"$35,59")</f>
        <v>$35,59</v>
      </c>
      <c r="F2" s="2" t="str">
        <f>IFERROR(__xludf.DUMMYFUNCTION("""COMPUTED_VALUE"""),"$65,90")</f>
        <v>$65,90</v>
      </c>
    </row>
    <row r="3">
      <c r="A3" s="2" t="str">
        <f>IFERROR(__xludf.DUMMYFUNCTION("""COMPUTED_VALUE"""),"PR002")</f>
        <v>PR002</v>
      </c>
      <c r="B3" s="2" t="str">
        <f>IFERROR(__xludf.DUMMYFUNCTION("""COMPUTED_VALUE"""),"Bermuda")</f>
        <v>Bermuda</v>
      </c>
      <c r="C3" s="2" t="str">
        <f>IFERROR(__xludf.DUMMYFUNCTION("""COMPUTED_VALUE"""),"M")</f>
        <v>M</v>
      </c>
      <c r="D3" s="2" t="str">
        <f>IFERROR(__xludf.DUMMYFUNCTION("""COMPUTED_VALUE"""),"Ropa")</f>
        <v>Ropa</v>
      </c>
      <c r="E3" s="2" t="str">
        <f>IFERROR(__xludf.DUMMYFUNCTION("""COMPUTED_VALUE"""),"$39,14")</f>
        <v>$39,14</v>
      </c>
      <c r="F3" s="2" t="str">
        <f>IFERROR(__xludf.DUMMYFUNCTION("""COMPUTED_VALUE"""),"$69,90")</f>
        <v>$69,90</v>
      </c>
    </row>
    <row r="4">
      <c r="A4" s="2" t="str">
        <f>IFERROR(__xludf.DUMMYFUNCTION("""COMPUTED_VALUE"""),"PR003")</f>
        <v>PR003</v>
      </c>
      <c r="B4" s="2" t="str">
        <f>IFERROR(__xludf.DUMMYFUNCTION("""COMPUTED_VALUE"""),"Bermuda")</f>
        <v>Bermuda</v>
      </c>
      <c r="C4" s="2" t="str">
        <f>IFERROR(__xludf.DUMMYFUNCTION("""COMPUTED_VALUE"""),"L")</f>
        <v>L</v>
      </c>
      <c r="D4" s="2" t="str">
        <f>IFERROR(__xludf.DUMMYFUNCTION("""COMPUTED_VALUE"""),"Ropa")</f>
        <v>Ropa</v>
      </c>
      <c r="E4" s="2" t="str">
        <f>IFERROR(__xludf.DUMMYFUNCTION("""COMPUTED_VALUE"""),"$45,38")</f>
        <v>$45,38</v>
      </c>
      <c r="F4" s="2" t="str">
        <f>IFERROR(__xludf.DUMMYFUNCTION("""COMPUTED_VALUE"""),"$70,90")</f>
        <v>$70,90</v>
      </c>
    </row>
    <row r="5">
      <c r="A5" s="2" t="str">
        <f>IFERROR(__xludf.DUMMYFUNCTION("""COMPUTED_VALUE"""),"PR004")</f>
        <v>PR004</v>
      </c>
      <c r="B5" s="2" t="str">
        <f>IFERROR(__xludf.DUMMYFUNCTION("""COMPUTED_VALUE"""),"Bolso versátil")</f>
        <v>Bolso versátil</v>
      </c>
      <c r="C5" s="2" t="str">
        <f>IFERROR(__xludf.DUMMYFUNCTION("""COMPUTED_VALUE"""),"Única")</f>
        <v>Única</v>
      </c>
      <c r="D5" s="2" t="str">
        <f>IFERROR(__xludf.DUMMYFUNCTION("""COMPUTED_VALUE"""),"Accesorios")</f>
        <v>Accesorios</v>
      </c>
      <c r="E5" s="2" t="str">
        <f>IFERROR(__xludf.DUMMYFUNCTION("""COMPUTED_VALUE"""),"$92,80")</f>
        <v>$92,80</v>
      </c>
      <c r="F5" s="2" t="str">
        <f>IFERROR(__xludf.DUMMYFUNCTION("""COMPUTED_VALUE"""),"$145,00")</f>
        <v>$145,00</v>
      </c>
    </row>
    <row r="6">
      <c r="A6" s="2" t="str">
        <f>IFERROR(__xludf.DUMMYFUNCTION("""COMPUTED_VALUE"""),"PR005")</f>
        <v>PR005</v>
      </c>
      <c r="B6" s="2" t="str">
        <f>IFERROR(__xludf.DUMMYFUNCTION("""COMPUTED_VALUE"""),"Bolso de cuero")</f>
        <v>Bolso de cuero</v>
      </c>
      <c r="C6" s="2" t="str">
        <f>IFERROR(__xludf.DUMMYFUNCTION("""COMPUTED_VALUE"""),"Única")</f>
        <v>Única</v>
      </c>
      <c r="D6" s="2" t="str">
        <f>IFERROR(__xludf.DUMMYFUNCTION("""COMPUTED_VALUE"""),"Accesorios")</f>
        <v>Accesorios</v>
      </c>
      <c r="E6" s="2" t="str">
        <f>IFERROR(__xludf.DUMMYFUNCTION("""COMPUTED_VALUE"""),"$155,94")</f>
        <v>$155,94</v>
      </c>
      <c r="F6" s="2" t="str">
        <f>IFERROR(__xludf.DUMMYFUNCTION("""COMPUTED_VALUE"""),"$259,90")</f>
        <v>$259,90</v>
      </c>
    </row>
    <row r="7">
      <c r="A7" s="2" t="str">
        <f>IFERROR(__xludf.DUMMYFUNCTION("""COMPUTED_VALUE"""),"PR006")</f>
        <v>PR006</v>
      </c>
      <c r="B7" s="2" t="str">
        <f>IFERROR(__xludf.DUMMYFUNCTION("""COMPUTED_VALUE"""),"Gorra")</f>
        <v>Gorra</v>
      </c>
      <c r="C7" s="2" t="str">
        <f>IFERROR(__xludf.DUMMYFUNCTION("""COMPUTED_VALUE"""),"Única")</f>
        <v>Única</v>
      </c>
      <c r="D7" s="2" t="str">
        <f>IFERROR(__xludf.DUMMYFUNCTION("""COMPUTED_VALUE"""),"Accesorios")</f>
        <v>Accesorios</v>
      </c>
      <c r="E7" s="2" t="str">
        <f>IFERROR(__xludf.DUMMYFUNCTION("""COMPUTED_VALUE"""),"$27,13")</f>
        <v>$27,13</v>
      </c>
      <c r="F7" s="2" t="str">
        <f>IFERROR(__xludf.DUMMYFUNCTION("""COMPUTED_VALUE"""),"$39,90")</f>
        <v>$39,90</v>
      </c>
    </row>
    <row r="8">
      <c r="A8" s="2" t="str">
        <f>IFERROR(__xludf.DUMMYFUNCTION("""COMPUTED_VALUE"""),"PR007")</f>
        <v>PR007</v>
      </c>
      <c r="B8" s="2" t="str">
        <f>IFERROR(__xludf.DUMMYFUNCTION("""COMPUTED_VALUE"""),"Pantalón de mezclilla")</f>
        <v>Pantalón de mezclilla</v>
      </c>
      <c r="C8" s="2" t="str">
        <f>IFERROR(__xludf.DUMMYFUNCTION("""COMPUTED_VALUE"""),"S")</f>
        <v>S</v>
      </c>
      <c r="D8" s="2" t="str">
        <f>IFERROR(__xludf.DUMMYFUNCTION("""COMPUTED_VALUE"""),"Ropa")</f>
        <v>Ropa</v>
      </c>
      <c r="E8" s="2" t="str">
        <f>IFERROR(__xludf.DUMMYFUNCTION("""COMPUTED_VALUE"""),"$60,13")</f>
        <v>$60,13</v>
      </c>
      <c r="F8" s="2" t="str">
        <f>IFERROR(__xludf.DUMMYFUNCTION("""COMPUTED_VALUE"""),"$85,90")</f>
        <v>$85,90</v>
      </c>
    </row>
    <row r="9">
      <c r="A9" s="2" t="str">
        <f>IFERROR(__xludf.DUMMYFUNCTION("""COMPUTED_VALUE"""),"PR008")</f>
        <v>PR008</v>
      </c>
      <c r="B9" s="2" t="str">
        <f>IFERROR(__xludf.DUMMYFUNCTION("""COMPUTED_VALUE"""),"Pantalón de mezclilla")</f>
        <v>Pantalón de mezclilla</v>
      </c>
      <c r="C9" s="2" t="str">
        <f>IFERROR(__xludf.DUMMYFUNCTION("""COMPUTED_VALUE"""),"M")</f>
        <v>M</v>
      </c>
      <c r="D9" s="2" t="str">
        <f>IFERROR(__xludf.DUMMYFUNCTION("""COMPUTED_VALUE"""),"Ropa")</f>
        <v>Ropa</v>
      </c>
      <c r="E9" s="2" t="str">
        <f>IFERROR(__xludf.DUMMYFUNCTION("""COMPUTED_VALUE"""),"$55,74")</f>
        <v>$55,74</v>
      </c>
      <c r="F9" s="2" t="str">
        <f>IFERROR(__xludf.DUMMYFUNCTION("""COMPUTED_VALUE"""),"$89,90")</f>
        <v>$89,90</v>
      </c>
    </row>
    <row r="10">
      <c r="A10" s="2" t="str">
        <f>IFERROR(__xludf.DUMMYFUNCTION("""COMPUTED_VALUE"""),"PR009")</f>
        <v>PR009</v>
      </c>
      <c r="B10" s="2" t="str">
        <f>IFERROR(__xludf.DUMMYFUNCTION("""COMPUTED_VALUE"""),"Pantalón de mezclilla")</f>
        <v>Pantalón de mezclilla</v>
      </c>
      <c r="C10" s="2" t="str">
        <f>IFERROR(__xludf.DUMMYFUNCTION("""COMPUTED_VALUE"""),"L")</f>
        <v>L</v>
      </c>
      <c r="D10" s="2" t="str">
        <f>IFERROR(__xludf.DUMMYFUNCTION("""COMPUTED_VALUE"""),"Ropa")</f>
        <v>Ropa</v>
      </c>
      <c r="E10" s="2" t="str">
        <f>IFERROR(__xludf.DUMMYFUNCTION("""COMPUTED_VALUE"""),"$64,10")</f>
        <v>$64,10</v>
      </c>
      <c r="F10" s="2" t="str">
        <f>IFERROR(__xludf.DUMMYFUNCTION("""COMPUTED_VALUE"""),"$92,90")</f>
        <v>$92,90</v>
      </c>
    </row>
    <row r="11">
      <c r="A11" s="2" t="str">
        <f>IFERROR(__xludf.DUMMYFUNCTION("""COMPUTED_VALUE"""),"PR010")</f>
        <v>PR010</v>
      </c>
      <c r="B11" s="2" t="str">
        <f>IFERROR(__xludf.DUMMYFUNCTION("""COMPUTED_VALUE"""),"Pantalón legging")</f>
        <v>Pantalón legging</v>
      </c>
      <c r="C11" s="2" t="str">
        <f>IFERROR(__xludf.DUMMYFUNCTION("""COMPUTED_VALUE"""),"S")</f>
        <v>S</v>
      </c>
      <c r="D11" s="2" t="str">
        <f>IFERROR(__xludf.DUMMYFUNCTION("""COMPUTED_VALUE"""),"Ropa")</f>
        <v>Ropa</v>
      </c>
      <c r="E11" s="2" t="str">
        <f>IFERROR(__xludf.DUMMYFUNCTION("""COMPUTED_VALUE"""),"$27,39")</f>
        <v>$27,39</v>
      </c>
      <c r="F11" s="2" t="str">
        <f>IFERROR(__xludf.DUMMYFUNCTION("""COMPUTED_VALUE"""),"$44,90")</f>
        <v>$44,90</v>
      </c>
    </row>
    <row r="12">
      <c r="A12" s="2" t="str">
        <f>IFERROR(__xludf.DUMMYFUNCTION("""COMPUTED_VALUE"""),"PR011")</f>
        <v>PR011</v>
      </c>
      <c r="B12" s="2" t="str">
        <f>IFERROR(__xludf.DUMMYFUNCTION("""COMPUTED_VALUE"""),"Pantalón legging")</f>
        <v>Pantalón legging</v>
      </c>
      <c r="C12" s="2" t="str">
        <f>IFERROR(__xludf.DUMMYFUNCTION("""COMPUTED_VALUE"""),"M")</f>
        <v>M</v>
      </c>
      <c r="D12" s="2" t="str">
        <f>IFERROR(__xludf.DUMMYFUNCTION("""COMPUTED_VALUE"""),"Ropa")</f>
        <v>Ropa</v>
      </c>
      <c r="E12" s="2" t="str">
        <f>IFERROR(__xludf.DUMMYFUNCTION("""COMPUTED_VALUE"""),"$23,92")</f>
        <v>$23,92</v>
      </c>
      <c r="F12" s="2" t="str">
        <f>IFERROR(__xludf.DUMMYFUNCTION("""COMPUTED_VALUE"""),"$46,90")</f>
        <v>$46,90</v>
      </c>
    </row>
    <row r="13">
      <c r="A13" s="2" t="str">
        <f>IFERROR(__xludf.DUMMYFUNCTION("""COMPUTED_VALUE"""),"PR012")</f>
        <v>PR012</v>
      </c>
      <c r="B13" s="2" t="str">
        <f>IFERROR(__xludf.DUMMYFUNCTION("""COMPUTED_VALUE"""),"Pantalón legging")</f>
        <v>Pantalón legging</v>
      </c>
      <c r="C13" s="2" t="str">
        <f>IFERROR(__xludf.DUMMYFUNCTION("""COMPUTED_VALUE"""),"L")</f>
        <v>L</v>
      </c>
      <c r="D13" s="2" t="str">
        <f>IFERROR(__xludf.DUMMYFUNCTION("""COMPUTED_VALUE"""),"Ropa")</f>
        <v>Ropa</v>
      </c>
      <c r="E13" s="2" t="str">
        <f>IFERROR(__xludf.DUMMYFUNCTION("""COMPUTED_VALUE"""),"$28,85")</f>
        <v>$28,85</v>
      </c>
      <c r="F13" s="2" t="str">
        <f>IFERROR(__xludf.DUMMYFUNCTION("""COMPUTED_VALUE"""),"$48,90")</f>
        <v>$48,90</v>
      </c>
    </row>
    <row r="14">
      <c r="A14" s="2" t="str">
        <f>IFERROR(__xludf.DUMMYFUNCTION("""COMPUTED_VALUE"""),"PR013")</f>
        <v>PR013</v>
      </c>
      <c r="B14" s="2" t="str">
        <f>IFERROR(__xludf.DUMMYFUNCTION("""COMPUTED_VALUE"""),"Playera estampada")</f>
        <v>Playera estampada</v>
      </c>
      <c r="C14" s="2" t="str">
        <f>IFERROR(__xludf.DUMMYFUNCTION("""COMPUTED_VALUE"""),"S")</f>
        <v>S</v>
      </c>
      <c r="D14" s="2" t="str">
        <f>IFERROR(__xludf.DUMMYFUNCTION("""COMPUTED_VALUE"""),"Ropa")</f>
        <v>Ropa</v>
      </c>
      <c r="E14" s="2" t="str">
        <f>IFERROR(__xludf.DUMMYFUNCTION("""COMPUTED_VALUE"""),"$27,53")</f>
        <v>$27,53</v>
      </c>
      <c r="F14" s="2" t="str">
        <f>IFERROR(__xludf.DUMMYFUNCTION("""COMPUTED_VALUE"""),"$39,90")</f>
        <v>$39,90</v>
      </c>
    </row>
    <row r="15">
      <c r="A15" s="2" t="str">
        <f>IFERROR(__xludf.DUMMYFUNCTION("""COMPUTED_VALUE"""),"PR014")</f>
        <v>PR014</v>
      </c>
      <c r="B15" s="2" t="str">
        <f>IFERROR(__xludf.DUMMYFUNCTION("""COMPUTED_VALUE"""),"Playera estampada")</f>
        <v>Playera estampada</v>
      </c>
      <c r="C15" s="2" t="str">
        <f>IFERROR(__xludf.DUMMYFUNCTION("""COMPUTED_VALUE"""),"M")</f>
        <v>M</v>
      </c>
      <c r="D15" s="2" t="str">
        <f>IFERROR(__xludf.DUMMYFUNCTION("""COMPUTED_VALUE"""),"Ropa")</f>
        <v>Ropa</v>
      </c>
      <c r="E15" s="2" t="str">
        <f>IFERROR(__xludf.DUMMYFUNCTION("""COMPUTED_VALUE"""),"$20,75")</f>
        <v>$20,75</v>
      </c>
      <c r="F15" s="2" t="str">
        <f>IFERROR(__xludf.DUMMYFUNCTION("""COMPUTED_VALUE"""),"$39,90")</f>
        <v>$39,90</v>
      </c>
    </row>
    <row r="16">
      <c r="A16" s="2" t="str">
        <f>IFERROR(__xludf.DUMMYFUNCTION("""COMPUTED_VALUE"""),"PR015")</f>
        <v>PR015</v>
      </c>
      <c r="B16" s="2" t="str">
        <f>IFERROR(__xludf.DUMMYFUNCTION("""COMPUTED_VALUE"""),"Playera estampada")</f>
        <v>Playera estampada</v>
      </c>
      <c r="C16" s="2" t="str">
        <f>IFERROR(__xludf.DUMMYFUNCTION("""COMPUTED_VALUE"""),"L")</f>
        <v>L</v>
      </c>
      <c r="D16" s="2" t="str">
        <f>IFERROR(__xludf.DUMMYFUNCTION("""COMPUTED_VALUE"""),"Ropa")</f>
        <v>Ropa</v>
      </c>
      <c r="E16" s="2" t="str">
        <f>IFERROR(__xludf.DUMMYFUNCTION("""COMPUTED_VALUE"""),"$25,50")</f>
        <v>$25,50</v>
      </c>
      <c r="F16" s="2" t="str">
        <f>IFERROR(__xludf.DUMMYFUNCTION("""COMPUTED_VALUE"""),"$42,50")</f>
        <v>$42,50</v>
      </c>
    </row>
    <row r="17">
      <c r="A17" s="2" t="str">
        <f>IFERROR(__xludf.DUMMYFUNCTION("""COMPUTED_VALUE"""),"PR016")</f>
        <v>PR016</v>
      </c>
      <c r="B17" s="2" t="str">
        <f>IFERROR(__xludf.DUMMYFUNCTION("""COMPUTED_VALUE"""),"Playera lisa")</f>
        <v>Playera lisa</v>
      </c>
      <c r="C17" s="2" t="str">
        <f>IFERROR(__xludf.DUMMYFUNCTION("""COMPUTED_VALUE"""),"S")</f>
        <v>S</v>
      </c>
      <c r="D17" s="2" t="str">
        <f>IFERROR(__xludf.DUMMYFUNCTION("""COMPUTED_VALUE"""),"Ropa")</f>
        <v>Ropa</v>
      </c>
      <c r="E17" s="2" t="str">
        <f>IFERROR(__xludf.DUMMYFUNCTION("""COMPUTED_VALUE"""),"$13,21")</f>
        <v>$13,21</v>
      </c>
      <c r="F17" s="2" t="str">
        <f>IFERROR(__xludf.DUMMYFUNCTION("""COMPUTED_VALUE"""),"$25,90")</f>
        <v>$25,90</v>
      </c>
    </row>
    <row r="18">
      <c r="A18" s="2" t="str">
        <f>IFERROR(__xludf.DUMMYFUNCTION("""COMPUTED_VALUE"""),"PR017")</f>
        <v>PR017</v>
      </c>
      <c r="B18" s="2" t="str">
        <f>IFERROR(__xludf.DUMMYFUNCTION("""COMPUTED_VALUE"""),"Playera lisa")</f>
        <v>Playera lisa</v>
      </c>
      <c r="C18" s="2" t="str">
        <f>IFERROR(__xludf.DUMMYFUNCTION("""COMPUTED_VALUE"""),"M")</f>
        <v>M</v>
      </c>
      <c r="D18" s="2" t="str">
        <f>IFERROR(__xludf.DUMMYFUNCTION("""COMPUTED_VALUE"""),"Ropa")</f>
        <v>Ropa</v>
      </c>
      <c r="E18" s="2" t="str">
        <f>IFERROR(__xludf.DUMMYFUNCTION("""COMPUTED_VALUE"""),"$17,34")</f>
        <v>$17,34</v>
      </c>
      <c r="F18" s="2" t="str">
        <f>IFERROR(__xludf.DUMMYFUNCTION("""COMPUTED_VALUE"""),"$29,90")</f>
        <v>$29,90</v>
      </c>
    </row>
    <row r="19">
      <c r="A19" s="2" t="str">
        <f>IFERROR(__xludf.DUMMYFUNCTION("""COMPUTED_VALUE"""),"PR018")</f>
        <v>PR018</v>
      </c>
      <c r="B19" s="2" t="str">
        <f>IFERROR(__xludf.DUMMYFUNCTION("""COMPUTED_VALUE"""),"Playera lisa")</f>
        <v>Playera lisa</v>
      </c>
      <c r="C19" s="2" t="str">
        <f>IFERROR(__xludf.DUMMYFUNCTION("""COMPUTED_VALUE"""),"L")</f>
        <v>L</v>
      </c>
      <c r="D19" s="2" t="str">
        <f>IFERROR(__xludf.DUMMYFUNCTION("""COMPUTED_VALUE"""),"Ropa")</f>
        <v>Ropa</v>
      </c>
      <c r="E19" s="2" t="str">
        <f>IFERROR(__xludf.DUMMYFUNCTION("""COMPUTED_VALUE"""),"$17,77")</f>
        <v>$17,77</v>
      </c>
      <c r="F19" s="2" t="str">
        <f>IFERROR(__xludf.DUMMYFUNCTION("""COMPUTED_VALUE"""),"$32,90")</f>
        <v>$32,90</v>
      </c>
    </row>
    <row r="20">
      <c r="A20" s="2" t="str">
        <f>IFERROR(__xludf.DUMMYFUNCTION("""COMPUTED_VALUE"""),"PR019")</f>
        <v>PR019</v>
      </c>
      <c r="B20" s="2" t="str">
        <f>IFERROR(__xludf.DUMMYFUNCTION("""COMPUTED_VALUE"""),"Cinturón")</f>
        <v>Cinturón</v>
      </c>
      <c r="C20" s="2" t="str">
        <f>IFERROR(__xludf.DUMMYFUNCTION("""COMPUTED_VALUE"""),"Única")</f>
        <v>Única</v>
      </c>
      <c r="D20" s="2" t="str">
        <f>IFERROR(__xludf.DUMMYFUNCTION("""COMPUTED_VALUE"""),"Accesorios")</f>
        <v>Accesorios</v>
      </c>
      <c r="E20" s="2" t="str">
        <f>IFERROR(__xludf.DUMMYFUNCTION("""COMPUTED_VALUE"""),"$34,43")</f>
        <v>$34,43</v>
      </c>
      <c r="F20" s="2" t="str">
        <f>IFERROR(__xludf.DUMMYFUNCTION("""COMPUTED_VALUE"""),"$49,90")</f>
        <v>$49,90</v>
      </c>
    </row>
    <row r="21">
      <c r="A21" s="2" t="str">
        <f>IFERROR(__xludf.DUMMYFUNCTION("""COMPUTED_VALUE"""),"PR020")</f>
        <v>PR020</v>
      </c>
      <c r="B21" s="2" t="str">
        <f>IFERROR(__xludf.DUMMYFUNCTION("""COMPUTED_VALUE"""),"Chaqueta de cuero")</f>
        <v>Chaqueta de cuero</v>
      </c>
      <c r="C21" s="2" t="str">
        <f>IFERROR(__xludf.DUMMYFUNCTION("""COMPUTED_VALUE"""),"S")</f>
        <v>S</v>
      </c>
      <c r="D21" s="2" t="str">
        <f>IFERROR(__xludf.DUMMYFUNCTION("""COMPUTED_VALUE"""),"Ropa")</f>
        <v>Ropa</v>
      </c>
      <c r="E21" s="2" t="str">
        <f>IFERROR(__xludf.DUMMYFUNCTION("""COMPUTED_VALUE"""),"$164,95")</f>
        <v>$164,95</v>
      </c>
      <c r="F21" s="2" t="str">
        <f>IFERROR(__xludf.DUMMYFUNCTION("""COMPUTED_VALUE"""),"$299,90")</f>
        <v>$299,90</v>
      </c>
    </row>
    <row r="22">
      <c r="A22" s="2" t="str">
        <f>IFERROR(__xludf.DUMMYFUNCTION("""COMPUTED_VALUE"""),"PR021")</f>
        <v>PR021</v>
      </c>
      <c r="B22" s="2" t="str">
        <f>IFERROR(__xludf.DUMMYFUNCTION("""COMPUTED_VALUE"""),"Chaqueta de cuero")</f>
        <v>Chaqueta de cuero</v>
      </c>
      <c r="C22" s="2" t="str">
        <f>IFERROR(__xludf.DUMMYFUNCTION("""COMPUTED_VALUE"""),"M")</f>
        <v>M</v>
      </c>
      <c r="D22" s="2" t="str">
        <f>IFERROR(__xludf.DUMMYFUNCTION("""COMPUTED_VALUE"""),"Ropa")</f>
        <v>Ropa</v>
      </c>
      <c r="E22" s="2" t="str">
        <f>IFERROR(__xludf.DUMMYFUNCTION("""COMPUTED_VALUE"""),"$178,71")</f>
        <v>$178,71</v>
      </c>
      <c r="F22" s="2" t="str">
        <f>IFERROR(__xludf.DUMMYFUNCTION("""COMPUTED_VALUE"""),"$302,90")</f>
        <v>$302,90</v>
      </c>
    </row>
    <row r="23">
      <c r="A23" s="2" t="str">
        <f>IFERROR(__xludf.DUMMYFUNCTION("""COMPUTED_VALUE"""),"PR022")</f>
        <v>PR022</v>
      </c>
      <c r="B23" s="2" t="str">
        <f>IFERROR(__xludf.DUMMYFUNCTION("""COMPUTED_VALUE"""),"Chaqueta de cuero")</f>
        <v>Chaqueta de cuero</v>
      </c>
      <c r="C23" s="2" t="str">
        <f>IFERROR(__xludf.DUMMYFUNCTION("""COMPUTED_VALUE"""),"L")</f>
        <v>L</v>
      </c>
      <c r="D23" s="2" t="str">
        <f>IFERROR(__xludf.DUMMYFUNCTION("""COMPUTED_VALUE"""),"Ropa")</f>
        <v>Ropa</v>
      </c>
      <c r="E23" s="2" t="str">
        <f>IFERROR(__xludf.DUMMYFUNCTION("""COMPUTED_VALUE"""),"$186,00")</f>
        <v>$186,00</v>
      </c>
      <c r="F23" s="2" t="str">
        <f>IFERROR(__xludf.DUMMYFUNCTION("""COMPUTED_VALUE"""),"$300,00")</f>
        <v>$300,00</v>
      </c>
    </row>
    <row r="24">
      <c r="A24" s="2" t="str">
        <f>IFERROR(__xludf.DUMMYFUNCTION("""COMPUTED_VALUE"""),"PR023")</f>
        <v>PR023</v>
      </c>
      <c r="B24" s="2" t="str">
        <f>IFERROR(__xludf.DUMMYFUNCTION("""COMPUTED_VALUE"""),"Chaqueta de mezclilla")</f>
        <v>Chaqueta de mezclilla</v>
      </c>
      <c r="C24" s="2" t="str">
        <f>IFERROR(__xludf.DUMMYFUNCTION("""COMPUTED_VALUE"""),"S")</f>
        <v>S</v>
      </c>
      <c r="D24" s="2" t="str">
        <f>IFERROR(__xludf.DUMMYFUNCTION("""COMPUTED_VALUE"""),"Ropa")</f>
        <v>Ropa</v>
      </c>
      <c r="E24" s="2" t="str">
        <f>IFERROR(__xludf.DUMMYFUNCTION("""COMPUTED_VALUE"""),"$167,43")</f>
        <v>$167,43</v>
      </c>
      <c r="F24" s="2" t="str">
        <f>IFERROR(__xludf.DUMMYFUNCTION("""COMPUTED_VALUE"""),"$249,90")</f>
        <v>$249,90</v>
      </c>
    </row>
    <row r="25">
      <c r="A25" s="2" t="str">
        <f>IFERROR(__xludf.DUMMYFUNCTION("""COMPUTED_VALUE"""),"PR024")</f>
        <v>PR024</v>
      </c>
      <c r="B25" s="2" t="str">
        <f>IFERROR(__xludf.DUMMYFUNCTION("""COMPUTED_VALUE"""),"Chaqueta de mezclilla")</f>
        <v>Chaqueta de mezclilla</v>
      </c>
      <c r="C25" s="2" t="str">
        <f>IFERROR(__xludf.DUMMYFUNCTION("""COMPUTED_VALUE"""),"M")</f>
        <v>M</v>
      </c>
      <c r="D25" s="2" t="str">
        <f>IFERROR(__xludf.DUMMYFUNCTION("""COMPUTED_VALUE"""),"Ropa")</f>
        <v>Ropa</v>
      </c>
      <c r="E25" s="2" t="str">
        <f>IFERROR(__xludf.DUMMYFUNCTION("""COMPUTED_VALUE"""),"$168,94")</f>
        <v>$168,94</v>
      </c>
      <c r="F25" s="2" t="str">
        <f>IFERROR(__xludf.DUMMYFUNCTION("""COMPUTED_VALUE"""),"$259,90")</f>
        <v>$259,90</v>
      </c>
    </row>
    <row r="26">
      <c r="A26" s="2" t="str">
        <f>IFERROR(__xludf.DUMMYFUNCTION("""COMPUTED_VALUE"""),"PR025")</f>
        <v>PR025</v>
      </c>
      <c r="B26" s="2" t="str">
        <f>IFERROR(__xludf.DUMMYFUNCTION("""COMPUTED_VALUE"""),"Chaqueta de mezclilla")</f>
        <v>Chaqueta de mezclilla</v>
      </c>
      <c r="C26" s="2" t="str">
        <f>IFERROR(__xludf.DUMMYFUNCTION("""COMPUTED_VALUE"""),"L")</f>
        <v>L</v>
      </c>
      <c r="D26" s="2" t="str">
        <f>IFERROR(__xludf.DUMMYFUNCTION("""COMPUTED_VALUE"""),"Ropa")</f>
        <v>Ropa</v>
      </c>
      <c r="E26" s="2" t="str">
        <f>IFERROR(__xludf.DUMMYFUNCTION("""COMPUTED_VALUE"""),"$155,95")</f>
        <v>$155,95</v>
      </c>
      <c r="F26" s="2" t="str">
        <f>IFERROR(__xludf.DUMMYFUNCTION("""COMPUTED_VALUE"""),"$299,90")</f>
        <v>$299,90</v>
      </c>
    </row>
    <row r="27">
      <c r="A27" s="2" t="str">
        <f>IFERROR(__xludf.DUMMYFUNCTION("""COMPUTED_VALUE"""),"PR026")</f>
        <v>PR026</v>
      </c>
      <c r="B27" s="2" t="str">
        <f>IFERROR(__xludf.DUMMYFUNCTION("""COMPUTED_VALUE"""),"Gafas cuadradas")</f>
        <v>Gafas cuadradas</v>
      </c>
      <c r="C27" s="2" t="str">
        <f>IFERROR(__xludf.DUMMYFUNCTION("""COMPUTED_VALUE"""),"Única")</f>
        <v>Única</v>
      </c>
      <c r="D27" s="2" t="str">
        <f>IFERROR(__xludf.DUMMYFUNCTION("""COMPUTED_VALUE"""),"Accesorios")</f>
        <v>Accesorios</v>
      </c>
      <c r="E27" s="2" t="str">
        <f>IFERROR(__xludf.DUMMYFUNCTION("""COMPUTED_VALUE"""),"$199,44")</f>
        <v>$199,44</v>
      </c>
      <c r="F27" s="2" t="str">
        <f>IFERROR(__xludf.DUMMYFUNCTION("""COMPUTED_VALUE"""),"$349,90")</f>
        <v>$349,90</v>
      </c>
    </row>
    <row r="28">
      <c r="A28" s="2" t="str">
        <f>IFERROR(__xludf.DUMMYFUNCTION("""COMPUTED_VALUE"""),"PR027")</f>
        <v>PR027</v>
      </c>
      <c r="B28" s="2" t="str">
        <f>IFERROR(__xludf.DUMMYFUNCTION("""COMPUTED_VALUE"""),"Gafas redondas")</f>
        <v>Gafas redondas</v>
      </c>
      <c r="C28" s="2" t="str">
        <f>IFERROR(__xludf.DUMMYFUNCTION("""COMPUTED_VALUE"""),"Única")</f>
        <v>Única</v>
      </c>
      <c r="D28" s="2" t="str">
        <f>IFERROR(__xludf.DUMMYFUNCTION("""COMPUTED_VALUE"""),"Accesorios")</f>
        <v>Accesorios</v>
      </c>
      <c r="E28" s="2" t="str">
        <f>IFERROR(__xludf.DUMMYFUNCTION("""COMPUTED_VALUE"""),"$66,00")</f>
        <v>$66,00</v>
      </c>
      <c r="F28" s="2" t="str">
        <f>IFERROR(__xludf.DUMMYFUNCTION("""COMPUTED_VALUE"""),"$120,00")</f>
        <v>$120,00</v>
      </c>
    </row>
    <row r="29">
      <c r="A29" s="2" t="str">
        <f>IFERROR(__xludf.DUMMYFUNCTION("""COMPUTED_VALUE"""),"PR028")</f>
        <v>PR028</v>
      </c>
      <c r="B29" s="2" t="str">
        <f>IFERROR(__xludf.DUMMYFUNCTION("""COMPUTED_VALUE"""),"Tenis Atitas")</f>
        <v>Tenis Atitas</v>
      </c>
      <c r="C29" s="2">
        <f>IFERROR(__xludf.DUMMYFUNCTION("""COMPUTED_VALUE"""),36.0)</f>
        <v>36</v>
      </c>
      <c r="D29" s="2" t="str">
        <f>IFERROR(__xludf.DUMMYFUNCTION("""COMPUTED_VALUE"""),"Calzado")</f>
        <v>Calzado</v>
      </c>
      <c r="E29" s="2" t="str">
        <f>IFERROR(__xludf.DUMMYFUNCTION("""COMPUTED_VALUE"""),"$154,94")</f>
        <v>$154,94</v>
      </c>
      <c r="F29" s="2" t="str">
        <f>IFERROR(__xludf.DUMMYFUNCTION("""COMPUTED_VALUE"""),"$249,90")</f>
        <v>$249,90</v>
      </c>
    </row>
    <row r="30">
      <c r="A30" s="2" t="str">
        <f>IFERROR(__xludf.DUMMYFUNCTION("""COMPUTED_VALUE"""),"PR029")</f>
        <v>PR029</v>
      </c>
      <c r="B30" s="2" t="str">
        <f>IFERROR(__xludf.DUMMYFUNCTION("""COMPUTED_VALUE"""),"Tenis Atitas")</f>
        <v>Tenis Atitas</v>
      </c>
      <c r="C30" s="2">
        <f>IFERROR(__xludf.DUMMYFUNCTION("""COMPUTED_VALUE"""),37.0)</f>
        <v>37</v>
      </c>
      <c r="D30" s="2" t="str">
        <f>IFERROR(__xludf.DUMMYFUNCTION("""COMPUTED_VALUE"""),"Calzado")</f>
        <v>Calzado</v>
      </c>
      <c r="E30" s="2" t="str">
        <f>IFERROR(__xludf.DUMMYFUNCTION("""COMPUTED_VALUE"""),"$145,35")</f>
        <v>$145,35</v>
      </c>
      <c r="F30" s="2" t="str">
        <f>IFERROR(__xludf.DUMMYFUNCTION("""COMPUTED_VALUE"""),"$255,00")</f>
        <v>$255,00</v>
      </c>
    </row>
    <row r="31">
      <c r="A31" s="2" t="str">
        <f>IFERROR(__xludf.DUMMYFUNCTION("""COMPUTED_VALUE"""),"PR030")</f>
        <v>PR030</v>
      </c>
      <c r="B31" s="2" t="str">
        <f>IFERROR(__xludf.DUMMYFUNCTION("""COMPUTED_VALUE"""),"Tenis Atitas")</f>
        <v>Tenis Atitas</v>
      </c>
      <c r="C31" s="2">
        <f>IFERROR(__xludf.DUMMYFUNCTION("""COMPUTED_VALUE"""),38.0)</f>
        <v>38</v>
      </c>
      <c r="D31" s="2" t="str">
        <f>IFERROR(__xludf.DUMMYFUNCTION("""COMPUTED_VALUE"""),"Calzado")</f>
        <v>Calzado</v>
      </c>
      <c r="E31" s="2" t="str">
        <f>IFERROR(__xludf.DUMMYFUNCTION("""COMPUTED_VALUE"""),"$153,34")</f>
        <v>$153,34</v>
      </c>
      <c r="F31" s="2" t="str">
        <f>IFERROR(__xludf.DUMMYFUNCTION("""COMPUTED_VALUE"""),"$259,90")</f>
        <v>$259,90</v>
      </c>
    </row>
    <row r="32">
      <c r="A32" s="2" t="str">
        <f>IFERROR(__xludf.DUMMYFUNCTION("""COMPUTED_VALUE"""),"PR031")</f>
        <v>PR031</v>
      </c>
      <c r="B32" s="2" t="str">
        <f>IFERROR(__xludf.DUMMYFUNCTION("""COMPUTED_VALUE"""),"Tenis Chunky")</f>
        <v>Tenis Chunky</v>
      </c>
      <c r="C32" s="2">
        <f>IFERROR(__xludf.DUMMYFUNCTION("""COMPUTED_VALUE"""),36.0)</f>
        <v>36</v>
      </c>
      <c r="D32" s="2" t="str">
        <f>IFERROR(__xludf.DUMMYFUNCTION("""COMPUTED_VALUE"""),"Calzado")</f>
        <v>Calzado</v>
      </c>
      <c r="E32" s="2" t="str">
        <f>IFERROR(__xludf.DUMMYFUNCTION("""COMPUTED_VALUE"""),"$156,80")</f>
        <v>$156,80</v>
      </c>
      <c r="F32" s="2" t="str">
        <f>IFERROR(__xludf.DUMMYFUNCTION("""COMPUTED_VALUE"""),"$245,00")</f>
        <v>$245,00</v>
      </c>
    </row>
    <row r="33">
      <c r="A33" s="2" t="str">
        <f>IFERROR(__xludf.DUMMYFUNCTION("""COMPUTED_VALUE"""),"PR032")</f>
        <v>PR032</v>
      </c>
      <c r="B33" s="2" t="str">
        <f>IFERROR(__xludf.DUMMYFUNCTION("""COMPUTED_VALUE"""),"Tenis Chunky")</f>
        <v>Tenis Chunky</v>
      </c>
      <c r="C33" s="2">
        <f>IFERROR(__xludf.DUMMYFUNCTION("""COMPUTED_VALUE"""),37.0)</f>
        <v>37</v>
      </c>
      <c r="D33" s="2" t="str">
        <f>IFERROR(__xludf.DUMMYFUNCTION("""COMPUTED_VALUE"""),"Calzado")</f>
        <v>Calzado</v>
      </c>
      <c r="E33" s="2" t="str">
        <f>IFERROR(__xludf.DUMMYFUNCTION("""COMPUTED_VALUE"""),"$152,50")</f>
        <v>$152,50</v>
      </c>
      <c r="F33" s="2" t="str">
        <f>IFERROR(__xludf.DUMMYFUNCTION("""COMPUTED_VALUE"""),"$250,00")</f>
        <v>$250,00</v>
      </c>
    </row>
    <row r="34">
      <c r="A34" s="2" t="str">
        <f>IFERROR(__xludf.DUMMYFUNCTION("""COMPUTED_VALUE"""),"PR033")</f>
        <v>PR033</v>
      </c>
      <c r="B34" s="2" t="str">
        <f>IFERROR(__xludf.DUMMYFUNCTION("""COMPUTED_VALUE"""),"Tenis Chunky")</f>
        <v>Tenis Chunky</v>
      </c>
      <c r="C34" s="2">
        <f>IFERROR(__xludf.DUMMYFUNCTION("""COMPUTED_VALUE"""),38.0)</f>
        <v>38</v>
      </c>
      <c r="D34" s="2" t="str">
        <f>IFERROR(__xludf.DUMMYFUNCTION("""COMPUTED_VALUE"""),"Calzado")</f>
        <v>Calzado</v>
      </c>
      <c r="E34" s="2" t="str">
        <f>IFERROR(__xludf.DUMMYFUNCTION("""COMPUTED_VALUE"""),"$153,34")</f>
        <v>$153,34</v>
      </c>
      <c r="F34" s="2" t="str">
        <f>IFERROR(__xludf.DUMMYFUNCTION("""COMPUTED_VALUE"""),"$259,90")</f>
        <v>$259,90</v>
      </c>
    </row>
    <row r="35">
      <c r="A35" s="2" t="str">
        <f>IFERROR(__xludf.DUMMYFUNCTION("""COMPUTED_VALUE"""),"PR034")</f>
        <v>PR034</v>
      </c>
      <c r="B35" s="2" t="str">
        <f>IFERROR(__xludf.DUMMYFUNCTION("""COMPUTED_VALUE"""),"Vestido corto")</f>
        <v>Vestido corto</v>
      </c>
      <c r="C35" s="2" t="str">
        <f>IFERROR(__xludf.DUMMYFUNCTION("""COMPUTED_VALUE"""),"S")</f>
        <v>S</v>
      </c>
      <c r="D35" s="2" t="str">
        <f>IFERROR(__xludf.DUMMYFUNCTION("""COMPUTED_VALUE"""),"Ropa")</f>
        <v>Ropa</v>
      </c>
      <c r="E35" s="2" t="str">
        <f>IFERROR(__xludf.DUMMYFUNCTION("""COMPUTED_VALUE"""),"$59,33")</f>
        <v>$59,33</v>
      </c>
      <c r="F35" s="2" t="str">
        <f>IFERROR(__xludf.DUMMYFUNCTION("""COMPUTED_VALUE"""),"$89,90")</f>
        <v>$89,90</v>
      </c>
    </row>
    <row r="36">
      <c r="A36" s="2" t="str">
        <f>IFERROR(__xludf.DUMMYFUNCTION("""COMPUTED_VALUE"""),"PR035")</f>
        <v>PR035</v>
      </c>
      <c r="B36" s="2" t="str">
        <f>IFERROR(__xludf.DUMMYFUNCTION("""COMPUTED_VALUE"""),"Vestido corto")</f>
        <v>Vestido corto</v>
      </c>
      <c r="C36" s="2" t="str">
        <f>IFERROR(__xludf.DUMMYFUNCTION("""COMPUTED_VALUE"""),"M")</f>
        <v>M</v>
      </c>
      <c r="D36" s="2" t="str">
        <f>IFERROR(__xludf.DUMMYFUNCTION("""COMPUTED_VALUE"""),"Ropa")</f>
        <v>Ropa</v>
      </c>
      <c r="E36" s="2" t="str">
        <f>IFERROR(__xludf.DUMMYFUNCTION("""COMPUTED_VALUE"""),"$46,61")</f>
        <v>$46,61</v>
      </c>
      <c r="F36" s="2" t="str">
        <f>IFERROR(__xludf.DUMMYFUNCTION("""COMPUTED_VALUE"""),"$91,40")</f>
        <v>$91,40</v>
      </c>
    </row>
    <row r="37">
      <c r="A37" s="2" t="str">
        <f>IFERROR(__xludf.DUMMYFUNCTION("""COMPUTED_VALUE"""),"PR036")</f>
        <v>PR036</v>
      </c>
      <c r="B37" s="2" t="str">
        <f>IFERROR(__xludf.DUMMYFUNCTION("""COMPUTED_VALUE"""),"Vestido corto")</f>
        <v>Vestido corto</v>
      </c>
      <c r="C37" s="2" t="str">
        <f>IFERROR(__xludf.DUMMYFUNCTION("""COMPUTED_VALUE"""),"L")</f>
        <v>L</v>
      </c>
      <c r="D37" s="2" t="str">
        <f>IFERROR(__xludf.DUMMYFUNCTION("""COMPUTED_VALUE"""),"Ropa")</f>
        <v>Ropa</v>
      </c>
      <c r="E37" s="2" t="str">
        <f>IFERROR(__xludf.DUMMYFUNCTION("""COMPUTED_VALUE"""),"$52,36")</f>
        <v>$52,36</v>
      </c>
      <c r="F37" s="2" t="str">
        <f>IFERROR(__xludf.DUMMYFUNCTION("""COMPUTED_VALUE"""),"$93,50")</f>
        <v>$93,50</v>
      </c>
    </row>
    <row r="38">
      <c r="A38" s="2" t="str">
        <f>IFERROR(__xludf.DUMMYFUNCTION("""COMPUTED_VALUE"""),"PR037")</f>
        <v>PR037</v>
      </c>
      <c r="B38" s="2" t="str">
        <f>IFERROR(__xludf.DUMMYFUNCTION("""COMPUTED_VALUE"""),"Vestido largo")</f>
        <v>Vestido largo</v>
      </c>
      <c r="C38" s="2" t="str">
        <f>IFERROR(__xludf.DUMMYFUNCTION("""COMPUTED_VALUE"""),"S")</f>
        <v>S</v>
      </c>
      <c r="D38" s="2" t="str">
        <f>IFERROR(__xludf.DUMMYFUNCTION("""COMPUTED_VALUE"""),"Ropa")</f>
        <v>Ropa</v>
      </c>
      <c r="E38" s="2" t="str">
        <f>IFERROR(__xludf.DUMMYFUNCTION("""COMPUTED_VALUE"""),"$70,00")</f>
        <v>$70,00</v>
      </c>
      <c r="F38" s="2" t="str">
        <f>IFERROR(__xludf.DUMMYFUNCTION("""COMPUTED_VALUE"""),"$140,00")</f>
        <v>$140,00</v>
      </c>
    </row>
    <row r="39">
      <c r="A39" s="2" t="str">
        <f>IFERROR(__xludf.DUMMYFUNCTION("""COMPUTED_VALUE"""),"PR038")</f>
        <v>PR038</v>
      </c>
      <c r="B39" s="2" t="str">
        <f>IFERROR(__xludf.DUMMYFUNCTION("""COMPUTED_VALUE"""),"Vestido largo")</f>
        <v>Vestido largo</v>
      </c>
      <c r="C39" s="2" t="str">
        <f>IFERROR(__xludf.DUMMYFUNCTION("""COMPUTED_VALUE"""),"M")</f>
        <v>M</v>
      </c>
      <c r="D39" s="2" t="str">
        <f>IFERROR(__xludf.DUMMYFUNCTION("""COMPUTED_VALUE"""),"Ropa")</f>
        <v>Ropa</v>
      </c>
      <c r="E39" s="2" t="str">
        <f>IFERROR(__xludf.DUMMYFUNCTION("""COMPUTED_VALUE"""),"$98,60")</f>
        <v>$98,60</v>
      </c>
      <c r="F39" s="2" t="str">
        <f>IFERROR(__xludf.DUMMYFUNCTION("""COMPUTED_VALUE"""),"$142,90")</f>
        <v>$142,90</v>
      </c>
    </row>
    <row r="40">
      <c r="A40" s="2" t="str">
        <f>IFERROR(__xludf.DUMMYFUNCTION("""COMPUTED_VALUE"""),"PR039")</f>
        <v>PR039</v>
      </c>
      <c r="B40" s="2" t="str">
        <f>IFERROR(__xludf.DUMMYFUNCTION("""COMPUTED_VALUE"""),"Vestido largo")</f>
        <v>Vestido largo</v>
      </c>
      <c r="C40" s="2" t="str">
        <f>IFERROR(__xludf.DUMMYFUNCTION("""COMPUTED_VALUE"""),"L")</f>
        <v>L</v>
      </c>
      <c r="D40" s="2" t="str">
        <f>IFERROR(__xludf.DUMMYFUNCTION("""COMPUTED_VALUE"""),"Ropa")</f>
        <v>Ropa</v>
      </c>
      <c r="E40" s="2" t="str">
        <f>IFERROR(__xludf.DUMMYFUNCTION("""COMPUTED_VALUE"""),"$90,52")</f>
        <v>$90,52</v>
      </c>
      <c r="F40" s="2" t="str">
        <f>IFERROR(__xludf.DUMMYFUNCTION("""COMPUTED_VALUE"""),"$146,00")</f>
        <v>$146,00</v>
      </c>
    </row>
    <row r="41">
      <c r="A41" s="2" t="str">
        <f>IFERROR(__xludf.DUMMYFUNCTION("""COMPUTED_VALUE"""),"PR040")</f>
        <v>PR040</v>
      </c>
      <c r="B41" s="2" t="str">
        <f>IFERROR(__xludf.DUMMYFUNCTION("""COMPUTED_VALUE"""),"Playera confort")</f>
        <v>Playera confort</v>
      </c>
      <c r="C41" s="2" t="str">
        <f>IFERROR(__xludf.DUMMYFUNCTION("""COMPUTED_VALUE"""),"S")</f>
        <v>S</v>
      </c>
      <c r="D41" s="2" t="str">
        <f>IFERROR(__xludf.DUMMYFUNCTION("""COMPUTED_VALUE"""),"Ropa")</f>
        <v>Ropa</v>
      </c>
      <c r="E41" s="2" t="str">
        <f>IFERROR(__xludf.DUMMYFUNCTION("""COMPUTED_VALUE"""),"$46,90")</f>
        <v>$46,90</v>
      </c>
      <c r="F41" s="2" t="str">
        <f>IFERROR(__xludf.DUMMYFUNCTION("""COMPUTED_VALUE"""),"$70,00")</f>
        <v>$70,00</v>
      </c>
    </row>
    <row r="42">
      <c r="A42" s="2" t="str">
        <f>IFERROR(__xludf.DUMMYFUNCTION("""COMPUTED_VALUE"""),"PR041")</f>
        <v>PR041</v>
      </c>
      <c r="B42" s="2" t="str">
        <f>IFERROR(__xludf.DUMMYFUNCTION("""COMPUTED_VALUE"""),"Playera confort")</f>
        <v>Playera confort</v>
      </c>
      <c r="C42" s="2" t="str">
        <f>IFERROR(__xludf.DUMMYFUNCTION("""COMPUTED_VALUE"""),"M")</f>
        <v>M</v>
      </c>
      <c r="D42" s="2" t="str">
        <f>IFERROR(__xludf.DUMMYFUNCTION("""COMPUTED_VALUE"""),"Ropa")</f>
        <v>Ropa</v>
      </c>
      <c r="E42" s="2" t="str">
        <f>IFERROR(__xludf.DUMMYFUNCTION("""COMPUTED_VALUE"""),"$34,04")</f>
        <v>$34,04</v>
      </c>
      <c r="F42" s="2" t="str">
        <f>IFERROR(__xludf.DUMMYFUNCTION("""COMPUTED_VALUE"""),"$54,90")</f>
        <v>$54,90</v>
      </c>
    </row>
    <row r="43">
      <c r="A43" s="2" t="str">
        <f>IFERROR(__xludf.DUMMYFUNCTION("""COMPUTED_VALUE"""),"PR042")</f>
        <v>PR042</v>
      </c>
      <c r="B43" s="2" t="str">
        <f>IFERROR(__xludf.DUMMYFUNCTION("""COMPUTED_VALUE"""),"Playera confort")</f>
        <v>Playera confort</v>
      </c>
      <c r="C43" s="2" t="str">
        <f>IFERROR(__xludf.DUMMYFUNCTION("""COMPUTED_VALUE"""),"L")</f>
        <v>L</v>
      </c>
      <c r="D43" s="2" t="str">
        <f>IFERROR(__xludf.DUMMYFUNCTION("""COMPUTED_VALUE"""),"Ropa")</f>
        <v>Ropa</v>
      </c>
      <c r="E43" s="2" t="str">
        <f>IFERROR(__xludf.DUMMYFUNCTION("""COMPUTED_VALUE"""),"$29,65")</f>
        <v>$29,65</v>
      </c>
      <c r="F43" s="2" t="str">
        <f>IFERROR(__xludf.DUMMYFUNCTION("""COMPUTED_VALUE"""),"$54,90")</f>
        <v>$54,90</v>
      </c>
    </row>
    <row r="44">
      <c r="A44" s="2" t="str">
        <f>IFERROR(__xludf.DUMMYFUNCTION("""COMPUTED_VALUE"""),"PR043")</f>
        <v>PR043</v>
      </c>
      <c r="B44" s="2" t="str">
        <f>IFERROR(__xludf.DUMMYFUNCTION("""COMPUTED_VALUE"""),"Vestido floral")</f>
        <v>Vestido floral</v>
      </c>
      <c r="C44" s="2" t="str">
        <f>IFERROR(__xludf.DUMMYFUNCTION("""COMPUTED_VALUE"""),"S")</f>
        <v>S</v>
      </c>
      <c r="D44" s="2" t="str">
        <f>IFERROR(__xludf.DUMMYFUNCTION("""COMPUTED_VALUE"""),"Ropa")</f>
        <v>Ropa</v>
      </c>
      <c r="E44" s="2" t="str">
        <f>IFERROR(__xludf.DUMMYFUNCTION("""COMPUTED_VALUE"""),"$37,70")</f>
        <v>$37,70</v>
      </c>
      <c r="F44" s="2" t="str">
        <f>IFERROR(__xludf.DUMMYFUNCTION("""COMPUTED_VALUE"""),"$72,50")</f>
        <v>$72,50</v>
      </c>
    </row>
    <row r="45">
      <c r="A45" s="2" t="str">
        <f>IFERROR(__xludf.DUMMYFUNCTION("""COMPUTED_VALUE"""),"PR044")</f>
        <v>PR044</v>
      </c>
      <c r="B45" s="2" t="str">
        <f>IFERROR(__xludf.DUMMYFUNCTION("""COMPUTED_VALUE"""),"Vestido floral")</f>
        <v>Vestido floral</v>
      </c>
      <c r="C45" s="2" t="str">
        <f>IFERROR(__xludf.DUMMYFUNCTION("""COMPUTED_VALUE"""),"M")</f>
        <v>M</v>
      </c>
      <c r="D45" s="2" t="str">
        <f>IFERROR(__xludf.DUMMYFUNCTION("""COMPUTED_VALUE"""),"Ropa")</f>
        <v>Ropa</v>
      </c>
      <c r="E45" s="2" t="str">
        <f>IFERROR(__xludf.DUMMYFUNCTION("""COMPUTED_VALUE"""),"$50,03")</f>
        <v>$50,03</v>
      </c>
      <c r="F45" s="2" t="str">
        <f>IFERROR(__xludf.DUMMYFUNCTION("""COMPUTED_VALUE"""),"$72,50")</f>
        <v>$72,50</v>
      </c>
    </row>
    <row r="46">
      <c r="A46" s="2" t="str">
        <f>IFERROR(__xludf.DUMMYFUNCTION("""COMPUTED_VALUE"""),"PR045")</f>
        <v>PR045</v>
      </c>
      <c r="B46" s="2" t="str">
        <f>IFERROR(__xludf.DUMMYFUNCTION("""COMPUTED_VALUE"""),"Vestido floral")</f>
        <v>Vestido floral</v>
      </c>
      <c r="C46" s="2" t="str">
        <f>IFERROR(__xludf.DUMMYFUNCTION("""COMPUTED_VALUE"""),"L")</f>
        <v>L</v>
      </c>
      <c r="D46" s="2" t="str">
        <f>IFERROR(__xludf.DUMMYFUNCTION("""COMPUTED_VALUE"""),"Ropa")</f>
        <v>Ropa</v>
      </c>
      <c r="E46" s="2" t="str">
        <f>IFERROR(__xludf.DUMMYFUNCTION("""COMPUTED_VALUE"""),"$42,78")</f>
        <v>$42,78</v>
      </c>
      <c r="F46" s="2" t="str">
        <f>IFERROR(__xludf.DUMMYFUNCTION("""COMPUTED_VALUE"""),"$72,50")</f>
        <v>$72,50</v>
      </c>
    </row>
    <row r="47">
      <c r="A47" s="2" t="str">
        <f>IFERROR(__xludf.DUMMYFUNCTION("""COMPUTED_VALUE"""),"PR046")</f>
        <v>PR046</v>
      </c>
      <c r="B47" s="2" t="str">
        <f>IFERROR(__xludf.DUMMYFUNCTION("""COMPUTED_VALUE"""),"Chaqueta de cuero")</f>
        <v>Chaqueta de cuero</v>
      </c>
      <c r="C47" s="2" t="str">
        <f>IFERROR(__xludf.DUMMYFUNCTION("""COMPUTED_VALUE"""),"S")</f>
        <v>S</v>
      </c>
      <c r="D47" s="2" t="str">
        <f>IFERROR(__xludf.DUMMYFUNCTION("""COMPUTED_VALUE"""),"Ropa")</f>
        <v>Ropa</v>
      </c>
      <c r="E47" s="2" t="str">
        <f>IFERROR(__xludf.DUMMYFUNCTION("""COMPUTED_VALUE"""),"$171,04")</f>
        <v>$171,04</v>
      </c>
      <c r="F47" s="2" t="str">
        <f>IFERROR(__xludf.DUMMYFUNCTION("""COMPUTED_VALUE"""),"$289,90")</f>
        <v>$289,90</v>
      </c>
    </row>
    <row r="48">
      <c r="A48" s="2" t="str">
        <f>IFERROR(__xludf.DUMMYFUNCTION("""COMPUTED_VALUE"""),"PR047")</f>
        <v>PR047</v>
      </c>
      <c r="B48" s="2" t="str">
        <f>IFERROR(__xludf.DUMMYFUNCTION("""COMPUTED_VALUE"""),"Chaqueta de cuero")</f>
        <v>Chaqueta de cuero</v>
      </c>
      <c r="C48" s="2" t="str">
        <f>IFERROR(__xludf.DUMMYFUNCTION("""COMPUTED_VALUE"""),"M")</f>
        <v>M</v>
      </c>
      <c r="D48" s="2" t="str">
        <f>IFERROR(__xludf.DUMMYFUNCTION("""COMPUTED_VALUE"""),"Ropa")</f>
        <v>Ropa</v>
      </c>
      <c r="E48" s="2" t="str">
        <f>IFERROR(__xludf.DUMMYFUNCTION("""COMPUTED_VALUE"""),"$194,23")</f>
        <v>$194,23</v>
      </c>
      <c r="F48" s="2" t="str">
        <f>IFERROR(__xludf.DUMMYFUNCTION("""COMPUTED_VALUE"""),"$289,90")</f>
        <v>$289,90</v>
      </c>
    </row>
    <row r="49">
      <c r="A49" s="2" t="str">
        <f>IFERROR(__xludf.DUMMYFUNCTION("""COMPUTED_VALUE"""),"PR048")</f>
        <v>PR048</v>
      </c>
      <c r="B49" s="2" t="str">
        <f>IFERROR(__xludf.DUMMYFUNCTION("""COMPUTED_VALUE"""),"Chaqueta de cuero")</f>
        <v>Chaqueta de cuero</v>
      </c>
      <c r="C49" s="2" t="str">
        <f>IFERROR(__xludf.DUMMYFUNCTION("""COMPUTED_VALUE"""),"L")</f>
        <v>L</v>
      </c>
      <c r="D49" s="2" t="str">
        <f>IFERROR(__xludf.DUMMYFUNCTION("""COMPUTED_VALUE"""),"Ropa")</f>
        <v>Ropa</v>
      </c>
      <c r="E49" s="2" t="str">
        <f>IFERROR(__xludf.DUMMYFUNCTION("""COMPUTED_VALUE"""),"$171,04")</f>
        <v>$171,04</v>
      </c>
      <c r="F49" s="2" t="str">
        <f>IFERROR(__xludf.DUMMYFUNCTION("""COMPUTED_VALUE"""),"$289,90")</f>
        <v>$289,90</v>
      </c>
    </row>
    <row r="50">
      <c r="A50" s="2" t="str">
        <f>IFERROR(__xludf.DUMMYFUNCTION("""COMPUTED_VALUE"""),"PR049")</f>
        <v>PR049</v>
      </c>
      <c r="B50" s="2" t="str">
        <f>IFERROR(__xludf.DUMMYFUNCTION("""COMPUTED_VALUE"""),"Playera a rayas")</f>
        <v>Playera a rayas</v>
      </c>
      <c r="C50" s="2" t="str">
        <f>IFERROR(__xludf.DUMMYFUNCTION("""COMPUTED_VALUE"""),"S")</f>
        <v>S</v>
      </c>
      <c r="D50" s="2" t="str">
        <f>IFERROR(__xludf.DUMMYFUNCTION("""COMPUTED_VALUE"""),"Ropa")</f>
        <v>Ropa</v>
      </c>
      <c r="E50" s="2" t="str">
        <f>IFERROR(__xludf.DUMMYFUNCTION("""COMPUTED_VALUE"""),"$18,75")</f>
        <v>$18,75</v>
      </c>
      <c r="F50" s="2" t="str">
        <f>IFERROR(__xludf.DUMMYFUNCTION("""COMPUTED_VALUE"""),"$32,90")</f>
        <v>$32,90</v>
      </c>
    </row>
    <row r="51">
      <c r="A51" s="2" t="str">
        <f>IFERROR(__xludf.DUMMYFUNCTION("""COMPUTED_VALUE"""),"PR050")</f>
        <v>PR050</v>
      </c>
      <c r="B51" s="2" t="str">
        <f>IFERROR(__xludf.DUMMYFUNCTION("""COMPUTED_VALUE"""),"Playera a rayas")</f>
        <v>Playera a rayas</v>
      </c>
      <c r="C51" s="2" t="str">
        <f>IFERROR(__xludf.DUMMYFUNCTION("""COMPUTED_VALUE"""),"M")</f>
        <v>M</v>
      </c>
      <c r="D51" s="2" t="str">
        <f>IFERROR(__xludf.DUMMYFUNCTION("""COMPUTED_VALUE"""),"Ropa")</f>
        <v>Ropa</v>
      </c>
      <c r="E51" s="2" t="str">
        <f>IFERROR(__xludf.DUMMYFUNCTION("""COMPUTED_VALUE"""),"$22,37")</f>
        <v>$22,37</v>
      </c>
      <c r="F51" s="2" t="str">
        <f>IFERROR(__xludf.DUMMYFUNCTION("""COMPUTED_VALUE"""),"$32,90")</f>
        <v>$32,90</v>
      </c>
    </row>
    <row r="52">
      <c r="A52" s="2" t="str">
        <f>IFERROR(__xludf.DUMMYFUNCTION("""COMPUTED_VALUE"""),"PR051")</f>
        <v>PR051</v>
      </c>
      <c r="B52" s="2" t="str">
        <f>IFERROR(__xludf.DUMMYFUNCTION("""COMPUTED_VALUE"""),"Playera a rayas")</f>
        <v>Playera a rayas</v>
      </c>
      <c r="C52" s="2" t="str">
        <f>IFERROR(__xludf.DUMMYFUNCTION("""COMPUTED_VALUE"""),"L")</f>
        <v>L</v>
      </c>
      <c r="D52" s="2" t="str">
        <f>IFERROR(__xludf.DUMMYFUNCTION("""COMPUTED_VALUE"""),"Ropa")</f>
        <v>Ropa</v>
      </c>
      <c r="E52" s="2" t="str">
        <f>IFERROR(__xludf.DUMMYFUNCTION("""COMPUTED_VALUE"""),"$20,73")</f>
        <v>$20,73</v>
      </c>
      <c r="F52" s="2" t="str">
        <f>IFERROR(__xludf.DUMMYFUNCTION("""COMPUTED_VALUE"""),"$32,90")</f>
        <v>$32,90</v>
      </c>
    </row>
    <row r="53">
      <c r="A53" s="2" t="str">
        <f>IFERROR(__xludf.DUMMYFUNCTION("""COMPUTED_VALUE"""),"PR052")</f>
        <v>PR052</v>
      </c>
      <c r="B53" s="2" t="str">
        <f>IFERROR(__xludf.DUMMYFUNCTION("""COMPUTED_VALUE"""),"Falda plisada")</f>
        <v>Falda plisada</v>
      </c>
      <c r="C53" s="2" t="str">
        <f>IFERROR(__xludf.DUMMYFUNCTION("""COMPUTED_VALUE"""),"S")</f>
        <v>S</v>
      </c>
      <c r="D53" s="2" t="str">
        <f>IFERROR(__xludf.DUMMYFUNCTION("""COMPUTED_VALUE"""),"Ropa")</f>
        <v>Ropa</v>
      </c>
      <c r="E53" s="2" t="str">
        <f>IFERROR(__xludf.DUMMYFUNCTION("""COMPUTED_VALUE"""),"$31,94")</f>
        <v>$31,94</v>
      </c>
      <c r="F53" s="2" t="str">
        <f>IFERROR(__xludf.DUMMYFUNCTION("""COMPUTED_VALUE"""),"$49,90")</f>
        <v>$49,90</v>
      </c>
    </row>
    <row r="54">
      <c r="A54" s="2" t="str">
        <f>IFERROR(__xludf.DUMMYFUNCTION("""COMPUTED_VALUE"""),"PR053")</f>
        <v>PR053</v>
      </c>
      <c r="B54" s="2" t="str">
        <f>IFERROR(__xludf.DUMMYFUNCTION("""COMPUTED_VALUE"""),"Falda plisada")</f>
        <v>Falda plisada</v>
      </c>
      <c r="C54" s="2" t="str">
        <f>IFERROR(__xludf.DUMMYFUNCTION("""COMPUTED_VALUE"""),"M")</f>
        <v>M</v>
      </c>
      <c r="D54" s="2" t="str">
        <f>IFERROR(__xludf.DUMMYFUNCTION("""COMPUTED_VALUE"""),"Ropa")</f>
        <v>Ropa</v>
      </c>
      <c r="E54" s="2" t="str">
        <f>IFERROR(__xludf.DUMMYFUNCTION("""COMPUTED_VALUE"""),"$28,94")</f>
        <v>$28,94</v>
      </c>
      <c r="F54" s="2" t="str">
        <f>IFERROR(__xludf.DUMMYFUNCTION("""COMPUTED_VALUE"""),"$49,90")</f>
        <v>$49,90</v>
      </c>
    </row>
    <row r="55">
      <c r="A55" s="2" t="str">
        <f>IFERROR(__xludf.DUMMYFUNCTION("""COMPUTED_VALUE"""),"PR054")</f>
        <v>PR054</v>
      </c>
      <c r="B55" s="2" t="str">
        <f>IFERROR(__xludf.DUMMYFUNCTION("""COMPUTED_VALUE"""),"Falda plisada")</f>
        <v>Falda plisada</v>
      </c>
      <c r="C55" s="2" t="str">
        <f>IFERROR(__xludf.DUMMYFUNCTION("""COMPUTED_VALUE"""),"L")</f>
        <v>L</v>
      </c>
      <c r="D55" s="2" t="str">
        <f>IFERROR(__xludf.DUMMYFUNCTION("""COMPUTED_VALUE"""),"Ropa")</f>
        <v>Ropa</v>
      </c>
      <c r="E55" s="2" t="str">
        <f>IFERROR(__xludf.DUMMYFUNCTION("""COMPUTED_VALUE"""),"$34,93")</f>
        <v>$34,93</v>
      </c>
      <c r="F55" s="2" t="str">
        <f>IFERROR(__xludf.DUMMYFUNCTION("""COMPUTED_VALUE"""),"$49,90")</f>
        <v>$49,90</v>
      </c>
    </row>
    <row r="56">
      <c r="A56" s="2" t="str">
        <f>IFERROR(__xludf.DUMMYFUNCTION("""COMPUTED_VALUE"""),"PR055")</f>
        <v>PR055</v>
      </c>
      <c r="B56" s="2" t="str">
        <f>IFERROR(__xludf.DUMMYFUNCTION("""COMPUTED_VALUE"""),"Sandalia plana")</f>
        <v>Sandalia plana</v>
      </c>
      <c r="C56" s="2">
        <f>IFERROR(__xludf.DUMMYFUNCTION("""COMPUTED_VALUE"""),35.0)</f>
        <v>35</v>
      </c>
      <c r="D56" s="2" t="str">
        <f>IFERROR(__xludf.DUMMYFUNCTION("""COMPUTED_VALUE"""),"Calzado")</f>
        <v>Calzado</v>
      </c>
      <c r="E56" s="2" t="str">
        <f>IFERROR(__xludf.DUMMYFUNCTION("""COMPUTED_VALUE"""),"$58,44")</f>
        <v>$58,44</v>
      </c>
      <c r="F56" s="2" t="str">
        <f>IFERROR(__xludf.DUMMYFUNCTION("""COMPUTED_VALUE"""),"$89,90")</f>
        <v>$89,90</v>
      </c>
    </row>
    <row r="57">
      <c r="A57" s="2" t="str">
        <f>IFERROR(__xludf.DUMMYFUNCTION("""COMPUTED_VALUE"""),"PR056")</f>
        <v>PR056</v>
      </c>
      <c r="B57" s="2" t="str">
        <f>IFERROR(__xludf.DUMMYFUNCTION("""COMPUTED_VALUE"""),"Sandalia plana")</f>
        <v>Sandalia plana</v>
      </c>
      <c r="C57" s="2">
        <f>IFERROR(__xludf.DUMMYFUNCTION("""COMPUTED_VALUE"""),36.0)</f>
        <v>36</v>
      </c>
      <c r="D57" s="2" t="str">
        <f>IFERROR(__xludf.DUMMYFUNCTION("""COMPUTED_VALUE"""),"Calzado")</f>
        <v>Calzado</v>
      </c>
      <c r="E57" s="2" t="str">
        <f>IFERROR(__xludf.DUMMYFUNCTION("""COMPUTED_VALUE"""),"$45,85")</f>
        <v>$45,85</v>
      </c>
      <c r="F57" s="2" t="str">
        <f>IFERROR(__xludf.DUMMYFUNCTION("""COMPUTED_VALUE"""),"$89,90")</f>
        <v>$89,90</v>
      </c>
    </row>
    <row r="58">
      <c r="A58" s="2" t="str">
        <f>IFERROR(__xludf.DUMMYFUNCTION("""COMPUTED_VALUE"""),"PR057")</f>
        <v>PR057</v>
      </c>
      <c r="B58" s="2" t="str">
        <f>IFERROR(__xludf.DUMMYFUNCTION("""COMPUTED_VALUE"""),"Sandalia plana")</f>
        <v>Sandalia plana</v>
      </c>
      <c r="C58" s="2">
        <f>IFERROR(__xludf.DUMMYFUNCTION("""COMPUTED_VALUE"""),37.0)</f>
        <v>37</v>
      </c>
      <c r="D58" s="2" t="str">
        <f>IFERROR(__xludf.DUMMYFUNCTION("""COMPUTED_VALUE"""),"Calzado")</f>
        <v>Calzado</v>
      </c>
      <c r="E58" s="2" t="str">
        <f>IFERROR(__xludf.DUMMYFUNCTION("""COMPUTED_VALUE"""),"$48,55")</f>
        <v>$48,55</v>
      </c>
      <c r="F58" s="2" t="str">
        <f>IFERROR(__xludf.DUMMYFUNCTION("""COMPUTED_VALUE"""),"$89,90")</f>
        <v>$89,90</v>
      </c>
    </row>
    <row r="59">
      <c r="A59" s="2" t="str">
        <f>IFERROR(__xludf.DUMMYFUNCTION("""COMPUTED_VALUE"""),"PR058")</f>
        <v>PR058</v>
      </c>
      <c r="B59" s="2" t="str">
        <f>IFERROR(__xludf.DUMMYFUNCTION("""COMPUTED_VALUE"""),"Pantalón de sastre")</f>
        <v>Pantalón de sastre</v>
      </c>
      <c r="C59" s="2" t="str">
        <f>IFERROR(__xludf.DUMMYFUNCTION("""COMPUTED_VALUE"""),"S")</f>
        <v>S</v>
      </c>
      <c r="D59" s="2" t="str">
        <f>IFERROR(__xludf.DUMMYFUNCTION("""COMPUTED_VALUE"""),"Ropa")</f>
        <v>Ropa</v>
      </c>
      <c r="E59" s="2" t="str">
        <f>IFERROR(__xludf.DUMMYFUNCTION("""COMPUTED_VALUE"""),"$113,40")</f>
        <v>$113,40</v>
      </c>
      <c r="F59" s="2" t="str">
        <f>IFERROR(__xludf.DUMMYFUNCTION("""COMPUTED_VALUE"""),"$180,00")</f>
        <v>$180,00</v>
      </c>
    </row>
    <row r="60">
      <c r="A60" s="2" t="str">
        <f>IFERROR(__xludf.DUMMYFUNCTION("""COMPUTED_VALUE"""),"PR059")</f>
        <v>PR059</v>
      </c>
      <c r="B60" s="2" t="str">
        <f>IFERROR(__xludf.DUMMYFUNCTION("""COMPUTED_VALUE"""),"Pantalón de sastre")</f>
        <v>Pantalón de sastre</v>
      </c>
      <c r="C60" s="2" t="str">
        <f>IFERROR(__xludf.DUMMYFUNCTION("""COMPUTED_VALUE"""),"M")</f>
        <v>M</v>
      </c>
      <c r="D60" s="2" t="str">
        <f>IFERROR(__xludf.DUMMYFUNCTION("""COMPUTED_VALUE"""),"Ropa")</f>
        <v>Ropa</v>
      </c>
      <c r="E60" s="2" t="str">
        <f>IFERROR(__xludf.DUMMYFUNCTION("""COMPUTED_VALUE"""),"$95,40")</f>
        <v>$95,40</v>
      </c>
      <c r="F60" s="2" t="str">
        <f>IFERROR(__xludf.DUMMYFUNCTION("""COMPUTED_VALUE"""),"$180,00")</f>
        <v>$180,00</v>
      </c>
    </row>
    <row r="61">
      <c r="A61" s="2" t="str">
        <f>IFERROR(__xludf.DUMMYFUNCTION("""COMPUTED_VALUE"""),"PR060")</f>
        <v>PR060</v>
      </c>
      <c r="B61" s="2" t="str">
        <f>IFERROR(__xludf.DUMMYFUNCTION("""COMPUTED_VALUE"""),"Pantalón de sastre")</f>
        <v>Pantalón de sastre</v>
      </c>
      <c r="C61" s="2" t="str">
        <f>IFERROR(__xludf.DUMMYFUNCTION("""COMPUTED_VALUE"""),"L")</f>
        <v>L</v>
      </c>
      <c r="D61" s="2" t="str">
        <f>IFERROR(__xludf.DUMMYFUNCTION("""COMPUTED_VALUE"""),"Ropa")</f>
        <v>Ropa</v>
      </c>
      <c r="E61" s="2" t="str">
        <f>IFERROR(__xludf.DUMMYFUNCTION("""COMPUTED_VALUE"""),"$120,60")</f>
        <v>$120,60</v>
      </c>
      <c r="F61" s="2" t="str">
        <f>IFERROR(__xludf.DUMMYFUNCTION("""COMPUTED_VALUE"""),"$180,00")</f>
        <v>$180,00</v>
      </c>
    </row>
    <row r="62">
      <c r="A62" s="2"/>
      <c r="B62" s="2"/>
      <c r="C62" s="2"/>
      <c r="D62" s="2"/>
      <c r="E62" s="2"/>
      <c r="F62" s="2"/>
    </row>
    <row r="63">
      <c r="A63" s="2"/>
      <c r="B63" s="2"/>
      <c r="C63" s="2"/>
      <c r="D63" s="2"/>
      <c r="E63" s="2"/>
      <c r="F63" s="2"/>
    </row>
    <row r="64">
      <c r="A64" s="2"/>
      <c r="B64" s="2"/>
      <c r="C64" s="2"/>
      <c r="D64" s="2"/>
      <c r="E64" s="2"/>
      <c r="F64" s="2"/>
    </row>
    <row r="65">
      <c r="A65" s="2"/>
      <c r="B65" s="2"/>
      <c r="C65" s="2"/>
      <c r="D65" s="2"/>
      <c r="E65" s="2"/>
      <c r="F65" s="2"/>
    </row>
    <row r="66">
      <c r="A66" s="2"/>
      <c r="B66" s="2"/>
      <c r="C66" s="2"/>
      <c r="D66" s="2"/>
      <c r="E66" s="2"/>
      <c r="F66" s="2"/>
    </row>
    <row r="67">
      <c r="A67" s="2"/>
      <c r="B67" s="2"/>
      <c r="C67" s="2"/>
      <c r="D67" s="2"/>
      <c r="E67" s="2"/>
      <c r="F67" s="2"/>
    </row>
    <row r="68">
      <c r="A68" s="2"/>
      <c r="B68" s="2"/>
      <c r="C68" s="2"/>
      <c r="D68" s="2"/>
      <c r="E68" s="2"/>
      <c r="F68" s="2"/>
    </row>
    <row r="69">
      <c r="A69" s="2"/>
      <c r="B69" s="2"/>
      <c r="C69" s="2"/>
      <c r="D69" s="2"/>
      <c r="E69" s="2"/>
      <c r="F69" s="2"/>
    </row>
    <row r="70">
      <c r="A70" s="2"/>
      <c r="B70" s="2"/>
      <c r="C70" s="2"/>
      <c r="D70" s="2"/>
      <c r="E70" s="2"/>
      <c r="F70" s="2"/>
    </row>
    <row r="71">
      <c r="A71" s="2"/>
      <c r="B71" s="2"/>
      <c r="C71" s="2"/>
      <c r="D71" s="2"/>
      <c r="E71" s="2"/>
      <c r="F71" s="2"/>
    </row>
    <row r="72">
      <c r="A72" s="2"/>
      <c r="B72" s="2"/>
      <c r="C72" s="2"/>
      <c r="D72" s="2"/>
      <c r="E72" s="2"/>
      <c r="F72" s="2"/>
    </row>
    <row r="73">
      <c r="A73" s="2"/>
      <c r="B73" s="2"/>
      <c r="C73" s="2"/>
      <c r="D73" s="2"/>
      <c r="E73" s="2"/>
      <c r="F73" s="2"/>
    </row>
    <row r="74">
      <c r="A74" s="2"/>
      <c r="B74" s="2"/>
      <c r="C74" s="2"/>
      <c r="D74" s="2"/>
      <c r="E74" s="2"/>
      <c r="F74" s="2"/>
    </row>
    <row r="75">
      <c r="A75" s="2"/>
      <c r="B75" s="2"/>
      <c r="C75" s="2"/>
      <c r="D75" s="2"/>
      <c r="E75" s="2"/>
      <c r="F75" s="2"/>
    </row>
    <row r="76">
      <c r="A76" s="2"/>
      <c r="B76" s="2"/>
      <c r="C76" s="2"/>
      <c r="D76" s="2"/>
      <c r="E76" s="2"/>
      <c r="F76" s="2"/>
    </row>
    <row r="77">
      <c r="A77" s="2"/>
      <c r="B77" s="2"/>
      <c r="C77" s="2"/>
      <c r="D77" s="2"/>
      <c r="E77" s="2"/>
      <c r="F77" s="2"/>
    </row>
    <row r="78">
      <c r="A78" s="2"/>
      <c r="B78" s="2"/>
      <c r="C78" s="2"/>
      <c r="D78" s="2"/>
      <c r="E78" s="2"/>
      <c r="F78" s="2"/>
    </row>
    <row r="79">
      <c r="A79" s="2"/>
      <c r="B79" s="2"/>
      <c r="C79" s="2"/>
      <c r="D79" s="2"/>
      <c r="E79" s="2"/>
      <c r="F79" s="2"/>
    </row>
    <row r="80">
      <c r="A80" s="2"/>
      <c r="B80" s="2"/>
      <c r="C80" s="2"/>
      <c r="D80" s="2"/>
      <c r="E80" s="2"/>
      <c r="F80" s="2"/>
    </row>
    <row r="81">
      <c r="A81" s="2"/>
      <c r="B81" s="2"/>
      <c r="C81" s="2"/>
      <c r="D81" s="2"/>
      <c r="E81" s="2"/>
      <c r="F81" s="2"/>
    </row>
    <row r="82">
      <c r="A82" s="2"/>
      <c r="B82" s="2"/>
      <c r="C82" s="2"/>
      <c r="D82" s="2"/>
      <c r="E82" s="2"/>
      <c r="F82" s="2"/>
    </row>
    <row r="83">
      <c r="A83" s="2"/>
      <c r="B83" s="2"/>
      <c r="C83" s="2"/>
      <c r="D83" s="2"/>
      <c r="E83" s="2"/>
      <c r="F83" s="2"/>
    </row>
    <row r="84">
      <c r="A84" s="2"/>
      <c r="B84" s="2"/>
      <c r="C84" s="2"/>
      <c r="D84" s="2"/>
      <c r="E84" s="2"/>
      <c r="F84" s="2"/>
    </row>
    <row r="85">
      <c r="A85" s="2"/>
      <c r="B85" s="2"/>
      <c r="C85" s="2"/>
      <c r="D85" s="2"/>
      <c r="E85" s="2"/>
      <c r="F85" s="2"/>
    </row>
    <row r="86">
      <c r="A86" s="2"/>
      <c r="B86" s="2"/>
      <c r="C86" s="2"/>
      <c r="D86" s="2"/>
      <c r="E86" s="2"/>
      <c r="F86" s="2"/>
    </row>
    <row r="87">
      <c r="A87" s="2"/>
      <c r="B87" s="2"/>
      <c r="C87" s="2"/>
      <c r="D87" s="2"/>
      <c r="E87" s="2"/>
      <c r="F87" s="2"/>
    </row>
    <row r="88">
      <c r="A88" s="2"/>
      <c r="B88" s="2"/>
      <c r="C88" s="2"/>
      <c r="D88" s="2"/>
      <c r="E88" s="2"/>
      <c r="F88" s="2"/>
    </row>
    <row r="89">
      <c r="A89" s="2"/>
      <c r="B89" s="2"/>
      <c r="C89" s="2"/>
      <c r="D89" s="2"/>
      <c r="E89" s="2"/>
      <c r="F89" s="2"/>
    </row>
    <row r="90">
      <c r="A90" s="2"/>
      <c r="B90" s="2"/>
      <c r="C90" s="2"/>
      <c r="D90" s="2"/>
      <c r="E90" s="2"/>
      <c r="F90" s="2"/>
    </row>
    <row r="91">
      <c r="A91" s="2"/>
      <c r="B91" s="2"/>
      <c r="C91" s="2"/>
      <c r="D91" s="2"/>
      <c r="E91" s="2"/>
      <c r="F91" s="2"/>
    </row>
    <row r="92">
      <c r="A92" s="2"/>
      <c r="B92" s="2"/>
      <c r="C92" s="2"/>
      <c r="D92" s="2"/>
      <c r="E92" s="2"/>
      <c r="F92" s="2"/>
    </row>
    <row r="93">
      <c r="A93" s="2"/>
      <c r="B93" s="2"/>
      <c r="C93" s="2"/>
      <c r="D93" s="2"/>
      <c r="E93" s="2"/>
      <c r="F93" s="2"/>
    </row>
    <row r="94">
      <c r="A94" s="2"/>
      <c r="B94" s="2"/>
      <c r="C94" s="2"/>
      <c r="D94" s="2"/>
      <c r="E94" s="2"/>
      <c r="F94" s="2"/>
    </row>
    <row r="95">
      <c r="A95" s="2"/>
      <c r="B95" s="2"/>
      <c r="C95" s="2"/>
      <c r="D95" s="2"/>
      <c r="E95" s="2"/>
      <c r="F95" s="2"/>
    </row>
    <row r="96">
      <c r="A96" s="2"/>
      <c r="B96" s="2"/>
      <c r="C96" s="2"/>
      <c r="D96" s="2"/>
      <c r="E96" s="2"/>
      <c r="F96" s="2"/>
    </row>
    <row r="97">
      <c r="A97" s="2"/>
      <c r="B97" s="2"/>
      <c r="C97" s="2"/>
      <c r="D97" s="2"/>
      <c r="E97" s="2"/>
      <c r="F97" s="2"/>
    </row>
    <row r="98">
      <c r="A98" s="2"/>
      <c r="B98" s="2"/>
      <c r="C98" s="2"/>
      <c r="D98" s="2"/>
      <c r="E98" s="2"/>
      <c r="F98" s="2"/>
    </row>
    <row r="99">
      <c r="A99" s="2"/>
      <c r="B99" s="2"/>
      <c r="C99" s="2"/>
      <c r="D99" s="2"/>
      <c r="E99" s="2"/>
      <c r="F99" s="2"/>
    </row>
    <row r="100">
      <c r="A100" s="2"/>
      <c r="B100" s="2"/>
      <c r="C100" s="2"/>
      <c r="D100" s="2"/>
      <c r="E100" s="2"/>
      <c r="F100" s="2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4.75"/>
    <col customWidth="1" min="3" max="3" width="19.25"/>
    <col customWidth="1" min="4" max="4" width="15.0"/>
  </cols>
  <sheetData>
    <row r="1">
      <c r="A1" s="1" t="str">
        <f>IFERROR(__xludf.DUMMYFUNCTION("IMPORTRANGE(""https://docs.google.com/spreadsheets/d/1vaJzUnOrtKtLng2PhfFKCWSC4LAsqa8tmcEg1rv0FIM/"",""A1:D50"")"),"Código")</f>
        <v>Código</v>
      </c>
      <c r="B1" s="2" t="str">
        <f>IFERROR(__xludf.DUMMYFUNCTION("""COMPUTED_VALUE"""),"Vendedor")</f>
        <v>Vendedor</v>
      </c>
      <c r="C1" s="2" t="str">
        <f>IFERROR(__xludf.DUMMYFUNCTION("""COMPUTED_VALUE"""),"Ciudad")</f>
        <v>Ciudad</v>
      </c>
      <c r="D1" s="2" t="str">
        <f>IFERROR(__xludf.DUMMYFUNCTION("""COMPUTED_VALUE"""),"Región")</f>
        <v>Región</v>
      </c>
    </row>
    <row r="2">
      <c r="A2" s="2" t="str">
        <f>IFERROR(__xludf.DUMMYFUNCTION("""COMPUTED_VALUE"""),"VD010")</f>
        <v>VD010</v>
      </c>
      <c r="B2" s="2" t="str">
        <f>IFERROR(__xludf.DUMMYFUNCTION("""COMPUTED_VALUE"""),"María Silva")</f>
        <v>María Silva</v>
      </c>
      <c r="C2" s="2" t="str">
        <f>IFERROR(__xludf.DUMMYFUNCTION("""COMPUTED_VALUE"""),"San Juan de la Sierra")</f>
        <v>San Juan de la Sierra</v>
      </c>
      <c r="D2" s="2" t="str">
        <f>IFERROR(__xludf.DUMMYFUNCTION("""COMPUTED_VALUE"""),"Región Central")</f>
        <v>Región Central</v>
      </c>
    </row>
    <row r="3">
      <c r="A3" s="2" t="str">
        <f>IFERROR(__xludf.DUMMYFUNCTION("""COMPUTED_VALUE"""),"VD011")</f>
        <v>VD011</v>
      </c>
      <c r="B3" s="2" t="str">
        <f>IFERROR(__xludf.DUMMYFUNCTION("""COMPUTED_VALUE"""),"Juan Santos")</f>
        <v>Juan Santos</v>
      </c>
      <c r="C3" s="2" t="str">
        <f>IFERROR(__xludf.DUMMYFUNCTION("""COMPUTED_VALUE"""),"Vista Hermosa")</f>
        <v>Vista Hermosa</v>
      </c>
      <c r="D3" s="2" t="str">
        <f>IFERROR(__xludf.DUMMYFUNCTION("""COMPUTED_VALUE"""),"Región Central")</f>
        <v>Región Central</v>
      </c>
    </row>
    <row r="4">
      <c r="A4" s="2" t="str">
        <f>IFERROR(__xludf.DUMMYFUNCTION("""COMPUTED_VALUE"""),"VD012")</f>
        <v>VD012</v>
      </c>
      <c r="B4" s="2" t="str">
        <f>IFERROR(__xludf.DUMMYFUNCTION("""COMPUTED_VALUE"""),"Ana Olmedo")</f>
        <v>Ana Olmedo</v>
      </c>
      <c r="C4" s="2" t="str">
        <f>IFERROR(__xludf.DUMMYFUNCTION("""COMPUTED_VALUE"""),"Río Claro")</f>
        <v>Río Claro</v>
      </c>
      <c r="D4" s="2" t="str">
        <f>IFERROR(__xludf.DUMMYFUNCTION("""COMPUTED_VALUE"""),"Región Central")</f>
        <v>Región Central</v>
      </c>
    </row>
    <row r="5">
      <c r="A5" s="2" t="str">
        <f>IFERROR(__xludf.DUMMYFUNCTION("""COMPUTED_VALUE"""),"VD013")</f>
        <v>VD013</v>
      </c>
      <c r="B5" s="2" t="str">
        <f>IFERROR(__xludf.DUMMYFUNCTION("""COMPUTED_VALUE"""),"Pedro Almonte")</f>
        <v>Pedro Almonte</v>
      </c>
      <c r="C5" s="2" t="str">
        <f>IFERROR(__xludf.DUMMYFUNCTION("""COMPUTED_VALUE"""),"Santa Rosa del Valle")</f>
        <v>Santa Rosa del Valle</v>
      </c>
      <c r="D5" s="2" t="str">
        <f>IFERROR(__xludf.DUMMYFUNCTION("""COMPUTED_VALUE"""),"Región Norte")</f>
        <v>Región Norte</v>
      </c>
    </row>
    <row r="6">
      <c r="A6" s="2" t="str">
        <f>IFERROR(__xludf.DUMMYFUNCTION("""COMPUTED_VALUE"""),"VD014")</f>
        <v>VD014</v>
      </c>
      <c r="B6" s="2" t="str">
        <f>IFERROR(__xludf.DUMMYFUNCTION("""COMPUTED_VALUE"""),"Carla Flores")</f>
        <v>Carla Flores</v>
      </c>
      <c r="C6" s="2" t="str">
        <f>IFERROR(__xludf.DUMMYFUNCTION("""COMPUTED_VALUE"""),"Valle Escondido")</f>
        <v>Valle Escondido</v>
      </c>
      <c r="D6" s="2" t="str">
        <f>IFERROR(__xludf.DUMMYFUNCTION("""COMPUTED_VALUE"""),"Región Andina")</f>
        <v>Región Andina</v>
      </c>
    </row>
    <row r="7">
      <c r="A7" s="2" t="str">
        <f>IFERROR(__xludf.DUMMYFUNCTION("""COMPUTED_VALUE"""),"VD015")</f>
        <v>VD015</v>
      </c>
      <c r="B7" s="2" t="str">
        <f>IFERROR(__xludf.DUMMYFUNCTION("""COMPUTED_VALUE"""),"Lucas Castillo")</f>
        <v>Lucas Castillo</v>
      </c>
      <c r="C7" s="2" t="str">
        <f>IFERROR(__xludf.DUMMYFUNCTION("""COMPUTED_VALUE"""),"San Miguel de los Pinos")</f>
        <v>San Miguel de los Pinos</v>
      </c>
      <c r="D7" s="2" t="str">
        <f>IFERROR(__xludf.DUMMYFUNCTION("""COMPUTED_VALUE"""),"Región Sur")</f>
        <v>Región Sur</v>
      </c>
    </row>
    <row r="8">
      <c r="A8" s="2" t="str">
        <f>IFERROR(__xludf.DUMMYFUNCTION("""COMPUTED_VALUE"""),"VD016")</f>
        <v>VD016</v>
      </c>
      <c r="B8" s="2" t="str">
        <f>IFERROR(__xludf.DUMMYFUNCTION("""COMPUTED_VALUE"""),"Beatriz Linares")</f>
        <v>Beatriz Linares</v>
      </c>
      <c r="C8" s="2" t="str">
        <f>IFERROR(__xludf.DUMMYFUNCTION("""COMPUTED_VALUE"""),"Puerto Esperanza")</f>
        <v>Puerto Esperanza</v>
      </c>
      <c r="D8" s="2" t="str">
        <f>IFERROR(__xludf.DUMMYFUNCTION("""COMPUTED_VALUE"""),"Región Sur")</f>
        <v>Región Sur</v>
      </c>
    </row>
    <row r="9">
      <c r="A9" s="2" t="str">
        <f>IFERROR(__xludf.DUMMYFUNCTION("""COMPUTED_VALUE"""),"VD017")</f>
        <v>VD017</v>
      </c>
      <c r="B9" s="2" t="str">
        <f>IFERROR(__xludf.DUMMYFUNCTION("""COMPUTED_VALUE"""),"Bruno Peralta")</f>
        <v>Bruno Peralta</v>
      </c>
      <c r="C9" s="2" t="str">
        <f>IFERROR(__xludf.DUMMYFUNCTION("""COMPUTED_VALUE"""),"Costa Azul")</f>
        <v>Costa Azul</v>
      </c>
      <c r="D9" s="2" t="str">
        <f>IFERROR(__xludf.DUMMYFUNCTION("""COMPUTED_VALUE"""),"Región Norte")</f>
        <v>Región Norte</v>
      </c>
    </row>
    <row r="10">
      <c r="A10" s="2" t="str">
        <f>IFERROR(__xludf.DUMMYFUNCTION("""COMPUTED_VALUE"""),"VD018")</f>
        <v>VD018</v>
      </c>
      <c r="B10" s="2" t="str">
        <f>IFERROR(__xludf.DUMMYFUNCTION("""COMPUTED_VALUE"""),"Leticia Rodríguez")</f>
        <v>Leticia Rodríguez</v>
      </c>
      <c r="C10" s="2" t="str">
        <f>IFERROR(__xludf.DUMMYFUNCTION("""COMPUTED_VALUE"""),"Playa Blanca")</f>
        <v>Playa Blanca</v>
      </c>
      <c r="D10" s="2" t="str">
        <f>IFERROR(__xludf.DUMMYFUNCTION("""COMPUTED_VALUE"""),"Región Norte")</f>
        <v>Región Norte</v>
      </c>
    </row>
    <row r="11">
      <c r="A11" s="2" t="str">
        <f>IFERROR(__xludf.DUMMYFUNCTION("""COMPUTED_VALUE"""),"VD019")</f>
        <v>VD019</v>
      </c>
      <c r="B11" s="2" t="str">
        <f>IFERROR(__xludf.DUMMYFUNCTION("""COMPUTED_VALUE"""),"Rafael Sosa")</f>
        <v>Rafael Sosa</v>
      </c>
      <c r="C11" s="2" t="str">
        <f>IFERROR(__xludf.DUMMYFUNCTION("""COMPUTED_VALUE"""),"Selva Verde")</f>
        <v>Selva Verde</v>
      </c>
      <c r="D11" s="2" t="str">
        <f>IFERROR(__xludf.DUMMYFUNCTION("""COMPUTED_VALUE"""),"Región Amazónica")</f>
        <v>Región Amazónica</v>
      </c>
    </row>
    <row r="12">
      <c r="A12" s="2" t="str">
        <f>IFERROR(__xludf.DUMMYFUNCTION("""COMPUTED_VALUE"""),"VD020")</f>
        <v>VD020</v>
      </c>
      <c r="B12" s="2" t="str">
        <f>IFERROR(__xludf.DUMMYFUNCTION("""COMPUTED_VALUE"""),"Gustavo Morales")</f>
        <v>Gustavo Morales</v>
      </c>
      <c r="C12" s="2" t="str">
        <f>IFERROR(__xludf.DUMMYFUNCTION("""COMPUTED_VALUE"""),"Villa del Sol")</f>
        <v>Villa del Sol</v>
      </c>
      <c r="D12" s="2" t="str">
        <f>IFERROR(__xludf.DUMMYFUNCTION("""COMPUTED_VALUE"""),"Región Central 2")</f>
        <v>Región Central 2</v>
      </c>
    </row>
    <row r="13">
      <c r="A13" s="2" t="str">
        <f>IFERROR(__xludf.DUMMYFUNCTION("""COMPUTED_VALUE"""),"VD021")</f>
        <v>VD021</v>
      </c>
      <c r="B13" s="2" t="str">
        <f>IFERROR(__xludf.DUMMYFUNCTION("""COMPUTED_VALUE"""),"Fernanda Méndez")</f>
        <v>Fernanda Méndez</v>
      </c>
      <c r="C13" s="2" t="str">
        <f>IFERROR(__xludf.DUMMYFUNCTION("""COMPUTED_VALUE"""),"San Juan de la Sierra")</f>
        <v>San Juan de la Sierra</v>
      </c>
      <c r="D13" s="2" t="str">
        <f>IFERROR(__xludf.DUMMYFUNCTION("""COMPUTED_VALUE"""),"Región Central")</f>
        <v>Región Central</v>
      </c>
    </row>
    <row r="14">
      <c r="A14" s="2" t="str">
        <f>IFERROR(__xludf.DUMMYFUNCTION("""COMPUTED_VALUE"""),"VD022")</f>
        <v>VD022</v>
      </c>
      <c r="B14" s="2" t="str">
        <f>IFERROR(__xludf.DUMMYFUNCTION("""COMPUTED_VALUE"""),"Santiago Linares")</f>
        <v>Santiago Linares</v>
      </c>
      <c r="C14" s="2" t="str">
        <f>IFERROR(__xludf.DUMMYFUNCTION("""COMPUTED_VALUE"""),"Vista Hermosa")</f>
        <v>Vista Hermosa</v>
      </c>
      <c r="D14" s="2" t="str">
        <f>IFERROR(__xludf.DUMMYFUNCTION("""COMPUTED_VALUE"""),"Región Central")</f>
        <v>Región Central</v>
      </c>
    </row>
    <row r="15">
      <c r="A15" s="2" t="str">
        <f>IFERROR(__xludf.DUMMYFUNCTION("""COMPUTED_VALUE"""),"VD023")</f>
        <v>VD023</v>
      </c>
      <c r="B15" s="2" t="str">
        <f>IFERROR(__xludf.DUMMYFUNCTION("""COMPUTED_VALUE"""),"Juliana Castro")</f>
        <v>Juliana Castro</v>
      </c>
      <c r="C15" s="2" t="str">
        <f>IFERROR(__xludf.DUMMYFUNCTION("""COMPUTED_VALUE"""),"San Miguel de los Pinos")</f>
        <v>San Miguel de los Pinos</v>
      </c>
      <c r="D15" s="2" t="str">
        <f>IFERROR(__xludf.DUMMYFUNCTION("""COMPUTED_VALUE"""),"Región Sur")</f>
        <v>Región Sur</v>
      </c>
    </row>
    <row r="16">
      <c r="A16" s="2" t="str">
        <f>IFERROR(__xludf.DUMMYFUNCTION("""COMPUTED_VALUE"""),"VD024")</f>
        <v>VD024</v>
      </c>
      <c r="B16" s="2" t="str">
        <f>IFERROR(__xludf.DUMMYFUNCTION("""COMPUTED_VALUE"""),"Marcos Rivera")</f>
        <v>Marcos Rivera</v>
      </c>
      <c r="C16" s="2" t="str">
        <f>IFERROR(__xludf.DUMMYFUNCTION("""COMPUTED_VALUE"""),"Santa Rosa del Valle")</f>
        <v>Santa Rosa del Valle</v>
      </c>
      <c r="D16" s="2" t="str">
        <f>IFERROR(__xludf.DUMMYFUNCTION("""COMPUTED_VALUE"""),"Región Norte")</f>
        <v>Región Norte</v>
      </c>
    </row>
    <row r="17">
      <c r="A17" s="2" t="str">
        <f>IFERROR(__xludf.DUMMYFUNCTION("""COMPUTED_VALUE"""),"VD025")</f>
        <v>VD025</v>
      </c>
      <c r="B17" s="2" t="str">
        <f>IFERROR(__xludf.DUMMYFUNCTION("""COMPUTED_VALUE"""),"Alina Santana")</f>
        <v>Alina Santana</v>
      </c>
      <c r="C17" s="2" t="str">
        <f>IFERROR(__xludf.DUMMYFUNCTION("""COMPUTED_VALUE"""),"Playa Blanca")</f>
        <v>Playa Blanca</v>
      </c>
      <c r="D17" s="2" t="str">
        <f>IFERROR(__xludf.DUMMYFUNCTION("""COMPUTED_VALUE"""),"Región Norte")</f>
        <v>Región Norte</v>
      </c>
    </row>
    <row r="18">
      <c r="A18" s="2" t="str">
        <f>IFERROR(__xludf.DUMMYFUNCTION("""COMPUTED_VALUE"""),"VD026")</f>
        <v>VD026</v>
      </c>
      <c r="B18" s="2" t="str">
        <f>IFERROR(__xludf.DUMMYFUNCTION("""COMPUTED_VALUE"""),"Daniel Fernández")</f>
        <v>Daniel Fernández</v>
      </c>
      <c r="C18" s="2" t="str">
        <f>IFERROR(__xludf.DUMMYFUNCTION("""COMPUTED_VALUE"""),"Puerto Esperanza")</f>
        <v>Puerto Esperanza</v>
      </c>
      <c r="D18" s="2" t="str">
        <f>IFERROR(__xludf.DUMMYFUNCTION("""COMPUTED_VALUE"""),"Región Sur")</f>
        <v>Región Sur</v>
      </c>
    </row>
    <row r="19">
      <c r="A19" s="2" t="str">
        <f>IFERROR(__xludf.DUMMYFUNCTION("""COMPUTED_VALUE"""),"VD027")</f>
        <v>VD027</v>
      </c>
      <c r="B19" s="2" t="str">
        <f>IFERROR(__xludf.DUMMYFUNCTION("""COMPUTED_VALUE"""),"Patricia Cortés")</f>
        <v>Patricia Cortés</v>
      </c>
      <c r="C19" s="2" t="str">
        <f>IFERROR(__xludf.DUMMYFUNCTION("""COMPUTED_VALUE"""),"Costa Azul")</f>
        <v>Costa Azul</v>
      </c>
      <c r="D19" s="2" t="str">
        <f>IFERROR(__xludf.DUMMYFUNCTION("""COMPUTED_VALUE"""),"Región Norte")</f>
        <v>Región Norte</v>
      </c>
    </row>
    <row r="20">
      <c r="A20" s="2" t="str">
        <f>IFERROR(__xludf.DUMMYFUNCTION("""COMPUTED_VALUE"""),"VD028")</f>
        <v>VD028</v>
      </c>
      <c r="B20" s="2" t="str">
        <f>IFERROR(__xludf.DUMMYFUNCTION("""COMPUTED_VALUE"""),"Rodrigo Almonte")</f>
        <v>Rodrigo Almonte</v>
      </c>
      <c r="C20" s="2" t="str">
        <f>IFERROR(__xludf.DUMMYFUNCTION("""COMPUTED_VALUE"""),"Valle Escondido")</f>
        <v>Valle Escondido</v>
      </c>
      <c r="D20" s="2" t="str">
        <f>IFERROR(__xludf.DUMMYFUNCTION("""COMPUTED_VALUE"""),"Región Andina")</f>
        <v>Región Andina</v>
      </c>
    </row>
    <row r="21">
      <c r="A21" s="2" t="str">
        <f>IFERROR(__xludf.DUMMYFUNCTION("""COMPUTED_VALUE"""),"VD029")</f>
        <v>VD029</v>
      </c>
      <c r="B21" s="2" t="str">
        <f>IFERROR(__xludf.DUMMYFUNCTION("""COMPUTED_VALUE"""),"Gabriela Sosa")</f>
        <v>Gabriela Sosa</v>
      </c>
      <c r="C21" s="2" t="str">
        <f>IFERROR(__xludf.DUMMYFUNCTION("""COMPUTED_VALUE"""),"Selva Verde")</f>
        <v>Selva Verde</v>
      </c>
      <c r="D21" s="2" t="str">
        <f>IFERROR(__xludf.DUMMYFUNCTION("""COMPUTED_VALUE"""),"Región Amazónica")</f>
        <v>Región Amazónica</v>
      </c>
    </row>
    <row r="22">
      <c r="A22" s="2" t="str">
        <f>IFERROR(__xludf.DUMMYFUNCTION("""COMPUTED_VALUE"""),"VD030")</f>
        <v>VD030</v>
      </c>
      <c r="B22" s="2" t="str">
        <f>IFERROR(__xludf.DUMMYFUNCTION("""COMPUTED_VALUE"""),"Leonardo Rojas")</f>
        <v>Leonardo Rojas</v>
      </c>
      <c r="C22" s="2" t="str">
        <f>IFERROR(__xludf.DUMMYFUNCTION("""COMPUTED_VALUE"""),"Villa del Sol")</f>
        <v>Villa del Sol</v>
      </c>
      <c r="D22" s="2" t="str">
        <f>IFERROR(__xludf.DUMMYFUNCTION("""COMPUTED_VALUE"""),"Región Central 2")</f>
        <v>Región Central 2</v>
      </c>
    </row>
    <row r="23">
      <c r="A23" s="2" t="str">
        <f>IFERROR(__xludf.DUMMYFUNCTION("""COMPUTED_VALUE"""),"VD031")</f>
        <v>VD031</v>
      </c>
      <c r="B23" s="2" t="str">
        <f>IFERROR(__xludf.DUMMYFUNCTION("""COMPUTED_VALUE"""),"Vanessa Martínez")</f>
        <v>Vanessa Martínez</v>
      </c>
      <c r="C23" s="2" t="str">
        <f>IFERROR(__xludf.DUMMYFUNCTION("""COMPUTED_VALUE"""),"Monte Verde")</f>
        <v>Monte Verde</v>
      </c>
      <c r="D23" s="2" t="str">
        <f>IFERROR(__xludf.DUMMYFUNCTION("""COMPUTED_VALUE"""),"Región Central 2")</f>
        <v>Región Central 2</v>
      </c>
    </row>
    <row r="24">
      <c r="A24" s="2" t="str">
        <f>IFERROR(__xludf.DUMMYFUNCTION("""COMPUTED_VALUE"""),"VD032")</f>
        <v>VD032</v>
      </c>
      <c r="B24" s="2" t="str">
        <f>IFERROR(__xludf.DUMMYFUNCTION("""COMPUTED_VALUE"""),"Eduardo Almonte")</f>
        <v>Eduardo Almonte</v>
      </c>
      <c r="C24" s="2" t="str">
        <f>IFERROR(__xludf.DUMMYFUNCTION("""COMPUTED_VALUE"""),"Tierra Colorada")</f>
        <v>Tierra Colorada</v>
      </c>
      <c r="D24" s="2" t="str">
        <f>IFERROR(__xludf.DUMMYFUNCTION("""COMPUTED_VALUE"""),"Región Central 2")</f>
        <v>Región Central 2</v>
      </c>
    </row>
    <row r="25">
      <c r="A25" s="2" t="str">
        <f>IFERROR(__xludf.DUMMYFUNCTION("""COMPUTED_VALUE"""),"VD033")</f>
        <v>VD033</v>
      </c>
      <c r="B25" s="2" t="str">
        <f>IFERROR(__xludf.DUMMYFUNCTION("""COMPUTED_VALUE"""),"Renata Flores")</f>
        <v>Renata Flores</v>
      </c>
      <c r="C25" s="2" t="str">
        <f>IFERROR(__xludf.DUMMYFUNCTION("""COMPUTED_VALUE"""),"Altos del Sur")</f>
        <v>Altos del Sur</v>
      </c>
      <c r="D25" s="2" t="str">
        <f>IFERROR(__xludf.DUMMYFUNCTION("""COMPUTED_VALUE"""),"Región Central 2")</f>
        <v>Región Central 2</v>
      </c>
    </row>
    <row r="26">
      <c r="A26" s="2" t="str">
        <f>IFERROR(__xludf.DUMMYFUNCTION("""COMPUTED_VALUE"""),"VD034")</f>
        <v>VD034</v>
      </c>
      <c r="B26" s="2" t="str">
        <f>IFERROR(__xludf.DUMMYFUNCTION("""COMPUTED_VALUE"""),"Felipe Carvajal")</f>
        <v>Felipe Carvajal</v>
      </c>
      <c r="C26" s="2" t="str">
        <f>IFERROR(__xludf.DUMMYFUNCTION("""COMPUTED_VALUE"""),"San Pedro del Río")</f>
        <v>San Pedro del Río</v>
      </c>
      <c r="D26" s="2" t="str">
        <f>IFERROR(__xludf.DUMMYFUNCTION("""COMPUTED_VALUE"""),"Región Sur 2")</f>
        <v>Región Sur 2</v>
      </c>
    </row>
    <row r="27">
      <c r="A27" s="2" t="str">
        <f>IFERROR(__xludf.DUMMYFUNCTION("""COMPUTED_VALUE"""),"VD035")</f>
        <v>VD035</v>
      </c>
      <c r="B27" s="2" t="str">
        <f>IFERROR(__xludf.DUMMYFUNCTION("""COMPUTED_VALUE"""),"Carolina Méndez")</f>
        <v>Carolina Méndez</v>
      </c>
      <c r="C27" s="2" t="str">
        <f>IFERROR(__xludf.DUMMYFUNCTION("""COMPUTED_VALUE"""),"Valle de los Robles")</f>
        <v>Valle de los Robles</v>
      </c>
      <c r="D27" s="2" t="str">
        <f>IFERROR(__xludf.DUMMYFUNCTION("""COMPUTED_VALUE"""),"Región Central 2")</f>
        <v>Región Central 2</v>
      </c>
    </row>
    <row r="28">
      <c r="A28" s="2" t="str">
        <f>IFERROR(__xludf.DUMMYFUNCTION("""COMPUTED_VALUE"""),"VD036")</f>
        <v>VD036</v>
      </c>
      <c r="B28" s="2" t="str">
        <f>IFERROR(__xludf.DUMMYFUNCTION("""COMPUTED_VALUE"""),"Ricardo Sosa")</f>
        <v>Ricardo Sosa</v>
      </c>
      <c r="C28" s="2" t="str">
        <f>IFERROR(__xludf.DUMMYFUNCTION("""COMPUTED_VALUE"""),"Puerto Nuevo")</f>
        <v>Puerto Nuevo</v>
      </c>
      <c r="D28" s="2" t="str">
        <f>IFERROR(__xludf.DUMMYFUNCTION("""COMPUTED_VALUE"""),"Región Central 2")</f>
        <v>Región Central 2</v>
      </c>
    </row>
    <row r="29">
      <c r="A29" s="2" t="str">
        <f>IFERROR(__xludf.DUMMYFUNCTION("""COMPUTED_VALUE"""),"VD037")</f>
        <v>VD037</v>
      </c>
      <c r="B29" s="2" t="str">
        <f>IFERROR(__xludf.DUMMYFUNCTION("""COMPUTED_VALUE"""),"Amanda Silva")</f>
        <v>Amanda Silva</v>
      </c>
      <c r="C29" s="2" t="str">
        <f>IFERROR(__xludf.DUMMYFUNCTION("""COMPUTED_VALUE"""),"Villa Esperanza")</f>
        <v>Villa Esperanza</v>
      </c>
      <c r="D29" s="2" t="str">
        <f>IFERROR(__xludf.DUMMYFUNCTION("""COMPUTED_VALUE"""),"Región Sur 2")</f>
        <v>Región Sur 2</v>
      </c>
    </row>
    <row r="30">
      <c r="A30" s="2" t="str">
        <f>IFERROR(__xludf.DUMMYFUNCTION("""COMPUTED_VALUE"""),"VD038")</f>
        <v>VD038</v>
      </c>
      <c r="B30" s="2" t="str">
        <f>IFERROR(__xludf.DUMMYFUNCTION("""COMPUTED_VALUE"""),"Bruno Olmedo")</f>
        <v>Bruno Olmedo</v>
      </c>
      <c r="C30" s="2" t="str">
        <f>IFERROR(__xludf.DUMMYFUNCTION("""COMPUTED_VALUE"""),"Tierra Fertil")</f>
        <v>Tierra Fertil</v>
      </c>
      <c r="D30" s="2" t="str">
        <f>IFERROR(__xludf.DUMMYFUNCTION("""COMPUTED_VALUE"""),"Región Sur 2")</f>
        <v>Región Sur 2</v>
      </c>
    </row>
    <row r="31">
      <c r="A31" s="2" t="str">
        <f>IFERROR(__xludf.DUMMYFUNCTION("""COMPUTED_VALUE"""),"VD039")</f>
        <v>VD039</v>
      </c>
      <c r="B31" s="2" t="str">
        <f>IFERROR(__xludf.DUMMYFUNCTION("""COMPUTED_VALUE"""),"Daniela Rodríguez")</f>
        <v>Daniela Rodríguez</v>
      </c>
      <c r="C31" s="2" t="str">
        <f>IFERROR(__xludf.DUMMYFUNCTION("""COMPUTED_VALUE"""),"Bahía del Sol")</f>
        <v>Bahía del Sol</v>
      </c>
      <c r="D31" s="2" t="str">
        <f>IFERROR(__xludf.DUMMYFUNCTION("""COMPUTED_VALUE"""),"Región Central 2")</f>
        <v>Región Central 2</v>
      </c>
    </row>
    <row r="32">
      <c r="A32" s="2" t="str">
        <f>IFERROR(__xludf.DUMMYFUNCTION("""COMPUTED_VALUE"""),"VD040")</f>
        <v>VD040</v>
      </c>
      <c r="B32" s="2" t="str">
        <f>IFERROR(__xludf.DUMMYFUNCTION("""COMPUTED_VALUE"""),"Tatiana Montero")</f>
        <v>Tatiana Montero</v>
      </c>
      <c r="C32" s="2" t="str">
        <f>IFERROR(__xludf.DUMMYFUNCTION("""COMPUTED_VALUE"""),"Ciudad Industrial")</f>
        <v>Ciudad Industrial</v>
      </c>
      <c r="D32" s="2" t="str">
        <f>IFERROR(__xludf.DUMMYFUNCTION("""COMPUTED_VALUE"""),"Región Central 2")</f>
        <v>Región Central 2</v>
      </c>
    </row>
    <row r="33">
      <c r="A33" s="2" t="str">
        <f>IFERROR(__xludf.DUMMYFUNCTION("""COMPUTED_VALUE"""),"VD041")</f>
        <v>VD041</v>
      </c>
      <c r="B33" s="2" t="str">
        <f>IFERROR(__xludf.DUMMYFUNCTION("""COMPUTED_VALUE"""),"Alejandro Ramos")</f>
        <v>Alejandro Ramos</v>
      </c>
      <c r="C33" s="2" t="str">
        <f>IFERROR(__xludf.DUMMYFUNCTION("""COMPUTED_VALUE"""),"San Martín de las Rosas")</f>
        <v>San Martín de las Rosas</v>
      </c>
      <c r="D33" s="2" t="str">
        <f>IFERROR(__xludf.DUMMYFUNCTION("""COMPUTED_VALUE"""),"Región Central 2")</f>
        <v>Región Central 2</v>
      </c>
    </row>
    <row r="34">
      <c r="A34" s="2" t="str">
        <f>IFERROR(__xludf.DUMMYFUNCTION("""COMPUTED_VALUE"""),"VD042")</f>
        <v>VD042</v>
      </c>
      <c r="B34" s="2" t="str">
        <f>IFERROR(__xludf.DUMMYFUNCTION("""COMPUTED_VALUE"""),"Priscila Duarte")</f>
        <v>Priscila Duarte</v>
      </c>
      <c r="C34" s="2" t="str">
        <f>IFERROR(__xludf.DUMMYFUNCTION("""COMPUTED_VALUE"""),"Villa Comercial")</f>
        <v>Villa Comercial</v>
      </c>
      <c r="D34" s="2" t="str">
        <f>IFERROR(__xludf.DUMMYFUNCTION("""COMPUTED_VALUE"""),"Región Central 2")</f>
        <v>Región Central 2</v>
      </c>
    </row>
    <row r="35">
      <c r="A35" s="2" t="str">
        <f>IFERROR(__xludf.DUMMYFUNCTION("""COMPUTED_VALUE"""),"VD043")</f>
        <v>VD043</v>
      </c>
      <c r="B35" s="2" t="str">
        <f>IFERROR(__xludf.DUMMYFUNCTION("""COMPUTED_VALUE"""),"Carlos Henríquez")</f>
        <v>Carlos Henríquez</v>
      </c>
      <c r="C35" s="2" t="str">
        <f>IFERROR(__xludf.DUMMYFUNCTION("""COMPUTED_VALUE"""),"Ciudad Aeropuerto")</f>
        <v>Ciudad Aeropuerto</v>
      </c>
      <c r="D35" s="2" t="str">
        <f>IFERROR(__xludf.DUMMYFUNCTION("""COMPUTED_VALUE"""),"Región Central 2")</f>
        <v>Región Central 2</v>
      </c>
    </row>
    <row r="36">
      <c r="A36" s="2" t="str">
        <f>IFERROR(__xludf.DUMMYFUNCTION("""COMPUTED_VALUE"""),"VD044")</f>
        <v>VD044</v>
      </c>
      <c r="B36" s="2" t="str">
        <f>IFERROR(__xludf.DUMMYFUNCTION("""COMPUTED_VALUE"""),"Silvia Menéndez")</f>
        <v>Silvia Menéndez</v>
      </c>
      <c r="C36" s="2" t="str">
        <f>IFERROR(__xludf.DUMMYFUNCTION("""COMPUTED_VALUE"""),"San Antonio del Monte")</f>
        <v>San Antonio del Monte</v>
      </c>
      <c r="D36" s="2" t="str">
        <f>IFERROR(__xludf.DUMMYFUNCTION("""COMPUTED_VALUE"""),"Región Central 2")</f>
        <v>Región Central 2</v>
      </c>
    </row>
    <row r="37">
      <c r="A37" s="2" t="str">
        <f>IFERROR(__xludf.DUMMYFUNCTION("""COMPUTED_VALUE"""),"VD045")</f>
        <v>VD045</v>
      </c>
      <c r="B37" s="2" t="str">
        <f>IFERROR(__xludf.DUMMYFUNCTION("""COMPUTED_VALUE"""),"Rafael Morales")</f>
        <v>Rafael Morales</v>
      </c>
      <c r="C37" s="2" t="str">
        <f>IFERROR(__xludf.DUMMYFUNCTION("""COMPUTED_VALUE"""),"Valle Dorado")</f>
        <v>Valle Dorado</v>
      </c>
      <c r="D37" s="2" t="str">
        <f>IFERROR(__xludf.DUMMYFUNCTION("""COMPUTED_VALUE"""),"Región Central 2")</f>
        <v>Región Central 2</v>
      </c>
    </row>
    <row r="38">
      <c r="A38" s="2" t="str">
        <f>IFERROR(__xludf.DUMMYFUNCTION("""COMPUTED_VALUE"""),"VD046")</f>
        <v>VD046</v>
      </c>
      <c r="B38" s="2" t="str">
        <f>IFERROR(__xludf.DUMMYFUNCTION("""COMPUTED_VALUE"""),"Juliana Pérez")</f>
        <v>Juliana Pérez</v>
      </c>
      <c r="C38" s="2" t="str">
        <f>IFERROR(__xludf.DUMMYFUNCTION("""COMPUTED_VALUE"""),"Santa Cruz de la Sierra")</f>
        <v>Santa Cruz de la Sierra</v>
      </c>
      <c r="D38" s="2" t="str">
        <f>IFERROR(__xludf.DUMMYFUNCTION("""COMPUTED_VALUE"""),"Región Central 2")</f>
        <v>Región Central 2</v>
      </c>
    </row>
    <row r="39">
      <c r="A39" s="2" t="str">
        <f>IFERROR(__xludf.DUMMYFUNCTION("""COMPUTED_VALUE"""),"VD047")</f>
        <v>VD047</v>
      </c>
      <c r="B39" s="2" t="str">
        <f>IFERROR(__xludf.DUMMYFUNCTION("""COMPUTED_VALUE"""),"Andrés López")</f>
        <v>Andrés López</v>
      </c>
      <c r="C39" s="2" t="str">
        <f>IFERROR(__xludf.DUMMYFUNCTION("""COMPUTED_VALUE"""),"Villa Progreso")</f>
        <v>Villa Progreso</v>
      </c>
      <c r="D39" s="2" t="str">
        <f>IFERROR(__xludf.DUMMYFUNCTION("""COMPUTED_VALUE"""),"Región Central 2")</f>
        <v>Región Central 2</v>
      </c>
    </row>
    <row r="40">
      <c r="A40" s="2" t="str">
        <f>IFERROR(__xludf.DUMMYFUNCTION("""COMPUTED_VALUE"""),"VD048")</f>
        <v>VD048</v>
      </c>
      <c r="B40" s="2" t="str">
        <f>IFERROR(__xludf.DUMMYFUNCTION("""COMPUTED_VALUE"""),"Mariana Castro")</f>
        <v>Mariana Castro</v>
      </c>
      <c r="C40" s="2" t="str">
        <f>IFERROR(__xludf.DUMMYFUNCTION("""COMPUTED_VALUE"""),"San Carlos del Valle")</f>
        <v>San Carlos del Valle</v>
      </c>
      <c r="D40" s="2" t="str">
        <f>IFERROR(__xludf.DUMMYFUNCTION("""COMPUTED_VALUE"""),"Región Central 2")</f>
        <v>Región Central 2</v>
      </c>
    </row>
    <row r="41">
      <c r="A41" s="2" t="str">
        <f>IFERROR(__xludf.DUMMYFUNCTION("""COMPUTED_VALUE"""),"VD049")</f>
        <v>VD049</v>
      </c>
      <c r="B41" s="2" t="str">
        <f>IFERROR(__xludf.DUMMYFUNCTION("""COMPUTED_VALUE"""),"Fernando Navarro")</f>
        <v>Fernando Navarro</v>
      </c>
      <c r="C41" s="2" t="str">
        <f>IFERROR(__xludf.DUMMYFUNCTION("""COMPUTED_VALUE"""),"Colinas Verdes")</f>
        <v>Colinas Verdes</v>
      </c>
      <c r="D41" s="2" t="str">
        <f>IFERROR(__xludf.DUMMYFUNCTION("""COMPUTED_VALUE"""),"Región Central 2")</f>
        <v>Región Central 2</v>
      </c>
    </row>
    <row r="42">
      <c r="A42" s="2"/>
      <c r="B42" s="2"/>
      <c r="C42" s="2"/>
      <c r="D42" s="2"/>
    </row>
    <row r="43">
      <c r="A43" s="2"/>
      <c r="B43" s="2"/>
      <c r="C43" s="2"/>
      <c r="D43" s="2"/>
    </row>
    <row r="44">
      <c r="A44" s="2"/>
      <c r="B44" s="2"/>
      <c r="C44" s="2"/>
      <c r="D44" s="2"/>
    </row>
    <row r="45">
      <c r="A45" s="2"/>
      <c r="B45" s="2"/>
      <c r="C45" s="2"/>
      <c r="D45" s="2"/>
    </row>
    <row r="46">
      <c r="A46" s="2"/>
      <c r="B46" s="2"/>
      <c r="C46" s="2"/>
      <c r="D46" s="2"/>
    </row>
    <row r="47">
      <c r="A47" s="2"/>
      <c r="B47" s="2"/>
      <c r="C47" s="2"/>
      <c r="D47" s="2"/>
    </row>
    <row r="48">
      <c r="A48" s="2"/>
      <c r="B48" s="2"/>
      <c r="C48" s="2"/>
      <c r="D48" s="2"/>
    </row>
    <row r="49">
      <c r="A49" s="2"/>
      <c r="B49" s="2"/>
      <c r="C49" s="2"/>
      <c r="D49" s="2"/>
    </row>
    <row r="50">
      <c r="A50" s="2"/>
      <c r="B50" s="2"/>
      <c r="C50" s="2"/>
      <c r="D50" s="2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19.5"/>
    <col customWidth="1" min="10" max="10" width="22.13"/>
  </cols>
  <sheetData>
    <row r="1">
      <c r="A1" s="2" t="str">
        <f>IFERROR(__xludf.DUMMYFUNCTION("query(importdata(""https://drive.google.com/uc?export=download&amp;id=1U1AR8u12BH41vb1Uvb31WaPc4KTs4qQo&amp;v=2"","";""),""SELECT Col7, Col8, Col9, Col10"")"),"Material")</f>
        <v>Material</v>
      </c>
      <c r="B1" s="2" t="str">
        <f>IFERROR(__xludf.DUMMYFUNCTION("""COMPUTED_VALUE"""),"Vendedor")</f>
        <v>Vendedor</v>
      </c>
      <c r="C1" s="2" t="str">
        <f>IFERROR(__xludf.DUMMYFUNCTION("""COMPUTED_VALUE"""),"Cantidad")</f>
        <v>Cantidad</v>
      </c>
      <c r="D1" s="2" t="str">
        <f>IFERROR(__xludf.DUMMYFUNCTION("""COMPUTED_VALUE"""),"Valor en Moneda Local")</f>
        <v>Valor en Moneda Local</v>
      </c>
    </row>
    <row r="2">
      <c r="A2" s="2" t="str">
        <f>IFERROR(__xludf.DUMMYFUNCTION("""COMPUTED_VALUE"""),"PR001")</f>
        <v>PR001</v>
      </c>
      <c r="B2" s="2" t="str">
        <f>IFERROR(__xludf.DUMMYFUNCTION("""COMPUTED_VALUE"""),"VD026")</f>
        <v>VD026</v>
      </c>
      <c r="C2" s="2">
        <f>IFERROR(__xludf.DUMMYFUNCTION("""COMPUTED_VALUE"""),27.0)</f>
        <v>27</v>
      </c>
      <c r="D2" s="2">
        <f>IFERROR(__xludf.DUMMYFUNCTION("""COMPUTED_VALUE"""),1957.23)</f>
        <v>1957.23</v>
      </c>
    </row>
    <row r="3">
      <c r="A3" s="2" t="str">
        <f>IFERROR(__xludf.DUMMYFUNCTION("""COMPUTED_VALUE"""),"PR058")</f>
        <v>PR058</v>
      </c>
      <c r="B3" s="2" t="str">
        <f>IFERROR(__xludf.DUMMYFUNCTION("""COMPUTED_VALUE"""),"VD037")</f>
        <v>VD037</v>
      </c>
      <c r="C3" s="2">
        <f>IFERROR(__xludf.DUMMYFUNCTION("""COMPUTED_VALUE"""),14.0)</f>
        <v>14</v>
      </c>
      <c r="D3" s="2">
        <f>IFERROR(__xludf.DUMMYFUNCTION("""COMPUTED_VALUE"""),2872.8)</f>
        <v>2872.8</v>
      </c>
    </row>
    <row r="4">
      <c r="A4" s="2" t="str">
        <f>IFERROR(__xludf.DUMMYFUNCTION("""COMPUTED_VALUE"""),"PR020")</f>
        <v>PR020</v>
      </c>
      <c r="B4" s="2" t="str">
        <f>IFERROR(__xludf.DUMMYFUNCTION("""COMPUTED_VALUE"""),"VD034")</f>
        <v>VD034</v>
      </c>
      <c r="C4" s="2">
        <f>IFERROR(__xludf.DUMMYFUNCTION("""COMPUTED_VALUE"""),20.0)</f>
        <v>20</v>
      </c>
      <c r="D4" s="2">
        <f>IFERROR(__xludf.DUMMYFUNCTION("""COMPUTED_VALUE"""),7137.62)</f>
        <v>7137.62</v>
      </c>
    </row>
    <row r="5">
      <c r="A5" s="2" t="str">
        <f>IFERROR(__xludf.DUMMYFUNCTION("""COMPUTED_VALUE"""),"PR035")</f>
        <v>PR035</v>
      </c>
      <c r="B5" s="2" t="str">
        <f>IFERROR(__xludf.DUMMYFUNCTION("""COMPUTED_VALUE"""),"VD021")</f>
        <v>VD021</v>
      </c>
      <c r="C5" s="2">
        <f>IFERROR(__xludf.DUMMYFUNCTION("""COMPUTED_VALUE"""),24.0)</f>
        <v>24</v>
      </c>
      <c r="D5" s="3">
        <f>IFERROR(__xludf.DUMMYFUNCTION("""COMPUTED_VALUE"""),2478.77)</f>
        <v>2478.77</v>
      </c>
    </row>
    <row r="6">
      <c r="A6" s="2" t="str">
        <f>IFERROR(__xludf.DUMMYFUNCTION("""COMPUTED_VALUE"""),"PR016")</f>
        <v>PR016</v>
      </c>
      <c r="B6" s="2" t="str">
        <f>IFERROR(__xludf.DUMMYFUNCTION("""COMPUTED_VALUE"""),"VD027")</f>
        <v>VD027</v>
      </c>
      <c r="C6" s="2">
        <f>IFERROR(__xludf.DUMMYFUNCTION("""COMPUTED_VALUE"""),10.0)</f>
        <v>10</v>
      </c>
      <c r="D6" s="2">
        <f>IFERROR(__xludf.DUMMYFUNCTION("""COMPUTED_VALUE"""),303.03)</f>
        <v>303.03</v>
      </c>
    </row>
    <row r="7">
      <c r="A7" s="2" t="str">
        <f>IFERROR(__xludf.DUMMYFUNCTION("""COMPUTED_VALUE"""),"PR051")</f>
        <v>PR051</v>
      </c>
      <c r="B7" s="2" t="str">
        <f>IFERROR(__xludf.DUMMYFUNCTION("""COMPUTED_VALUE"""),"VD048")</f>
        <v>VD048</v>
      </c>
      <c r="C7" s="2">
        <f>IFERROR(__xludf.DUMMYFUNCTION("""COMPUTED_VALUE"""),18.0)</f>
        <v>18</v>
      </c>
      <c r="D7" s="3">
        <f>IFERROR(__xludf.DUMMYFUNCTION("""COMPUTED_VALUE"""),704.72)</f>
        <v>704.72</v>
      </c>
    </row>
    <row r="8">
      <c r="A8" s="2" t="str">
        <f>IFERROR(__xludf.DUMMYFUNCTION("""COMPUTED_VALUE"""),"PR042")</f>
        <v>PR042</v>
      </c>
      <c r="B8" s="2" t="str">
        <f>IFERROR(__xludf.DUMMYFUNCTION("""COMPUTED_VALUE"""),"VD025")</f>
        <v>VD025</v>
      </c>
      <c r="C8" s="2">
        <f>IFERROR(__xludf.DUMMYFUNCTION("""COMPUTED_VALUE"""),27.0)</f>
        <v>27</v>
      </c>
      <c r="D8" s="2">
        <f>IFERROR(__xludf.DUMMYFUNCTION("""COMPUTED_VALUE"""),1778.76)</f>
        <v>1778.76</v>
      </c>
    </row>
    <row r="9">
      <c r="A9" s="2" t="str">
        <f>IFERROR(__xludf.DUMMYFUNCTION("""COMPUTED_VALUE"""),"PR050")</f>
        <v>PR050</v>
      </c>
      <c r="B9" s="2" t="str">
        <f>IFERROR(__xludf.DUMMYFUNCTION("""COMPUTED_VALUE"""),"VD037")</f>
        <v>VD037</v>
      </c>
      <c r="C9" s="2">
        <f>IFERROR(__xludf.DUMMYFUNCTION("""COMPUTED_VALUE"""),14.0)</f>
        <v>14</v>
      </c>
      <c r="D9" s="2">
        <f>IFERROR(__xludf.DUMMYFUNCTION("""COMPUTED_VALUE"""),511.27)</f>
        <v>511.27</v>
      </c>
    </row>
    <row r="10">
      <c r="A10" s="2" t="str">
        <f>IFERROR(__xludf.DUMMYFUNCTION("""COMPUTED_VALUE"""),"PR001")</f>
        <v>PR001</v>
      </c>
      <c r="B10" s="2" t="str">
        <f>IFERROR(__xludf.DUMMYFUNCTION("""COMPUTED_VALUE"""),"VD036")</f>
        <v>VD036</v>
      </c>
      <c r="C10" s="2">
        <f>IFERROR(__xludf.DUMMYFUNCTION("""COMPUTED_VALUE"""),12.0)</f>
        <v>12</v>
      </c>
      <c r="D10" s="2">
        <f>IFERROR(__xludf.DUMMYFUNCTION("""COMPUTED_VALUE"""),901.51)</f>
        <v>901.51</v>
      </c>
    </row>
    <row r="11">
      <c r="A11" s="2" t="str">
        <f>IFERROR(__xludf.DUMMYFUNCTION("""COMPUTED_VALUE"""),"PR059")</f>
        <v>PR059</v>
      </c>
      <c r="B11" s="2" t="str">
        <f>IFERROR(__xludf.DUMMYFUNCTION("""COMPUTED_VALUE"""),"VD049")</f>
        <v>VD049</v>
      </c>
      <c r="C11" s="2">
        <f>IFERROR(__xludf.DUMMYFUNCTION("""COMPUTED_VALUE"""),27.0)</f>
        <v>27</v>
      </c>
      <c r="D11" s="2">
        <f>IFERROR(__xludf.DUMMYFUNCTION("""COMPUTED_VALUE"""),5783.4)</f>
        <v>5783.4</v>
      </c>
    </row>
    <row r="12">
      <c r="A12" s="2" t="str">
        <f>IFERROR(__xludf.DUMMYFUNCTION("""COMPUTED_VALUE"""),"PR019")</f>
        <v>PR019</v>
      </c>
      <c r="B12" s="2" t="str">
        <f>IFERROR(__xludf.DUMMYFUNCTION("""COMPUTED_VALUE"""),"VD021")</f>
        <v>VD021</v>
      </c>
      <c r="C12" s="2">
        <f>IFERROR(__xludf.DUMMYFUNCTION("""COMPUTED_VALUE"""),15.0)</f>
        <v>15</v>
      </c>
      <c r="D12" s="2">
        <f>IFERROR(__xludf.DUMMYFUNCTION("""COMPUTED_VALUE"""),845.81)</f>
        <v>845.81</v>
      </c>
    </row>
    <row r="13">
      <c r="A13" s="2" t="str">
        <f>IFERROR(__xludf.DUMMYFUNCTION("""COMPUTED_VALUE"""),"PR055")</f>
        <v>PR055</v>
      </c>
      <c r="B13" s="2" t="str">
        <f>IFERROR(__xludf.DUMMYFUNCTION("""COMPUTED_VALUE"""),"VD015")</f>
        <v>VD015</v>
      </c>
      <c r="C13" s="2">
        <f>IFERROR(__xludf.DUMMYFUNCTION("""COMPUTED_VALUE"""),18.0)</f>
        <v>18</v>
      </c>
      <c r="D13" s="2">
        <f>IFERROR(__xludf.DUMMYFUNCTION("""COMPUTED_VALUE"""),1844.75)</f>
        <v>1844.75</v>
      </c>
    </row>
    <row r="14">
      <c r="A14" s="2" t="str">
        <f>IFERROR(__xludf.DUMMYFUNCTION("""COMPUTED_VALUE"""),"PR052")</f>
        <v>PR052</v>
      </c>
      <c r="B14" s="2" t="str">
        <f>IFERROR(__xludf.DUMMYFUNCTION("""COMPUTED_VALUE"""),"VD012")</f>
        <v>VD012</v>
      </c>
      <c r="C14" s="2">
        <f>IFERROR(__xludf.DUMMYFUNCTION("""COMPUTED_VALUE"""),16.0)</f>
        <v>16</v>
      </c>
      <c r="D14" s="2">
        <f>IFERROR(__xludf.DUMMYFUNCTION("""COMPUTED_VALUE"""),950.1)</f>
        <v>950.1</v>
      </c>
    </row>
    <row r="15">
      <c r="A15" s="2" t="str">
        <f>IFERROR(__xludf.DUMMYFUNCTION("""COMPUTED_VALUE"""),"PR052")</f>
        <v>PR052</v>
      </c>
      <c r="B15" s="2" t="str">
        <f>IFERROR(__xludf.DUMMYFUNCTION("""COMPUTED_VALUE"""),"VD043")</f>
        <v>VD043</v>
      </c>
      <c r="C15" s="2">
        <f>IFERROR(__xludf.DUMMYFUNCTION("""COMPUTED_VALUE"""),9.0)</f>
        <v>9</v>
      </c>
      <c r="D15" s="2">
        <f>IFERROR(__xludf.DUMMYFUNCTION("""COMPUTED_VALUE"""),511.97)</f>
        <v>511.97</v>
      </c>
    </row>
    <row r="16">
      <c r="A16" s="2" t="str">
        <f>IFERROR(__xludf.DUMMYFUNCTION("""COMPUTED_VALUE"""),"PR014")</f>
        <v>PR014</v>
      </c>
      <c r="B16" s="2" t="str">
        <f>IFERROR(__xludf.DUMMYFUNCTION("""COMPUTED_VALUE"""),"VD020")</f>
        <v>VD020</v>
      </c>
      <c r="C16" s="2">
        <f>IFERROR(__xludf.DUMMYFUNCTION("""COMPUTED_VALUE"""),9.0)</f>
        <v>9</v>
      </c>
      <c r="D16" s="2">
        <f>IFERROR(__xludf.DUMMYFUNCTION("""COMPUTED_VALUE"""),420.15)</f>
        <v>420.15</v>
      </c>
    </row>
    <row r="17">
      <c r="A17" s="2" t="str">
        <f>IFERROR(__xludf.DUMMYFUNCTION("""COMPUTED_VALUE"""),"PR055")</f>
        <v>PR055</v>
      </c>
      <c r="B17" s="2" t="str">
        <f>IFERROR(__xludf.DUMMYFUNCTION("""COMPUTED_VALUE"""),"VD019")</f>
        <v>VD019</v>
      </c>
      <c r="C17" s="2">
        <f>IFERROR(__xludf.DUMMYFUNCTION("""COMPUTED_VALUE"""),9.0)</f>
        <v>9</v>
      </c>
      <c r="D17" s="2">
        <f>IFERROR(__xludf.DUMMYFUNCTION("""COMPUTED_VALUE"""),890.01)</f>
        <v>890.01</v>
      </c>
    </row>
    <row r="18">
      <c r="A18" s="2" t="str">
        <f>IFERROR(__xludf.DUMMYFUNCTION("""COMPUTED_VALUE"""),"PR045")</f>
        <v>PR045</v>
      </c>
      <c r="B18" s="2" t="str">
        <f>IFERROR(__xludf.DUMMYFUNCTION("""COMPUTED_VALUE"""),"VD041")</f>
        <v>VD041</v>
      </c>
      <c r="C18" s="2">
        <f>IFERROR(__xludf.DUMMYFUNCTION("""COMPUTED_VALUE"""),14.0)</f>
        <v>14</v>
      </c>
      <c r="D18" s="2">
        <f>IFERROR(__xludf.DUMMYFUNCTION("""COMPUTED_VALUE"""),1157.1)</f>
        <v>1157.1</v>
      </c>
    </row>
    <row r="19">
      <c r="A19" s="2" t="str">
        <f>IFERROR(__xludf.DUMMYFUNCTION("""COMPUTED_VALUE"""),"PR053")</f>
        <v>PR053</v>
      </c>
      <c r="B19" s="2" t="str">
        <f>IFERROR(__xludf.DUMMYFUNCTION("""COMPUTED_VALUE"""),"VD013")</f>
        <v>VD013</v>
      </c>
      <c r="C19" s="2">
        <f>IFERROR(__xludf.DUMMYFUNCTION("""COMPUTED_VALUE"""),9.0)</f>
        <v>9</v>
      </c>
      <c r="D19" s="2">
        <f>IFERROR(__xludf.DUMMYFUNCTION("""COMPUTED_VALUE"""),511.97)</f>
        <v>511.97</v>
      </c>
    </row>
    <row r="20">
      <c r="A20" s="2" t="str">
        <f>IFERROR(__xludf.DUMMYFUNCTION("""COMPUTED_VALUE"""),"PR054")</f>
        <v>PR054</v>
      </c>
      <c r="B20" s="2" t="str">
        <f>IFERROR(__xludf.DUMMYFUNCTION("""COMPUTED_VALUE"""),"VD028")</f>
        <v>VD028</v>
      </c>
      <c r="C20" s="2">
        <f>IFERROR(__xludf.DUMMYFUNCTION("""COMPUTED_VALUE"""),9.0)</f>
        <v>9</v>
      </c>
      <c r="D20" s="2">
        <f>IFERROR(__xludf.DUMMYFUNCTION("""COMPUTED_VALUE"""),538.92)</f>
        <v>538.92</v>
      </c>
    </row>
    <row r="21">
      <c r="A21" s="2" t="str">
        <f>IFERROR(__xludf.DUMMYFUNCTION("""COMPUTED_VALUE"""),"PR020")</f>
        <v>PR020</v>
      </c>
      <c r="B21" s="2" t="str">
        <f>IFERROR(__xludf.DUMMYFUNCTION("""COMPUTED_VALUE"""),"VD047")</f>
        <v>VD047</v>
      </c>
      <c r="C21" s="2">
        <f>IFERROR(__xludf.DUMMYFUNCTION("""COMPUTED_VALUE"""),27.0)</f>
        <v>27</v>
      </c>
      <c r="D21" s="2">
        <f>IFERROR(__xludf.DUMMYFUNCTION("""COMPUTED_VALUE"""),8907.03)</f>
        <v>8907.03</v>
      </c>
    </row>
    <row r="22">
      <c r="A22" s="2" t="str">
        <f>IFERROR(__xludf.DUMMYFUNCTION("""COMPUTED_VALUE"""),"PR047")</f>
        <v>PR047</v>
      </c>
      <c r="B22" s="2" t="str">
        <f>IFERROR(__xludf.DUMMYFUNCTION("""COMPUTED_VALUE"""),"VD017")</f>
        <v>VD017</v>
      </c>
      <c r="C22" s="2">
        <f>IFERROR(__xludf.DUMMYFUNCTION("""COMPUTED_VALUE"""),12.0)</f>
        <v>12</v>
      </c>
      <c r="D22" s="2">
        <f>IFERROR(__xludf.DUMMYFUNCTION("""COMPUTED_VALUE"""),4174.56)</f>
        <v>4174.56</v>
      </c>
    </row>
    <row r="23">
      <c r="A23" s="2" t="str">
        <f>IFERROR(__xludf.DUMMYFUNCTION("""COMPUTED_VALUE"""),"PR047")</f>
        <v>PR047</v>
      </c>
      <c r="B23" s="2" t="str">
        <f>IFERROR(__xludf.DUMMYFUNCTION("""COMPUTED_VALUE"""),"VD040")</f>
        <v>VD040</v>
      </c>
      <c r="C23" s="2">
        <f>IFERROR(__xludf.DUMMYFUNCTION("""COMPUTED_VALUE"""),15.0)</f>
        <v>15</v>
      </c>
      <c r="D23" s="2">
        <f>IFERROR(__xludf.DUMMYFUNCTION("""COMPUTED_VALUE"""),4826.84)</f>
        <v>4826.84</v>
      </c>
    </row>
    <row r="24">
      <c r="A24" s="2" t="str">
        <f>IFERROR(__xludf.DUMMYFUNCTION("""COMPUTED_VALUE"""),"PR003")</f>
        <v>PR003</v>
      </c>
      <c r="B24" s="2" t="str">
        <f>IFERROR(__xludf.DUMMYFUNCTION("""COMPUTED_VALUE"""),"VD033")</f>
        <v>VD033</v>
      </c>
      <c r="C24" s="2">
        <f>IFERROR(__xludf.DUMMYFUNCTION("""COMPUTED_VALUE"""),8.0)</f>
        <v>8</v>
      </c>
      <c r="D24" s="2">
        <f>IFERROR(__xludf.DUMMYFUNCTION("""COMPUTED_VALUE"""),629.59)</f>
        <v>629.59</v>
      </c>
    </row>
    <row r="25">
      <c r="A25" s="2" t="str">
        <f>IFERROR(__xludf.DUMMYFUNCTION("""COMPUTED_VALUE"""),"PR058")</f>
        <v>PR058</v>
      </c>
      <c r="B25" s="2" t="str">
        <f>IFERROR(__xludf.DUMMYFUNCTION("""COMPUTED_VALUE"""),"VD014")</f>
        <v>VD014</v>
      </c>
      <c r="C25" s="2">
        <f>IFERROR(__xludf.DUMMYFUNCTION("""COMPUTED_VALUE"""),21.0)</f>
        <v>21</v>
      </c>
      <c r="D25" s="2">
        <f>IFERROR(__xludf.DUMMYFUNCTION("""COMPUTED_VALUE"""),4536.0)</f>
        <v>4536</v>
      </c>
    </row>
    <row r="26">
      <c r="A26" s="2" t="str">
        <f>IFERROR(__xludf.DUMMYFUNCTION("""COMPUTED_VALUE"""),"PR049")</f>
        <v>PR049</v>
      </c>
      <c r="B26" s="2" t="str">
        <f>IFERROR(__xludf.DUMMYFUNCTION("""COMPUTED_VALUE"""),"VD029")</f>
        <v>VD029</v>
      </c>
      <c r="C26" s="2">
        <f>IFERROR(__xludf.DUMMYFUNCTION("""COMPUTED_VALUE"""),12.0)</f>
        <v>12</v>
      </c>
      <c r="D26" s="2">
        <f>IFERROR(__xludf.DUMMYFUNCTION("""COMPUTED_VALUE"""),473.76)</f>
        <v>473.76</v>
      </c>
    </row>
    <row r="27">
      <c r="A27" s="2" t="str">
        <f>IFERROR(__xludf.DUMMYFUNCTION("""COMPUTED_VALUE"""),"PR035")</f>
        <v>PR035</v>
      </c>
      <c r="B27" s="2" t="str">
        <f>IFERROR(__xludf.DUMMYFUNCTION("""COMPUTED_VALUE"""),"VD010")</f>
        <v>VD010</v>
      </c>
      <c r="C27" s="2">
        <f>IFERROR(__xludf.DUMMYFUNCTION("""COMPUTED_VALUE"""),27.0)</f>
        <v>27</v>
      </c>
      <c r="D27" s="2">
        <f>IFERROR(__xludf.DUMMYFUNCTION("""COMPUTED_VALUE"""),2763.94)</f>
        <v>2763.94</v>
      </c>
    </row>
    <row r="28">
      <c r="A28" s="2" t="str">
        <f>IFERROR(__xludf.DUMMYFUNCTION("""COMPUTED_VALUE"""),"PR003")</f>
        <v>PR003</v>
      </c>
      <c r="B28" s="2" t="str">
        <f>IFERROR(__xludf.DUMMYFUNCTION("""COMPUTED_VALUE"""),"VD024")</f>
        <v>VD024</v>
      </c>
      <c r="C28" s="2">
        <f>IFERROR(__xludf.DUMMYFUNCTION("""COMPUTED_VALUE"""),18.0)</f>
        <v>18</v>
      </c>
      <c r="D28" s="2">
        <f>IFERROR(__xludf.DUMMYFUNCTION("""COMPUTED_VALUE"""),1480.39)</f>
        <v>1480.39</v>
      </c>
    </row>
    <row r="29">
      <c r="A29" s="2" t="str">
        <f>IFERROR(__xludf.DUMMYFUNCTION("""COMPUTED_VALUE"""),"PR006")</f>
        <v>PR006</v>
      </c>
      <c r="B29" s="2" t="str">
        <f>IFERROR(__xludf.DUMMYFUNCTION("""COMPUTED_VALUE"""),"VD021")</f>
        <v>VD021</v>
      </c>
      <c r="C29" s="2">
        <f>IFERROR(__xludf.DUMMYFUNCTION("""COMPUTED_VALUE"""),27.0)</f>
        <v>27</v>
      </c>
      <c r="D29" s="2">
        <f>IFERROR(__xludf.DUMMYFUNCTION("""COMPUTED_VALUE"""),1249.67)</f>
        <v>1249.67</v>
      </c>
    </row>
    <row r="30">
      <c r="A30" s="2" t="str">
        <f>IFERROR(__xludf.DUMMYFUNCTION("""COMPUTED_VALUE"""),"PR002")</f>
        <v>PR002</v>
      </c>
      <c r="B30" s="2" t="str">
        <f>IFERROR(__xludf.DUMMYFUNCTION("""COMPUTED_VALUE"""),"VD040")</f>
        <v>VD040</v>
      </c>
      <c r="C30" s="2">
        <f>IFERROR(__xludf.DUMMYFUNCTION("""COMPUTED_VALUE"""),24.0)</f>
        <v>24</v>
      </c>
      <c r="D30" s="2">
        <f>IFERROR(__xludf.DUMMYFUNCTION("""COMPUTED_VALUE"""),1996.34)</f>
        <v>1996.34</v>
      </c>
    </row>
    <row r="31">
      <c r="A31" s="2" t="str">
        <f>IFERROR(__xludf.DUMMYFUNCTION("""COMPUTED_VALUE"""),"PR038")</f>
        <v>PR038</v>
      </c>
      <c r="B31" s="2" t="str">
        <f>IFERROR(__xludf.DUMMYFUNCTION("""COMPUTED_VALUE"""),"VD016")</f>
        <v>VD016</v>
      </c>
      <c r="C31" s="2">
        <f>IFERROR(__xludf.DUMMYFUNCTION("""COMPUTED_VALUE"""),12.0)</f>
        <v>12</v>
      </c>
      <c r="D31" s="2">
        <f>IFERROR(__xludf.DUMMYFUNCTION("""COMPUTED_VALUE"""),1972.02)</f>
        <v>1972.02</v>
      </c>
    </row>
    <row r="32">
      <c r="A32" s="2" t="str">
        <f>IFERROR(__xludf.DUMMYFUNCTION("""COMPUTED_VALUE"""),"PR027")</f>
        <v>PR027</v>
      </c>
      <c r="B32" s="2" t="str">
        <f>IFERROR(__xludf.DUMMYFUNCTION("""COMPUTED_VALUE"""),"VD035")</f>
        <v>VD035</v>
      </c>
      <c r="C32" s="2">
        <f>IFERROR(__xludf.DUMMYFUNCTION("""COMPUTED_VALUE"""),30.0)</f>
        <v>30</v>
      </c>
      <c r="D32" s="2">
        <f>IFERROR(__xludf.DUMMYFUNCTION("""COMPUTED_VALUE"""),3996.0)</f>
        <v>3996</v>
      </c>
    </row>
    <row r="33">
      <c r="A33" s="2" t="str">
        <f>IFERROR(__xludf.DUMMYFUNCTION("""COMPUTED_VALUE"""),"PR059")</f>
        <v>PR059</v>
      </c>
      <c r="B33" s="2" t="str">
        <f>IFERROR(__xludf.DUMMYFUNCTION("""COMPUTED_VALUE"""),"VD049")</f>
        <v>VD049</v>
      </c>
      <c r="C33" s="2">
        <f>IFERROR(__xludf.DUMMYFUNCTION("""COMPUTED_VALUE"""),12.0)</f>
        <v>12</v>
      </c>
      <c r="D33" s="2">
        <f>IFERROR(__xludf.DUMMYFUNCTION("""COMPUTED_VALUE"""),2419.2)</f>
        <v>2419.2</v>
      </c>
    </row>
    <row r="34">
      <c r="A34" s="2" t="str">
        <f>IFERROR(__xludf.DUMMYFUNCTION("""COMPUTED_VALUE"""),"PR035")</f>
        <v>PR035</v>
      </c>
      <c r="B34" s="2" t="str">
        <f>IFERROR(__xludf.DUMMYFUNCTION("""COMPUTED_VALUE"""),"VD019")</f>
        <v>VD019</v>
      </c>
      <c r="C34" s="2">
        <f>IFERROR(__xludf.DUMMYFUNCTION("""COMPUTED_VALUE"""),21.0)</f>
        <v>21</v>
      </c>
      <c r="D34" s="2">
        <f>IFERROR(__xludf.DUMMYFUNCTION("""COMPUTED_VALUE"""),2207.31)</f>
        <v>2207.31</v>
      </c>
    </row>
    <row r="35">
      <c r="A35" s="2" t="str">
        <f>IFERROR(__xludf.DUMMYFUNCTION("""COMPUTED_VALUE"""),"PR028")</f>
        <v>PR028</v>
      </c>
      <c r="B35" s="2" t="str">
        <f>IFERROR(__xludf.DUMMYFUNCTION("""COMPUTED_VALUE"""),"VD011")</f>
        <v>VD011</v>
      </c>
      <c r="C35" s="2">
        <f>IFERROR(__xludf.DUMMYFUNCTION("""COMPUTED_VALUE"""),16.0)</f>
        <v>16</v>
      </c>
      <c r="D35" s="2">
        <f>IFERROR(__xludf.DUMMYFUNCTION("""COMPUTED_VALUE"""),4718.11)</f>
        <v>4718.11</v>
      </c>
    </row>
    <row r="36">
      <c r="A36" s="2" t="str">
        <f>IFERROR(__xludf.DUMMYFUNCTION("""COMPUTED_VALUE"""),"PR018")</f>
        <v>PR018</v>
      </c>
      <c r="B36" s="2" t="str">
        <f>IFERROR(__xludf.DUMMYFUNCTION("""COMPUTED_VALUE"""),"VD016")</f>
        <v>VD016</v>
      </c>
      <c r="C36" s="2">
        <f>IFERROR(__xludf.DUMMYFUNCTION("""COMPUTED_VALUE"""),10.0)</f>
        <v>10</v>
      </c>
      <c r="D36" s="2">
        <f>IFERROR(__xludf.DUMMYFUNCTION("""COMPUTED_VALUE"""),378.35)</f>
        <v>378.35</v>
      </c>
    </row>
    <row r="37">
      <c r="A37" s="2" t="str">
        <f>IFERROR(__xludf.DUMMYFUNCTION("""COMPUTED_VALUE"""),"PR035")</f>
        <v>PR035</v>
      </c>
      <c r="B37" s="2" t="str">
        <f>IFERROR(__xludf.DUMMYFUNCTION("""COMPUTED_VALUE"""),"VD018")</f>
        <v>VD018</v>
      </c>
      <c r="C37" s="2">
        <f>IFERROR(__xludf.DUMMYFUNCTION("""COMPUTED_VALUE"""),28.0)</f>
        <v>28</v>
      </c>
      <c r="D37" s="2">
        <f>IFERROR(__xludf.DUMMYFUNCTION("""COMPUTED_VALUE"""),2149.73)</f>
        <v>2149.73</v>
      </c>
    </row>
    <row r="38">
      <c r="A38" s="2" t="str">
        <f>IFERROR(__xludf.DUMMYFUNCTION("""COMPUTED_VALUE"""),"PR057")</f>
        <v>PR057</v>
      </c>
      <c r="B38" s="2" t="str">
        <f>IFERROR(__xludf.DUMMYFUNCTION("""COMPUTED_VALUE"""),"VD034")</f>
        <v>VD034</v>
      </c>
      <c r="C38" s="2">
        <f>IFERROR(__xludf.DUMMYFUNCTION("""COMPUTED_VALUE"""),9.0)</f>
        <v>9</v>
      </c>
      <c r="D38" s="2">
        <f>IFERROR(__xludf.DUMMYFUNCTION("""COMPUTED_VALUE"""),906.19)</f>
        <v>906.19</v>
      </c>
    </row>
    <row r="39">
      <c r="A39" s="2" t="str">
        <f>IFERROR(__xludf.DUMMYFUNCTION("""COMPUTED_VALUE"""),"PR004")</f>
        <v>PR004</v>
      </c>
      <c r="B39" s="2" t="str">
        <f>IFERROR(__xludf.DUMMYFUNCTION("""COMPUTED_VALUE"""),"VD024")</f>
        <v>VD024</v>
      </c>
      <c r="C39" s="2">
        <f>IFERROR(__xludf.DUMMYFUNCTION("""COMPUTED_VALUE"""),15.0)</f>
        <v>15</v>
      </c>
      <c r="D39" s="2">
        <f>IFERROR(__xludf.DUMMYFUNCTION("""COMPUTED_VALUE"""),2610.0)</f>
        <v>2610</v>
      </c>
    </row>
    <row r="40">
      <c r="A40" s="2" t="str">
        <f>IFERROR(__xludf.DUMMYFUNCTION("""COMPUTED_VALUE"""),"PR014")</f>
        <v>PR014</v>
      </c>
      <c r="B40" s="2" t="str">
        <f>IFERROR(__xludf.DUMMYFUNCTION("""COMPUTED_VALUE"""),"VD011")</f>
        <v>VD011</v>
      </c>
      <c r="C40" s="2">
        <f>IFERROR(__xludf.DUMMYFUNCTION("""COMPUTED_VALUE"""),12.0)</f>
        <v>12</v>
      </c>
      <c r="D40" s="2">
        <f>IFERROR(__xludf.DUMMYFUNCTION("""COMPUTED_VALUE"""),560.2)</f>
        <v>560.2</v>
      </c>
    </row>
    <row r="41">
      <c r="A41" s="2" t="str">
        <f>IFERROR(__xludf.DUMMYFUNCTION("""COMPUTED_VALUE"""),"PR027")</f>
        <v>PR027</v>
      </c>
      <c r="B41" s="2" t="str">
        <f>IFERROR(__xludf.DUMMYFUNCTION("""COMPUTED_VALUE"""),"VD018")</f>
        <v>VD018</v>
      </c>
      <c r="C41" s="2">
        <f>IFERROR(__xludf.DUMMYFUNCTION("""COMPUTED_VALUE"""),27.0)</f>
        <v>27</v>
      </c>
      <c r="D41" s="2">
        <f>IFERROR(__xludf.DUMMYFUNCTION("""COMPUTED_VALUE"""),3888.0)</f>
        <v>3888</v>
      </c>
    </row>
    <row r="42">
      <c r="A42" s="2" t="str">
        <f>IFERROR(__xludf.DUMMYFUNCTION("""COMPUTED_VALUE"""),"PR032")</f>
        <v>PR032</v>
      </c>
      <c r="B42" s="2" t="str">
        <f>IFERROR(__xludf.DUMMYFUNCTION("""COMPUTED_VALUE"""),"VD011")</f>
        <v>VD011</v>
      </c>
      <c r="C42" s="2">
        <f>IFERROR(__xludf.DUMMYFUNCTION("""COMPUTED_VALUE"""),24.0)</f>
        <v>24</v>
      </c>
      <c r="D42" s="2">
        <f>IFERROR(__xludf.DUMMYFUNCTION("""COMPUTED_VALUE"""),6600.0)</f>
        <v>6600</v>
      </c>
    </row>
    <row r="43">
      <c r="A43" s="2" t="str">
        <f>IFERROR(__xludf.DUMMYFUNCTION("""COMPUTED_VALUE"""),"PR006")</f>
        <v>PR006</v>
      </c>
      <c r="B43" s="2" t="str">
        <f>IFERROR(__xludf.DUMMYFUNCTION("""COMPUTED_VALUE"""),"VD015")</f>
        <v>VD015</v>
      </c>
      <c r="C43" s="2">
        <f>IFERROR(__xludf.DUMMYFUNCTION("""COMPUTED_VALUE"""),27.0)</f>
        <v>27</v>
      </c>
      <c r="D43" s="2">
        <f>IFERROR(__xludf.DUMMYFUNCTION("""COMPUTED_VALUE"""),1260.44)</f>
        <v>1260.44</v>
      </c>
    </row>
    <row r="44">
      <c r="A44" s="2" t="str">
        <f>IFERROR(__xludf.DUMMYFUNCTION("""COMPUTED_VALUE"""),"PR028")</f>
        <v>PR028</v>
      </c>
      <c r="B44" s="2" t="str">
        <f>IFERROR(__xludf.DUMMYFUNCTION("""COMPUTED_VALUE"""),"VD048")</f>
        <v>VD048</v>
      </c>
      <c r="C44" s="2">
        <f>IFERROR(__xludf.DUMMYFUNCTION("""COMPUTED_VALUE"""),20.0)</f>
        <v>20</v>
      </c>
      <c r="D44" s="2">
        <f>IFERROR(__xludf.DUMMYFUNCTION("""COMPUTED_VALUE"""),5597.76)</f>
        <v>5597.76</v>
      </c>
    </row>
    <row r="45">
      <c r="A45" s="2" t="str">
        <f>IFERROR(__xludf.DUMMYFUNCTION("""COMPUTED_VALUE"""),"PR033")</f>
        <v>PR033</v>
      </c>
      <c r="B45" s="2" t="str">
        <f>IFERROR(__xludf.DUMMYFUNCTION("""COMPUTED_VALUE"""),"VD024")</f>
        <v>VD024</v>
      </c>
      <c r="C45" s="2">
        <f>IFERROR(__xludf.DUMMYFUNCTION("""COMPUTED_VALUE"""),24.0)</f>
        <v>24</v>
      </c>
      <c r="D45" s="2">
        <f>IFERROR(__xludf.DUMMYFUNCTION("""COMPUTED_VALUE"""),7485.12)</f>
        <v>7485.12</v>
      </c>
    </row>
    <row r="46">
      <c r="A46" s="2" t="str">
        <f>IFERROR(__xludf.DUMMYFUNCTION("""COMPUTED_VALUE"""),"PR008")</f>
        <v>PR008</v>
      </c>
      <c r="B46" s="2" t="str">
        <f>IFERROR(__xludf.DUMMYFUNCTION("""COMPUTED_VALUE"""),"VD027")</f>
        <v>VD027</v>
      </c>
      <c r="C46" s="2">
        <f>IFERROR(__xludf.DUMMYFUNCTION("""COMPUTED_VALUE"""),20.0)</f>
        <v>20</v>
      </c>
      <c r="D46" s="2">
        <f>IFERROR(__xludf.DUMMYFUNCTION("""COMPUTED_VALUE"""),2049.72)</f>
        <v>2049.72</v>
      </c>
    </row>
    <row r="47">
      <c r="A47" s="2" t="str">
        <f>IFERROR(__xludf.DUMMYFUNCTION("""COMPUTED_VALUE"""),"PR013")</f>
        <v>PR013</v>
      </c>
      <c r="B47" s="2" t="str">
        <f>IFERROR(__xludf.DUMMYFUNCTION("""COMPUTED_VALUE"""),"VD048")</f>
        <v>VD048</v>
      </c>
      <c r="C47" s="2">
        <f>IFERROR(__xludf.DUMMYFUNCTION("""COMPUTED_VALUE"""),27.0)</f>
        <v>27</v>
      </c>
      <c r="D47" s="2">
        <f>IFERROR(__xludf.DUMMYFUNCTION("""COMPUTED_VALUE"""),1238.9)</f>
        <v>1238.9</v>
      </c>
    </row>
    <row r="48">
      <c r="A48" s="2" t="str">
        <f>IFERROR(__xludf.DUMMYFUNCTION("""COMPUTED_VALUE"""),"PR011")</f>
        <v>PR011</v>
      </c>
      <c r="B48" s="2" t="str">
        <f>IFERROR(__xludf.DUMMYFUNCTION("""COMPUTED_VALUE"""),"VD026")</f>
        <v>VD026</v>
      </c>
      <c r="C48" s="2">
        <f>IFERROR(__xludf.DUMMYFUNCTION("""COMPUTED_VALUE"""),18.0)</f>
        <v>18</v>
      </c>
      <c r="D48" s="2">
        <f>IFERROR(__xludf.DUMMYFUNCTION("""COMPUTED_VALUE"""),1013.04)</f>
        <v>1013.04</v>
      </c>
    </row>
    <row r="49">
      <c r="A49" s="2" t="str">
        <f>IFERROR(__xludf.DUMMYFUNCTION("""COMPUTED_VALUE"""),"PR014")</f>
        <v>PR014</v>
      </c>
      <c r="B49" s="2" t="str">
        <f>IFERROR(__xludf.DUMMYFUNCTION("""COMPUTED_VALUE"""),"VD040")</f>
        <v>VD040</v>
      </c>
      <c r="C49" s="2">
        <f>IFERROR(__xludf.DUMMYFUNCTION("""COMPUTED_VALUE"""),24.0)</f>
        <v>24</v>
      </c>
      <c r="D49" s="2">
        <f>IFERROR(__xludf.DUMMYFUNCTION("""COMPUTED_VALUE"""),1139.54)</f>
        <v>1139.54</v>
      </c>
    </row>
    <row r="50">
      <c r="A50" s="2" t="str">
        <f>IFERROR(__xludf.DUMMYFUNCTION("""COMPUTED_VALUE"""),"PR043")</f>
        <v>PR043</v>
      </c>
      <c r="B50" s="2" t="str">
        <f>IFERROR(__xludf.DUMMYFUNCTION("""COMPUTED_VALUE"""),"VD035")</f>
        <v>VD035</v>
      </c>
      <c r="C50" s="2">
        <f>IFERROR(__xludf.DUMMYFUNCTION("""COMPUTED_VALUE"""),18.0)</f>
        <v>18</v>
      </c>
      <c r="D50" s="2">
        <f>IFERROR(__xludf.DUMMYFUNCTION("""COMPUTED_VALUE"""),1435.5)</f>
        <v>1435.5</v>
      </c>
    </row>
    <row r="51">
      <c r="A51" s="2" t="str">
        <f>IFERROR(__xludf.DUMMYFUNCTION("""COMPUTED_VALUE"""),"PR037")</f>
        <v>PR037</v>
      </c>
      <c r="B51" s="2" t="str">
        <f>IFERROR(__xludf.DUMMYFUNCTION("""COMPUTED_VALUE"""),"VD036")</f>
        <v>VD036</v>
      </c>
      <c r="C51" s="2">
        <f>IFERROR(__xludf.DUMMYFUNCTION("""COMPUTED_VALUE"""),30.0)</f>
        <v>30</v>
      </c>
      <c r="D51" s="2">
        <f>IFERROR(__xludf.DUMMYFUNCTION("""COMPUTED_VALUE"""),5040.0)</f>
        <v>5040</v>
      </c>
    </row>
    <row r="52">
      <c r="A52" s="2" t="str">
        <f>IFERROR(__xludf.DUMMYFUNCTION("""COMPUTED_VALUE"""),"PR020")</f>
        <v>PR020</v>
      </c>
      <c r="B52" s="2" t="str">
        <f>IFERROR(__xludf.DUMMYFUNCTION("""COMPUTED_VALUE"""),"VD026")</f>
        <v>VD026</v>
      </c>
      <c r="C52" s="2">
        <f>IFERROR(__xludf.DUMMYFUNCTION("""COMPUTED_VALUE"""),20.0)</f>
        <v>20</v>
      </c>
      <c r="D52" s="2">
        <f>IFERROR(__xludf.DUMMYFUNCTION("""COMPUTED_VALUE"""),6657.78)</f>
        <v>6657.78</v>
      </c>
    </row>
    <row r="53">
      <c r="A53" s="2" t="str">
        <f>IFERROR(__xludf.DUMMYFUNCTION("""COMPUTED_VALUE"""),"PR052")</f>
        <v>PR052</v>
      </c>
      <c r="B53" s="2" t="str">
        <f>IFERROR(__xludf.DUMMYFUNCTION("""COMPUTED_VALUE"""),"VD035")</f>
        <v>VD035</v>
      </c>
      <c r="C53" s="2">
        <f>IFERROR(__xludf.DUMMYFUNCTION("""COMPUTED_VALUE"""),12.0)</f>
        <v>12</v>
      </c>
      <c r="D53" s="2">
        <f>IFERROR(__xludf.DUMMYFUNCTION("""COMPUTED_VALUE"""),658.68)</f>
        <v>658.68</v>
      </c>
    </row>
    <row r="54">
      <c r="A54" s="2" t="str">
        <f>IFERROR(__xludf.DUMMYFUNCTION("""COMPUTED_VALUE"""),"PR023")</f>
        <v>PR023</v>
      </c>
      <c r="B54" s="2" t="str">
        <f>IFERROR(__xludf.DUMMYFUNCTION("""COMPUTED_VALUE"""),"VD016")</f>
        <v>VD016</v>
      </c>
      <c r="C54" s="2">
        <f>IFERROR(__xludf.DUMMYFUNCTION("""COMPUTED_VALUE"""),27.0)</f>
        <v>27</v>
      </c>
      <c r="D54" s="2">
        <f>IFERROR(__xludf.DUMMYFUNCTION("""COMPUTED_VALUE"""),7894.34)</f>
        <v>7894.34</v>
      </c>
    </row>
    <row r="55">
      <c r="A55" s="2" t="str">
        <f>IFERROR(__xludf.DUMMYFUNCTION("""COMPUTED_VALUE"""),"PR002")</f>
        <v>PR002</v>
      </c>
      <c r="B55" s="2" t="str">
        <f>IFERROR(__xludf.DUMMYFUNCTION("""COMPUTED_VALUE"""),"VD018")</f>
        <v>VD018</v>
      </c>
      <c r="C55" s="2">
        <f>IFERROR(__xludf.DUMMYFUNCTION("""COMPUTED_VALUE"""),9.0)</f>
        <v>9</v>
      </c>
      <c r="D55" s="2">
        <f>IFERROR(__xludf.DUMMYFUNCTION("""COMPUTED_VALUE"""),717.17)</f>
        <v>717.17</v>
      </c>
    </row>
    <row r="56">
      <c r="A56" s="2" t="str">
        <f>IFERROR(__xludf.DUMMYFUNCTION("""COMPUTED_VALUE"""),"PR039")</f>
        <v>PR039</v>
      </c>
      <c r="B56" s="2" t="str">
        <f>IFERROR(__xludf.DUMMYFUNCTION("""COMPUTED_VALUE"""),"VD014")</f>
        <v>VD014</v>
      </c>
      <c r="C56" s="2">
        <f>IFERROR(__xludf.DUMMYFUNCTION("""COMPUTED_VALUE"""),16.0)</f>
        <v>16</v>
      </c>
      <c r="D56" s="2">
        <f>IFERROR(__xludf.DUMMYFUNCTION("""COMPUTED_VALUE"""),2663.04)</f>
        <v>2663.04</v>
      </c>
    </row>
    <row r="57">
      <c r="A57" s="2" t="str">
        <f>IFERROR(__xludf.DUMMYFUNCTION("""COMPUTED_VALUE"""),"PR060")</f>
        <v>PR060</v>
      </c>
      <c r="B57" s="2" t="str">
        <f>IFERROR(__xludf.DUMMYFUNCTION("""COMPUTED_VALUE"""),"VD044")</f>
        <v>VD044</v>
      </c>
      <c r="C57" s="2">
        <f>IFERROR(__xludf.DUMMYFUNCTION("""COMPUTED_VALUE"""),6.0)</f>
        <v>6</v>
      </c>
      <c r="D57" s="2">
        <f>IFERROR(__xludf.DUMMYFUNCTION("""COMPUTED_VALUE"""),1252.8)</f>
        <v>1252.8</v>
      </c>
    </row>
    <row r="58">
      <c r="A58" s="2" t="str">
        <f>IFERROR(__xludf.DUMMYFUNCTION("""COMPUTED_VALUE"""),"PR009")</f>
        <v>PR009</v>
      </c>
      <c r="B58" s="2" t="str">
        <f>IFERROR(__xludf.DUMMYFUNCTION("""COMPUTED_VALUE"""),"VD041")</f>
        <v>VD041</v>
      </c>
      <c r="C58" s="2">
        <f>IFERROR(__xludf.DUMMYFUNCTION("""COMPUTED_VALUE"""),15.0)</f>
        <v>15</v>
      </c>
      <c r="D58" s="2">
        <f>IFERROR(__xludf.DUMMYFUNCTION("""COMPUTED_VALUE"""),1560.72)</f>
        <v>1560.72</v>
      </c>
    </row>
    <row r="59">
      <c r="A59" s="2" t="str">
        <f>IFERROR(__xludf.DUMMYFUNCTION("""COMPUTED_VALUE"""),"PR057")</f>
        <v>PR057</v>
      </c>
      <c r="B59" s="2" t="str">
        <f>IFERROR(__xludf.DUMMYFUNCTION("""COMPUTED_VALUE"""),"VD046")</f>
        <v>VD046</v>
      </c>
      <c r="C59" s="2">
        <f>IFERROR(__xludf.DUMMYFUNCTION("""COMPUTED_VALUE"""),15.0)</f>
        <v>15</v>
      </c>
      <c r="D59" s="2">
        <f>IFERROR(__xludf.DUMMYFUNCTION("""COMPUTED_VALUE"""),1591.23)</f>
        <v>1591.23</v>
      </c>
    </row>
    <row r="60">
      <c r="A60" s="2" t="str">
        <f>IFERROR(__xludf.DUMMYFUNCTION("""COMPUTED_VALUE"""),"PR018")</f>
        <v>PR018</v>
      </c>
      <c r="B60" s="2" t="str">
        <f>IFERROR(__xludf.DUMMYFUNCTION("""COMPUTED_VALUE"""),"VD037")</f>
        <v>VD037</v>
      </c>
      <c r="C60" s="2">
        <f>IFERROR(__xludf.DUMMYFUNCTION("""COMPUTED_VALUE"""),10.0)</f>
        <v>10</v>
      </c>
      <c r="D60" s="2">
        <f>IFERROR(__xludf.DUMMYFUNCTION("""COMPUTED_VALUE"""),361.9)</f>
        <v>361.9</v>
      </c>
    </row>
    <row r="61">
      <c r="A61" s="2" t="str">
        <f>IFERROR(__xludf.DUMMYFUNCTION("""COMPUTED_VALUE"""),"PR022")</f>
        <v>PR022</v>
      </c>
      <c r="B61" s="2" t="str">
        <f>IFERROR(__xludf.DUMMYFUNCTION("""COMPUTED_VALUE"""),"VD023")</f>
        <v>VD023</v>
      </c>
      <c r="C61" s="2">
        <f>IFERROR(__xludf.DUMMYFUNCTION("""COMPUTED_VALUE"""),16.0)</f>
        <v>16</v>
      </c>
      <c r="D61" s="2">
        <f>IFERROR(__xludf.DUMMYFUNCTION("""COMPUTED_VALUE"""),5424.0)</f>
        <v>5424</v>
      </c>
    </row>
    <row r="62">
      <c r="A62" s="2" t="str">
        <f>IFERROR(__xludf.DUMMYFUNCTION("""COMPUTED_VALUE"""),"PR020")</f>
        <v>PR020</v>
      </c>
      <c r="B62" s="2" t="str">
        <f>IFERROR(__xludf.DUMMYFUNCTION("""COMPUTED_VALUE"""),"VD023")</f>
        <v>VD023</v>
      </c>
      <c r="C62" s="2">
        <f>IFERROR(__xludf.DUMMYFUNCTION("""COMPUTED_VALUE"""),21.0)</f>
        <v>21</v>
      </c>
      <c r="D62" s="2">
        <f>IFERROR(__xludf.DUMMYFUNCTION("""COMPUTED_VALUE"""),7242.59)</f>
        <v>7242.59</v>
      </c>
    </row>
    <row r="63">
      <c r="A63" s="2" t="str">
        <f>IFERROR(__xludf.DUMMYFUNCTION("""COMPUTED_VALUE"""),"PR043")</f>
        <v>PR043</v>
      </c>
      <c r="B63" s="2" t="str">
        <f>IFERROR(__xludf.DUMMYFUNCTION("""COMPUTED_VALUE"""),"VD039")</f>
        <v>VD039</v>
      </c>
      <c r="C63" s="2">
        <f>IFERROR(__xludf.DUMMYFUNCTION("""COMPUTED_VALUE"""),16.0)</f>
        <v>16</v>
      </c>
      <c r="D63" s="2">
        <f>IFERROR(__xludf.DUMMYFUNCTION("""COMPUTED_VALUE"""),1368.8)</f>
        <v>1368.8</v>
      </c>
    </row>
    <row r="64">
      <c r="A64" s="2" t="str">
        <f>IFERROR(__xludf.DUMMYFUNCTION("""COMPUTED_VALUE"""),"PR040")</f>
        <v>PR040</v>
      </c>
      <c r="B64" s="2" t="str">
        <f>IFERROR(__xludf.DUMMYFUNCTION("""COMPUTED_VALUE"""),"VD014")</f>
        <v>VD014</v>
      </c>
      <c r="C64" s="2">
        <f>IFERROR(__xludf.DUMMYFUNCTION("""COMPUTED_VALUE"""),20.0)</f>
        <v>20</v>
      </c>
      <c r="D64" s="2">
        <f>IFERROR(__xludf.DUMMYFUNCTION("""COMPUTED_VALUE"""),1624.0)</f>
        <v>1624</v>
      </c>
    </row>
    <row r="65">
      <c r="A65" s="2" t="str">
        <f>IFERROR(__xludf.DUMMYFUNCTION("""COMPUTED_VALUE"""),"PR052")</f>
        <v>PR052</v>
      </c>
      <c r="B65" s="2" t="str">
        <f>IFERROR(__xludf.DUMMYFUNCTION("""COMPUTED_VALUE"""),"VD035")</f>
        <v>VD035</v>
      </c>
      <c r="C65" s="2">
        <f>IFERROR(__xludf.DUMMYFUNCTION("""COMPUTED_VALUE"""),30.0)</f>
        <v>30</v>
      </c>
      <c r="D65" s="2">
        <f>IFERROR(__xludf.DUMMYFUNCTION("""COMPUTED_VALUE"""),1721.55)</f>
        <v>1721.55</v>
      </c>
    </row>
    <row r="66">
      <c r="A66" s="2" t="str">
        <f>IFERROR(__xludf.DUMMYFUNCTION("""COMPUTED_VALUE"""),"PR021")</f>
        <v>PR021</v>
      </c>
      <c r="B66" s="2" t="str">
        <f>IFERROR(__xludf.DUMMYFUNCTION("""COMPUTED_VALUE"""),"VD013")</f>
        <v>VD013</v>
      </c>
      <c r="C66" s="2">
        <f>IFERROR(__xludf.DUMMYFUNCTION("""COMPUTED_VALUE"""),8.0)</f>
        <v>8</v>
      </c>
      <c r="D66" s="2">
        <f>IFERROR(__xludf.DUMMYFUNCTION("""COMPUTED_VALUE"""),2689.75)</f>
        <v>2689.75</v>
      </c>
    </row>
    <row r="67">
      <c r="A67" s="2" t="str">
        <f>IFERROR(__xludf.DUMMYFUNCTION("""COMPUTED_VALUE"""),"PR050")</f>
        <v>PR050</v>
      </c>
      <c r="B67" s="2" t="str">
        <f>IFERROR(__xludf.DUMMYFUNCTION("""COMPUTED_VALUE"""),"VD015")</f>
        <v>VD015</v>
      </c>
      <c r="C67" s="2">
        <f>IFERROR(__xludf.DUMMYFUNCTION("""COMPUTED_VALUE"""),24.0)</f>
        <v>24</v>
      </c>
      <c r="D67" s="2">
        <f>IFERROR(__xludf.DUMMYFUNCTION("""COMPUTED_VALUE"""),915.94)</f>
        <v>915.94</v>
      </c>
    </row>
    <row r="68">
      <c r="A68" s="2" t="str">
        <f>IFERROR(__xludf.DUMMYFUNCTION("""COMPUTED_VALUE"""),"PR036")</f>
        <v>PR036</v>
      </c>
      <c r="B68" s="2" t="str">
        <f>IFERROR(__xludf.DUMMYFUNCTION("""COMPUTED_VALUE"""),"VD040")</f>
        <v>VD040</v>
      </c>
      <c r="C68" s="2">
        <f>IFERROR(__xludf.DUMMYFUNCTION("""COMPUTED_VALUE"""),12.0)</f>
        <v>12</v>
      </c>
      <c r="D68" s="2">
        <f>IFERROR(__xludf.DUMMYFUNCTION("""COMPUTED_VALUE"""),1301.52)</f>
        <v>1301.52</v>
      </c>
    </row>
    <row r="69">
      <c r="A69" s="2" t="str">
        <f>IFERROR(__xludf.DUMMYFUNCTION("""COMPUTED_VALUE"""),"PR023")</f>
        <v>PR023</v>
      </c>
      <c r="B69" s="2" t="str">
        <f>IFERROR(__xludf.DUMMYFUNCTION("""COMPUTED_VALUE"""),"VD037")</f>
        <v>VD037</v>
      </c>
      <c r="C69" s="2">
        <f>IFERROR(__xludf.DUMMYFUNCTION("""COMPUTED_VALUE"""),12.0)</f>
        <v>12</v>
      </c>
      <c r="D69" s="2">
        <f>IFERROR(__xludf.DUMMYFUNCTION("""COMPUTED_VALUE"""),3298.68)</f>
        <v>3298.68</v>
      </c>
    </row>
    <row r="70">
      <c r="A70" s="2" t="str">
        <f>IFERROR(__xludf.DUMMYFUNCTION("""COMPUTED_VALUE"""),"PR052")</f>
        <v>PR052</v>
      </c>
      <c r="B70" s="2" t="str">
        <f>IFERROR(__xludf.DUMMYFUNCTION("""COMPUTED_VALUE"""),"VD014")</f>
        <v>VD014</v>
      </c>
      <c r="C70" s="2">
        <f>IFERROR(__xludf.DUMMYFUNCTION("""COMPUTED_VALUE"""),20.0)</f>
        <v>20</v>
      </c>
      <c r="D70" s="2">
        <f>IFERROR(__xludf.DUMMYFUNCTION("""COMPUTED_VALUE"""),1127.74)</f>
        <v>1127.74</v>
      </c>
    </row>
    <row r="71">
      <c r="A71" s="2" t="str">
        <f>IFERROR(__xludf.DUMMYFUNCTION("""COMPUTED_VALUE"""),"PR051")</f>
        <v>PR051</v>
      </c>
      <c r="B71" s="2" t="str">
        <f>IFERROR(__xludf.DUMMYFUNCTION("""COMPUTED_VALUE"""),"VD018")</f>
        <v>VD018</v>
      </c>
      <c r="C71" s="2">
        <f>IFERROR(__xludf.DUMMYFUNCTION("""COMPUTED_VALUE"""),6.0)</f>
        <v>6</v>
      </c>
      <c r="D71" s="2">
        <f>IFERROR(__xludf.DUMMYFUNCTION("""COMPUTED_VALUE"""),221.09)</f>
        <v>221.09</v>
      </c>
    </row>
    <row r="72">
      <c r="A72" s="2" t="str">
        <f>IFERROR(__xludf.DUMMYFUNCTION("""COMPUTED_VALUE"""),"PR019")</f>
        <v>PR019</v>
      </c>
      <c r="B72" s="2" t="str">
        <f>IFERROR(__xludf.DUMMYFUNCTION("""COMPUTED_VALUE"""),"VD010")</f>
        <v>VD010</v>
      </c>
      <c r="C72" s="2">
        <f>IFERROR(__xludf.DUMMYFUNCTION("""COMPUTED_VALUE"""),20.0)</f>
        <v>20</v>
      </c>
      <c r="D72" s="2">
        <f>IFERROR(__xludf.DUMMYFUNCTION("""COMPUTED_VALUE"""),1197.6)</f>
        <v>1197.6</v>
      </c>
    </row>
    <row r="73">
      <c r="A73" s="2" t="str">
        <f>IFERROR(__xludf.DUMMYFUNCTION("""COMPUTED_VALUE"""),"PR053")</f>
        <v>PR053</v>
      </c>
      <c r="B73" s="2" t="str">
        <f>IFERROR(__xludf.DUMMYFUNCTION("""COMPUTED_VALUE"""),"VD043")</f>
        <v>VD043</v>
      </c>
      <c r="C73" s="2">
        <f>IFERROR(__xludf.DUMMYFUNCTION("""COMPUTED_VALUE"""),16.0)</f>
        <v>16</v>
      </c>
      <c r="D73" s="2">
        <f>IFERROR(__xludf.DUMMYFUNCTION("""COMPUTED_VALUE"""),950.1)</f>
        <v>950.1</v>
      </c>
    </row>
    <row r="74">
      <c r="A74" s="2" t="str">
        <f>IFERROR(__xludf.DUMMYFUNCTION("""COMPUTED_VALUE"""),"PR031")</f>
        <v>PR031</v>
      </c>
      <c r="B74" s="2" t="str">
        <f>IFERROR(__xludf.DUMMYFUNCTION("""COMPUTED_VALUE"""),"VD035")</f>
        <v>VD035</v>
      </c>
      <c r="C74" s="2">
        <f>IFERROR(__xludf.DUMMYFUNCTION("""COMPUTED_VALUE"""),21.0)</f>
        <v>21</v>
      </c>
      <c r="D74" s="2">
        <f>IFERROR(__xludf.DUMMYFUNCTION("""COMPUTED_VALUE"""),6122.55)</f>
        <v>6122.55</v>
      </c>
    </row>
    <row r="75">
      <c r="A75" s="2" t="str">
        <f>IFERROR(__xludf.DUMMYFUNCTION("""COMPUTED_VALUE"""),"PR008")</f>
        <v>PR008</v>
      </c>
      <c r="B75" s="2" t="str">
        <f>IFERROR(__xludf.DUMMYFUNCTION("""COMPUTED_VALUE"""),"VD037")</f>
        <v>VD037</v>
      </c>
      <c r="C75" s="2">
        <f>IFERROR(__xludf.DUMMYFUNCTION("""COMPUTED_VALUE"""),10.0)</f>
        <v>10</v>
      </c>
      <c r="D75" s="2">
        <f>IFERROR(__xludf.DUMMYFUNCTION("""COMPUTED_VALUE"""),1078.8)</f>
        <v>1078.8</v>
      </c>
    </row>
    <row r="76">
      <c r="A76" s="2" t="str">
        <f>IFERROR(__xludf.DUMMYFUNCTION("""COMPUTED_VALUE"""),"PR010")</f>
        <v>PR010</v>
      </c>
      <c r="B76" s="2" t="str">
        <f>IFERROR(__xludf.DUMMYFUNCTION("""COMPUTED_VALUE"""),"VD023")</f>
        <v>VD023</v>
      </c>
      <c r="C76" s="2">
        <f>IFERROR(__xludf.DUMMYFUNCTION("""COMPUTED_VALUE"""),14.0)</f>
        <v>14</v>
      </c>
      <c r="D76" s="2">
        <f>IFERROR(__xludf.DUMMYFUNCTION("""COMPUTED_VALUE"""),704.03)</f>
        <v>704.03</v>
      </c>
    </row>
    <row r="77">
      <c r="A77" s="2" t="str">
        <f>IFERROR(__xludf.DUMMYFUNCTION("""COMPUTED_VALUE"""),"PR012")</f>
        <v>PR012</v>
      </c>
      <c r="B77" s="2" t="str">
        <f>IFERROR(__xludf.DUMMYFUNCTION("""COMPUTED_VALUE"""),"VD018")</f>
        <v>VD018</v>
      </c>
      <c r="C77" s="2">
        <f>IFERROR(__xludf.DUMMYFUNCTION("""COMPUTED_VALUE"""),10.0)</f>
        <v>10</v>
      </c>
      <c r="D77" s="2">
        <f>IFERROR(__xludf.DUMMYFUNCTION("""COMPUTED_VALUE"""),577.02)</f>
        <v>577.02</v>
      </c>
    </row>
    <row r="78">
      <c r="A78" s="2" t="str">
        <f>IFERROR(__xludf.DUMMYFUNCTION("""COMPUTED_VALUE"""),"PR043")</f>
        <v>PR043</v>
      </c>
      <c r="B78" s="2" t="str">
        <f>IFERROR(__xludf.DUMMYFUNCTION("""COMPUTED_VALUE"""),"VD033")</f>
        <v>VD033</v>
      </c>
      <c r="C78" s="2">
        <f>IFERROR(__xludf.DUMMYFUNCTION("""COMPUTED_VALUE"""),12.0)</f>
        <v>12</v>
      </c>
      <c r="D78" s="2">
        <f>IFERROR(__xludf.DUMMYFUNCTION("""COMPUTED_VALUE"""),983.1)</f>
        <v>983.1</v>
      </c>
    </row>
    <row r="79">
      <c r="A79" s="2" t="str">
        <f>IFERROR(__xludf.DUMMYFUNCTION("""COMPUTED_VALUE"""),"PR004")</f>
        <v>PR004</v>
      </c>
      <c r="B79" s="2" t="str">
        <f>IFERROR(__xludf.DUMMYFUNCTION("""COMPUTED_VALUE"""),"VD015")</f>
        <v>VD015</v>
      </c>
      <c r="C79" s="2">
        <f>IFERROR(__xludf.DUMMYFUNCTION("""COMPUTED_VALUE"""),10.0)</f>
        <v>10</v>
      </c>
      <c r="D79" s="2">
        <f>IFERROR(__xludf.DUMMYFUNCTION("""COMPUTED_VALUE"""),1725.5)</f>
        <v>1725.5</v>
      </c>
    </row>
    <row r="80">
      <c r="A80" s="2" t="str">
        <f>IFERROR(__xludf.DUMMYFUNCTION("""COMPUTED_VALUE"""),"PR045")</f>
        <v>PR045</v>
      </c>
      <c r="B80" s="2" t="str">
        <f>IFERROR(__xludf.DUMMYFUNCTION("""COMPUTED_VALUE"""),"VD027")</f>
        <v>VD027</v>
      </c>
      <c r="C80" s="2">
        <f>IFERROR(__xludf.DUMMYFUNCTION("""COMPUTED_VALUE"""),16.0)</f>
        <v>16</v>
      </c>
      <c r="D80" s="2">
        <f>IFERROR(__xludf.DUMMYFUNCTION("""COMPUTED_VALUE"""),1334.0)</f>
        <v>1334</v>
      </c>
    </row>
    <row r="81">
      <c r="A81" s="2" t="str">
        <f>IFERROR(__xludf.DUMMYFUNCTION("""COMPUTED_VALUE"""),"PR014")</f>
        <v>PR014</v>
      </c>
      <c r="B81" s="2" t="str">
        <f>IFERROR(__xludf.DUMMYFUNCTION("""COMPUTED_VALUE"""),"VD035")</f>
        <v>VD035</v>
      </c>
      <c r="C81" s="2">
        <f>IFERROR(__xludf.DUMMYFUNCTION("""COMPUTED_VALUE"""),20.0)</f>
        <v>20</v>
      </c>
      <c r="D81" s="2">
        <f>IFERROR(__xludf.DUMMYFUNCTION("""COMPUTED_VALUE"""),877.8)</f>
        <v>877.8</v>
      </c>
    </row>
    <row r="82">
      <c r="A82" s="2" t="str">
        <f>IFERROR(__xludf.DUMMYFUNCTION("""COMPUTED_VALUE"""),"PR026")</f>
        <v>PR026</v>
      </c>
      <c r="B82" s="2" t="str">
        <f>IFERROR(__xludf.DUMMYFUNCTION("""COMPUTED_VALUE"""),"VD011")</f>
        <v>VD011</v>
      </c>
      <c r="C82" s="2">
        <f>IFERROR(__xludf.DUMMYFUNCTION("""COMPUTED_VALUE"""),15.0)</f>
        <v>15</v>
      </c>
      <c r="D82" s="2">
        <f>IFERROR(__xludf.DUMMYFUNCTION("""COMPUTED_VALUE"""),6035.78)</f>
        <v>6035.78</v>
      </c>
    </row>
    <row r="83">
      <c r="A83" s="2" t="str">
        <f>IFERROR(__xludf.DUMMYFUNCTION("""COMPUTED_VALUE"""),"PR014")</f>
        <v>PR014</v>
      </c>
      <c r="B83" s="2" t="str">
        <f>IFERROR(__xludf.DUMMYFUNCTION("""COMPUTED_VALUE"""),"VD028")</f>
        <v>VD028</v>
      </c>
      <c r="C83" s="2">
        <f>IFERROR(__xludf.DUMMYFUNCTION("""COMPUTED_VALUE"""),30.0)</f>
        <v>30</v>
      </c>
      <c r="D83" s="2">
        <f>IFERROR(__xludf.DUMMYFUNCTION("""COMPUTED_VALUE"""),1328.67)</f>
        <v>1328.67</v>
      </c>
    </row>
    <row r="84">
      <c r="A84" s="2" t="str">
        <f>IFERROR(__xludf.DUMMYFUNCTION("""COMPUTED_VALUE"""),"PR024")</f>
        <v>PR024</v>
      </c>
      <c r="B84" s="2" t="str">
        <f>IFERROR(__xludf.DUMMYFUNCTION("""COMPUTED_VALUE"""),"VD019")</f>
        <v>VD019</v>
      </c>
      <c r="C84" s="2">
        <f>IFERROR(__xludf.DUMMYFUNCTION("""COMPUTED_VALUE"""),30.0)</f>
        <v>30</v>
      </c>
      <c r="D84" s="2">
        <f>IFERROR(__xludf.DUMMYFUNCTION("""COMPUTED_VALUE"""),8810.61)</f>
        <v>8810.61</v>
      </c>
    </row>
    <row r="85">
      <c r="A85" s="2" t="str">
        <f>IFERROR(__xludf.DUMMYFUNCTION("""COMPUTED_VALUE"""),"PR023")</f>
        <v>PR023</v>
      </c>
      <c r="B85" s="2" t="str">
        <f>IFERROR(__xludf.DUMMYFUNCTION("""COMPUTED_VALUE"""),"VD034")</f>
        <v>VD034</v>
      </c>
      <c r="C85" s="2">
        <f>IFERROR(__xludf.DUMMYFUNCTION("""COMPUTED_VALUE"""),18.0)</f>
        <v>18</v>
      </c>
      <c r="D85" s="2">
        <f>IFERROR(__xludf.DUMMYFUNCTION("""COMPUTED_VALUE"""),5082.97)</f>
        <v>5082.97</v>
      </c>
    </row>
    <row r="86">
      <c r="A86" s="2" t="str">
        <f>IFERROR(__xludf.DUMMYFUNCTION("""COMPUTED_VALUE"""),"PR010")</f>
        <v>PR010</v>
      </c>
      <c r="B86" s="2" t="str">
        <f>IFERROR(__xludf.DUMMYFUNCTION("""COMPUTED_VALUE"""),"VD028")</f>
        <v>VD028</v>
      </c>
      <c r="C86" s="2">
        <f>IFERROR(__xludf.DUMMYFUNCTION("""COMPUTED_VALUE"""),20.0)</f>
        <v>20</v>
      </c>
      <c r="D86" s="2">
        <f>IFERROR(__xludf.DUMMYFUNCTION("""COMPUTED_VALUE"""),1050.66)</f>
        <v>1050.66</v>
      </c>
    </row>
    <row r="87">
      <c r="A87" s="2" t="str">
        <f>IFERROR(__xludf.DUMMYFUNCTION("""COMPUTED_VALUE"""),"PR042")</f>
        <v>PR042</v>
      </c>
      <c r="B87" s="2" t="str">
        <f>IFERROR(__xludf.DUMMYFUNCTION("""COMPUTED_VALUE"""),"VD041")</f>
        <v>VD041</v>
      </c>
      <c r="C87" s="2">
        <f>IFERROR(__xludf.DUMMYFUNCTION("""COMPUTED_VALUE"""),24.0)</f>
        <v>24</v>
      </c>
      <c r="D87" s="2">
        <f>IFERROR(__xludf.DUMMYFUNCTION("""COMPUTED_VALUE"""),1502.06)</f>
        <v>1502.06</v>
      </c>
    </row>
    <row r="88">
      <c r="A88" s="2" t="str">
        <f>IFERROR(__xludf.DUMMYFUNCTION("""COMPUTED_VALUE"""),"PR057")</f>
        <v>PR057</v>
      </c>
      <c r="B88" s="2" t="str">
        <f>IFERROR(__xludf.DUMMYFUNCTION("""COMPUTED_VALUE"""),"VD015")</f>
        <v>VD015</v>
      </c>
      <c r="C88" s="2">
        <f>IFERROR(__xludf.DUMMYFUNCTION("""COMPUTED_VALUE"""),24.0)</f>
        <v>24</v>
      </c>
      <c r="D88" s="2">
        <f>IFERROR(__xludf.DUMMYFUNCTION("""COMPUTED_VALUE"""),2373.36)</f>
        <v>2373.36</v>
      </c>
    </row>
    <row r="89">
      <c r="A89" s="2" t="str">
        <f>IFERROR(__xludf.DUMMYFUNCTION("""COMPUTED_VALUE"""),"PR034")</f>
        <v>PR034</v>
      </c>
      <c r="B89" s="2" t="str">
        <f>IFERROR(__xludf.DUMMYFUNCTION("""COMPUTED_VALUE"""),"VD027")</f>
        <v>VD027</v>
      </c>
      <c r="C89" s="2">
        <f>IFERROR(__xludf.DUMMYFUNCTION("""COMPUTED_VALUE"""),6.0)</f>
        <v>6</v>
      </c>
      <c r="D89" s="2">
        <f>IFERROR(__xludf.DUMMYFUNCTION("""COMPUTED_VALUE"""),598.73)</f>
        <v>598.73</v>
      </c>
    </row>
    <row r="90">
      <c r="A90" s="2" t="str">
        <f>IFERROR(__xludf.DUMMYFUNCTION("""COMPUTED_VALUE"""),"PR031")</f>
        <v>PR031</v>
      </c>
      <c r="B90" s="2" t="str">
        <f>IFERROR(__xludf.DUMMYFUNCTION("""COMPUTED_VALUE"""),"VD024")</f>
        <v>VD024</v>
      </c>
      <c r="C90" s="2">
        <f>IFERROR(__xludf.DUMMYFUNCTION("""COMPUTED_VALUE"""),6.0)</f>
        <v>6</v>
      </c>
      <c r="D90" s="2">
        <f>IFERROR(__xludf.DUMMYFUNCTION("""COMPUTED_VALUE"""),1675.8)</f>
        <v>1675.8</v>
      </c>
    </row>
    <row r="91">
      <c r="A91" s="2" t="str">
        <f>IFERROR(__xludf.DUMMYFUNCTION("""COMPUTED_VALUE"""),"PR046")</f>
        <v>PR046</v>
      </c>
      <c r="B91" s="2" t="str">
        <f>IFERROR(__xludf.DUMMYFUNCTION("""COMPUTED_VALUE"""),"VD038")</f>
        <v>VD038</v>
      </c>
      <c r="C91" s="2">
        <f>IFERROR(__xludf.DUMMYFUNCTION("""COMPUTED_VALUE"""),8.0)</f>
        <v>8</v>
      </c>
      <c r="D91" s="2">
        <f>IFERROR(__xludf.DUMMYFUNCTION("""COMPUTED_VALUE"""),2620.7)</f>
        <v>2620.7</v>
      </c>
    </row>
    <row r="92">
      <c r="A92" s="2" t="str">
        <f>IFERROR(__xludf.DUMMYFUNCTION("""COMPUTED_VALUE"""),"PR033")</f>
        <v>PR033</v>
      </c>
      <c r="B92" s="2" t="str">
        <f>IFERROR(__xludf.DUMMYFUNCTION("""COMPUTED_VALUE"""),"VD014")</f>
        <v>VD014</v>
      </c>
      <c r="C92" s="2">
        <f>IFERROR(__xludf.DUMMYFUNCTION("""COMPUTED_VALUE"""),12.0)</f>
        <v>12</v>
      </c>
      <c r="D92" s="2">
        <f>IFERROR(__xludf.DUMMYFUNCTION("""COMPUTED_VALUE"""),3649.0)</f>
        <v>3649</v>
      </c>
    </row>
    <row r="93">
      <c r="A93" s="2" t="str">
        <f>IFERROR(__xludf.DUMMYFUNCTION("""COMPUTED_VALUE"""),"PR041")</f>
        <v>PR041</v>
      </c>
      <c r="B93" s="2" t="str">
        <f>IFERROR(__xludf.DUMMYFUNCTION("""COMPUTED_VALUE"""),"VD035")</f>
        <v>VD035</v>
      </c>
      <c r="C93" s="2">
        <f>IFERROR(__xludf.DUMMYFUNCTION("""COMPUTED_VALUE"""),18.0)</f>
        <v>18</v>
      </c>
      <c r="D93" s="2">
        <f>IFERROR(__xludf.DUMMYFUNCTION("""COMPUTED_VALUE"""),1166.08)</f>
        <v>1166.08</v>
      </c>
    </row>
    <row r="94">
      <c r="A94" s="2" t="str">
        <f>IFERROR(__xludf.DUMMYFUNCTION("""COMPUTED_VALUE"""),"PR001")</f>
        <v>PR001</v>
      </c>
      <c r="B94" s="2" t="str">
        <f>IFERROR(__xludf.DUMMYFUNCTION("""COMPUTED_VALUE"""),"VD045")</f>
        <v>VD045</v>
      </c>
      <c r="C94" s="2">
        <f>IFERROR(__xludf.DUMMYFUNCTION("""COMPUTED_VALUE"""),12.0)</f>
        <v>12</v>
      </c>
      <c r="D94" s="2">
        <f>IFERROR(__xludf.DUMMYFUNCTION("""COMPUTED_VALUE"""),941.05)</f>
        <v>941.05</v>
      </c>
    </row>
    <row r="95">
      <c r="A95" s="2" t="str">
        <f>IFERROR(__xludf.DUMMYFUNCTION("""COMPUTED_VALUE"""),"PR006")</f>
        <v>PR006</v>
      </c>
      <c r="B95" s="2" t="str">
        <f>IFERROR(__xludf.DUMMYFUNCTION("""COMPUTED_VALUE"""),"VD035")</f>
        <v>VD035</v>
      </c>
      <c r="C95" s="2">
        <f>IFERROR(__xludf.DUMMYFUNCTION("""COMPUTED_VALUE"""),12.0)</f>
        <v>12</v>
      </c>
      <c r="D95" s="2">
        <f>IFERROR(__xludf.DUMMYFUNCTION("""COMPUTED_VALUE"""),541.04)</f>
        <v>541.04</v>
      </c>
    </row>
    <row r="96">
      <c r="A96" s="2" t="str">
        <f>IFERROR(__xludf.DUMMYFUNCTION("""COMPUTED_VALUE"""),"PR049")</f>
        <v>PR049</v>
      </c>
      <c r="B96" s="2" t="str">
        <f>IFERROR(__xludf.DUMMYFUNCTION("""COMPUTED_VALUE"""),"VD039")</f>
        <v>VD039</v>
      </c>
      <c r="C96" s="2">
        <f>IFERROR(__xludf.DUMMYFUNCTION("""COMPUTED_VALUE"""),10.0)</f>
        <v>10</v>
      </c>
      <c r="D96" s="2">
        <f>IFERROR(__xludf.DUMMYFUNCTION("""COMPUTED_VALUE"""),388.22)</f>
        <v>388.22</v>
      </c>
    </row>
    <row r="97">
      <c r="A97" s="2" t="str">
        <f>IFERROR(__xludf.DUMMYFUNCTION("""COMPUTED_VALUE"""),"PR012")</f>
        <v>PR012</v>
      </c>
      <c r="B97" s="2" t="str">
        <f>IFERROR(__xludf.DUMMYFUNCTION("""COMPUTED_VALUE"""),"VD034")</f>
        <v>VD034</v>
      </c>
      <c r="C97" s="2">
        <f>IFERROR(__xludf.DUMMYFUNCTION("""COMPUTED_VALUE"""),27.0)</f>
        <v>27</v>
      </c>
      <c r="D97" s="2">
        <f>IFERROR(__xludf.DUMMYFUNCTION("""COMPUTED_VALUE"""),1584.36)</f>
        <v>1584.36</v>
      </c>
    </row>
    <row r="98">
      <c r="A98" s="2" t="str">
        <f>IFERROR(__xludf.DUMMYFUNCTION("""COMPUTED_VALUE"""),"PR060")</f>
        <v>PR060</v>
      </c>
      <c r="B98" s="2" t="str">
        <f>IFERROR(__xludf.DUMMYFUNCTION("""COMPUTED_VALUE"""),"VD019")</f>
        <v>VD019</v>
      </c>
      <c r="C98" s="2">
        <f>IFERROR(__xludf.DUMMYFUNCTION("""COMPUTED_VALUE"""),18.0)</f>
        <v>18</v>
      </c>
      <c r="D98" s="2">
        <f>IFERROR(__xludf.DUMMYFUNCTION("""COMPUTED_VALUE"""),3628.8)</f>
        <v>3628.8</v>
      </c>
    </row>
    <row r="99">
      <c r="A99" s="2" t="str">
        <f>IFERROR(__xludf.DUMMYFUNCTION("""COMPUTED_VALUE"""),"PR060")</f>
        <v>PR060</v>
      </c>
      <c r="B99" s="2" t="str">
        <f>IFERROR(__xludf.DUMMYFUNCTION("""COMPUTED_VALUE"""),"VD042")</f>
        <v>VD042</v>
      </c>
      <c r="C99" s="2">
        <f>IFERROR(__xludf.DUMMYFUNCTION("""COMPUTED_VALUE"""),10.0)</f>
        <v>10</v>
      </c>
      <c r="D99" s="2">
        <f>IFERROR(__xludf.DUMMYFUNCTION("""COMPUTED_VALUE"""),1980.0)</f>
        <v>1980</v>
      </c>
    </row>
    <row r="100">
      <c r="A100" s="2" t="str">
        <f>IFERROR(__xludf.DUMMYFUNCTION("""COMPUTED_VALUE"""),"PR014")</f>
        <v>PR014</v>
      </c>
      <c r="B100" s="2" t="str">
        <f>IFERROR(__xludf.DUMMYFUNCTION("""COMPUTED_VALUE"""),"VD010")</f>
        <v>VD010</v>
      </c>
      <c r="C100" s="2">
        <f>IFERROR(__xludf.DUMMYFUNCTION("""COMPUTED_VALUE"""),18.0)</f>
        <v>18</v>
      </c>
      <c r="D100" s="2">
        <f>IFERROR(__xludf.DUMMYFUNCTION("""COMPUTED_VALUE"""),790.02)</f>
        <v>790.02</v>
      </c>
    </row>
    <row r="101">
      <c r="A101" s="2" t="str">
        <f>IFERROR(__xludf.DUMMYFUNCTION("""COMPUTED_VALUE"""),"PR036")</f>
        <v>PR036</v>
      </c>
      <c r="B101" s="2" t="str">
        <f>IFERROR(__xludf.DUMMYFUNCTION("""COMPUTED_VALUE"""),"VD019")</f>
        <v>VD019</v>
      </c>
      <c r="C101" s="2">
        <f>IFERROR(__xludf.DUMMYFUNCTION("""COMPUTED_VALUE"""),27.0)</f>
        <v>27</v>
      </c>
      <c r="D101" s="2">
        <f>IFERROR(__xludf.DUMMYFUNCTION("""COMPUTED_VALUE"""),2953.67)</f>
        <v>2953.67</v>
      </c>
    </row>
    <row r="102">
      <c r="A102" s="2" t="str">
        <f>IFERROR(__xludf.DUMMYFUNCTION("""COMPUTED_VALUE"""),"PR035")</f>
        <v>PR035</v>
      </c>
      <c r="B102" s="2" t="str">
        <f>IFERROR(__xludf.DUMMYFUNCTION("""COMPUTED_VALUE"""),"VD012")</f>
        <v>VD012</v>
      </c>
      <c r="C102" s="2">
        <f>IFERROR(__xludf.DUMMYFUNCTION("""COMPUTED_VALUE"""),8.0)</f>
        <v>8</v>
      </c>
      <c r="D102" s="2">
        <f>IFERROR(__xludf.DUMMYFUNCTION("""COMPUTED_VALUE"""),862.82)</f>
        <v>862.82</v>
      </c>
    </row>
    <row r="103">
      <c r="A103" s="2" t="str">
        <f>IFERROR(__xludf.DUMMYFUNCTION("""COMPUTED_VALUE"""),"PR006")</f>
        <v>PR006</v>
      </c>
      <c r="B103" s="2" t="str">
        <f>IFERROR(__xludf.DUMMYFUNCTION("""COMPUTED_VALUE"""),"VD044")</f>
        <v>VD044</v>
      </c>
      <c r="C103" s="2">
        <f>IFERROR(__xludf.DUMMYFUNCTION("""COMPUTED_VALUE"""),16.0)</f>
        <v>16</v>
      </c>
      <c r="D103" s="2">
        <f>IFERROR(__xludf.DUMMYFUNCTION("""COMPUTED_VALUE"""),746.93)</f>
        <v>746.93</v>
      </c>
    </row>
    <row r="104">
      <c r="A104" s="2" t="str">
        <f>IFERROR(__xludf.DUMMYFUNCTION("""COMPUTED_VALUE"""),"PR010")</f>
        <v>PR010</v>
      </c>
      <c r="B104" s="2" t="str">
        <f>IFERROR(__xludf.DUMMYFUNCTION("""COMPUTED_VALUE"""),"VD049")</f>
        <v>VD049</v>
      </c>
      <c r="C104" s="2">
        <f>IFERROR(__xludf.DUMMYFUNCTION("""COMPUTED_VALUE"""),20.0)</f>
        <v>20</v>
      </c>
      <c r="D104" s="2">
        <f>IFERROR(__xludf.DUMMYFUNCTION("""COMPUTED_VALUE"""),1077.6)</f>
        <v>1077.6</v>
      </c>
    </row>
    <row r="105">
      <c r="A105" s="2" t="str">
        <f>IFERROR(__xludf.DUMMYFUNCTION("""COMPUTED_VALUE"""),"PR024")</f>
        <v>PR024</v>
      </c>
      <c r="B105" s="2" t="str">
        <f>IFERROR(__xludf.DUMMYFUNCTION("""COMPUTED_VALUE"""),"VD041")</f>
        <v>VD041</v>
      </c>
      <c r="C105" s="2">
        <f>IFERROR(__xludf.DUMMYFUNCTION("""COMPUTED_VALUE"""),27.0)</f>
        <v>27</v>
      </c>
      <c r="D105" s="2">
        <f>IFERROR(__xludf.DUMMYFUNCTION("""COMPUTED_VALUE"""),8350.59)</f>
        <v>8350.59</v>
      </c>
    </row>
    <row r="106">
      <c r="A106" s="2" t="str">
        <f>IFERROR(__xludf.DUMMYFUNCTION("""COMPUTED_VALUE"""),"PR023")</f>
        <v>PR023</v>
      </c>
      <c r="B106" s="2" t="str">
        <f>IFERROR(__xludf.DUMMYFUNCTION("""COMPUTED_VALUE"""),"VD038")</f>
        <v>VD038</v>
      </c>
      <c r="C106" s="2">
        <f>IFERROR(__xludf.DUMMYFUNCTION("""COMPUTED_VALUE"""),30.0)</f>
        <v>30</v>
      </c>
      <c r="D106" s="2">
        <f>IFERROR(__xludf.DUMMYFUNCTION("""COMPUTED_VALUE"""),8846.46)</f>
        <v>8846.46</v>
      </c>
    </row>
    <row r="107">
      <c r="A107" s="2" t="str">
        <f>IFERROR(__xludf.DUMMYFUNCTION("""COMPUTED_VALUE"""),"PR022")</f>
        <v>PR022</v>
      </c>
      <c r="B107" s="2" t="str">
        <f>IFERROR(__xludf.DUMMYFUNCTION("""COMPUTED_VALUE"""),"VD044")</f>
        <v>VD044</v>
      </c>
      <c r="C107" s="2">
        <f>IFERROR(__xludf.DUMMYFUNCTION("""COMPUTED_VALUE"""),12.0)</f>
        <v>12</v>
      </c>
      <c r="D107" s="2">
        <f>IFERROR(__xludf.DUMMYFUNCTION("""COMPUTED_VALUE"""),4032.0)</f>
        <v>4032</v>
      </c>
    </row>
    <row r="108">
      <c r="A108" s="2" t="str">
        <f>IFERROR(__xludf.DUMMYFUNCTION("""COMPUTED_VALUE"""),"PR053")</f>
        <v>PR053</v>
      </c>
      <c r="B108" s="2" t="str">
        <f>IFERROR(__xludf.DUMMYFUNCTION("""COMPUTED_VALUE"""),"VD010")</f>
        <v>VD010</v>
      </c>
      <c r="C108" s="2">
        <f>IFERROR(__xludf.DUMMYFUNCTION("""COMPUTED_VALUE"""),14.0)</f>
        <v>14</v>
      </c>
      <c r="D108" s="2">
        <f>IFERROR(__xludf.DUMMYFUNCTION("""COMPUTED_VALUE"""),810.38)</f>
        <v>810.38</v>
      </c>
    </row>
    <row r="109">
      <c r="A109" s="2" t="str">
        <f>IFERROR(__xludf.DUMMYFUNCTION("""COMPUTED_VALUE"""),"PR054")</f>
        <v>PR054</v>
      </c>
      <c r="B109" s="2" t="str">
        <f>IFERROR(__xludf.DUMMYFUNCTION("""COMPUTED_VALUE"""),"VD034")</f>
        <v>VD034</v>
      </c>
      <c r="C109" s="2">
        <f>IFERROR(__xludf.DUMMYFUNCTION("""COMPUTED_VALUE"""),21.0)</f>
        <v>21</v>
      </c>
      <c r="D109" s="2">
        <f>IFERROR(__xludf.DUMMYFUNCTION("""COMPUTED_VALUE"""),1236.52)</f>
        <v>1236.52</v>
      </c>
    </row>
    <row r="110">
      <c r="A110" s="2" t="str">
        <f>IFERROR(__xludf.DUMMYFUNCTION("""COMPUTED_VALUE"""),"PR058")</f>
        <v>PR058</v>
      </c>
      <c r="B110" s="2" t="str">
        <f>IFERROR(__xludf.DUMMYFUNCTION("""COMPUTED_VALUE"""),"VD044")</f>
        <v>VD044</v>
      </c>
      <c r="C110" s="2">
        <f>IFERROR(__xludf.DUMMYFUNCTION("""COMPUTED_VALUE"""),15.0)</f>
        <v>15</v>
      </c>
      <c r="D110" s="2">
        <f>IFERROR(__xludf.DUMMYFUNCTION("""COMPUTED_VALUE"""),3240.0)</f>
        <v>3240</v>
      </c>
    </row>
    <row r="111">
      <c r="A111" s="2" t="str">
        <f>IFERROR(__xludf.DUMMYFUNCTION("""COMPUTED_VALUE"""),"PR040")</f>
        <v>PR040</v>
      </c>
      <c r="B111" s="2" t="str">
        <f>IFERROR(__xludf.DUMMYFUNCTION("""COMPUTED_VALUE"""),"VD037")</f>
        <v>VD037</v>
      </c>
      <c r="C111" s="2">
        <f>IFERROR(__xludf.DUMMYFUNCTION("""COMPUTED_VALUE"""),12.0)</f>
        <v>12</v>
      </c>
      <c r="D111" s="2">
        <f>IFERROR(__xludf.DUMMYFUNCTION("""COMPUTED_VALUE"""),974.4)</f>
        <v>974.4</v>
      </c>
    </row>
    <row r="112">
      <c r="A112" s="2" t="str">
        <f>IFERROR(__xludf.DUMMYFUNCTION("""COMPUTED_VALUE"""),"PR031")</f>
        <v>PR031</v>
      </c>
      <c r="B112" s="2" t="str">
        <f>IFERROR(__xludf.DUMMYFUNCTION("""COMPUTED_VALUE"""),"VD037")</f>
        <v>VD037</v>
      </c>
      <c r="C112" s="2">
        <f>IFERROR(__xludf.DUMMYFUNCTION("""COMPUTED_VALUE"""),24.0)</f>
        <v>24</v>
      </c>
      <c r="D112" s="2">
        <f>IFERROR(__xludf.DUMMYFUNCTION("""COMPUTED_VALUE"""),6997.2)</f>
        <v>6997.2</v>
      </c>
    </row>
    <row r="113">
      <c r="A113" s="2" t="str">
        <f>IFERROR(__xludf.DUMMYFUNCTION("""COMPUTED_VALUE"""),"PR009")</f>
        <v>PR009</v>
      </c>
      <c r="B113" s="2" t="str">
        <f>IFERROR(__xludf.DUMMYFUNCTION("""COMPUTED_VALUE"""),"VD011")</f>
        <v>VD011</v>
      </c>
      <c r="C113" s="2">
        <f>IFERROR(__xludf.DUMMYFUNCTION("""COMPUTED_VALUE"""),21.0)</f>
        <v>21</v>
      </c>
      <c r="D113" s="2">
        <f>IFERROR(__xludf.DUMMYFUNCTION("""COMPUTED_VALUE"""),2185.01)</f>
        <v>2185.01</v>
      </c>
    </row>
    <row r="114">
      <c r="A114" s="2" t="str">
        <f>IFERROR(__xludf.DUMMYFUNCTION("""COMPUTED_VALUE"""),"PR029")</f>
        <v>PR029</v>
      </c>
      <c r="B114" s="2" t="str">
        <f>IFERROR(__xludf.DUMMYFUNCTION("""COMPUTED_VALUE"""),"VD047")</f>
        <v>VD047</v>
      </c>
      <c r="C114" s="2">
        <f>IFERROR(__xludf.DUMMYFUNCTION("""COMPUTED_VALUE"""),24.0)</f>
        <v>24</v>
      </c>
      <c r="D114" s="2">
        <f>IFERROR(__xludf.DUMMYFUNCTION("""COMPUTED_VALUE"""),6793.2)</f>
        <v>6793.2</v>
      </c>
    </row>
    <row r="115">
      <c r="A115" s="2" t="str">
        <f>IFERROR(__xludf.DUMMYFUNCTION("""COMPUTED_VALUE"""),"PR017")</f>
        <v>PR017</v>
      </c>
      <c r="B115" s="2" t="str">
        <f>IFERROR(__xludf.DUMMYFUNCTION("""COMPUTED_VALUE"""),"VD042")</f>
        <v>VD042</v>
      </c>
      <c r="C115" s="2">
        <f>IFERROR(__xludf.DUMMYFUNCTION("""COMPUTED_VALUE"""),27.0)</f>
        <v>27</v>
      </c>
      <c r="D115" s="2">
        <f>IFERROR(__xludf.DUMMYFUNCTION("""COMPUTED_VALUE"""),912.25)</f>
        <v>912.25</v>
      </c>
    </row>
    <row r="116">
      <c r="A116" s="2" t="str">
        <f>IFERROR(__xludf.DUMMYFUNCTION("""COMPUTED_VALUE"""),"PR003")</f>
        <v>PR003</v>
      </c>
      <c r="B116" s="2" t="str">
        <f>IFERROR(__xludf.DUMMYFUNCTION("""COMPUTED_VALUE"""),"VD032")</f>
        <v>VD032</v>
      </c>
      <c r="C116" s="2">
        <f>IFERROR(__xludf.DUMMYFUNCTION("""COMPUTED_VALUE"""),24.0)</f>
        <v>24</v>
      </c>
      <c r="D116" s="2">
        <f>IFERROR(__xludf.DUMMYFUNCTION("""COMPUTED_VALUE"""),2041.92)</f>
        <v>2041.92</v>
      </c>
    </row>
    <row r="117">
      <c r="A117" s="2" t="str">
        <f>IFERROR(__xludf.DUMMYFUNCTION("""COMPUTED_VALUE"""),"PR041")</f>
        <v>PR041</v>
      </c>
      <c r="B117" s="2" t="str">
        <f>IFERROR(__xludf.DUMMYFUNCTION("""COMPUTED_VALUE"""),"VD023")</f>
        <v>VD023</v>
      </c>
      <c r="C117" s="2">
        <f>IFERROR(__xludf.DUMMYFUNCTION("""COMPUTED_VALUE"""),18.0)</f>
        <v>18</v>
      </c>
      <c r="D117" s="2">
        <f>IFERROR(__xludf.DUMMYFUNCTION("""COMPUTED_VALUE"""),1136.43)</f>
        <v>1136.43</v>
      </c>
    </row>
    <row r="118">
      <c r="A118" s="2" t="str">
        <f>IFERROR(__xludf.DUMMYFUNCTION("""COMPUTED_VALUE"""),"PR029")</f>
        <v>PR029</v>
      </c>
      <c r="B118" s="2" t="str">
        <f>IFERROR(__xludf.DUMMYFUNCTION("""COMPUTED_VALUE"""),"VD036")</f>
        <v>VD036</v>
      </c>
      <c r="C118" s="2">
        <f>IFERROR(__xludf.DUMMYFUNCTION("""COMPUTED_VALUE"""),24.0)</f>
        <v>24</v>
      </c>
      <c r="D118" s="2">
        <f>IFERROR(__xludf.DUMMYFUNCTION("""COMPUTED_VALUE"""),6976.8)</f>
        <v>6976.8</v>
      </c>
    </row>
    <row r="119">
      <c r="A119" s="2" t="str">
        <f>IFERROR(__xludf.DUMMYFUNCTION("""COMPUTED_VALUE"""),"PR054")</f>
        <v>PR054</v>
      </c>
      <c r="B119" s="2" t="str">
        <f>IFERROR(__xludf.DUMMYFUNCTION("""COMPUTED_VALUE"""),"VD034")</f>
        <v>VD034</v>
      </c>
      <c r="C119" s="2">
        <f>IFERROR(__xludf.DUMMYFUNCTION("""COMPUTED_VALUE"""),18.0)</f>
        <v>18</v>
      </c>
      <c r="D119" s="2">
        <f>IFERROR(__xludf.DUMMYFUNCTION("""COMPUTED_VALUE"""),1059.88)</f>
        <v>1059.88</v>
      </c>
    </row>
    <row r="120">
      <c r="A120" s="2" t="str">
        <f>IFERROR(__xludf.DUMMYFUNCTION("""COMPUTED_VALUE"""),"PR047")</f>
        <v>PR047</v>
      </c>
      <c r="B120" s="2" t="str">
        <f>IFERROR(__xludf.DUMMYFUNCTION("""COMPUTED_VALUE"""),"VD034")</f>
        <v>VD034</v>
      </c>
      <c r="C120" s="2">
        <f>IFERROR(__xludf.DUMMYFUNCTION("""COMPUTED_VALUE"""),21.0)</f>
        <v>21</v>
      </c>
      <c r="D120" s="2">
        <f>IFERROR(__xludf.DUMMYFUNCTION("""COMPUTED_VALUE"""),7122.84)</f>
        <v>7122.84</v>
      </c>
    </row>
    <row r="121">
      <c r="A121" s="2" t="str">
        <f>IFERROR(__xludf.DUMMYFUNCTION("""COMPUTED_VALUE"""),"PR023")</f>
        <v>PR023</v>
      </c>
      <c r="B121" s="2" t="str">
        <f>IFERROR(__xludf.DUMMYFUNCTION("""COMPUTED_VALUE"""),"VD018")</f>
        <v>VD018</v>
      </c>
      <c r="C121" s="2">
        <f>IFERROR(__xludf.DUMMYFUNCTION("""COMPUTED_VALUE"""),12.0)</f>
        <v>12</v>
      </c>
      <c r="D121" s="2">
        <f>IFERROR(__xludf.DUMMYFUNCTION("""COMPUTED_VALUE"""),3598.56)</f>
        <v>3598.56</v>
      </c>
    </row>
    <row r="122">
      <c r="A122" s="2" t="str">
        <f>IFERROR(__xludf.DUMMYFUNCTION("""COMPUTED_VALUE"""),"PR017")</f>
        <v>PR017</v>
      </c>
      <c r="B122" s="2" t="str">
        <f>IFERROR(__xludf.DUMMYFUNCTION("""COMPUTED_VALUE"""),"VD043")</f>
        <v>VD043</v>
      </c>
      <c r="C122" s="2">
        <f>IFERROR(__xludf.DUMMYFUNCTION("""COMPUTED_VALUE"""),18.0)</f>
        <v>18</v>
      </c>
      <c r="D122" s="2">
        <f>IFERROR(__xludf.DUMMYFUNCTION("""COMPUTED_VALUE"""),592.02)</f>
        <v>592.02</v>
      </c>
    </row>
    <row r="123">
      <c r="A123" s="2" t="str">
        <f>IFERROR(__xludf.DUMMYFUNCTION("""COMPUTED_VALUE"""),"PR058")</f>
        <v>PR058</v>
      </c>
      <c r="B123" s="2" t="str">
        <f>IFERROR(__xludf.DUMMYFUNCTION("""COMPUTED_VALUE"""),"VD021")</f>
        <v>VD021</v>
      </c>
      <c r="C123" s="2">
        <f>IFERROR(__xludf.DUMMYFUNCTION("""COMPUTED_VALUE"""),10.0)</f>
        <v>10</v>
      </c>
      <c r="D123" s="2">
        <f>IFERROR(__xludf.DUMMYFUNCTION("""COMPUTED_VALUE"""),2070.0)</f>
        <v>2070</v>
      </c>
    </row>
    <row r="124">
      <c r="A124" s="2" t="str">
        <f>IFERROR(__xludf.DUMMYFUNCTION("""COMPUTED_VALUE"""),"PR012")</f>
        <v>PR012</v>
      </c>
      <c r="B124" s="2" t="str">
        <f>IFERROR(__xludf.DUMMYFUNCTION("""COMPUTED_VALUE"""),"VD031")</f>
        <v>VD031</v>
      </c>
      <c r="C124" s="2">
        <f>IFERROR(__xludf.DUMMYFUNCTION("""COMPUTED_VALUE"""),9.0)</f>
        <v>9</v>
      </c>
      <c r="D124" s="2">
        <f>IFERROR(__xludf.DUMMYFUNCTION("""COMPUTED_VALUE"""),523.72)</f>
        <v>523.72</v>
      </c>
    </row>
    <row r="125">
      <c r="A125" s="2" t="str">
        <f>IFERROR(__xludf.DUMMYFUNCTION("""COMPUTED_VALUE"""),"PR010")</f>
        <v>PR010</v>
      </c>
      <c r="B125" s="2" t="str">
        <f>IFERROR(__xludf.DUMMYFUNCTION("""COMPUTED_VALUE"""),"VD020")</f>
        <v>VD020</v>
      </c>
      <c r="C125" s="2">
        <f>IFERROR(__xludf.DUMMYFUNCTION("""COMPUTED_VALUE"""),27.0)</f>
        <v>27</v>
      </c>
      <c r="D125" s="2">
        <f>IFERROR(__xludf.DUMMYFUNCTION("""COMPUTED_VALUE"""),1357.78)</f>
        <v>1357.78</v>
      </c>
    </row>
    <row r="126">
      <c r="A126" s="2" t="str">
        <f>IFERROR(__xludf.DUMMYFUNCTION("""COMPUTED_VALUE"""),"PR038")</f>
        <v>PR038</v>
      </c>
      <c r="B126" s="2" t="str">
        <f>IFERROR(__xludf.DUMMYFUNCTION("""COMPUTED_VALUE"""),"VD024")</f>
        <v>VD024</v>
      </c>
      <c r="C126" s="2">
        <f>IFERROR(__xludf.DUMMYFUNCTION("""COMPUTED_VALUE"""),24.0)</f>
        <v>24</v>
      </c>
      <c r="D126" s="2">
        <f>IFERROR(__xludf.DUMMYFUNCTION("""COMPUTED_VALUE"""),4081.22)</f>
        <v>4081.22</v>
      </c>
    </row>
    <row r="127">
      <c r="A127" s="2" t="str">
        <f>IFERROR(__xludf.DUMMYFUNCTION("""COMPUTED_VALUE"""),"PR024")</f>
        <v>PR024</v>
      </c>
      <c r="B127" s="2" t="str">
        <f>IFERROR(__xludf.DUMMYFUNCTION("""COMPUTED_VALUE"""),"VD038")</f>
        <v>VD038</v>
      </c>
      <c r="C127" s="2">
        <f>IFERROR(__xludf.DUMMYFUNCTION("""COMPUTED_VALUE"""),18.0)</f>
        <v>18</v>
      </c>
      <c r="D127" s="2">
        <f>IFERROR(__xludf.DUMMYFUNCTION("""COMPUTED_VALUE"""),5567.06)</f>
        <v>5567.06</v>
      </c>
    </row>
    <row r="128">
      <c r="A128" s="2" t="str">
        <f>IFERROR(__xludf.DUMMYFUNCTION("""COMPUTED_VALUE"""),"PR029")</f>
        <v>PR029</v>
      </c>
      <c r="B128" s="2" t="str">
        <f>IFERROR(__xludf.DUMMYFUNCTION("""COMPUTED_VALUE"""),"VD048")</f>
        <v>VD048</v>
      </c>
      <c r="C128" s="2">
        <f>IFERROR(__xludf.DUMMYFUNCTION("""COMPUTED_VALUE"""),8.0)</f>
        <v>8</v>
      </c>
      <c r="D128" s="2">
        <f>IFERROR(__xludf.DUMMYFUNCTION("""COMPUTED_VALUE"""),2325.6)</f>
        <v>2325.6</v>
      </c>
    </row>
    <row r="129">
      <c r="A129" s="2" t="str">
        <f>IFERROR(__xludf.DUMMYFUNCTION("""COMPUTED_VALUE"""),"PR040")</f>
        <v>PR040</v>
      </c>
      <c r="B129" s="2" t="str">
        <f>IFERROR(__xludf.DUMMYFUNCTION("""COMPUTED_VALUE"""),"VD022")</f>
        <v>VD022</v>
      </c>
      <c r="C129" s="2">
        <f>IFERROR(__xludf.DUMMYFUNCTION("""COMPUTED_VALUE"""),18.0)</f>
        <v>18</v>
      </c>
      <c r="D129" s="2">
        <f>IFERROR(__xludf.DUMMYFUNCTION("""COMPUTED_VALUE"""),1423.8)</f>
        <v>1423.8</v>
      </c>
    </row>
    <row r="130">
      <c r="A130" s="2" t="str">
        <f>IFERROR(__xludf.DUMMYFUNCTION("""COMPUTED_VALUE"""),"PR045")</f>
        <v>PR045</v>
      </c>
      <c r="B130" s="2" t="str">
        <f>IFERROR(__xludf.DUMMYFUNCTION("""COMPUTED_VALUE"""),"VD023")</f>
        <v>VD023</v>
      </c>
      <c r="C130" s="2">
        <f>IFERROR(__xludf.DUMMYFUNCTION("""COMPUTED_VALUE"""),16.0)</f>
        <v>16</v>
      </c>
      <c r="D130" s="2">
        <f>IFERROR(__xludf.DUMMYFUNCTION("""COMPUTED_VALUE"""),1345.6)</f>
        <v>1345.6</v>
      </c>
    </row>
    <row r="131">
      <c r="A131" s="2" t="str">
        <f>IFERROR(__xludf.DUMMYFUNCTION("""COMPUTED_VALUE"""),"PR059")</f>
        <v>PR059</v>
      </c>
      <c r="B131" s="2" t="str">
        <f>IFERROR(__xludf.DUMMYFUNCTION("""COMPUTED_VALUE"""),"VD034")</f>
        <v>VD034</v>
      </c>
      <c r="C131" s="2">
        <f>IFERROR(__xludf.DUMMYFUNCTION("""COMPUTED_VALUE"""),18.0)</f>
        <v>18</v>
      </c>
      <c r="D131" s="2">
        <f>IFERROR(__xludf.DUMMYFUNCTION("""COMPUTED_VALUE"""),3888.0)</f>
        <v>3888</v>
      </c>
    </row>
    <row r="132">
      <c r="A132" s="2" t="str">
        <f>IFERROR(__xludf.DUMMYFUNCTION("""COMPUTED_VALUE"""),"PR031")</f>
        <v>PR031</v>
      </c>
      <c r="B132" s="2" t="str">
        <f>IFERROR(__xludf.DUMMYFUNCTION("""COMPUTED_VALUE"""),"VD039")</f>
        <v>VD039</v>
      </c>
      <c r="C132" s="2">
        <f>IFERROR(__xludf.DUMMYFUNCTION("""COMPUTED_VALUE"""),9.0)</f>
        <v>9</v>
      </c>
      <c r="D132" s="2">
        <f>IFERROR(__xludf.DUMMYFUNCTION("""COMPUTED_VALUE"""),2557.8)</f>
        <v>2557.8</v>
      </c>
    </row>
    <row r="133">
      <c r="A133" s="2" t="str">
        <f>IFERROR(__xludf.DUMMYFUNCTION("""COMPUTED_VALUE"""),"PR059")</f>
        <v>PR059</v>
      </c>
      <c r="B133" s="2" t="str">
        <f>IFERROR(__xludf.DUMMYFUNCTION("""COMPUTED_VALUE"""),"VD036")</f>
        <v>VD036</v>
      </c>
      <c r="C133" s="2">
        <f>IFERROR(__xludf.DUMMYFUNCTION("""COMPUTED_VALUE"""),15.0)</f>
        <v>15</v>
      </c>
      <c r="D133" s="2">
        <f>IFERROR(__xludf.DUMMYFUNCTION("""COMPUTED_VALUE"""),2997.0)</f>
        <v>2997</v>
      </c>
    </row>
    <row r="134">
      <c r="A134" s="2" t="str">
        <f>IFERROR(__xludf.DUMMYFUNCTION("""COMPUTED_VALUE"""),"PR058")</f>
        <v>PR058</v>
      </c>
      <c r="B134" s="2" t="str">
        <f>IFERROR(__xludf.DUMMYFUNCTION("""COMPUTED_VALUE"""),"VD027")</f>
        <v>VD027</v>
      </c>
      <c r="C134" s="2">
        <f>IFERROR(__xludf.DUMMYFUNCTION("""COMPUTED_VALUE"""),15.0)</f>
        <v>15</v>
      </c>
      <c r="D134" s="2">
        <f>IFERROR(__xludf.DUMMYFUNCTION("""COMPUTED_VALUE"""),3186.0)</f>
        <v>3186</v>
      </c>
    </row>
    <row r="135">
      <c r="A135" s="2" t="str">
        <f>IFERROR(__xludf.DUMMYFUNCTION("""COMPUTED_VALUE"""),"PR005")</f>
        <v>PR005</v>
      </c>
      <c r="B135" s="2" t="str">
        <f>IFERROR(__xludf.DUMMYFUNCTION("""COMPUTED_VALUE"""),"VD036")</f>
        <v>VD036</v>
      </c>
      <c r="C135" s="2">
        <f>IFERROR(__xludf.DUMMYFUNCTION("""COMPUTED_VALUE"""),27.0)</f>
        <v>27</v>
      </c>
      <c r="D135" s="2">
        <f>IFERROR(__xludf.DUMMYFUNCTION("""COMPUTED_VALUE"""),7929.55)</f>
        <v>7929.55</v>
      </c>
    </row>
    <row r="136">
      <c r="A136" s="2" t="str">
        <f>IFERROR(__xludf.DUMMYFUNCTION("""COMPUTED_VALUE"""),"PR017")</f>
        <v>PR017</v>
      </c>
      <c r="B136" s="2" t="str">
        <f>IFERROR(__xludf.DUMMYFUNCTION("""COMPUTED_VALUE"""),"VD022")</f>
        <v>VD022</v>
      </c>
      <c r="C136" s="2">
        <f>IFERROR(__xludf.DUMMYFUNCTION("""COMPUTED_VALUE"""),18.0)</f>
        <v>18</v>
      </c>
      <c r="D136" s="2">
        <f>IFERROR(__xludf.DUMMYFUNCTION("""COMPUTED_VALUE"""),592.02)</f>
        <v>592.02</v>
      </c>
    </row>
    <row r="137">
      <c r="A137" s="2" t="str">
        <f>IFERROR(__xludf.DUMMYFUNCTION("""COMPUTED_VALUE"""),"PR005")</f>
        <v>PR005</v>
      </c>
      <c r="B137" s="2" t="str">
        <f>IFERROR(__xludf.DUMMYFUNCTION("""COMPUTED_VALUE"""),"VD047")</f>
        <v>VD047</v>
      </c>
      <c r="C137" s="2">
        <f>IFERROR(__xludf.DUMMYFUNCTION("""COMPUTED_VALUE"""),15.0)</f>
        <v>15</v>
      </c>
      <c r="D137" s="2">
        <f>IFERROR(__xludf.DUMMYFUNCTION("""COMPUTED_VALUE"""),4561.25)</f>
        <v>4561.25</v>
      </c>
    </row>
    <row r="138">
      <c r="A138" s="2" t="str">
        <f>IFERROR(__xludf.DUMMYFUNCTION("""COMPUTED_VALUE"""),"PR015")</f>
        <v>PR015</v>
      </c>
      <c r="B138" s="2" t="str">
        <f>IFERROR(__xludf.DUMMYFUNCTION("""COMPUTED_VALUE"""),"VD022")</f>
        <v>VD022</v>
      </c>
      <c r="C138" s="2">
        <f>IFERROR(__xludf.DUMMYFUNCTION("""COMPUTED_VALUE"""),6.0)</f>
        <v>6</v>
      </c>
      <c r="D138" s="2">
        <f>IFERROR(__xludf.DUMMYFUNCTION("""COMPUTED_VALUE"""),306.0)</f>
        <v>306</v>
      </c>
    </row>
    <row r="139">
      <c r="A139" s="2" t="str">
        <f>IFERROR(__xludf.DUMMYFUNCTION("""COMPUTED_VALUE"""),"PR010")</f>
        <v>PR010</v>
      </c>
      <c r="B139" s="2" t="str">
        <f>IFERROR(__xludf.DUMMYFUNCTION("""COMPUTED_VALUE"""),"VD013")</f>
        <v>VD013</v>
      </c>
      <c r="C139" s="2">
        <f>IFERROR(__xludf.DUMMYFUNCTION("""COMPUTED_VALUE"""),8.0)</f>
        <v>8</v>
      </c>
      <c r="D139" s="2">
        <f>IFERROR(__xludf.DUMMYFUNCTION("""COMPUTED_VALUE"""),423.86)</f>
        <v>423.86</v>
      </c>
    </row>
    <row r="140">
      <c r="A140" s="2" t="str">
        <f>IFERROR(__xludf.DUMMYFUNCTION("""COMPUTED_VALUE"""),"PR057")</f>
        <v>PR057</v>
      </c>
      <c r="B140" s="2" t="str">
        <f>IFERROR(__xludf.DUMMYFUNCTION("""COMPUTED_VALUE"""),"VD023")</f>
        <v>VD023</v>
      </c>
      <c r="C140" s="2">
        <f>IFERROR(__xludf.DUMMYFUNCTION("""COMPUTED_VALUE"""),27.0)</f>
        <v>27</v>
      </c>
      <c r="D140" s="2">
        <f>IFERROR(__xludf.DUMMYFUNCTION("""COMPUTED_VALUE"""),2670.03)</f>
        <v>2670.03</v>
      </c>
    </row>
    <row r="141">
      <c r="A141" s="2" t="str">
        <f>IFERROR(__xludf.DUMMYFUNCTION("""COMPUTED_VALUE"""),"PR024")</f>
        <v>PR024</v>
      </c>
      <c r="B141" s="2" t="str">
        <f>IFERROR(__xludf.DUMMYFUNCTION("""COMPUTED_VALUE"""),"VD048")</f>
        <v>VD048</v>
      </c>
      <c r="C141" s="2">
        <f>IFERROR(__xludf.DUMMYFUNCTION("""COMPUTED_VALUE"""),16.0)</f>
        <v>16</v>
      </c>
      <c r="D141" s="2">
        <f>IFERROR(__xludf.DUMMYFUNCTION("""COMPUTED_VALUE"""),4823.74)</f>
        <v>4823.74</v>
      </c>
    </row>
    <row r="142">
      <c r="A142" s="2" t="str">
        <f>IFERROR(__xludf.DUMMYFUNCTION("""COMPUTED_VALUE"""),"PR050")</f>
        <v>PR050</v>
      </c>
      <c r="B142" s="2" t="str">
        <f>IFERROR(__xludf.DUMMYFUNCTION("""COMPUTED_VALUE"""),"VD019")</f>
        <v>VD019</v>
      </c>
      <c r="C142" s="2">
        <f>IFERROR(__xludf.DUMMYFUNCTION("""COMPUTED_VALUE"""),18.0)</f>
        <v>18</v>
      </c>
      <c r="D142" s="2">
        <f>IFERROR(__xludf.DUMMYFUNCTION("""COMPUTED_VALUE"""),681.03)</f>
        <v>681.03</v>
      </c>
    </row>
    <row r="143">
      <c r="A143" s="2" t="str">
        <f>IFERROR(__xludf.DUMMYFUNCTION("""COMPUTED_VALUE"""),"PR012")</f>
        <v>PR012</v>
      </c>
      <c r="B143" s="2" t="str">
        <f>IFERROR(__xludf.DUMMYFUNCTION("""COMPUTED_VALUE"""),"VD028")</f>
        <v>VD028</v>
      </c>
      <c r="C143" s="2">
        <f>IFERROR(__xludf.DUMMYFUNCTION("""COMPUTED_VALUE"""),12.0)</f>
        <v>12</v>
      </c>
      <c r="D143" s="2">
        <f>IFERROR(__xludf.DUMMYFUNCTION("""COMPUTED_VALUE"""),692.42)</f>
        <v>692.42</v>
      </c>
    </row>
    <row r="144">
      <c r="A144" s="2" t="str">
        <f>IFERROR(__xludf.DUMMYFUNCTION("""COMPUTED_VALUE"""),"PR010")</f>
        <v>PR010</v>
      </c>
      <c r="B144" s="2" t="str">
        <f>IFERROR(__xludf.DUMMYFUNCTION("""COMPUTED_VALUE"""),"VD011")</f>
        <v>VD011</v>
      </c>
      <c r="C144" s="2">
        <f>IFERROR(__xludf.DUMMYFUNCTION("""COMPUTED_VALUE"""),12.0)</f>
        <v>12</v>
      </c>
      <c r="D144" s="2">
        <f>IFERROR(__xludf.DUMMYFUNCTION("""COMPUTED_VALUE"""),646.56)</f>
        <v>646.56</v>
      </c>
    </row>
    <row r="145">
      <c r="A145" s="2" t="str">
        <f>IFERROR(__xludf.DUMMYFUNCTION("""COMPUTED_VALUE"""),"PR054")</f>
        <v>PR054</v>
      </c>
      <c r="B145" s="2" t="str">
        <f>IFERROR(__xludf.DUMMYFUNCTION("""COMPUTED_VALUE"""),"VD033")</f>
        <v>VD033</v>
      </c>
      <c r="C145" s="2">
        <f>IFERROR(__xludf.DUMMYFUNCTION("""COMPUTED_VALUE"""),20.0)</f>
        <v>20</v>
      </c>
      <c r="D145" s="2">
        <f>IFERROR(__xludf.DUMMYFUNCTION("""COMPUTED_VALUE"""),1147.7)</f>
        <v>1147.7</v>
      </c>
    </row>
    <row r="146">
      <c r="A146" s="2" t="str">
        <f>IFERROR(__xludf.DUMMYFUNCTION("""COMPUTED_VALUE"""),"PR007")</f>
        <v>PR007</v>
      </c>
      <c r="B146" s="2" t="str">
        <f>IFERROR(__xludf.DUMMYFUNCTION("""COMPUTED_VALUE"""),"VD031")</f>
        <v>VD031</v>
      </c>
      <c r="C146" s="2">
        <f>IFERROR(__xludf.DUMMYFUNCTION("""COMPUTED_VALUE"""),20.0)</f>
        <v>20</v>
      </c>
      <c r="D146" s="2">
        <f>IFERROR(__xludf.DUMMYFUNCTION("""COMPUTED_VALUE"""),1924.16)</f>
        <v>1924.16</v>
      </c>
    </row>
    <row r="147">
      <c r="A147" s="2" t="str">
        <f>IFERROR(__xludf.DUMMYFUNCTION("""COMPUTED_VALUE"""),"PR057")</f>
        <v>PR057</v>
      </c>
      <c r="B147" s="2" t="str">
        <f>IFERROR(__xludf.DUMMYFUNCTION("""COMPUTED_VALUE"""),"VD031")</f>
        <v>VD031</v>
      </c>
      <c r="C147" s="2">
        <f>IFERROR(__xludf.DUMMYFUNCTION("""COMPUTED_VALUE"""),30.0)</f>
        <v>30</v>
      </c>
      <c r="D147" s="2">
        <f>IFERROR(__xludf.DUMMYFUNCTION("""COMPUTED_VALUE"""),3020.64)</f>
        <v>3020.64</v>
      </c>
    </row>
    <row r="148">
      <c r="A148" s="2" t="str">
        <f>IFERROR(__xludf.DUMMYFUNCTION("""COMPUTED_VALUE"""),"PR020")</f>
        <v>PR020</v>
      </c>
      <c r="B148" s="2" t="str">
        <f>IFERROR(__xludf.DUMMYFUNCTION("""COMPUTED_VALUE"""),"VD040")</f>
        <v>VD040</v>
      </c>
      <c r="C148" s="2">
        <f>IFERROR(__xludf.DUMMYFUNCTION("""COMPUTED_VALUE"""),18.0)</f>
        <v>18</v>
      </c>
      <c r="D148" s="2">
        <f>IFERROR(__xludf.DUMMYFUNCTION("""COMPUTED_VALUE"""),5938.02)</f>
        <v>5938.02</v>
      </c>
    </row>
    <row r="149">
      <c r="A149" s="2" t="str">
        <f>IFERROR(__xludf.DUMMYFUNCTION("""COMPUTED_VALUE"""),"PR053")</f>
        <v>PR053</v>
      </c>
      <c r="B149" s="2" t="str">
        <f>IFERROR(__xludf.DUMMYFUNCTION("""COMPUTED_VALUE"""),"VD019")</f>
        <v>VD019</v>
      </c>
      <c r="C149" s="2">
        <f>IFERROR(__xludf.DUMMYFUNCTION("""COMPUTED_VALUE"""),12.0)</f>
        <v>12</v>
      </c>
      <c r="D149" s="2">
        <f>IFERROR(__xludf.DUMMYFUNCTION("""COMPUTED_VALUE"""),670.66)</f>
        <v>670.66</v>
      </c>
    </row>
    <row r="150">
      <c r="A150" s="2" t="str">
        <f>IFERROR(__xludf.DUMMYFUNCTION("""COMPUTED_VALUE"""),"PR049")</f>
        <v>PR049</v>
      </c>
      <c r="B150" s="2" t="str">
        <f>IFERROR(__xludf.DUMMYFUNCTION("""COMPUTED_VALUE"""),"VD016")</f>
        <v>VD016</v>
      </c>
      <c r="C150" s="2">
        <f>IFERROR(__xludf.DUMMYFUNCTION("""COMPUTED_VALUE"""),21.0)</f>
        <v>21</v>
      </c>
      <c r="D150" s="2">
        <f>IFERROR(__xludf.DUMMYFUNCTION("""COMPUTED_VALUE"""),766.9)</f>
        <v>766.9</v>
      </c>
    </row>
    <row r="151">
      <c r="A151" s="2" t="str">
        <f>IFERROR(__xludf.DUMMYFUNCTION("""COMPUTED_VALUE"""),"PR026")</f>
        <v>PR026</v>
      </c>
      <c r="B151" s="2" t="str">
        <f>IFERROR(__xludf.DUMMYFUNCTION("""COMPUTED_VALUE"""),"VD018")</f>
        <v>VD018</v>
      </c>
      <c r="C151" s="2">
        <f>IFERROR(__xludf.DUMMYFUNCTION("""COMPUTED_VALUE"""),9.0)</f>
        <v>9</v>
      </c>
      <c r="D151" s="2">
        <f>IFERROR(__xludf.DUMMYFUNCTION("""COMPUTED_VALUE"""),3589.97)</f>
        <v>3589.97</v>
      </c>
    </row>
    <row r="152">
      <c r="A152" s="2" t="str">
        <f>IFERROR(__xludf.DUMMYFUNCTION("""COMPUTED_VALUE"""),"PR055")</f>
        <v>PR055</v>
      </c>
      <c r="B152" s="2" t="str">
        <f>IFERROR(__xludf.DUMMYFUNCTION("""COMPUTED_VALUE"""),"VD045")</f>
        <v>VD045</v>
      </c>
      <c r="C152" s="2">
        <f>IFERROR(__xludf.DUMMYFUNCTION("""COMPUTED_VALUE"""),27.0)</f>
        <v>27</v>
      </c>
      <c r="D152" s="2">
        <f>IFERROR(__xludf.DUMMYFUNCTION("""COMPUTED_VALUE"""),2815.67)</f>
        <v>2815.67</v>
      </c>
    </row>
    <row r="153">
      <c r="A153" s="2" t="str">
        <f>IFERROR(__xludf.DUMMYFUNCTION("""COMPUTED_VALUE"""),"PR016")</f>
        <v>PR016</v>
      </c>
      <c r="B153" s="2" t="str">
        <f>IFERROR(__xludf.DUMMYFUNCTION("""COMPUTED_VALUE"""),"VD041")</f>
        <v>VD041</v>
      </c>
      <c r="C153" s="2">
        <f>IFERROR(__xludf.DUMMYFUNCTION("""COMPUTED_VALUE"""),30.0)</f>
        <v>30</v>
      </c>
      <c r="D153" s="2">
        <f>IFERROR(__xludf.DUMMYFUNCTION("""COMPUTED_VALUE"""),901.32)</f>
        <v>901.32</v>
      </c>
    </row>
    <row r="154">
      <c r="A154" s="2" t="str">
        <f>IFERROR(__xludf.DUMMYFUNCTION("""COMPUTED_VALUE"""),"PR002")</f>
        <v>PR002</v>
      </c>
      <c r="B154" s="2" t="str">
        <f>IFERROR(__xludf.DUMMYFUNCTION("""COMPUTED_VALUE"""),"VD018")</f>
        <v>VD018</v>
      </c>
      <c r="C154" s="2">
        <f>IFERROR(__xludf.DUMMYFUNCTION("""COMPUTED_VALUE"""),18.0)</f>
        <v>18</v>
      </c>
      <c r="D154" s="2">
        <f>IFERROR(__xludf.DUMMYFUNCTION("""COMPUTED_VALUE"""),1421.77)</f>
        <v>1421.77</v>
      </c>
    </row>
    <row r="155">
      <c r="A155" s="2" t="str">
        <f>IFERROR(__xludf.DUMMYFUNCTION("""COMPUTED_VALUE"""),"PR021")</f>
        <v>PR021</v>
      </c>
      <c r="B155" s="2" t="str">
        <f>IFERROR(__xludf.DUMMYFUNCTION("""COMPUTED_VALUE"""),"VD013")</f>
        <v>VD013</v>
      </c>
      <c r="C155" s="2">
        <f>IFERROR(__xludf.DUMMYFUNCTION("""COMPUTED_VALUE"""),20.0)</f>
        <v>20</v>
      </c>
      <c r="D155" s="2">
        <f>IFERROR(__xludf.DUMMYFUNCTION("""COMPUTED_VALUE"""),7209.02)</f>
        <v>7209.02</v>
      </c>
    </row>
    <row r="156">
      <c r="A156" s="2" t="str">
        <f>IFERROR(__xludf.DUMMYFUNCTION("""COMPUTED_VALUE"""),"PR042")</f>
        <v>PR042</v>
      </c>
      <c r="B156" s="2" t="str">
        <f>IFERROR(__xludf.DUMMYFUNCTION("""COMPUTED_VALUE"""),"VD046")</f>
        <v>VD046</v>
      </c>
      <c r="C156" s="2">
        <f>IFERROR(__xludf.DUMMYFUNCTION("""COMPUTED_VALUE"""),30.0)</f>
        <v>30</v>
      </c>
      <c r="D156" s="2">
        <f>IFERROR(__xludf.DUMMYFUNCTION("""COMPUTED_VALUE"""),1811.7)</f>
        <v>1811.7</v>
      </c>
    </row>
    <row r="157">
      <c r="A157" s="2" t="str">
        <f>IFERROR(__xludf.DUMMYFUNCTION("""COMPUTED_VALUE"""),"PR015")</f>
        <v>PR015</v>
      </c>
      <c r="B157" s="2" t="str">
        <f>IFERROR(__xludf.DUMMYFUNCTION("""COMPUTED_VALUE"""),"VD026")</f>
        <v>VD026</v>
      </c>
      <c r="C157" s="2">
        <f>IFERROR(__xludf.DUMMYFUNCTION("""COMPUTED_VALUE"""),24.0)</f>
        <v>24</v>
      </c>
      <c r="D157" s="2">
        <f>IFERROR(__xludf.DUMMYFUNCTION("""COMPUTED_VALUE"""),1183.2)</f>
        <v>1183.2</v>
      </c>
    </row>
    <row r="158">
      <c r="A158" s="2" t="str">
        <f>IFERROR(__xludf.DUMMYFUNCTION("""COMPUTED_VALUE"""),"PR015")</f>
        <v>PR015</v>
      </c>
      <c r="B158" s="2" t="str">
        <f>IFERROR(__xludf.DUMMYFUNCTION("""COMPUTED_VALUE"""),"VD044")</f>
        <v>VD044</v>
      </c>
      <c r="C158" s="2">
        <f>IFERROR(__xludf.DUMMYFUNCTION("""COMPUTED_VALUE"""),18.0)</f>
        <v>18</v>
      </c>
      <c r="D158" s="2">
        <f>IFERROR(__xludf.DUMMYFUNCTION("""COMPUTED_VALUE"""),918.0)</f>
        <v>918</v>
      </c>
    </row>
    <row r="159">
      <c r="A159" s="2" t="str">
        <f>IFERROR(__xludf.DUMMYFUNCTION("""COMPUTED_VALUE"""),"PR036")</f>
        <v>PR036</v>
      </c>
      <c r="B159" s="2" t="str">
        <f>IFERROR(__xludf.DUMMYFUNCTION("""COMPUTED_VALUE"""),"VD035")</f>
        <v>VD035</v>
      </c>
      <c r="C159" s="2">
        <f>IFERROR(__xludf.DUMMYFUNCTION("""COMPUTED_VALUE"""),20.0)</f>
        <v>20</v>
      </c>
      <c r="D159" s="2">
        <f>IFERROR(__xludf.DUMMYFUNCTION("""COMPUTED_VALUE"""),2187.9)</f>
        <v>2187.9</v>
      </c>
    </row>
    <row r="160">
      <c r="A160" s="2" t="str">
        <f>IFERROR(__xludf.DUMMYFUNCTION("""COMPUTED_VALUE"""),"PR029")</f>
        <v>PR029</v>
      </c>
      <c r="B160" s="2" t="str">
        <f>IFERROR(__xludf.DUMMYFUNCTION("""COMPUTED_VALUE"""),"VD040")</f>
        <v>VD040</v>
      </c>
      <c r="C160" s="2">
        <f>IFERROR(__xludf.DUMMYFUNCTION("""COMPUTED_VALUE"""),12.0)</f>
        <v>12</v>
      </c>
      <c r="D160" s="2">
        <f>IFERROR(__xludf.DUMMYFUNCTION("""COMPUTED_VALUE"""),3610.8)</f>
        <v>3610.8</v>
      </c>
    </row>
    <row r="161">
      <c r="A161" s="2" t="str">
        <f>IFERROR(__xludf.DUMMYFUNCTION("""COMPUTED_VALUE"""),"PR050")</f>
        <v>PR050</v>
      </c>
      <c r="B161" s="2" t="str">
        <f>IFERROR(__xludf.DUMMYFUNCTION("""COMPUTED_VALUE"""),"VD011")</f>
        <v>VD011</v>
      </c>
      <c r="C161" s="2">
        <f>IFERROR(__xludf.DUMMYFUNCTION("""COMPUTED_VALUE"""),18.0)</f>
        <v>18</v>
      </c>
      <c r="D161" s="2">
        <f>IFERROR(__xludf.DUMMYFUNCTION("""COMPUTED_VALUE"""),651.42)</f>
        <v>651.42</v>
      </c>
    </row>
    <row r="162">
      <c r="A162" s="2" t="str">
        <f>IFERROR(__xludf.DUMMYFUNCTION("""COMPUTED_VALUE"""),"PR034")</f>
        <v>PR034</v>
      </c>
      <c r="B162" s="2" t="str">
        <f>IFERROR(__xludf.DUMMYFUNCTION("""COMPUTED_VALUE"""),"VD018")</f>
        <v>VD018</v>
      </c>
      <c r="C162" s="2">
        <f>IFERROR(__xludf.DUMMYFUNCTION("""COMPUTED_VALUE"""),9.0)</f>
        <v>9</v>
      </c>
      <c r="D162" s="2">
        <f>IFERROR(__xludf.DUMMYFUNCTION("""COMPUTED_VALUE"""),954.74)</f>
        <v>954.74</v>
      </c>
    </row>
    <row r="163">
      <c r="A163" s="2" t="str">
        <f>IFERROR(__xludf.DUMMYFUNCTION("""COMPUTED_VALUE"""),"PR027")</f>
        <v>PR027</v>
      </c>
      <c r="B163" s="2" t="str">
        <f>IFERROR(__xludf.DUMMYFUNCTION("""COMPUTED_VALUE"""),"VD016")</f>
        <v>VD016</v>
      </c>
      <c r="C163" s="2">
        <f>IFERROR(__xludf.DUMMYFUNCTION("""COMPUTED_VALUE"""),10.0)</f>
        <v>10</v>
      </c>
      <c r="D163" s="2">
        <f>IFERROR(__xludf.DUMMYFUNCTION("""COMPUTED_VALUE"""),1428.0)</f>
        <v>1428</v>
      </c>
    </row>
    <row r="164">
      <c r="A164" s="2" t="str">
        <f>IFERROR(__xludf.DUMMYFUNCTION("""COMPUTED_VALUE"""),"PR015")</f>
        <v>PR015</v>
      </c>
      <c r="B164" s="2" t="str">
        <f>IFERROR(__xludf.DUMMYFUNCTION("""COMPUTED_VALUE"""),"VD043")</f>
        <v>VD043</v>
      </c>
      <c r="C164" s="2">
        <f>IFERROR(__xludf.DUMMYFUNCTION("""COMPUTED_VALUE"""),18.0)</f>
        <v>18</v>
      </c>
      <c r="D164" s="2">
        <f>IFERROR(__xludf.DUMMYFUNCTION("""COMPUTED_VALUE"""),872.1)</f>
        <v>872.1</v>
      </c>
    </row>
    <row r="165">
      <c r="A165" s="2" t="str">
        <f>IFERROR(__xludf.DUMMYFUNCTION("""COMPUTED_VALUE"""),"PR003")</f>
        <v>PR003</v>
      </c>
      <c r="B165" s="2" t="str">
        <f>IFERROR(__xludf.DUMMYFUNCTION("""COMPUTED_VALUE"""),"VD031")</f>
        <v>VD031</v>
      </c>
      <c r="C165" s="2">
        <f>IFERROR(__xludf.DUMMYFUNCTION("""COMPUTED_VALUE"""),9.0)</f>
        <v>9</v>
      </c>
      <c r="D165" s="2">
        <f>IFERROR(__xludf.DUMMYFUNCTION("""COMPUTED_VALUE"""),708.29)</f>
        <v>708.29</v>
      </c>
    </row>
    <row r="166">
      <c r="A166" s="2" t="str">
        <f>IFERROR(__xludf.DUMMYFUNCTION("""COMPUTED_VALUE"""),"PR026")</f>
        <v>PR026</v>
      </c>
      <c r="B166" s="2" t="str">
        <f>IFERROR(__xludf.DUMMYFUNCTION("""COMPUTED_VALUE"""),"VD032")</f>
        <v>VD032</v>
      </c>
      <c r="C166" s="2">
        <f>IFERROR(__xludf.DUMMYFUNCTION("""COMPUTED_VALUE"""),10.0)</f>
        <v>10</v>
      </c>
      <c r="D166" s="2">
        <f>IFERROR(__xludf.DUMMYFUNCTION("""COMPUTED_VALUE"""),4128.82)</f>
        <v>4128.82</v>
      </c>
    </row>
    <row r="167">
      <c r="A167" s="2" t="str">
        <f>IFERROR(__xludf.DUMMYFUNCTION("""COMPUTED_VALUE"""),"PR006")</f>
        <v>PR006</v>
      </c>
      <c r="B167" s="2" t="str">
        <f>IFERROR(__xludf.DUMMYFUNCTION("""COMPUTED_VALUE"""),"VD017")</f>
        <v>VD017</v>
      </c>
      <c r="C167" s="2">
        <f>IFERROR(__xludf.DUMMYFUNCTION("""COMPUTED_VALUE"""),16.0)</f>
        <v>16</v>
      </c>
      <c r="D167" s="2">
        <f>IFERROR(__xludf.DUMMYFUNCTION("""COMPUTED_VALUE"""),766.08)</f>
        <v>766.08</v>
      </c>
    </row>
    <row r="168">
      <c r="A168" s="2" t="str">
        <f>IFERROR(__xludf.DUMMYFUNCTION("""COMPUTED_VALUE"""),"PR050")</f>
        <v>PR050</v>
      </c>
      <c r="B168" s="2" t="str">
        <f>IFERROR(__xludf.DUMMYFUNCTION("""COMPUTED_VALUE"""),"VD015")</f>
        <v>VD015</v>
      </c>
      <c r="C168" s="2">
        <f>IFERROR(__xludf.DUMMYFUNCTION("""COMPUTED_VALUE"""),27.0)</f>
        <v>27</v>
      </c>
      <c r="D168" s="2">
        <f>IFERROR(__xludf.DUMMYFUNCTION("""COMPUTED_VALUE"""),1012.66)</f>
        <v>1012.66</v>
      </c>
    </row>
    <row r="169">
      <c r="A169" s="2" t="str">
        <f>IFERROR(__xludf.DUMMYFUNCTION("""COMPUTED_VALUE"""),"PR009")</f>
        <v>PR009</v>
      </c>
      <c r="B169" s="2" t="str">
        <f>IFERROR(__xludf.DUMMYFUNCTION("""COMPUTED_VALUE"""),"VD040")</f>
        <v>VD040</v>
      </c>
      <c r="C169" s="2">
        <f>IFERROR(__xludf.DUMMYFUNCTION("""COMPUTED_VALUE"""),30.0)</f>
        <v>30</v>
      </c>
      <c r="D169" s="2">
        <f>IFERROR(__xludf.DUMMYFUNCTION("""COMPUTED_VALUE"""),3065.7)</f>
        <v>3065.7</v>
      </c>
    </row>
    <row r="170">
      <c r="A170" s="2" t="str">
        <f>IFERROR(__xludf.DUMMYFUNCTION("""COMPUTED_VALUE"""),"PR013")</f>
        <v>PR013</v>
      </c>
      <c r="B170" s="2" t="str">
        <f>IFERROR(__xludf.DUMMYFUNCTION("""COMPUTED_VALUE"""),"VD021")</f>
        <v>VD021</v>
      </c>
      <c r="C170" s="2">
        <f>IFERROR(__xludf.DUMMYFUNCTION("""COMPUTED_VALUE"""),15.0)</f>
        <v>15</v>
      </c>
      <c r="D170" s="2">
        <f>IFERROR(__xludf.DUMMYFUNCTION("""COMPUTED_VALUE"""),706.23)</f>
        <v>706.23</v>
      </c>
    </row>
    <row r="171">
      <c r="A171" s="2" t="str">
        <f>IFERROR(__xludf.DUMMYFUNCTION("""COMPUTED_VALUE"""),"PR049")</f>
        <v>PR049</v>
      </c>
      <c r="B171" s="2" t="str">
        <f>IFERROR(__xludf.DUMMYFUNCTION("""COMPUTED_VALUE"""),"VD049")</f>
        <v>VD049</v>
      </c>
      <c r="C171" s="2">
        <f>IFERROR(__xludf.DUMMYFUNCTION("""COMPUTED_VALUE"""),21.0)</f>
        <v>21</v>
      </c>
      <c r="D171" s="2">
        <f>IFERROR(__xludf.DUMMYFUNCTION("""COMPUTED_VALUE"""),759.99)</f>
        <v>759.99</v>
      </c>
    </row>
    <row r="172">
      <c r="A172" s="2" t="str">
        <f>IFERROR(__xludf.DUMMYFUNCTION("""COMPUTED_VALUE"""),"PR004")</f>
        <v>PR004</v>
      </c>
      <c r="B172" s="2" t="str">
        <f>IFERROR(__xludf.DUMMYFUNCTION("""COMPUTED_VALUE"""),"VD035")</f>
        <v>VD035</v>
      </c>
      <c r="C172" s="2">
        <f>IFERROR(__xludf.DUMMYFUNCTION("""COMPUTED_VALUE"""),18.0)</f>
        <v>18</v>
      </c>
      <c r="D172" s="2">
        <f>IFERROR(__xludf.DUMMYFUNCTION("""COMPUTED_VALUE"""),2923.2)</f>
        <v>2923.2</v>
      </c>
    </row>
    <row r="173">
      <c r="A173" s="2" t="str">
        <f>IFERROR(__xludf.DUMMYFUNCTION("""COMPUTED_VALUE"""),"PR046")</f>
        <v>PR046</v>
      </c>
      <c r="B173" s="2" t="str">
        <f>IFERROR(__xludf.DUMMYFUNCTION("""COMPUTED_VALUE"""),"VD019")</f>
        <v>VD019</v>
      </c>
      <c r="C173" s="2">
        <f>IFERROR(__xludf.DUMMYFUNCTION("""COMPUTED_VALUE"""),20.0)</f>
        <v>20</v>
      </c>
      <c r="D173" s="2">
        <f>IFERROR(__xludf.DUMMYFUNCTION("""COMPUTED_VALUE"""),6725.68)</f>
        <v>6725.68</v>
      </c>
    </row>
    <row r="174">
      <c r="A174" s="2" t="str">
        <f>IFERROR(__xludf.DUMMYFUNCTION("""COMPUTED_VALUE"""),"PR047")</f>
        <v>PR047</v>
      </c>
      <c r="B174" s="2" t="str">
        <f>IFERROR(__xludf.DUMMYFUNCTION("""COMPUTED_VALUE"""),"VD046")</f>
        <v>VD046</v>
      </c>
      <c r="C174" s="2">
        <f>IFERROR(__xludf.DUMMYFUNCTION("""COMPUTED_VALUE"""),27.0)</f>
        <v>27</v>
      </c>
      <c r="D174" s="2">
        <f>IFERROR(__xludf.DUMMYFUNCTION("""COMPUTED_VALUE"""),8844.85)</f>
        <v>8844.85</v>
      </c>
    </row>
    <row r="175">
      <c r="A175" s="2" t="str">
        <f>IFERROR(__xludf.DUMMYFUNCTION("""COMPUTED_VALUE"""),"PR054")</f>
        <v>PR054</v>
      </c>
      <c r="B175" s="2" t="str">
        <f>IFERROR(__xludf.DUMMYFUNCTION("""COMPUTED_VALUE"""),"VD019")</f>
        <v>VD019</v>
      </c>
      <c r="C175" s="2">
        <f>IFERROR(__xludf.DUMMYFUNCTION("""COMPUTED_VALUE"""),18.0)</f>
        <v>18</v>
      </c>
      <c r="D175" s="2">
        <f>IFERROR(__xludf.DUMMYFUNCTION("""COMPUTED_VALUE"""),1077.84)</f>
        <v>1077.84</v>
      </c>
    </row>
    <row r="176">
      <c r="A176" s="2" t="str">
        <f>IFERROR(__xludf.DUMMYFUNCTION("""COMPUTED_VALUE"""),"PR041")</f>
        <v>PR041</v>
      </c>
      <c r="B176" s="2" t="str">
        <f>IFERROR(__xludf.DUMMYFUNCTION("""COMPUTED_VALUE"""),"VD033")</f>
        <v>VD033</v>
      </c>
      <c r="C176" s="2">
        <f>IFERROR(__xludf.DUMMYFUNCTION("""COMPUTED_VALUE"""),27.0)</f>
        <v>27</v>
      </c>
      <c r="D176" s="2">
        <f>IFERROR(__xludf.DUMMYFUNCTION("""COMPUTED_VALUE"""),1778.76)</f>
        <v>1778.76</v>
      </c>
    </row>
    <row r="177">
      <c r="A177" s="2" t="str">
        <f>IFERROR(__xludf.DUMMYFUNCTION("""COMPUTED_VALUE"""),"PR024")</f>
        <v>PR024</v>
      </c>
      <c r="B177" s="2" t="str">
        <f>IFERROR(__xludf.DUMMYFUNCTION("""COMPUTED_VALUE"""),"VD018")</f>
        <v>VD018</v>
      </c>
      <c r="C177" s="2">
        <f>IFERROR(__xludf.DUMMYFUNCTION("""COMPUTED_VALUE"""),8.0)</f>
        <v>8</v>
      </c>
      <c r="D177" s="2">
        <f>IFERROR(__xludf.DUMMYFUNCTION("""COMPUTED_VALUE"""),2453.46)</f>
        <v>2453.46</v>
      </c>
    </row>
    <row r="178">
      <c r="A178" s="2" t="str">
        <f>IFERROR(__xludf.DUMMYFUNCTION("""COMPUTED_VALUE"""),"PR024")</f>
        <v>PR024</v>
      </c>
      <c r="B178" s="2" t="str">
        <f>IFERROR(__xludf.DUMMYFUNCTION("""COMPUTED_VALUE"""),"VD048")</f>
        <v>VD048</v>
      </c>
      <c r="C178" s="2">
        <f>IFERROR(__xludf.DUMMYFUNCTION("""COMPUTED_VALUE"""),15.0)</f>
        <v>15</v>
      </c>
      <c r="D178" s="2">
        <f>IFERROR(__xludf.DUMMYFUNCTION("""COMPUTED_VALUE"""),4678.2)</f>
        <v>4678.2</v>
      </c>
    </row>
    <row r="179">
      <c r="A179" s="2" t="str">
        <f>IFERROR(__xludf.DUMMYFUNCTION("""COMPUTED_VALUE"""),"PR039")</f>
        <v>PR039</v>
      </c>
      <c r="B179" s="2" t="str">
        <f>IFERROR(__xludf.DUMMYFUNCTION("""COMPUTED_VALUE"""),"VD015")</f>
        <v>VD015</v>
      </c>
      <c r="C179" s="2">
        <f>IFERROR(__xludf.DUMMYFUNCTION("""COMPUTED_VALUE"""),15.0)</f>
        <v>15</v>
      </c>
      <c r="D179" s="2">
        <f>IFERROR(__xludf.DUMMYFUNCTION("""COMPUTED_VALUE"""),2430.9)</f>
        <v>2430.9</v>
      </c>
    </row>
    <row r="180">
      <c r="A180" s="2" t="str">
        <f>IFERROR(__xludf.DUMMYFUNCTION("""COMPUTED_VALUE"""),"PR032")</f>
        <v>PR032</v>
      </c>
      <c r="B180" s="2" t="str">
        <f>IFERROR(__xludf.DUMMYFUNCTION("""COMPUTED_VALUE"""),"VD016")</f>
        <v>VD016</v>
      </c>
      <c r="C180" s="2">
        <f>IFERROR(__xludf.DUMMYFUNCTION("""COMPUTED_VALUE"""),27.0)</f>
        <v>27</v>
      </c>
      <c r="D180" s="2">
        <f>IFERROR(__xludf.DUMMYFUNCTION("""COMPUTED_VALUE"""),7897.5)</f>
        <v>7897.5</v>
      </c>
    </row>
    <row r="181">
      <c r="A181" s="2" t="str">
        <f>IFERROR(__xludf.DUMMYFUNCTION("""COMPUTED_VALUE"""),"PR006")</f>
        <v>PR006</v>
      </c>
      <c r="B181" s="2" t="str">
        <f>IFERROR(__xludf.DUMMYFUNCTION("""COMPUTED_VALUE"""),"VD015")</f>
        <v>VD015</v>
      </c>
      <c r="C181" s="2">
        <f>IFERROR(__xludf.DUMMYFUNCTION("""COMPUTED_VALUE"""),24.0)</f>
        <v>24</v>
      </c>
      <c r="D181" s="2">
        <f>IFERROR(__xludf.DUMMYFUNCTION("""COMPUTED_VALUE"""),1139.54)</f>
        <v>1139.54</v>
      </c>
    </row>
    <row r="182">
      <c r="A182" s="2" t="str">
        <f>IFERROR(__xludf.DUMMYFUNCTION("""COMPUTED_VALUE"""),"PR006")</f>
        <v>PR006</v>
      </c>
      <c r="B182" s="2" t="str">
        <f>IFERROR(__xludf.DUMMYFUNCTION("""COMPUTED_VALUE"""),"VD035")</f>
        <v>VD035</v>
      </c>
      <c r="C182" s="2">
        <f>IFERROR(__xludf.DUMMYFUNCTION("""COMPUTED_VALUE"""),30.0)</f>
        <v>30</v>
      </c>
      <c r="D182" s="2">
        <f>IFERROR(__xludf.DUMMYFUNCTION("""COMPUTED_VALUE"""),1340.64)</f>
        <v>1340.64</v>
      </c>
    </row>
    <row r="183">
      <c r="A183" s="2" t="str">
        <f>IFERROR(__xludf.DUMMYFUNCTION("""COMPUTED_VALUE"""),"PR051")</f>
        <v>PR051</v>
      </c>
      <c r="B183" s="2" t="str">
        <f>IFERROR(__xludf.DUMMYFUNCTION("""COMPUTED_VALUE"""),"VD024")</f>
        <v>VD024</v>
      </c>
      <c r="C183" s="2">
        <f>IFERROR(__xludf.DUMMYFUNCTION("""COMPUTED_VALUE"""),30.0)</f>
        <v>30</v>
      </c>
      <c r="D183" s="2">
        <f>IFERROR(__xludf.DUMMYFUNCTION("""COMPUTED_VALUE"""),1135.05)</f>
        <v>1135.05</v>
      </c>
    </row>
    <row r="184">
      <c r="A184" s="2" t="str">
        <f>IFERROR(__xludf.DUMMYFUNCTION("""COMPUTED_VALUE"""),"PR047")</f>
        <v>PR047</v>
      </c>
      <c r="B184" s="2" t="str">
        <f>IFERROR(__xludf.DUMMYFUNCTION("""COMPUTED_VALUE"""),"VD019")</f>
        <v>VD019</v>
      </c>
      <c r="C184" s="2">
        <f>IFERROR(__xludf.DUMMYFUNCTION("""COMPUTED_VALUE"""),27.0)</f>
        <v>27</v>
      </c>
      <c r="D184" s="2">
        <f>IFERROR(__xludf.DUMMYFUNCTION("""COMPUTED_VALUE"""),9157.94)</f>
        <v>9157.94</v>
      </c>
    </row>
    <row r="185">
      <c r="A185" s="2" t="str">
        <f>IFERROR(__xludf.DUMMYFUNCTION("""COMPUTED_VALUE"""),"PR006")</f>
        <v>PR006</v>
      </c>
      <c r="B185" s="2" t="str">
        <f>IFERROR(__xludf.DUMMYFUNCTION("""COMPUTED_VALUE"""),"VD030")</f>
        <v>VD030</v>
      </c>
      <c r="C185" s="2">
        <f>IFERROR(__xludf.DUMMYFUNCTION("""COMPUTED_VALUE"""),9.0)</f>
        <v>9</v>
      </c>
      <c r="D185" s="2">
        <f>IFERROR(__xludf.DUMMYFUNCTION("""COMPUTED_VALUE"""),395.01)</f>
        <v>395.01</v>
      </c>
    </row>
    <row r="186">
      <c r="A186" s="2" t="str">
        <f>IFERROR(__xludf.DUMMYFUNCTION("""COMPUTED_VALUE"""),"PR050")</f>
        <v>PR050</v>
      </c>
      <c r="B186" s="2" t="str">
        <f>IFERROR(__xludf.DUMMYFUNCTION("""COMPUTED_VALUE"""),"VD016")</f>
        <v>VD016</v>
      </c>
      <c r="C186" s="2">
        <f>IFERROR(__xludf.DUMMYFUNCTION("""COMPUTED_VALUE"""),27.0)</f>
        <v>27</v>
      </c>
      <c r="D186" s="2">
        <f>IFERROR(__xludf.DUMMYFUNCTION("""COMPUTED_VALUE"""),1030.43)</f>
        <v>1030.43</v>
      </c>
    </row>
    <row r="187">
      <c r="A187" s="2" t="str">
        <f>IFERROR(__xludf.DUMMYFUNCTION("""COMPUTED_VALUE"""),"PR019")</f>
        <v>PR019</v>
      </c>
      <c r="B187" s="2" t="str">
        <f>IFERROR(__xludf.DUMMYFUNCTION("""COMPUTED_VALUE"""),"VD042")</f>
        <v>VD042</v>
      </c>
      <c r="C187" s="2">
        <f>IFERROR(__xludf.DUMMYFUNCTION("""COMPUTED_VALUE"""),18.0)</f>
        <v>18</v>
      </c>
      <c r="D187" s="2">
        <f>IFERROR(__xludf.DUMMYFUNCTION("""COMPUTED_VALUE"""),1014.97)</f>
        <v>1014.97</v>
      </c>
    </row>
    <row r="188">
      <c r="A188" s="2" t="str">
        <f>IFERROR(__xludf.DUMMYFUNCTION("""COMPUTED_VALUE"""),"PR044")</f>
        <v>PR044</v>
      </c>
      <c r="B188" s="2" t="str">
        <f>IFERROR(__xludf.DUMMYFUNCTION("""COMPUTED_VALUE"""),"VD011")</f>
        <v>VD011</v>
      </c>
      <c r="C188" s="2">
        <f>IFERROR(__xludf.DUMMYFUNCTION("""COMPUTED_VALUE"""),27.0)</f>
        <v>27</v>
      </c>
      <c r="D188" s="2">
        <f>IFERROR(__xludf.DUMMYFUNCTION("""COMPUTED_VALUE"""),2153.25)</f>
        <v>2153.25</v>
      </c>
    </row>
    <row r="189">
      <c r="A189" s="2" t="str">
        <f>IFERROR(__xludf.DUMMYFUNCTION("""COMPUTED_VALUE"""),"PR017")</f>
        <v>PR017</v>
      </c>
      <c r="B189" s="2" t="str">
        <f>IFERROR(__xludf.DUMMYFUNCTION("""COMPUTED_VALUE"""),"VD019")</f>
        <v>VD019</v>
      </c>
      <c r="C189" s="2">
        <f>IFERROR(__xludf.DUMMYFUNCTION("""COMPUTED_VALUE"""),18.0)</f>
        <v>18</v>
      </c>
      <c r="D189" s="2">
        <f>IFERROR(__xludf.DUMMYFUNCTION("""COMPUTED_VALUE"""),613.55)</f>
        <v>613.55</v>
      </c>
    </row>
    <row r="190">
      <c r="A190" s="2" t="str">
        <f>IFERROR(__xludf.DUMMYFUNCTION("""COMPUTED_VALUE"""),"PR004")</f>
        <v>PR004</v>
      </c>
      <c r="B190" s="2" t="str">
        <f>IFERROR(__xludf.DUMMYFUNCTION("""COMPUTED_VALUE"""),"VD033")</f>
        <v>VD033</v>
      </c>
      <c r="C190" s="2">
        <f>IFERROR(__xludf.DUMMYFUNCTION("""COMPUTED_VALUE"""),24.0)</f>
        <v>24</v>
      </c>
      <c r="D190" s="2">
        <f>IFERROR(__xludf.DUMMYFUNCTION("""COMPUTED_VALUE"""),4141.2)</f>
        <v>4141.2</v>
      </c>
    </row>
    <row r="191">
      <c r="A191" s="2" t="str">
        <f>IFERROR(__xludf.DUMMYFUNCTION("""COMPUTED_VALUE"""),"PR059")</f>
        <v>PR059</v>
      </c>
      <c r="B191" s="2" t="str">
        <f>IFERROR(__xludf.DUMMYFUNCTION("""COMPUTED_VALUE"""),"VD028")</f>
        <v>VD028</v>
      </c>
      <c r="C191" s="2">
        <f>IFERROR(__xludf.DUMMYFUNCTION("""COMPUTED_VALUE"""),12.0)</f>
        <v>12</v>
      </c>
      <c r="D191" s="2">
        <f>IFERROR(__xludf.DUMMYFUNCTION("""COMPUTED_VALUE"""),2527.2)</f>
        <v>2527.2</v>
      </c>
    </row>
    <row r="192">
      <c r="A192" s="2" t="str">
        <f>IFERROR(__xludf.DUMMYFUNCTION("""COMPUTED_VALUE"""),"PR003")</f>
        <v>PR003</v>
      </c>
      <c r="B192" s="2" t="str">
        <f>IFERROR(__xludf.DUMMYFUNCTION("""COMPUTED_VALUE"""),"VD040")</f>
        <v>VD040</v>
      </c>
      <c r="C192" s="2">
        <f>IFERROR(__xludf.DUMMYFUNCTION("""COMPUTED_VALUE"""),16.0)</f>
        <v>16</v>
      </c>
      <c r="D192" s="2">
        <f>IFERROR(__xludf.DUMMYFUNCTION("""COMPUTED_VALUE"""),1247.84)</f>
        <v>1247.84</v>
      </c>
    </row>
    <row r="193">
      <c r="A193" s="2" t="str">
        <f>IFERROR(__xludf.DUMMYFUNCTION("""COMPUTED_VALUE"""),"PR055")</f>
        <v>PR055</v>
      </c>
      <c r="B193" s="2" t="str">
        <f>IFERROR(__xludf.DUMMYFUNCTION("""COMPUTED_VALUE"""),"VD018")</f>
        <v>VD018</v>
      </c>
      <c r="C193" s="2">
        <f>IFERROR(__xludf.DUMMYFUNCTION("""COMPUTED_VALUE"""),14.0)</f>
        <v>14</v>
      </c>
      <c r="D193" s="2">
        <f>IFERROR(__xludf.DUMMYFUNCTION("""COMPUTED_VALUE"""),1485.15)</f>
        <v>1485.15</v>
      </c>
    </row>
    <row r="194">
      <c r="A194" s="2" t="str">
        <f>IFERROR(__xludf.DUMMYFUNCTION("""COMPUTED_VALUE"""),"PR041")</f>
        <v>PR041</v>
      </c>
      <c r="B194" s="2" t="str">
        <f>IFERROR(__xludf.DUMMYFUNCTION("""COMPUTED_VALUE"""),"VD031")</f>
        <v>VD031</v>
      </c>
      <c r="C194" s="2">
        <f>IFERROR(__xludf.DUMMYFUNCTION("""COMPUTED_VALUE"""),21.0)</f>
        <v>21</v>
      </c>
      <c r="D194" s="2">
        <f>IFERROR(__xludf.DUMMYFUNCTION("""COMPUTED_VALUE"""),1314.31)</f>
        <v>1314.31</v>
      </c>
    </row>
    <row r="195">
      <c r="A195" s="2" t="str">
        <f>IFERROR(__xludf.DUMMYFUNCTION("""COMPUTED_VALUE"""),"PR056")</f>
        <v>PR056</v>
      </c>
      <c r="B195" s="2" t="str">
        <f>IFERROR(__xludf.DUMMYFUNCTION("""COMPUTED_VALUE"""),"VD040")</f>
        <v>VD040</v>
      </c>
      <c r="C195" s="2">
        <f>IFERROR(__xludf.DUMMYFUNCTION("""COMPUTED_VALUE"""),16.0)</f>
        <v>16</v>
      </c>
      <c r="D195" s="2">
        <f>IFERROR(__xludf.DUMMYFUNCTION("""COMPUTED_VALUE"""),1639.78)</f>
        <v>1639.78</v>
      </c>
    </row>
    <row r="196">
      <c r="A196" s="2" t="str">
        <f>IFERROR(__xludf.DUMMYFUNCTION("""COMPUTED_VALUE"""),"PR038")</f>
        <v>PR038</v>
      </c>
      <c r="B196" s="2" t="str">
        <f>IFERROR(__xludf.DUMMYFUNCTION("""COMPUTED_VALUE"""),"VD028")</f>
        <v>VD028</v>
      </c>
      <c r="C196" s="2">
        <f>IFERROR(__xludf.DUMMYFUNCTION("""COMPUTED_VALUE"""),24.0)</f>
        <v>24</v>
      </c>
      <c r="D196" s="2">
        <f>IFERROR(__xludf.DUMMYFUNCTION("""COMPUTED_VALUE"""),3772.56)</f>
        <v>3772.56</v>
      </c>
    </row>
    <row r="197">
      <c r="A197" s="2" t="str">
        <f>IFERROR(__xludf.DUMMYFUNCTION("""COMPUTED_VALUE"""),"PR022")</f>
        <v>PR022</v>
      </c>
      <c r="B197" s="2" t="str">
        <f>IFERROR(__xludf.DUMMYFUNCTION("""COMPUTED_VALUE"""),"VD045")</f>
        <v>VD045</v>
      </c>
      <c r="C197" s="2">
        <f>IFERROR(__xludf.DUMMYFUNCTION("""COMPUTED_VALUE"""),21.0)</f>
        <v>21</v>
      </c>
      <c r="D197" s="2">
        <f>IFERROR(__xludf.DUMMYFUNCTION("""COMPUTED_VALUE"""),7371.0)</f>
        <v>7371</v>
      </c>
    </row>
    <row r="198">
      <c r="A198" s="2" t="str">
        <f>IFERROR(__xludf.DUMMYFUNCTION("""COMPUTED_VALUE"""),"PR023")</f>
        <v>PR023</v>
      </c>
      <c r="B198" s="2" t="str">
        <f>IFERROR(__xludf.DUMMYFUNCTION("""COMPUTED_VALUE"""),"VD024")</f>
        <v>VD024</v>
      </c>
      <c r="C198" s="2">
        <f>IFERROR(__xludf.DUMMYFUNCTION("""COMPUTED_VALUE"""),14.0)</f>
        <v>14</v>
      </c>
      <c r="D198" s="2">
        <f>IFERROR(__xludf.DUMMYFUNCTION("""COMPUTED_VALUE"""),4093.36)</f>
        <v>4093.36</v>
      </c>
    </row>
    <row r="199">
      <c r="A199" s="2" t="str">
        <f>IFERROR(__xludf.DUMMYFUNCTION("""COMPUTED_VALUE"""),"PR053")</f>
        <v>PR053</v>
      </c>
      <c r="B199" s="2" t="str">
        <f>IFERROR(__xludf.DUMMYFUNCTION("""COMPUTED_VALUE"""),"VD019")</f>
        <v>VD019</v>
      </c>
      <c r="C199" s="2">
        <f>IFERROR(__xludf.DUMMYFUNCTION("""COMPUTED_VALUE"""),21.0)</f>
        <v>21</v>
      </c>
      <c r="D199" s="2">
        <f>IFERROR(__xludf.DUMMYFUNCTION("""COMPUTED_VALUE"""),1152.69)</f>
        <v>1152.69</v>
      </c>
    </row>
    <row r="200">
      <c r="A200" s="2" t="str">
        <f>IFERROR(__xludf.DUMMYFUNCTION("""COMPUTED_VALUE"""),"PR046")</f>
        <v>PR046</v>
      </c>
      <c r="B200" s="2" t="str">
        <f>IFERROR(__xludf.DUMMYFUNCTION("""COMPUTED_VALUE"""),"VD047")</f>
        <v>VD047</v>
      </c>
      <c r="C200" s="2">
        <f>IFERROR(__xludf.DUMMYFUNCTION("""COMPUTED_VALUE"""),16.0)</f>
        <v>16</v>
      </c>
      <c r="D200" s="2">
        <f>IFERROR(__xludf.DUMMYFUNCTION("""COMPUTED_VALUE"""),5566.08)</f>
        <v>5566.08</v>
      </c>
    </row>
    <row r="201">
      <c r="A201" s="2" t="str">
        <f>IFERROR(__xludf.DUMMYFUNCTION("""COMPUTED_VALUE"""),"PR048")</f>
        <v>PR048</v>
      </c>
      <c r="B201" s="2" t="str">
        <f>IFERROR(__xludf.DUMMYFUNCTION("""COMPUTED_VALUE"""),"VD027")</f>
        <v>VD027</v>
      </c>
      <c r="C201" s="2">
        <f>IFERROR(__xludf.DUMMYFUNCTION("""COMPUTED_VALUE"""),27.0)</f>
        <v>27</v>
      </c>
      <c r="D201" s="2">
        <f>IFERROR(__xludf.DUMMYFUNCTION("""COMPUTED_VALUE"""),9392.76)</f>
        <v>9392.76</v>
      </c>
    </row>
    <row r="202">
      <c r="A202" s="2" t="str">
        <f>IFERROR(__xludf.DUMMYFUNCTION("""COMPUTED_VALUE"""),"PR055")</f>
        <v>PR055</v>
      </c>
      <c r="B202" s="2" t="str">
        <f>IFERROR(__xludf.DUMMYFUNCTION("""COMPUTED_VALUE"""),"VD033")</f>
        <v>VD033</v>
      </c>
      <c r="C202" s="2">
        <f>IFERROR(__xludf.DUMMYFUNCTION("""COMPUTED_VALUE"""),14.0)</f>
        <v>14</v>
      </c>
      <c r="D202" s="2">
        <f>IFERROR(__xludf.DUMMYFUNCTION("""COMPUTED_VALUE"""),1397.05)</f>
        <v>1397.05</v>
      </c>
    </row>
    <row r="203">
      <c r="A203" s="2" t="str">
        <f>IFERROR(__xludf.DUMMYFUNCTION("""COMPUTED_VALUE"""),"PR017")</f>
        <v>PR017</v>
      </c>
      <c r="B203" s="2" t="str">
        <f>IFERROR(__xludf.DUMMYFUNCTION("""COMPUTED_VALUE"""),"VD036")</f>
        <v>VD036</v>
      </c>
      <c r="C203" s="2">
        <f>IFERROR(__xludf.DUMMYFUNCTION("""COMPUTED_VALUE"""),21.0)</f>
        <v>21</v>
      </c>
      <c r="D203" s="2">
        <f>IFERROR(__xludf.DUMMYFUNCTION("""COMPUTED_VALUE"""),753.48)</f>
        <v>753.48</v>
      </c>
    </row>
    <row r="204">
      <c r="A204" s="2" t="str">
        <f>IFERROR(__xludf.DUMMYFUNCTION("""COMPUTED_VALUE"""),"PR029")</f>
        <v>PR029</v>
      </c>
      <c r="B204" s="2" t="str">
        <f>IFERROR(__xludf.DUMMYFUNCTION("""COMPUTED_VALUE"""),"VD035")</f>
        <v>VD035</v>
      </c>
      <c r="C204" s="2">
        <f>IFERROR(__xludf.DUMMYFUNCTION("""COMPUTED_VALUE"""),12.0)</f>
        <v>12</v>
      </c>
      <c r="D204" s="2">
        <f>IFERROR(__xludf.DUMMYFUNCTION("""COMPUTED_VALUE"""),3610.8)</f>
        <v>3610.8</v>
      </c>
    </row>
    <row r="205">
      <c r="A205" s="2" t="str">
        <f>IFERROR(__xludf.DUMMYFUNCTION("""COMPUTED_VALUE"""),"PR005")</f>
        <v>PR005</v>
      </c>
      <c r="B205" s="2" t="str">
        <f>IFERROR(__xludf.DUMMYFUNCTION("""COMPUTED_VALUE"""),"VD037")</f>
        <v>VD037</v>
      </c>
      <c r="C205" s="2">
        <f>IFERROR(__xludf.DUMMYFUNCTION("""COMPUTED_VALUE"""),20.0)</f>
        <v>20</v>
      </c>
      <c r="D205" s="2">
        <f>IFERROR(__xludf.DUMMYFUNCTION("""COMPUTED_VALUE"""),6185.62)</f>
        <v>6185.62</v>
      </c>
    </row>
    <row r="206">
      <c r="A206" s="2" t="str">
        <f>IFERROR(__xludf.DUMMYFUNCTION("""COMPUTED_VALUE"""),"PR058")</f>
        <v>PR058</v>
      </c>
      <c r="B206" s="2" t="str">
        <f>IFERROR(__xludf.DUMMYFUNCTION("""COMPUTED_VALUE"""),"VD048")</f>
        <v>VD048</v>
      </c>
      <c r="C206" s="2">
        <f>IFERROR(__xludf.DUMMYFUNCTION("""COMPUTED_VALUE"""),15.0)</f>
        <v>15</v>
      </c>
      <c r="D206" s="2">
        <f>IFERROR(__xludf.DUMMYFUNCTION("""COMPUTED_VALUE"""),3105.0)</f>
        <v>3105</v>
      </c>
    </row>
    <row r="207">
      <c r="A207" s="2" t="str">
        <f>IFERROR(__xludf.DUMMYFUNCTION("""COMPUTED_VALUE"""),"PR025")</f>
        <v>PR025</v>
      </c>
      <c r="B207" s="2" t="str">
        <f>IFERROR(__xludf.DUMMYFUNCTION("""COMPUTED_VALUE"""),"VD035")</f>
        <v>VD035</v>
      </c>
      <c r="C207" s="2">
        <f>IFERROR(__xludf.DUMMYFUNCTION("""COMPUTED_VALUE"""),12.0)</f>
        <v>12</v>
      </c>
      <c r="D207" s="2">
        <f>IFERROR(__xludf.DUMMYFUNCTION("""COMPUTED_VALUE"""),4102.63)</f>
        <v>4102.63</v>
      </c>
    </row>
    <row r="208">
      <c r="A208" s="2" t="str">
        <f>IFERROR(__xludf.DUMMYFUNCTION("""COMPUTED_VALUE"""),"PR042")</f>
        <v>PR042</v>
      </c>
      <c r="B208" s="2" t="str">
        <f>IFERROR(__xludf.DUMMYFUNCTION("""COMPUTED_VALUE"""),"VD017")</f>
        <v>VD017</v>
      </c>
      <c r="C208" s="2">
        <f>IFERROR(__xludf.DUMMYFUNCTION("""COMPUTED_VALUE"""),3.0)</f>
        <v>3</v>
      </c>
      <c r="D208" s="2">
        <f>IFERROR(__xludf.DUMMYFUNCTION("""COMPUTED_VALUE"""),197.64)</f>
        <v>197.64</v>
      </c>
    </row>
    <row r="209">
      <c r="A209" s="2" t="str">
        <f>IFERROR(__xludf.DUMMYFUNCTION("""COMPUTED_VALUE"""),"PR046")</f>
        <v>PR046</v>
      </c>
      <c r="B209" s="2" t="str">
        <f>IFERROR(__xludf.DUMMYFUNCTION("""COMPUTED_VALUE"""),"VD039")</f>
        <v>VD039</v>
      </c>
      <c r="C209" s="2">
        <f>IFERROR(__xludf.DUMMYFUNCTION("""COMPUTED_VALUE"""),15.0)</f>
        <v>15</v>
      </c>
      <c r="D209" s="2">
        <f>IFERROR(__xludf.DUMMYFUNCTION("""COMPUTED_VALUE"""),4870.32)</f>
        <v>4870.32</v>
      </c>
    </row>
    <row r="210">
      <c r="A210" s="2" t="str">
        <f>IFERROR(__xludf.DUMMYFUNCTION("""COMPUTED_VALUE"""),"PR006")</f>
        <v>PR006</v>
      </c>
      <c r="B210" s="2" t="str">
        <f>IFERROR(__xludf.DUMMYFUNCTION("""COMPUTED_VALUE"""),"VD044")</f>
        <v>VD044</v>
      </c>
      <c r="C210" s="2">
        <f>IFERROR(__xludf.DUMMYFUNCTION("""COMPUTED_VALUE"""),27.0)</f>
        <v>27</v>
      </c>
      <c r="D210" s="2">
        <f>IFERROR(__xludf.DUMMYFUNCTION("""COMPUTED_VALUE"""),1238.9)</f>
        <v>1238.9</v>
      </c>
    </row>
    <row r="211">
      <c r="A211" s="2" t="str">
        <f>IFERROR(__xludf.DUMMYFUNCTION("""COMPUTED_VALUE"""),"PR053")</f>
        <v>PR053</v>
      </c>
      <c r="B211" s="2" t="str">
        <f>IFERROR(__xludf.DUMMYFUNCTION("""COMPUTED_VALUE"""),"VD047")</f>
        <v>VD047</v>
      </c>
      <c r="C211" s="2">
        <f>IFERROR(__xludf.DUMMYFUNCTION("""COMPUTED_VALUE"""),12.0)</f>
        <v>12</v>
      </c>
      <c r="D211" s="2">
        <f>IFERROR(__xludf.DUMMYFUNCTION("""COMPUTED_VALUE"""),676.64)</f>
        <v>676.64</v>
      </c>
    </row>
    <row r="212">
      <c r="A212" s="2" t="str">
        <f>IFERROR(__xludf.DUMMYFUNCTION("""COMPUTED_VALUE"""),"PR042")</f>
        <v>PR042</v>
      </c>
      <c r="B212" s="2" t="str">
        <f>IFERROR(__xludf.DUMMYFUNCTION("""COMPUTED_VALUE"""),"VD018")</f>
        <v>VD018</v>
      </c>
      <c r="C212" s="2">
        <f>IFERROR(__xludf.DUMMYFUNCTION("""COMPUTED_VALUE"""),8.0)</f>
        <v>8</v>
      </c>
      <c r="D212" s="2">
        <f>IFERROR(__xludf.DUMMYFUNCTION("""COMPUTED_VALUE"""),491.9)</f>
        <v>491.9</v>
      </c>
    </row>
    <row r="213">
      <c r="A213" s="2" t="str">
        <f>IFERROR(__xludf.DUMMYFUNCTION("""COMPUTED_VALUE"""),"PR002")</f>
        <v>PR002</v>
      </c>
      <c r="B213" s="2" t="str">
        <f>IFERROR(__xludf.DUMMYFUNCTION("""COMPUTED_VALUE"""),"VD034")</f>
        <v>VD034</v>
      </c>
      <c r="C213" s="2">
        <f>IFERROR(__xludf.DUMMYFUNCTION("""COMPUTED_VALUE"""),3.0)</f>
        <v>3</v>
      </c>
      <c r="D213" s="2">
        <f>IFERROR(__xludf.DUMMYFUNCTION("""COMPUTED_VALUE"""),245.35)</f>
        <v>245.35</v>
      </c>
    </row>
    <row r="214">
      <c r="A214" s="2" t="str">
        <f>IFERROR(__xludf.DUMMYFUNCTION("""COMPUTED_VALUE"""),"PR016")</f>
        <v>PR016</v>
      </c>
      <c r="B214" s="2" t="str">
        <f>IFERROR(__xludf.DUMMYFUNCTION("""COMPUTED_VALUE"""),"VD019")</f>
        <v>VD019</v>
      </c>
      <c r="C214" s="2">
        <f>IFERROR(__xludf.DUMMYFUNCTION("""COMPUTED_VALUE"""),16.0)</f>
        <v>16</v>
      </c>
      <c r="D214" s="2">
        <f>IFERROR(__xludf.DUMMYFUNCTION("""COMPUTED_VALUE"""),472.42)</f>
        <v>472.42</v>
      </c>
    </row>
    <row r="215">
      <c r="A215" s="2" t="str">
        <f>IFERROR(__xludf.DUMMYFUNCTION("""COMPUTED_VALUE"""),"PR055")</f>
        <v>PR055</v>
      </c>
      <c r="B215" s="2" t="str">
        <f>IFERROR(__xludf.DUMMYFUNCTION("""COMPUTED_VALUE"""),"VD029")</f>
        <v>VD029</v>
      </c>
      <c r="C215" s="2">
        <f>IFERROR(__xludf.DUMMYFUNCTION("""COMPUTED_VALUE"""),2.0)</f>
        <v>2</v>
      </c>
      <c r="D215" s="2">
        <f>IFERROR(__xludf.DUMMYFUNCTION("""COMPUTED_VALUE"""),213.96)</f>
        <v>213.96</v>
      </c>
    </row>
    <row r="216">
      <c r="A216" s="2" t="str">
        <f>IFERROR(__xludf.DUMMYFUNCTION("""COMPUTED_VALUE"""),"PR057")</f>
        <v>PR057</v>
      </c>
      <c r="B216" s="2" t="str">
        <f>IFERROR(__xludf.DUMMYFUNCTION("""COMPUTED_VALUE"""),"VD037")</f>
        <v>VD037</v>
      </c>
      <c r="C216" s="2">
        <f>IFERROR(__xludf.DUMMYFUNCTION("""COMPUTED_VALUE"""),3.0)</f>
        <v>3</v>
      </c>
      <c r="D216" s="2">
        <f>IFERROR(__xludf.DUMMYFUNCTION("""COMPUTED_VALUE"""),315.55)</f>
        <v>315.55</v>
      </c>
    </row>
    <row r="217">
      <c r="A217" s="2" t="str">
        <f>IFERROR(__xludf.DUMMYFUNCTION("""COMPUTED_VALUE"""),"PR011")</f>
        <v>PR011</v>
      </c>
      <c r="B217" s="2" t="str">
        <f>IFERROR(__xludf.DUMMYFUNCTION("""COMPUTED_VALUE"""),"VD030")</f>
        <v>VD030</v>
      </c>
      <c r="C217" s="2">
        <f>IFERROR(__xludf.DUMMYFUNCTION("""COMPUTED_VALUE"""),7.0)</f>
        <v>7</v>
      </c>
      <c r="D217" s="2">
        <f>IFERROR(__xludf.DUMMYFUNCTION("""COMPUTED_VALUE"""),380.83)</f>
        <v>380.83</v>
      </c>
    </row>
    <row r="218">
      <c r="A218" s="2" t="str">
        <f>IFERROR(__xludf.DUMMYFUNCTION("""COMPUTED_VALUE"""),"PR006")</f>
        <v>PR006</v>
      </c>
      <c r="B218" s="2" t="str">
        <f>IFERROR(__xludf.DUMMYFUNCTION("""COMPUTED_VALUE"""),"VD047")</f>
        <v>VD047</v>
      </c>
      <c r="C218" s="2">
        <f>IFERROR(__xludf.DUMMYFUNCTION("""COMPUTED_VALUE"""),16.0)</f>
        <v>16</v>
      </c>
      <c r="D218" s="2">
        <f>IFERROR(__xludf.DUMMYFUNCTION("""COMPUTED_VALUE"""),766.08)</f>
        <v>766.08</v>
      </c>
    </row>
    <row r="219">
      <c r="A219" s="2" t="str">
        <f>IFERROR(__xludf.DUMMYFUNCTION("""COMPUTED_VALUE"""),"PR019")</f>
        <v>PR019</v>
      </c>
      <c r="B219" s="2" t="str">
        <f>IFERROR(__xludf.DUMMYFUNCTION("""COMPUTED_VALUE"""),"VD034")</f>
        <v>VD034</v>
      </c>
      <c r="C219" s="2">
        <f>IFERROR(__xludf.DUMMYFUNCTION("""COMPUTED_VALUE"""),12.0)</f>
        <v>12</v>
      </c>
      <c r="D219" s="2">
        <f>IFERROR(__xludf.DUMMYFUNCTION("""COMPUTED_VALUE"""),670.66)</f>
        <v>670.66</v>
      </c>
    </row>
    <row r="220">
      <c r="A220" s="2" t="str">
        <f>IFERROR(__xludf.DUMMYFUNCTION("""COMPUTED_VALUE"""),"PR006")</f>
        <v>PR006</v>
      </c>
      <c r="B220" s="2" t="str">
        <f>IFERROR(__xludf.DUMMYFUNCTION("""COMPUTED_VALUE"""),"VD037")</f>
        <v>VD037</v>
      </c>
      <c r="C220" s="2">
        <f>IFERROR(__xludf.DUMMYFUNCTION("""COMPUTED_VALUE"""),10.0)</f>
        <v>10</v>
      </c>
      <c r="D220" s="2">
        <f>IFERROR(__xludf.DUMMYFUNCTION("""COMPUTED_VALUE"""),462.84)</f>
        <v>462.84</v>
      </c>
    </row>
    <row r="221">
      <c r="A221" s="2" t="str">
        <f>IFERROR(__xludf.DUMMYFUNCTION("""COMPUTED_VALUE"""),"PR026")</f>
        <v>PR026</v>
      </c>
      <c r="B221" s="2" t="str">
        <f>IFERROR(__xludf.DUMMYFUNCTION("""COMPUTED_VALUE"""),"VD032")</f>
        <v>VD032</v>
      </c>
      <c r="C221" s="2">
        <f>IFERROR(__xludf.DUMMYFUNCTION("""COMPUTED_VALUE"""),6.0)</f>
        <v>6</v>
      </c>
      <c r="D221" s="2">
        <f>IFERROR(__xludf.DUMMYFUNCTION("""COMPUTED_VALUE"""),2393.32)</f>
        <v>2393.32</v>
      </c>
    </row>
    <row r="222">
      <c r="A222" s="2" t="str">
        <f>IFERROR(__xludf.DUMMYFUNCTION("""COMPUTED_VALUE"""),"PR058")</f>
        <v>PR058</v>
      </c>
      <c r="B222" s="2" t="str">
        <f>IFERROR(__xludf.DUMMYFUNCTION("""COMPUTED_VALUE"""),"VD027")</f>
        <v>VD027</v>
      </c>
      <c r="C222" s="2">
        <f>IFERROR(__xludf.DUMMYFUNCTION("""COMPUTED_VALUE"""),2.0)</f>
        <v>2</v>
      </c>
      <c r="D222" s="2">
        <f>IFERROR(__xludf.DUMMYFUNCTION("""COMPUTED_VALUE"""),417.6)</f>
        <v>417.6</v>
      </c>
    </row>
    <row r="223">
      <c r="A223" s="2" t="str">
        <f>IFERROR(__xludf.DUMMYFUNCTION("""COMPUTED_VALUE"""),"PR013")</f>
        <v>PR013</v>
      </c>
      <c r="B223" s="2" t="str">
        <f>IFERROR(__xludf.DUMMYFUNCTION("""COMPUTED_VALUE"""),"VD011")</f>
        <v>VD011</v>
      </c>
      <c r="C223" s="2">
        <f>IFERROR(__xludf.DUMMYFUNCTION("""COMPUTED_VALUE"""),15.0)</f>
        <v>15</v>
      </c>
      <c r="D223" s="2">
        <f>IFERROR(__xludf.DUMMYFUNCTION("""COMPUTED_VALUE"""),712.22)</f>
        <v>712.22</v>
      </c>
    </row>
    <row r="224">
      <c r="A224" s="2" t="str">
        <f>IFERROR(__xludf.DUMMYFUNCTION("""COMPUTED_VALUE"""),"PR058")</f>
        <v>PR058</v>
      </c>
      <c r="B224" s="2" t="str">
        <f>IFERROR(__xludf.DUMMYFUNCTION("""COMPUTED_VALUE"""),"VD017")</f>
        <v>VD017</v>
      </c>
      <c r="C224" s="2">
        <f>IFERROR(__xludf.DUMMYFUNCTION("""COMPUTED_VALUE"""),7.0)</f>
        <v>7</v>
      </c>
      <c r="D224" s="2">
        <f>IFERROR(__xludf.DUMMYFUNCTION("""COMPUTED_VALUE"""),1486.8)</f>
        <v>1486.8</v>
      </c>
    </row>
    <row r="225">
      <c r="A225" s="2" t="str">
        <f>IFERROR(__xludf.DUMMYFUNCTION("""COMPUTED_VALUE"""),"PR030")</f>
        <v>PR030</v>
      </c>
      <c r="B225" s="2" t="str">
        <f>IFERROR(__xludf.DUMMYFUNCTION("""COMPUTED_VALUE"""),"VD036")</f>
        <v>VD036</v>
      </c>
      <c r="C225" s="2">
        <f>IFERROR(__xludf.DUMMYFUNCTION("""COMPUTED_VALUE"""),9.0)</f>
        <v>9</v>
      </c>
      <c r="D225" s="2">
        <f>IFERROR(__xludf.DUMMYFUNCTION("""COMPUTED_VALUE"""),2689.97)</f>
        <v>2689.97</v>
      </c>
    </row>
    <row r="226">
      <c r="A226" s="2" t="str">
        <f>IFERROR(__xludf.DUMMYFUNCTION("""COMPUTED_VALUE"""),"PR015")</f>
        <v>PR015</v>
      </c>
      <c r="B226" s="2" t="str">
        <f>IFERROR(__xludf.DUMMYFUNCTION("""COMPUTED_VALUE"""),"VD049")</f>
        <v>VD049</v>
      </c>
      <c r="C226" s="2">
        <f>IFERROR(__xludf.DUMMYFUNCTION("""COMPUTED_VALUE"""),30.0)</f>
        <v>30</v>
      </c>
      <c r="D226" s="2">
        <f>IFERROR(__xludf.DUMMYFUNCTION("""COMPUTED_VALUE"""),1415.25)</f>
        <v>1415.25</v>
      </c>
    </row>
    <row r="227">
      <c r="A227" s="2" t="str">
        <f>IFERROR(__xludf.DUMMYFUNCTION("""COMPUTED_VALUE"""),"PR001")</f>
        <v>PR001</v>
      </c>
      <c r="B227" s="2" t="str">
        <f>IFERROR(__xludf.DUMMYFUNCTION("""COMPUTED_VALUE"""),"VD013")</f>
        <v>VD013</v>
      </c>
      <c r="C227" s="2">
        <f>IFERROR(__xludf.DUMMYFUNCTION("""COMPUTED_VALUE"""),16.0)</f>
        <v>16</v>
      </c>
      <c r="D227" s="2">
        <f>IFERROR(__xludf.DUMMYFUNCTION("""COMPUTED_VALUE"""),1254.74)</f>
        <v>1254.74</v>
      </c>
    </row>
    <row r="228">
      <c r="A228" s="2" t="str">
        <f>IFERROR(__xludf.DUMMYFUNCTION("""COMPUTED_VALUE"""),"PR053")</f>
        <v>PR053</v>
      </c>
      <c r="B228" s="2" t="str">
        <f>IFERROR(__xludf.DUMMYFUNCTION("""COMPUTED_VALUE"""),"VD012")</f>
        <v>VD012</v>
      </c>
      <c r="C228" s="2">
        <f>IFERROR(__xludf.DUMMYFUNCTION("""COMPUTED_VALUE"""),3.0)</f>
        <v>3</v>
      </c>
      <c r="D228" s="2">
        <f>IFERROR(__xludf.DUMMYFUNCTION("""COMPUTED_VALUE"""),166.17)</f>
        <v>166.17</v>
      </c>
    </row>
    <row r="229">
      <c r="A229" s="2" t="str">
        <f>IFERROR(__xludf.DUMMYFUNCTION("""COMPUTED_VALUE"""),"PR041")</f>
        <v>PR041</v>
      </c>
      <c r="B229" s="2" t="str">
        <f>IFERROR(__xludf.DUMMYFUNCTION("""COMPUTED_VALUE"""),"VD037")</f>
        <v>VD037</v>
      </c>
      <c r="C229" s="2">
        <f>IFERROR(__xludf.DUMMYFUNCTION("""COMPUTED_VALUE"""),2.0)</f>
        <v>2</v>
      </c>
      <c r="D229" s="2">
        <f>IFERROR(__xludf.DUMMYFUNCTION("""COMPUTED_VALUE"""),122.98)</f>
        <v>122.98</v>
      </c>
    </row>
    <row r="230">
      <c r="A230" s="2" t="str">
        <f>IFERROR(__xludf.DUMMYFUNCTION("""COMPUTED_VALUE"""),"PR002")</f>
        <v>PR002</v>
      </c>
      <c r="B230" s="2" t="str">
        <f>IFERROR(__xludf.DUMMYFUNCTION("""COMPUTED_VALUE"""),"VD047")</f>
        <v>VD047</v>
      </c>
      <c r="C230" s="2">
        <f>IFERROR(__xludf.DUMMYFUNCTION("""COMPUTED_VALUE"""),2.0)</f>
        <v>2</v>
      </c>
      <c r="D230" s="2">
        <f>IFERROR(__xludf.DUMMYFUNCTION("""COMPUTED_VALUE"""),153.78)</f>
        <v>153.78</v>
      </c>
    </row>
    <row r="231">
      <c r="A231" s="2" t="str">
        <f>IFERROR(__xludf.DUMMYFUNCTION("""COMPUTED_VALUE"""),"PR021")</f>
        <v>PR021</v>
      </c>
      <c r="B231" s="2" t="str">
        <f>IFERROR(__xludf.DUMMYFUNCTION("""COMPUTED_VALUE"""),"VD039")</f>
        <v>VD039</v>
      </c>
      <c r="C231" s="2">
        <f>IFERROR(__xludf.DUMMYFUNCTION("""COMPUTED_VALUE"""),27.0)</f>
        <v>27</v>
      </c>
      <c r="D231" s="2">
        <f>IFERROR(__xludf.DUMMYFUNCTION("""COMPUTED_VALUE"""),9241.48)</f>
        <v>9241.48</v>
      </c>
    </row>
    <row r="232">
      <c r="A232" s="2" t="str">
        <f>IFERROR(__xludf.DUMMYFUNCTION("""COMPUTED_VALUE"""),"PR035")</f>
        <v>PR035</v>
      </c>
      <c r="B232" s="2" t="str">
        <f>IFERROR(__xludf.DUMMYFUNCTION("""COMPUTED_VALUE"""),"VD026")</f>
        <v>VD026</v>
      </c>
      <c r="C232" s="2">
        <f>IFERROR(__xludf.DUMMYFUNCTION("""COMPUTED_VALUE"""),6.0)</f>
        <v>6</v>
      </c>
      <c r="D232" s="2">
        <f>IFERROR(__xludf.DUMMYFUNCTION("""COMPUTED_VALUE"""),608.72)</f>
        <v>608.72</v>
      </c>
    </row>
    <row r="233">
      <c r="A233" s="2" t="str">
        <f>IFERROR(__xludf.DUMMYFUNCTION("""COMPUTED_VALUE"""),"PR008")</f>
        <v>PR008</v>
      </c>
      <c r="B233" s="2" t="str">
        <f>IFERROR(__xludf.DUMMYFUNCTION("""COMPUTED_VALUE"""),"VD036")</f>
        <v>VD036</v>
      </c>
      <c r="C233" s="2">
        <f>IFERROR(__xludf.DUMMYFUNCTION("""COMPUTED_VALUE"""),6.0)</f>
        <v>6</v>
      </c>
      <c r="D233" s="2">
        <f>IFERROR(__xludf.DUMMYFUNCTION("""COMPUTED_VALUE"""),593.34)</f>
        <v>593.34</v>
      </c>
    </row>
    <row r="234">
      <c r="A234" s="2" t="str">
        <f>IFERROR(__xludf.DUMMYFUNCTION("""COMPUTED_VALUE"""),"PR045")</f>
        <v>PR045</v>
      </c>
      <c r="B234" s="2" t="str">
        <f>IFERROR(__xludf.DUMMYFUNCTION("""COMPUTED_VALUE"""),"VD045")</f>
        <v>VD045</v>
      </c>
      <c r="C234" s="2">
        <f>IFERROR(__xludf.DUMMYFUNCTION("""COMPUTED_VALUE"""),6.0)</f>
        <v>6</v>
      </c>
      <c r="D234" s="2">
        <f>IFERROR(__xludf.DUMMYFUNCTION("""COMPUTED_VALUE"""),513.3)</f>
        <v>513.3</v>
      </c>
    </row>
    <row r="235">
      <c r="A235" s="2" t="str">
        <f>IFERROR(__xludf.DUMMYFUNCTION("""COMPUTED_VALUE"""),"PR037")</f>
        <v>PR037</v>
      </c>
      <c r="B235" s="2" t="str">
        <f>IFERROR(__xludf.DUMMYFUNCTION("""COMPUTED_VALUE"""),"VD021")</f>
        <v>VD021</v>
      </c>
      <c r="C235" s="2">
        <f>IFERROR(__xludf.DUMMYFUNCTION("""COMPUTED_VALUE"""),9.0)</f>
        <v>9</v>
      </c>
      <c r="D235" s="2">
        <f>IFERROR(__xludf.DUMMYFUNCTION("""COMPUTED_VALUE"""),1398.6)</f>
        <v>1398.6</v>
      </c>
    </row>
    <row r="236">
      <c r="A236" s="2" t="str">
        <f>IFERROR(__xludf.DUMMYFUNCTION("""COMPUTED_VALUE"""),"PR016")</f>
        <v>PR016</v>
      </c>
      <c r="B236" s="2" t="str">
        <f>IFERROR(__xludf.DUMMYFUNCTION("""COMPUTED_VALUE"""),"VD041")</f>
        <v>VD041</v>
      </c>
      <c r="C236" s="2">
        <f>IFERROR(__xludf.DUMMYFUNCTION("""COMPUTED_VALUE"""),2.0)</f>
        <v>2</v>
      </c>
      <c r="D236" s="2">
        <f>IFERROR(__xludf.DUMMYFUNCTION("""COMPUTED_VALUE"""),57.5)</f>
        <v>57.5</v>
      </c>
    </row>
    <row r="237">
      <c r="A237" s="2" t="str">
        <f>IFERROR(__xludf.DUMMYFUNCTION("""COMPUTED_VALUE"""),"PR053")</f>
        <v>PR053</v>
      </c>
      <c r="B237" s="2" t="str">
        <f>IFERROR(__xludf.DUMMYFUNCTION("""COMPUTED_VALUE"""),"VD013")</f>
        <v>VD013</v>
      </c>
      <c r="C237" s="2">
        <f>IFERROR(__xludf.DUMMYFUNCTION("""COMPUTED_VALUE"""),21.0)</f>
        <v>21</v>
      </c>
      <c r="D237" s="2">
        <f>IFERROR(__xludf.DUMMYFUNCTION("""COMPUTED_VALUE"""),1247.0)</f>
        <v>1247</v>
      </c>
    </row>
    <row r="238">
      <c r="A238" s="2" t="str">
        <f>IFERROR(__xludf.DUMMYFUNCTION("""COMPUTED_VALUE"""),"PR001")</f>
        <v>PR001</v>
      </c>
      <c r="B238" s="2" t="str">
        <f>IFERROR(__xludf.DUMMYFUNCTION("""COMPUTED_VALUE"""),"VD019")</f>
        <v>VD019</v>
      </c>
      <c r="C238" s="2">
        <f>IFERROR(__xludf.DUMMYFUNCTION("""COMPUTED_VALUE"""),21.0)</f>
        <v>21</v>
      </c>
      <c r="D238" s="2">
        <f>IFERROR(__xludf.DUMMYFUNCTION("""COMPUTED_VALUE"""),1577.65)</f>
        <v>1577.65</v>
      </c>
    </row>
    <row r="239">
      <c r="A239" s="2" t="str">
        <f>IFERROR(__xludf.DUMMYFUNCTION("""COMPUTED_VALUE"""),"PR052")</f>
        <v>PR052</v>
      </c>
      <c r="B239" s="2" t="str">
        <f>IFERROR(__xludf.DUMMYFUNCTION("""COMPUTED_VALUE"""),"VD032")</f>
        <v>VD032</v>
      </c>
      <c r="C239" s="2">
        <f>IFERROR(__xludf.DUMMYFUNCTION("""COMPUTED_VALUE"""),2.0)</f>
        <v>2</v>
      </c>
      <c r="D239" s="2">
        <f>IFERROR(__xludf.DUMMYFUNCTION("""COMPUTED_VALUE"""),114.77)</f>
        <v>114.77</v>
      </c>
    </row>
    <row r="240">
      <c r="A240" s="2" t="str">
        <f>IFERROR(__xludf.DUMMYFUNCTION("""COMPUTED_VALUE"""),"PR027")</f>
        <v>PR027</v>
      </c>
      <c r="B240" s="2" t="str">
        <f>IFERROR(__xludf.DUMMYFUNCTION("""COMPUTED_VALUE"""),"VD018")</f>
        <v>VD018</v>
      </c>
      <c r="C240" s="2">
        <f>IFERROR(__xludf.DUMMYFUNCTION("""COMPUTED_VALUE"""),8.0)</f>
        <v>8</v>
      </c>
      <c r="D240" s="2">
        <f>IFERROR(__xludf.DUMMYFUNCTION("""COMPUTED_VALUE"""),1056.0)</f>
        <v>1056</v>
      </c>
    </row>
    <row r="241">
      <c r="A241" s="2" t="str">
        <f>IFERROR(__xludf.DUMMYFUNCTION("""COMPUTED_VALUE"""),"PR049")</f>
        <v>PR049</v>
      </c>
      <c r="B241" s="2" t="str">
        <f>IFERROR(__xludf.DUMMYFUNCTION("""COMPUTED_VALUE"""),"VD013")</f>
        <v>VD013</v>
      </c>
      <c r="C241" s="2">
        <f>IFERROR(__xludf.DUMMYFUNCTION("""COMPUTED_VALUE"""),14.0)</f>
        <v>14</v>
      </c>
      <c r="D241" s="2">
        <f>IFERROR(__xludf.DUMMYFUNCTION("""COMPUTED_VALUE"""),515.87)</f>
        <v>515.87</v>
      </c>
    </row>
    <row r="242">
      <c r="A242" s="2" t="str">
        <f>IFERROR(__xludf.DUMMYFUNCTION("""COMPUTED_VALUE"""),"PR021")</f>
        <v>PR021</v>
      </c>
      <c r="B242" s="2" t="str">
        <f>IFERROR(__xludf.DUMMYFUNCTION("""COMPUTED_VALUE"""),"VD035")</f>
        <v>VD035</v>
      </c>
      <c r="C242" s="2">
        <f>IFERROR(__xludf.DUMMYFUNCTION("""COMPUTED_VALUE"""),7.0)</f>
        <v>7</v>
      </c>
      <c r="D242" s="2">
        <f>IFERROR(__xludf.DUMMYFUNCTION("""COMPUTED_VALUE"""),2417.14)</f>
        <v>2417.14</v>
      </c>
    </row>
    <row r="243">
      <c r="A243" s="2" t="str">
        <f>IFERROR(__xludf.DUMMYFUNCTION("""COMPUTED_VALUE"""),"PR055")</f>
        <v>PR055</v>
      </c>
      <c r="B243" s="2" t="str">
        <f>IFERROR(__xludf.DUMMYFUNCTION("""COMPUTED_VALUE"""),"VD030")</f>
        <v>VD030</v>
      </c>
      <c r="C243" s="2">
        <f>IFERROR(__xludf.DUMMYFUNCTION("""COMPUTED_VALUE"""),10.0)</f>
        <v>10</v>
      </c>
      <c r="D243" s="2">
        <f>IFERROR(__xludf.DUMMYFUNCTION("""COMPUTED_VALUE"""),1024.86)</f>
        <v>1024.86</v>
      </c>
    </row>
    <row r="244">
      <c r="A244" s="2" t="str">
        <f>IFERROR(__xludf.DUMMYFUNCTION("""COMPUTED_VALUE"""),"PR022")</f>
        <v>PR022</v>
      </c>
      <c r="B244" s="2" t="str">
        <f>IFERROR(__xludf.DUMMYFUNCTION("""COMPUTED_VALUE"""),"VD022")</f>
        <v>VD022</v>
      </c>
      <c r="C244" s="2">
        <f>IFERROR(__xludf.DUMMYFUNCTION("""COMPUTED_VALUE"""),8.0)</f>
        <v>8</v>
      </c>
      <c r="D244" s="2">
        <f>IFERROR(__xludf.DUMMYFUNCTION("""COMPUTED_VALUE"""),2712.0)</f>
        <v>2712</v>
      </c>
    </row>
    <row r="245">
      <c r="A245" s="2" t="str">
        <f>IFERROR(__xludf.DUMMYFUNCTION("""COMPUTED_VALUE"""),"PR043")</f>
        <v>PR043</v>
      </c>
      <c r="B245" s="2" t="str">
        <f>IFERROR(__xludf.DUMMYFUNCTION("""COMPUTED_VALUE"""),"VD037")</f>
        <v>VD037</v>
      </c>
      <c r="C245" s="2">
        <f>IFERROR(__xludf.DUMMYFUNCTION("""COMPUTED_VALUE"""),27.0)</f>
        <v>27</v>
      </c>
      <c r="D245" s="2">
        <f>IFERROR(__xludf.DUMMYFUNCTION("""COMPUTED_VALUE"""),2349.0)</f>
        <v>2349</v>
      </c>
    </row>
    <row r="246">
      <c r="A246" s="2" t="str">
        <f>IFERROR(__xludf.DUMMYFUNCTION("""COMPUTED_VALUE"""),"PR008")</f>
        <v>PR008</v>
      </c>
      <c r="B246" s="2" t="str">
        <f>IFERROR(__xludf.DUMMYFUNCTION("""COMPUTED_VALUE"""),"VD023")</f>
        <v>VD023</v>
      </c>
      <c r="C246" s="2">
        <f>IFERROR(__xludf.DUMMYFUNCTION("""COMPUTED_VALUE"""),6.0)</f>
        <v>6</v>
      </c>
      <c r="D246" s="2">
        <f>IFERROR(__xludf.DUMMYFUNCTION("""COMPUTED_VALUE"""),593.34)</f>
        <v>593.34</v>
      </c>
    </row>
    <row r="247">
      <c r="A247" s="2" t="str">
        <f>IFERROR(__xludf.DUMMYFUNCTION("""COMPUTED_VALUE"""),"PR004")</f>
        <v>PR004</v>
      </c>
      <c r="B247" s="2" t="str">
        <f>IFERROR(__xludf.DUMMYFUNCTION("""COMPUTED_VALUE"""),"VD017")</f>
        <v>VD017</v>
      </c>
      <c r="C247" s="2">
        <f>IFERROR(__xludf.DUMMYFUNCTION("""COMPUTED_VALUE"""),3.0)</f>
        <v>3</v>
      </c>
      <c r="D247" s="2">
        <f>IFERROR(__xludf.DUMMYFUNCTION("""COMPUTED_VALUE"""),491.55)</f>
        <v>491.55</v>
      </c>
    </row>
    <row r="248">
      <c r="A248" s="2" t="str">
        <f>IFERROR(__xludf.DUMMYFUNCTION("""COMPUTED_VALUE"""),"PR012")</f>
        <v>PR012</v>
      </c>
      <c r="B248" s="2" t="str">
        <f>IFERROR(__xludf.DUMMYFUNCTION("""COMPUTED_VALUE"""),"VD039")</f>
        <v>VD039</v>
      </c>
      <c r="C248" s="2">
        <f>IFERROR(__xludf.DUMMYFUNCTION("""COMPUTED_VALUE"""),2.0)</f>
        <v>2</v>
      </c>
      <c r="D248" s="2">
        <f>IFERROR(__xludf.DUMMYFUNCTION("""COMPUTED_VALUE"""),113.45)</f>
        <v>113.45</v>
      </c>
    </row>
    <row r="249">
      <c r="A249" s="2" t="str">
        <f>IFERROR(__xludf.DUMMYFUNCTION("""COMPUTED_VALUE"""),"PR024")</f>
        <v>PR024</v>
      </c>
      <c r="B249" s="2" t="str">
        <f>IFERROR(__xludf.DUMMYFUNCTION("""COMPUTED_VALUE"""),"VD032")</f>
        <v>VD032</v>
      </c>
      <c r="C249" s="2">
        <f>IFERROR(__xludf.DUMMYFUNCTION("""COMPUTED_VALUE"""),18.0)</f>
        <v>18</v>
      </c>
      <c r="D249" s="2">
        <f>IFERROR(__xludf.DUMMYFUNCTION("""COMPUTED_VALUE"""),5192.8)</f>
        <v>5192.8</v>
      </c>
    </row>
    <row r="250">
      <c r="A250" s="2" t="str">
        <f>IFERROR(__xludf.DUMMYFUNCTION("""COMPUTED_VALUE"""),"PR047")</f>
        <v>PR047</v>
      </c>
      <c r="B250" s="2" t="str">
        <f>IFERROR(__xludf.DUMMYFUNCTION("""COMPUTED_VALUE"""),"VD045")</f>
        <v>VD045</v>
      </c>
      <c r="C250" s="2">
        <f>IFERROR(__xludf.DUMMYFUNCTION("""COMPUTED_VALUE"""),8.0)</f>
        <v>8</v>
      </c>
      <c r="D250" s="2">
        <f>IFERROR(__xludf.DUMMYFUNCTION("""COMPUTED_VALUE"""),2736.66)</f>
        <v>2736.66</v>
      </c>
    </row>
    <row r="251">
      <c r="A251" s="2" t="str">
        <f>IFERROR(__xludf.DUMMYFUNCTION("""COMPUTED_VALUE"""),"PR030")</f>
        <v>PR030</v>
      </c>
      <c r="B251" s="2" t="str">
        <f>IFERROR(__xludf.DUMMYFUNCTION("""COMPUTED_VALUE"""),"VD022")</f>
        <v>VD022</v>
      </c>
      <c r="C251" s="2">
        <f>IFERROR(__xludf.DUMMYFUNCTION("""COMPUTED_VALUE"""),6.0)</f>
        <v>6</v>
      </c>
      <c r="D251" s="2">
        <f>IFERROR(__xludf.DUMMYFUNCTION("""COMPUTED_VALUE"""),1730.93)</f>
        <v>1730.93</v>
      </c>
    </row>
    <row r="252">
      <c r="A252" s="2" t="str">
        <f>IFERROR(__xludf.DUMMYFUNCTION("""COMPUTED_VALUE"""),"PR006")</f>
        <v>PR006</v>
      </c>
      <c r="B252" s="2" t="str">
        <f>IFERROR(__xludf.DUMMYFUNCTION("""COMPUTED_VALUE"""),"VD032")</f>
        <v>VD032</v>
      </c>
      <c r="C252" s="2">
        <f>IFERROR(__xludf.DUMMYFUNCTION("""COMPUTED_VALUE"""),7.0)</f>
        <v>7</v>
      </c>
      <c r="D252" s="2">
        <f>IFERROR(__xludf.DUMMYFUNCTION("""COMPUTED_VALUE"""),318.4)</f>
        <v>318.4</v>
      </c>
    </row>
    <row r="253">
      <c r="A253" s="2" t="str">
        <f>IFERROR(__xludf.DUMMYFUNCTION("""COMPUTED_VALUE"""),"PR032")</f>
        <v>PR032</v>
      </c>
      <c r="B253" s="2" t="str">
        <f>IFERROR(__xludf.DUMMYFUNCTION("""COMPUTED_VALUE"""),"VD014")</f>
        <v>VD014</v>
      </c>
      <c r="C253" s="2">
        <f>IFERROR(__xludf.DUMMYFUNCTION("""COMPUTED_VALUE"""),6.0)</f>
        <v>6</v>
      </c>
      <c r="D253" s="2">
        <f>IFERROR(__xludf.DUMMYFUNCTION("""COMPUTED_VALUE"""),1800.0)</f>
        <v>1800</v>
      </c>
    </row>
    <row r="254">
      <c r="A254" s="2" t="str">
        <f>IFERROR(__xludf.DUMMYFUNCTION("""COMPUTED_VALUE"""),"PR031")</f>
        <v>PR031</v>
      </c>
      <c r="B254" s="2" t="str">
        <f>IFERROR(__xludf.DUMMYFUNCTION("""COMPUTED_VALUE"""),"VD038")</f>
        <v>VD038</v>
      </c>
      <c r="C254" s="2">
        <f>IFERROR(__xludf.DUMMYFUNCTION("""COMPUTED_VALUE"""),16.0)</f>
        <v>16</v>
      </c>
      <c r="D254" s="2">
        <f>IFERROR(__xludf.DUMMYFUNCTION("""COMPUTED_VALUE"""),4664.8)</f>
        <v>4664.8</v>
      </c>
    </row>
    <row r="255">
      <c r="A255" s="2" t="str">
        <f>IFERROR(__xludf.DUMMYFUNCTION("""COMPUTED_VALUE"""),"PR029")</f>
        <v>PR029</v>
      </c>
      <c r="B255" s="2" t="str">
        <f>IFERROR(__xludf.DUMMYFUNCTION("""COMPUTED_VALUE"""),"VD027")</f>
        <v>VD027</v>
      </c>
      <c r="C255" s="2">
        <f>IFERROR(__xludf.DUMMYFUNCTION("""COMPUTED_VALUE"""),8.0)</f>
        <v>8</v>
      </c>
      <c r="D255" s="2">
        <f>IFERROR(__xludf.DUMMYFUNCTION("""COMPUTED_VALUE"""),2427.6)</f>
        <v>2427.6</v>
      </c>
    </row>
    <row r="256">
      <c r="A256" s="2" t="str">
        <f>IFERROR(__xludf.DUMMYFUNCTION("""COMPUTED_VALUE"""),"PR021")</f>
        <v>PR021</v>
      </c>
      <c r="B256" s="2" t="str">
        <f>IFERROR(__xludf.DUMMYFUNCTION("""COMPUTED_VALUE"""),"VD011")</f>
        <v>VD011</v>
      </c>
      <c r="C256" s="2">
        <f>IFERROR(__xludf.DUMMYFUNCTION("""COMPUTED_VALUE"""),5.0)</f>
        <v>5</v>
      </c>
      <c r="D256" s="2">
        <f>IFERROR(__xludf.DUMMYFUNCTION("""COMPUTED_VALUE"""),1696.24)</f>
        <v>1696.24</v>
      </c>
    </row>
    <row r="257">
      <c r="A257" s="2" t="str">
        <f>IFERROR(__xludf.DUMMYFUNCTION("""COMPUTED_VALUE"""),"PR039")</f>
        <v>PR039</v>
      </c>
      <c r="B257" s="2" t="str">
        <f>IFERROR(__xludf.DUMMYFUNCTION("""COMPUTED_VALUE"""),"VD017")</f>
        <v>VD017</v>
      </c>
      <c r="C257" s="2">
        <f>IFERROR(__xludf.DUMMYFUNCTION("""COMPUTED_VALUE"""),6.0)</f>
        <v>6</v>
      </c>
      <c r="D257" s="2">
        <f>IFERROR(__xludf.DUMMYFUNCTION("""COMPUTED_VALUE"""),1033.68)</f>
        <v>1033.68</v>
      </c>
    </row>
    <row r="258">
      <c r="A258" s="2" t="str">
        <f>IFERROR(__xludf.DUMMYFUNCTION("""COMPUTED_VALUE"""),"PR024")</f>
        <v>PR024</v>
      </c>
      <c r="B258" s="2" t="str">
        <f>IFERROR(__xludf.DUMMYFUNCTION("""COMPUTED_VALUE"""),"VD021")</f>
        <v>VD021</v>
      </c>
      <c r="C258" s="2">
        <f>IFERROR(__xludf.DUMMYFUNCTION("""COMPUTED_VALUE"""),12.0)</f>
        <v>12</v>
      </c>
      <c r="D258" s="2">
        <f>IFERROR(__xludf.DUMMYFUNCTION("""COMPUTED_VALUE"""),3617.81)</f>
        <v>3617.81</v>
      </c>
    </row>
    <row r="259">
      <c r="A259" s="2" t="str">
        <f>IFERROR(__xludf.DUMMYFUNCTION("""COMPUTED_VALUE"""),"PR039")</f>
        <v>PR039</v>
      </c>
      <c r="B259" s="2" t="str">
        <f>IFERROR(__xludf.DUMMYFUNCTION("""COMPUTED_VALUE"""),"VD042")</f>
        <v>VD042</v>
      </c>
      <c r="C259" s="2">
        <f>IFERROR(__xludf.DUMMYFUNCTION("""COMPUTED_VALUE"""),14.0)</f>
        <v>14</v>
      </c>
      <c r="D259" s="2">
        <f>IFERROR(__xludf.DUMMYFUNCTION("""COMPUTED_VALUE"""),2289.28)</f>
        <v>2289.28</v>
      </c>
    </row>
    <row r="260">
      <c r="A260" s="2" t="str">
        <f>IFERROR(__xludf.DUMMYFUNCTION("""COMPUTED_VALUE"""),"PR050")</f>
        <v>PR050</v>
      </c>
      <c r="B260" s="2" t="str">
        <f>IFERROR(__xludf.DUMMYFUNCTION("""COMPUTED_VALUE"""),"VD042")</f>
        <v>VD042</v>
      </c>
      <c r="C260" s="2">
        <f>IFERROR(__xludf.DUMMYFUNCTION("""COMPUTED_VALUE"""),8.0)</f>
        <v>8</v>
      </c>
      <c r="D260" s="2">
        <f>IFERROR(__xludf.DUMMYFUNCTION("""COMPUTED_VALUE"""),313.21)</f>
        <v>313.21</v>
      </c>
    </row>
    <row r="261">
      <c r="A261" s="2" t="str">
        <f>IFERROR(__xludf.DUMMYFUNCTION("""COMPUTED_VALUE"""),"PR032")</f>
        <v>PR032</v>
      </c>
      <c r="B261" s="2" t="str">
        <f>IFERROR(__xludf.DUMMYFUNCTION("""COMPUTED_VALUE"""),"VD036")</f>
        <v>VD036</v>
      </c>
      <c r="C261" s="2">
        <f>IFERROR(__xludf.DUMMYFUNCTION("""COMPUTED_VALUE"""),30.0)</f>
        <v>30</v>
      </c>
      <c r="D261" s="2">
        <f>IFERROR(__xludf.DUMMYFUNCTION("""COMPUTED_VALUE"""),8925.0)</f>
        <v>8925</v>
      </c>
    </row>
    <row r="262">
      <c r="A262" s="2" t="str">
        <f>IFERROR(__xludf.DUMMYFUNCTION("""COMPUTED_VALUE"""),"PR047")</f>
        <v>PR047</v>
      </c>
      <c r="B262" s="2" t="str">
        <f>IFERROR(__xludf.DUMMYFUNCTION("""COMPUTED_VALUE"""),"VD027")</f>
        <v>VD027</v>
      </c>
      <c r="C262" s="2">
        <f>IFERROR(__xludf.DUMMYFUNCTION("""COMPUTED_VALUE"""),8.0)</f>
        <v>8</v>
      </c>
      <c r="D262" s="2">
        <f>IFERROR(__xludf.DUMMYFUNCTION("""COMPUTED_VALUE"""),2481.54)</f>
        <v>2481.54</v>
      </c>
    </row>
    <row r="263">
      <c r="A263" s="2" t="str">
        <f>IFERROR(__xludf.DUMMYFUNCTION("""COMPUTED_VALUE"""),"PR016")</f>
        <v>PR016</v>
      </c>
      <c r="B263" s="2" t="str">
        <f>IFERROR(__xludf.DUMMYFUNCTION("""COMPUTED_VALUE"""),"VD023")</f>
        <v>VD023</v>
      </c>
      <c r="C263" s="2">
        <f>IFERROR(__xludf.DUMMYFUNCTION("""COMPUTED_VALUE"""),18.0)</f>
        <v>18</v>
      </c>
      <c r="D263" s="2">
        <f>IFERROR(__xludf.DUMMYFUNCTION("""COMPUTED_VALUE"""),470.86)</f>
        <v>470.86</v>
      </c>
    </row>
    <row r="264">
      <c r="A264" s="2" t="str">
        <f>IFERROR(__xludf.DUMMYFUNCTION("""COMPUTED_VALUE"""),"PR029")</f>
        <v>PR029</v>
      </c>
      <c r="B264" s="2" t="str">
        <f>IFERROR(__xludf.DUMMYFUNCTION("""COMPUTED_VALUE"""),"VD033")</f>
        <v>VD033</v>
      </c>
      <c r="C264" s="2">
        <f>IFERROR(__xludf.DUMMYFUNCTION("""COMPUTED_VALUE"""),16.0)</f>
        <v>16</v>
      </c>
      <c r="D264" s="2">
        <f>IFERROR(__xludf.DUMMYFUNCTION("""COMPUTED_VALUE"""),4161.6)</f>
        <v>4161.6</v>
      </c>
    </row>
    <row r="265">
      <c r="A265" s="2" t="str">
        <f>IFERROR(__xludf.DUMMYFUNCTION("""COMPUTED_VALUE"""),"PR050")</f>
        <v>PR050</v>
      </c>
      <c r="B265" s="2" t="str">
        <f>IFERROR(__xludf.DUMMYFUNCTION("""COMPUTED_VALUE"""),"VD036")</f>
        <v>VD036</v>
      </c>
      <c r="C265" s="2">
        <f>IFERROR(__xludf.DUMMYFUNCTION("""COMPUTED_VALUE"""),10.0)</f>
        <v>10</v>
      </c>
      <c r="D265" s="2">
        <f>IFERROR(__xludf.DUMMYFUNCTION("""COMPUTED_VALUE"""),345.45)</f>
        <v>345.45</v>
      </c>
    </row>
    <row r="266">
      <c r="A266" s="2" t="str">
        <f>IFERROR(__xludf.DUMMYFUNCTION("""COMPUTED_VALUE"""),"PR045")</f>
        <v>PR045</v>
      </c>
      <c r="B266" s="2" t="str">
        <f>IFERROR(__xludf.DUMMYFUNCTION("""COMPUTED_VALUE"""),"VD045")</f>
        <v>VD045</v>
      </c>
      <c r="C266" s="2">
        <f>IFERROR(__xludf.DUMMYFUNCTION("""COMPUTED_VALUE"""),3.0)</f>
        <v>3</v>
      </c>
      <c r="D266" s="2">
        <f>IFERROR(__xludf.DUMMYFUNCTION("""COMPUTED_VALUE"""),237.08)</f>
        <v>237.08</v>
      </c>
    </row>
    <row r="267">
      <c r="A267" s="2" t="str">
        <f>IFERROR(__xludf.DUMMYFUNCTION("""COMPUTED_VALUE"""),"PR053")</f>
        <v>PR053</v>
      </c>
      <c r="B267" s="2" t="str">
        <f>IFERROR(__xludf.DUMMYFUNCTION("""COMPUTED_VALUE"""),"VD022")</f>
        <v>VD022</v>
      </c>
      <c r="C267" s="2">
        <f>IFERROR(__xludf.DUMMYFUNCTION("""COMPUTED_VALUE"""),10.0)</f>
        <v>10</v>
      </c>
      <c r="D267" s="2">
        <f>IFERROR(__xludf.DUMMYFUNCTION("""COMPUTED_VALUE"""),543.91)</f>
        <v>543.91</v>
      </c>
    </row>
    <row r="268">
      <c r="A268" s="2" t="str">
        <f>IFERROR(__xludf.DUMMYFUNCTION("""COMPUTED_VALUE"""),"PR042")</f>
        <v>PR042</v>
      </c>
      <c r="B268" s="2" t="str">
        <f>IFERROR(__xludf.DUMMYFUNCTION("""COMPUTED_VALUE"""),"VD020")</f>
        <v>VD020</v>
      </c>
      <c r="C268" s="2">
        <f>IFERROR(__xludf.DUMMYFUNCTION("""COMPUTED_VALUE"""),3.0)</f>
        <v>3</v>
      </c>
      <c r="D268" s="2">
        <f>IFERROR(__xludf.DUMMYFUNCTION("""COMPUTED_VALUE"""),167.99)</f>
        <v>167.99</v>
      </c>
    </row>
    <row r="269">
      <c r="A269" s="2" t="str">
        <f>IFERROR(__xludf.DUMMYFUNCTION("""COMPUTED_VALUE"""),"PR049")</f>
        <v>PR049</v>
      </c>
      <c r="B269" s="2" t="str">
        <f>IFERROR(__xludf.DUMMYFUNCTION("""COMPUTED_VALUE"""),"VD019")</f>
        <v>VD019</v>
      </c>
      <c r="C269" s="2">
        <f>IFERROR(__xludf.DUMMYFUNCTION("""COMPUTED_VALUE"""),4.0)</f>
        <v>4</v>
      </c>
      <c r="D269" s="2">
        <f>IFERROR(__xludf.DUMMYFUNCTION("""COMPUTED_VALUE"""),132.92)</f>
        <v>132.92</v>
      </c>
    </row>
    <row r="270">
      <c r="A270" s="2" t="str">
        <f>IFERROR(__xludf.DUMMYFUNCTION("""COMPUTED_VALUE"""),"PR045")</f>
        <v>PR045</v>
      </c>
      <c r="B270" s="2" t="str">
        <f>IFERROR(__xludf.DUMMYFUNCTION("""COMPUTED_VALUE"""),"VD015")</f>
        <v>VD015</v>
      </c>
      <c r="C270" s="2">
        <f>IFERROR(__xludf.DUMMYFUNCTION("""COMPUTED_VALUE"""),18.0)</f>
        <v>18</v>
      </c>
      <c r="D270" s="2">
        <f>IFERROR(__xludf.DUMMYFUNCTION("""COMPUTED_VALUE"""),1357.2)</f>
        <v>1357.2</v>
      </c>
    </row>
    <row r="271">
      <c r="A271" s="2" t="str">
        <f>IFERROR(__xludf.DUMMYFUNCTION("""COMPUTED_VALUE"""),"PR037")</f>
        <v>PR037</v>
      </c>
      <c r="B271" s="2" t="str">
        <f>IFERROR(__xludf.DUMMYFUNCTION("""COMPUTED_VALUE"""),"VD029")</f>
        <v>VD029</v>
      </c>
      <c r="C271" s="2">
        <f>IFERROR(__xludf.DUMMYFUNCTION("""COMPUTED_VALUE"""),6.0)</f>
        <v>6</v>
      </c>
      <c r="D271" s="2">
        <f>IFERROR(__xludf.DUMMYFUNCTION("""COMPUTED_VALUE"""),915.6)</f>
        <v>915.6</v>
      </c>
    </row>
    <row r="272">
      <c r="A272" s="2" t="str">
        <f>IFERROR(__xludf.DUMMYFUNCTION("""COMPUTED_VALUE"""),"PR021")</f>
        <v>PR021</v>
      </c>
      <c r="B272" s="2" t="str">
        <f>IFERROR(__xludf.DUMMYFUNCTION("""COMPUTED_VALUE"""),"VD017")</f>
        <v>VD017</v>
      </c>
      <c r="C272" s="2">
        <f>IFERROR(__xludf.DUMMYFUNCTION("""COMPUTED_VALUE"""),10.0)</f>
        <v>10</v>
      </c>
      <c r="D272" s="2">
        <f>IFERROR(__xludf.DUMMYFUNCTION("""COMPUTED_VALUE"""),3331.9)</f>
        <v>3331.9</v>
      </c>
    </row>
    <row r="273">
      <c r="A273" s="2" t="str">
        <f>IFERROR(__xludf.DUMMYFUNCTION("""COMPUTED_VALUE"""),"PR034")</f>
        <v>PR034</v>
      </c>
      <c r="B273" s="2" t="str">
        <f>IFERROR(__xludf.DUMMYFUNCTION("""COMPUTED_VALUE"""),"VD045")</f>
        <v>VD045</v>
      </c>
      <c r="C273" s="2">
        <f>IFERROR(__xludf.DUMMYFUNCTION("""COMPUTED_VALUE"""),8.0)</f>
        <v>8</v>
      </c>
      <c r="D273" s="2">
        <f>IFERROR(__xludf.DUMMYFUNCTION("""COMPUTED_VALUE"""),719.2)</f>
        <v>719.2</v>
      </c>
    </row>
    <row r="274">
      <c r="A274" s="2" t="str">
        <f>IFERROR(__xludf.DUMMYFUNCTION("""COMPUTED_VALUE"""),"PR047")</f>
        <v>PR047</v>
      </c>
      <c r="B274" s="2" t="str">
        <f>IFERROR(__xludf.DUMMYFUNCTION("""COMPUTED_VALUE"""),"VD041")</f>
        <v>VD041</v>
      </c>
      <c r="C274" s="2">
        <f>IFERROR(__xludf.DUMMYFUNCTION("""COMPUTED_VALUE"""),8.0)</f>
        <v>8</v>
      </c>
      <c r="D274" s="2">
        <f>IFERROR(__xludf.DUMMYFUNCTION("""COMPUTED_VALUE"""),2388.78)</f>
        <v>2388.78</v>
      </c>
    </row>
    <row r="275">
      <c r="A275" s="2" t="str">
        <f>IFERROR(__xludf.DUMMYFUNCTION("""COMPUTED_VALUE"""),"PR025")</f>
        <v>PR025</v>
      </c>
      <c r="B275" s="2" t="str">
        <f>IFERROR(__xludf.DUMMYFUNCTION("""COMPUTED_VALUE"""),"VD033")</f>
        <v>VD033</v>
      </c>
      <c r="C275" s="2">
        <f>IFERROR(__xludf.DUMMYFUNCTION("""COMPUTED_VALUE"""),4.0)</f>
        <v>4</v>
      </c>
      <c r="D275" s="2">
        <f>IFERROR(__xludf.DUMMYFUNCTION("""COMPUTED_VALUE"""),1295.57)</f>
        <v>1295.57</v>
      </c>
    </row>
    <row r="276">
      <c r="A276" s="2" t="str">
        <f>IFERROR(__xludf.DUMMYFUNCTION("""COMPUTED_VALUE"""),"PR056")</f>
        <v>PR056</v>
      </c>
      <c r="B276" s="2" t="str">
        <f>IFERROR(__xludf.DUMMYFUNCTION("""COMPUTED_VALUE"""),"VD025")</f>
        <v>VD025</v>
      </c>
      <c r="C276" s="2">
        <f>IFERROR(__xludf.DUMMYFUNCTION("""COMPUTED_VALUE"""),30.0)</f>
        <v>30</v>
      </c>
      <c r="D276" s="2">
        <f>IFERROR(__xludf.DUMMYFUNCTION("""COMPUTED_VALUE"""),2697.0)</f>
        <v>2697</v>
      </c>
    </row>
    <row r="277">
      <c r="A277" s="2" t="str">
        <f>IFERROR(__xludf.DUMMYFUNCTION("""COMPUTED_VALUE"""),"PR017")</f>
        <v>PR017</v>
      </c>
      <c r="B277" s="2" t="str">
        <f>IFERROR(__xludf.DUMMYFUNCTION("""COMPUTED_VALUE"""),"VD014")</f>
        <v>VD014</v>
      </c>
      <c r="C277" s="2">
        <f>IFERROR(__xludf.DUMMYFUNCTION("""COMPUTED_VALUE"""),10.0)</f>
        <v>10</v>
      </c>
      <c r="D277" s="2">
        <f>IFERROR(__xludf.DUMMYFUNCTION("""COMPUTED_VALUE"""),310.96)</f>
        <v>310.96</v>
      </c>
    </row>
    <row r="278">
      <c r="A278" s="2" t="str">
        <f>IFERROR(__xludf.DUMMYFUNCTION("""COMPUTED_VALUE"""),"PR057")</f>
        <v>PR057</v>
      </c>
      <c r="B278" s="2" t="str">
        <f>IFERROR(__xludf.DUMMYFUNCTION("""COMPUTED_VALUE"""),"VD025")</f>
        <v>VD025</v>
      </c>
      <c r="C278" s="2">
        <f>IFERROR(__xludf.DUMMYFUNCTION("""COMPUTED_VALUE"""),3.0)</f>
        <v>3</v>
      </c>
      <c r="D278" s="2">
        <f>IFERROR(__xludf.DUMMYFUNCTION("""COMPUTED_VALUE"""),269.7)</f>
        <v>269.7</v>
      </c>
    </row>
    <row r="279">
      <c r="A279" s="2" t="str">
        <f>IFERROR(__xludf.DUMMYFUNCTION("""COMPUTED_VALUE"""),"PR033")</f>
        <v>PR033</v>
      </c>
      <c r="B279" s="2" t="str">
        <f>IFERROR(__xludf.DUMMYFUNCTION("""COMPUTED_VALUE"""),"VD016")</f>
        <v>VD016</v>
      </c>
      <c r="C279" s="2">
        <f>IFERROR(__xludf.DUMMYFUNCTION("""COMPUTED_VALUE"""),3.0)</f>
        <v>3</v>
      </c>
      <c r="D279" s="2">
        <f>IFERROR(__xludf.DUMMYFUNCTION("""COMPUTED_VALUE"""),818.69)</f>
        <v>818.69</v>
      </c>
    </row>
    <row r="280">
      <c r="A280" s="2" t="str">
        <f>IFERROR(__xludf.DUMMYFUNCTION("""COMPUTED_VALUE"""),"PR029")</f>
        <v>PR029</v>
      </c>
      <c r="B280" s="2" t="str">
        <f>IFERROR(__xludf.DUMMYFUNCTION("""COMPUTED_VALUE"""),"VD038")</f>
        <v>VD038</v>
      </c>
      <c r="C280" s="2">
        <f>IFERROR(__xludf.DUMMYFUNCTION("""COMPUTED_VALUE"""),3.0)</f>
        <v>3</v>
      </c>
      <c r="D280" s="2">
        <f>IFERROR(__xludf.DUMMYFUNCTION("""COMPUTED_VALUE"""),818.55)</f>
        <v>818.55</v>
      </c>
    </row>
    <row r="281">
      <c r="A281" s="2" t="str">
        <f>IFERROR(__xludf.DUMMYFUNCTION("""COMPUTED_VALUE"""),"PR060")</f>
        <v>PR060</v>
      </c>
      <c r="B281" s="2" t="str">
        <f>IFERROR(__xludf.DUMMYFUNCTION("""COMPUTED_VALUE"""),"VD039")</f>
        <v>VD039</v>
      </c>
      <c r="C281" s="2">
        <f>IFERROR(__xludf.DUMMYFUNCTION("""COMPUTED_VALUE"""),7.0)</f>
        <v>7</v>
      </c>
      <c r="D281" s="2">
        <f>IFERROR(__xludf.DUMMYFUNCTION("""COMPUTED_VALUE"""),1386.0)</f>
        <v>1386</v>
      </c>
    </row>
    <row r="282">
      <c r="A282" s="2" t="str">
        <f>IFERROR(__xludf.DUMMYFUNCTION("""COMPUTED_VALUE"""),"PR031")</f>
        <v>PR031</v>
      </c>
      <c r="B282" s="2" t="str">
        <f>IFERROR(__xludf.DUMMYFUNCTION("""COMPUTED_VALUE"""),"VD029")</f>
        <v>VD029</v>
      </c>
      <c r="C282" s="2">
        <f>IFERROR(__xludf.DUMMYFUNCTION("""COMPUTED_VALUE"""),6.0)</f>
        <v>6</v>
      </c>
      <c r="D282" s="2">
        <f>IFERROR(__xludf.DUMMYFUNCTION("""COMPUTED_VALUE"""),1484.7)</f>
        <v>1484.7</v>
      </c>
    </row>
    <row r="283">
      <c r="A283" s="2" t="str">
        <f>IFERROR(__xludf.DUMMYFUNCTION("""COMPUTED_VALUE"""),"PR038")</f>
        <v>PR038</v>
      </c>
      <c r="B283" s="2" t="str">
        <f>IFERROR(__xludf.DUMMYFUNCTION("""COMPUTED_VALUE"""),"VD036")</f>
        <v>VD036</v>
      </c>
      <c r="C283" s="2">
        <f>IFERROR(__xludf.DUMMYFUNCTION("""COMPUTED_VALUE"""),21.0)</f>
        <v>21</v>
      </c>
      <c r="D283" s="2">
        <f>IFERROR(__xludf.DUMMYFUNCTION("""COMPUTED_VALUE"""),3240.97)</f>
        <v>3240.97</v>
      </c>
    </row>
    <row r="284">
      <c r="A284" s="2" t="str">
        <f>IFERROR(__xludf.DUMMYFUNCTION("""COMPUTED_VALUE"""),"PR054")</f>
        <v>PR054</v>
      </c>
      <c r="B284" s="2" t="str">
        <f>IFERROR(__xludf.DUMMYFUNCTION("""COMPUTED_VALUE"""),"VD041")</f>
        <v>VD041</v>
      </c>
      <c r="C284" s="2">
        <f>IFERROR(__xludf.DUMMYFUNCTION("""COMPUTED_VALUE"""),10.0)</f>
        <v>10</v>
      </c>
      <c r="D284" s="2">
        <f>IFERROR(__xludf.DUMMYFUNCTION("""COMPUTED_VALUE"""),499.0)</f>
        <v>499</v>
      </c>
    </row>
    <row r="285">
      <c r="A285" s="2" t="str">
        <f>IFERROR(__xludf.DUMMYFUNCTION("""COMPUTED_VALUE"""),"PR022")</f>
        <v>PR022</v>
      </c>
      <c r="B285" s="2" t="str">
        <f>IFERROR(__xludf.DUMMYFUNCTION("""COMPUTED_VALUE"""),"VD045")</f>
        <v>VD045</v>
      </c>
      <c r="C285" s="2">
        <f>IFERROR(__xludf.DUMMYFUNCTION("""COMPUTED_VALUE"""),1.0)</f>
        <v>1</v>
      </c>
      <c r="D285" s="2">
        <f>IFERROR(__xludf.DUMMYFUNCTION("""COMPUTED_VALUE"""),306.0)</f>
        <v>306</v>
      </c>
    </row>
    <row r="286">
      <c r="A286" s="2" t="str">
        <f>IFERROR(__xludf.DUMMYFUNCTION("""COMPUTED_VALUE"""),"PR034")</f>
        <v>PR034</v>
      </c>
      <c r="B286" s="2" t="str">
        <f>IFERROR(__xludf.DUMMYFUNCTION("""COMPUTED_VALUE"""),"VD033")</f>
        <v>VD033</v>
      </c>
      <c r="C286" s="2">
        <f>IFERROR(__xludf.DUMMYFUNCTION("""COMPUTED_VALUE"""),18.0)</f>
        <v>18</v>
      </c>
      <c r="D286" s="2">
        <f>IFERROR(__xludf.DUMMYFUNCTION("""COMPUTED_VALUE"""),1747.66)</f>
        <v>1747.66</v>
      </c>
    </row>
    <row r="287">
      <c r="A287" s="2" t="str">
        <f>IFERROR(__xludf.DUMMYFUNCTION("""COMPUTED_VALUE"""),"PR010")</f>
        <v>PR010</v>
      </c>
      <c r="B287" s="2" t="str">
        <f>IFERROR(__xludf.DUMMYFUNCTION("""COMPUTED_VALUE"""),"VD034")</f>
        <v>VD034</v>
      </c>
      <c r="C287" s="2">
        <f>IFERROR(__xludf.DUMMYFUNCTION("""COMPUTED_VALUE"""),12.0)</f>
        <v>12</v>
      </c>
      <c r="D287" s="2">
        <f>IFERROR(__xludf.DUMMYFUNCTION("""COMPUTED_VALUE"""),538.8)</f>
        <v>538.8</v>
      </c>
    </row>
    <row r="288">
      <c r="A288" s="2" t="str">
        <f>IFERROR(__xludf.DUMMYFUNCTION("""COMPUTED_VALUE"""),"PR058")</f>
        <v>PR058</v>
      </c>
      <c r="B288" s="2" t="str">
        <f>IFERROR(__xludf.DUMMYFUNCTION("""COMPUTED_VALUE"""),"VD031")</f>
        <v>VD031</v>
      </c>
      <c r="C288" s="2">
        <f>IFERROR(__xludf.DUMMYFUNCTION("""COMPUTED_VALUE"""),10.0)</f>
        <v>10</v>
      </c>
      <c r="D288" s="2">
        <f>IFERROR(__xludf.DUMMYFUNCTION("""COMPUTED_VALUE"""),1890.0)</f>
        <v>1890</v>
      </c>
    </row>
    <row r="289">
      <c r="A289" s="2" t="str">
        <f>IFERROR(__xludf.DUMMYFUNCTION("""COMPUTED_VALUE"""),"PR012")</f>
        <v>PR012</v>
      </c>
      <c r="B289" s="2" t="str">
        <f>IFERROR(__xludf.DUMMYFUNCTION("""COMPUTED_VALUE"""),"VD015")</f>
        <v>VD015</v>
      </c>
      <c r="C289" s="2">
        <f>IFERROR(__xludf.DUMMYFUNCTION("""COMPUTED_VALUE"""),2.0)</f>
        <v>2</v>
      </c>
      <c r="D289" s="2">
        <f>IFERROR(__xludf.DUMMYFUNCTION("""COMPUTED_VALUE"""),103.67)</f>
        <v>103.67</v>
      </c>
    </row>
    <row r="290">
      <c r="A290" s="2" t="str">
        <f>IFERROR(__xludf.DUMMYFUNCTION("""COMPUTED_VALUE"""),"PR004")</f>
        <v>PR004</v>
      </c>
      <c r="B290" s="2" t="str">
        <f>IFERROR(__xludf.DUMMYFUNCTION("""COMPUTED_VALUE"""),"VD031")</f>
        <v>VD031</v>
      </c>
      <c r="C290" s="2">
        <f>IFERROR(__xludf.DUMMYFUNCTION("""COMPUTED_VALUE"""),1.0)</f>
        <v>1</v>
      </c>
      <c r="D290" s="2">
        <f>IFERROR(__xludf.DUMMYFUNCTION("""COMPUTED_VALUE"""),149.35)</f>
        <v>149.35</v>
      </c>
    </row>
    <row r="291">
      <c r="A291" s="2" t="str">
        <f>IFERROR(__xludf.DUMMYFUNCTION("""COMPUTED_VALUE"""),"PR027")</f>
        <v>PR027</v>
      </c>
      <c r="B291" s="2" t="str">
        <f>IFERROR(__xludf.DUMMYFUNCTION("""COMPUTED_VALUE"""),"VD030")</f>
        <v>VD030</v>
      </c>
      <c r="C291" s="2">
        <f>IFERROR(__xludf.DUMMYFUNCTION("""COMPUTED_VALUE"""),6.0)</f>
        <v>6</v>
      </c>
      <c r="D291" s="2">
        <f>IFERROR(__xludf.DUMMYFUNCTION("""COMPUTED_VALUE"""),770.4)</f>
        <v>770.4</v>
      </c>
    </row>
    <row r="292">
      <c r="A292" s="2" t="str">
        <f>IFERROR(__xludf.DUMMYFUNCTION("""COMPUTED_VALUE"""),"PR020")</f>
        <v>PR020</v>
      </c>
      <c r="B292" s="2" t="str">
        <f>IFERROR(__xludf.DUMMYFUNCTION("""COMPUTED_VALUE"""),"VD032")</f>
        <v>VD032</v>
      </c>
      <c r="C292" s="2">
        <f>IFERROR(__xludf.DUMMYFUNCTION("""COMPUTED_VALUE"""),18.0)</f>
        <v>18</v>
      </c>
      <c r="D292" s="2">
        <f>IFERROR(__xludf.DUMMYFUNCTION("""COMPUTED_VALUE"""),5668.11)</f>
        <v>5668.11</v>
      </c>
    </row>
    <row r="293">
      <c r="A293" s="2" t="str">
        <f>IFERROR(__xludf.DUMMYFUNCTION("""COMPUTED_VALUE"""),"PR016")</f>
        <v>PR016</v>
      </c>
      <c r="B293" s="2" t="str">
        <f>IFERROR(__xludf.DUMMYFUNCTION("""COMPUTED_VALUE"""),"VD032")</f>
        <v>VD032</v>
      </c>
      <c r="C293" s="2">
        <f>IFERROR(__xludf.DUMMYFUNCTION("""COMPUTED_VALUE"""),12.0)</f>
        <v>12</v>
      </c>
      <c r="D293" s="2">
        <f>IFERROR(__xludf.DUMMYFUNCTION("""COMPUTED_VALUE"""),320.12)</f>
        <v>320.12</v>
      </c>
    </row>
    <row r="294">
      <c r="A294" s="2" t="str">
        <f>IFERROR(__xludf.DUMMYFUNCTION("""COMPUTED_VALUE"""),"PR056")</f>
        <v>PR056</v>
      </c>
      <c r="B294" s="2" t="str">
        <f>IFERROR(__xludf.DUMMYFUNCTION("""COMPUTED_VALUE"""),"VD015")</f>
        <v>VD015</v>
      </c>
      <c r="C294" s="2">
        <f>IFERROR(__xludf.DUMMYFUNCTION("""COMPUTED_VALUE"""),1.0)</f>
        <v>1</v>
      </c>
      <c r="D294" s="2">
        <f>IFERROR(__xludf.DUMMYFUNCTION("""COMPUTED_VALUE"""),96.19)</f>
        <v>96.19</v>
      </c>
    </row>
    <row r="295">
      <c r="A295" s="2" t="str">
        <f>IFERROR(__xludf.DUMMYFUNCTION("""COMPUTED_VALUE"""),"PR017")</f>
        <v>PR017</v>
      </c>
      <c r="B295" s="2" t="str">
        <f>IFERROR(__xludf.DUMMYFUNCTION("""COMPUTED_VALUE"""),"VD016")</f>
        <v>VD016</v>
      </c>
      <c r="C295" s="2">
        <f>IFERROR(__xludf.DUMMYFUNCTION("""COMPUTED_VALUE"""),8.0)</f>
        <v>8</v>
      </c>
      <c r="D295" s="2">
        <f>IFERROR(__xludf.DUMMYFUNCTION("""COMPUTED_VALUE"""),241.59)</f>
        <v>241.59</v>
      </c>
    </row>
    <row r="296">
      <c r="A296" s="2" t="str">
        <f>IFERROR(__xludf.DUMMYFUNCTION("""COMPUTED_VALUE"""),"PR001")</f>
        <v>PR001</v>
      </c>
      <c r="B296" s="2" t="str">
        <f>IFERROR(__xludf.DUMMYFUNCTION("""COMPUTED_VALUE"""),"VD044")</f>
        <v>VD044</v>
      </c>
      <c r="C296" s="2">
        <f>IFERROR(__xludf.DUMMYFUNCTION("""COMPUTED_VALUE"""),6.0)</f>
        <v>6</v>
      </c>
      <c r="D296" s="2">
        <f>IFERROR(__xludf.DUMMYFUNCTION("""COMPUTED_VALUE"""),403.31)</f>
        <v>403.31</v>
      </c>
    </row>
    <row r="297">
      <c r="A297" s="2" t="str">
        <f>IFERROR(__xludf.DUMMYFUNCTION("""COMPUTED_VALUE"""),"PR059")</f>
        <v>PR059</v>
      </c>
      <c r="B297" s="2" t="str">
        <f>IFERROR(__xludf.DUMMYFUNCTION("""COMPUTED_VALUE"""),"VD042")</f>
        <v>VD042</v>
      </c>
      <c r="C297" s="2">
        <f>IFERROR(__xludf.DUMMYFUNCTION("""COMPUTED_VALUE"""),21.0)</f>
        <v>21</v>
      </c>
      <c r="D297" s="2">
        <f>IFERROR(__xludf.DUMMYFUNCTION("""COMPUTED_VALUE"""),3817.8)</f>
        <v>3817.8</v>
      </c>
    </row>
    <row r="298">
      <c r="A298" s="2" t="str">
        <f>IFERROR(__xludf.DUMMYFUNCTION("""COMPUTED_VALUE"""),"PR039")</f>
        <v>PR039</v>
      </c>
      <c r="B298" s="2" t="str">
        <f>IFERROR(__xludf.DUMMYFUNCTION("""COMPUTED_VALUE"""),"VD013")</f>
        <v>VD013</v>
      </c>
      <c r="C298" s="2">
        <f>IFERROR(__xludf.DUMMYFUNCTION("""COMPUTED_VALUE"""),3.0)</f>
        <v>3</v>
      </c>
      <c r="D298" s="2">
        <f>IFERROR(__xludf.DUMMYFUNCTION("""COMPUTED_VALUE"""),438.0)</f>
        <v>438</v>
      </c>
    </row>
    <row r="299">
      <c r="A299" s="2" t="str">
        <f>IFERROR(__xludf.DUMMYFUNCTION("""COMPUTED_VALUE"""),"PR035")</f>
        <v>PR035</v>
      </c>
      <c r="B299" s="2" t="str">
        <f>IFERROR(__xludf.DUMMYFUNCTION("""COMPUTED_VALUE"""),"VD011")</f>
        <v>VD011</v>
      </c>
      <c r="C299" s="2">
        <f>IFERROR(__xludf.DUMMYFUNCTION("""COMPUTED_VALUE"""),4.0)</f>
        <v>4</v>
      </c>
      <c r="D299" s="2">
        <f>IFERROR(__xludf.DUMMYFUNCTION("""COMPUTED_VALUE"""),383.88)</f>
        <v>383.88</v>
      </c>
    </row>
    <row r="300">
      <c r="A300" s="2" t="str">
        <f>IFERROR(__xludf.DUMMYFUNCTION("""COMPUTED_VALUE"""),"PR051")</f>
        <v>PR051</v>
      </c>
      <c r="B300" s="2" t="str">
        <f>IFERROR(__xludf.DUMMYFUNCTION("""COMPUTED_VALUE"""),"VD041")</f>
        <v>VD041</v>
      </c>
      <c r="C300" s="2">
        <f>IFERROR(__xludf.DUMMYFUNCTION("""COMPUTED_VALUE"""),30.0)</f>
        <v>30</v>
      </c>
      <c r="D300" s="2">
        <f>IFERROR(__xludf.DUMMYFUNCTION("""COMPUTED_VALUE"""),1026.48)</f>
        <v>1026.48</v>
      </c>
    </row>
    <row r="301">
      <c r="A301" s="2" t="str">
        <f>IFERROR(__xludf.DUMMYFUNCTION("""COMPUTED_VALUE"""),"PR047")</f>
        <v>PR047</v>
      </c>
      <c r="B301" s="2" t="str">
        <f>IFERROR(__xludf.DUMMYFUNCTION("""COMPUTED_VALUE"""),"VD034")</f>
        <v>VD034</v>
      </c>
      <c r="C301" s="2">
        <f>IFERROR(__xludf.DUMMYFUNCTION("""COMPUTED_VALUE"""),6.0)</f>
        <v>6</v>
      </c>
      <c r="D301" s="2">
        <f>IFERROR(__xludf.DUMMYFUNCTION("""COMPUTED_VALUE"""),1774.19)</f>
        <v>1774.19</v>
      </c>
    </row>
    <row r="302">
      <c r="A302" s="2" t="str">
        <f>IFERROR(__xludf.DUMMYFUNCTION("""COMPUTED_VALUE"""),"PR008")</f>
        <v>PR008</v>
      </c>
      <c r="B302" s="2" t="str">
        <f>IFERROR(__xludf.DUMMYFUNCTION("""COMPUTED_VALUE"""),"VD025")</f>
        <v>VD025</v>
      </c>
      <c r="C302" s="2">
        <f>IFERROR(__xludf.DUMMYFUNCTION("""COMPUTED_VALUE"""),12.0)</f>
        <v>12</v>
      </c>
      <c r="D302" s="2">
        <f>IFERROR(__xludf.DUMMYFUNCTION("""COMPUTED_VALUE"""),1121.95)</f>
        <v>1121.95</v>
      </c>
    </row>
    <row r="303">
      <c r="A303" s="2" t="str">
        <f>IFERROR(__xludf.DUMMYFUNCTION("""COMPUTED_VALUE"""),"PR045")</f>
        <v>PR045</v>
      </c>
      <c r="B303" s="2" t="str">
        <f>IFERROR(__xludf.DUMMYFUNCTION("""COMPUTED_VALUE"""),"VD035")</f>
        <v>VD035</v>
      </c>
      <c r="C303" s="2">
        <f>IFERROR(__xludf.DUMMYFUNCTION("""COMPUTED_VALUE"""),8.0)</f>
        <v>8</v>
      </c>
      <c r="D303" s="2">
        <f>IFERROR(__xludf.DUMMYFUNCTION("""COMPUTED_VALUE"""),609.0)</f>
        <v>609</v>
      </c>
    </row>
    <row r="304">
      <c r="A304" s="2" t="str">
        <f>IFERROR(__xludf.DUMMYFUNCTION("""COMPUTED_VALUE"""),"PR029")</f>
        <v>PR029</v>
      </c>
      <c r="B304" s="2" t="str">
        <f>IFERROR(__xludf.DUMMYFUNCTION("""COMPUTED_VALUE"""),"VD043")</f>
        <v>VD043</v>
      </c>
      <c r="C304" s="2">
        <f>IFERROR(__xludf.DUMMYFUNCTION("""COMPUTED_VALUE"""),21.0)</f>
        <v>21</v>
      </c>
      <c r="D304" s="2">
        <f>IFERROR(__xludf.DUMMYFUNCTION("""COMPUTED_VALUE"""),5462.1)</f>
        <v>5462.1</v>
      </c>
    </row>
    <row r="305">
      <c r="A305" s="2" t="str">
        <f>IFERROR(__xludf.DUMMYFUNCTION("""COMPUTED_VALUE"""),"PR054")</f>
        <v>PR054</v>
      </c>
      <c r="B305" s="2" t="str">
        <f>IFERROR(__xludf.DUMMYFUNCTION("""COMPUTED_VALUE"""),"VD015")</f>
        <v>VD015</v>
      </c>
      <c r="C305" s="2">
        <f>IFERROR(__xludf.DUMMYFUNCTION("""COMPUTED_VALUE"""),2.0)</f>
        <v>2</v>
      </c>
      <c r="D305" s="2">
        <f>IFERROR(__xludf.DUMMYFUNCTION("""COMPUTED_VALUE"""),105.79)</f>
        <v>105.79</v>
      </c>
    </row>
    <row r="306">
      <c r="A306" s="2" t="str">
        <f>IFERROR(__xludf.DUMMYFUNCTION("""COMPUTED_VALUE"""),"PR033")</f>
        <v>PR033</v>
      </c>
      <c r="B306" s="2" t="str">
        <f>IFERROR(__xludf.DUMMYFUNCTION("""COMPUTED_VALUE"""),"VD025")</f>
        <v>VD025</v>
      </c>
      <c r="C306" s="2">
        <f>IFERROR(__xludf.DUMMYFUNCTION("""COMPUTED_VALUE"""),4.0)</f>
        <v>4</v>
      </c>
      <c r="D306" s="2">
        <f>IFERROR(__xludf.DUMMYFUNCTION("""COMPUTED_VALUE"""),1133.16)</f>
        <v>1133.16</v>
      </c>
    </row>
    <row r="307">
      <c r="A307" s="2" t="str">
        <f>IFERROR(__xludf.DUMMYFUNCTION("""COMPUTED_VALUE"""),"PR001")</f>
        <v>PR001</v>
      </c>
      <c r="B307" s="2" t="str">
        <f>IFERROR(__xludf.DUMMYFUNCTION("""COMPUTED_VALUE"""),"VD021")</f>
        <v>VD021</v>
      </c>
      <c r="C307" s="2">
        <f>IFERROR(__xludf.DUMMYFUNCTION("""COMPUTED_VALUE"""),6.0)</f>
        <v>6</v>
      </c>
      <c r="D307" s="2">
        <f>IFERROR(__xludf.DUMMYFUNCTION("""COMPUTED_VALUE"""),430.99)</f>
        <v>430.99</v>
      </c>
    </row>
    <row r="308">
      <c r="A308" s="2" t="str">
        <f>IFERROR(__xludf.DUMMYFUNCTION("""COMPUTED_VALUE"""),"PR010")</f>
        <v>PR010</v>
      </c>
      <c r="B308" s="2" t="str">
        <f>IFERROR(__xludf.DUMMYFUNCTION("""COMPUTED_VALUE"""),"VD029")</f>
        <v>VD029</v>
      </c>
      <c r="C308" s="2">
        <f>IFERROR(__xludf.DUMMYFUNCTION("""COMPUTED_VALUE"""),3.0)</f>
        <v>3</v>
      </c>
      <c r="D308" s="2">
        <f>IFERROR(__xludf.DUMMYFUNCTION("""COMPUTED_VALUE"""),134.7)</f>
        <v>134.7</v>
      </c>
    </row>
    <row r="309">
      <c r="A309" s="2" t="str">
        <f>IFERROR(__xludf.DUMMYFUNCTION("""COMPUTED_VALUE"""),"PR005")</f>
        <v>PR005</v>
      </c>
      <c r="B309" s="2" t="str">
        <f>IFERROR(__xludf.DUMMYFUNCTION("""COMPUTED_VALUE"""),"VD038")</f>
        <v>VD038</v>
      </c>
      <c r="C309" s="2">
        <f>IFERROR(__xludf.DUMMYFUNCTION("""COMPUTED_VALUE"""),10.0)</f>
        <v>10</v>
      </c>
      <c r="D309" s="2">
        <f>IFERROR(__xludf.DUMMYFUNCTION("""COMPUTED_VALUE"""),2728.95)</f>
        <v>2728.95</v>
      </c>
    </row>
    <row r="310">
      <c r="A310" s="2" t="str">
        <f>IFERROR(__xludf.DUMMYFUNCTION("""COMPUTED_VALUE"""),"PR040")</f>
        <v>PR040</v>
      </c>
      <c r="B310" s="2" t="str">
        <f>IFERROR(__xludf.DUMMYFUNCTION("""COMPUTED_VALUE"""),"VD045")</f>
        <v>VD045</v>
      </c>
      <c r="C310" s="2">
        <f>IFERROR(__xludf.DUMMYFUNCTION("""COMPUTED_VALUE"""),21.0)</f>
        <v>21</v>
      </c>
      <c r="D310" s="2">
        <f>IFERROR(__xludf.DUMMYFUNCTION("""COMPUTED_VALUE"""),1543.5)</f>
        <v>1543.5</v>
      </c>
    </row>
    <row r="311">
      <c r="A311" s="2" t="str">
        <f>IFERROR(__xludf.DUMMYFUNCTION("""COMPUTED_VALUE"""),"PR017")</f>
        <v>PR017</v>
      </c>
      <c r="B311" s="2" t="str">
        <f>IFERROR(__xludf.DUMMYFUNCTION("""COMPUTED_VALUE"""),"VD029")</f>
        <v>VD029</v>
      </c>
      <c r="C311" s="2">
        <f>IFERROR(__xludf.DUMMYFUNCTION("""COMPUTED_VALUE"""),27.0)</f>
        <v>27</v>
      </c>
      <c r="D311" s="2">
        <f>IFERROR(__xludf.DUMMYFUNCTION("""COMPUTED_VALUE"""),815.37)</f>
        <v>815.37</v>
      </c>
    </row>
    <row r="312">
      <c r="A312" s="2" t="str">
        <f>IFERROR(__xludf.DUMMYFUNCTION("""COMPUTED_VALUE"""),"PR045")</f>
        <v>PR045</v>
      </c>
      <c r="B312" s="2" t="str">
        <f>IFERROR(__xludf.DUMMYFUNCTION("""COMPUTED_VALUE"""),"VD041")</f>
        <v>VD041</v>
      </c>
      <c r="C312" s="2">
        <f>IFERROR(__xludf.DUMMYFUNCTION("""COMPUTED_VALUE"""),10.0)</f>
        <v>10</v>
      </c>
      <c r="D312" s="2">
        <f>IFERROR(__xludf.DUMMYFUNCTION("""COMPUTED_VALUE"""),768.5)</f>
        <v>768.5</v>
      </c>
    </row>
    <row r="313">
      <c r="A313" s="2" t="str">
        <f>IFERROR(__xludf.DUMMYFUNCTION("""COMPUTED_VALUE"""),"PR014")</f>
        <v>PR014</v>
      </c>
      <c r="B313" s="2" t="str">
        <f>IFERROR(__xludf.DUMMYFUNCTION("""COMPUTED_VALUE"""),"VD018")</f>
        <v>VD018</v>
      </c>
      <c r="C313" s="2">
        <f>IFERROR(__xludf.DUMMYFUNCTION("""COMPUTED_VALUE"""),27.0)</f>
        <v>27</v>
      </c>
      <c r="D313" s="2">
        <f>IFERROR(__xludf.DUMMYFUNCTION("""COMPUTED_VALUE"""),1141.94)</f>
        <v>1141.94</v>
      </c>
    </row>
    <row r="314">
      <c r="A314" s="2" t="str">
        <f>IFERROR(__xludf.DUMMYFUNCTION("""COMPUTED_VALUE"""),"PR028")</f>
        <v>PR028</v>
      </c>
      <c r="B314" s="2" t="str">
        <f>IFERROR(__xludf.DUMMYFUNCTION("""COMPUTED_VALUE"""),"VD015")</f>
        <v>VD015</v>
      </c>
      <c r="C314" s="2">
        <f>IFERROR(__xludf.DUMMYFUNCTION("""COMPUTED_VALUE"""),15.0)</f>
        <v>15</v>
      </c>
      <c r="D314" s="2">
        <f>IFERROR(__xludf.DUMMYFUNCTION("""COMPUTED_VALUE"""),3785.99)</f>
        <v>3785.99</v>
      </c>
    </row>
    <row r="315">
      <c r="A315" s="2" t="str">
        <f>IFERROR(__xludf.DUMMYFUNCTION("""COMPUTED_VALUE"""),"PR046")</f>
        <v>PR046</v>
      </c>
      <c r="B315" s="2" t="str">
        <f>IFERROR(__xludf.DUMMYFUNCTION("""COMPUTED_VALUE"""),"VD021")</f>
        <v>VD021</v>
      </c>
      <c r="C315" s="2">
        <f>IFERROR(__xludf.DUMMYFUNCTION("""COMPUTED_VALUE"""),14.0)</f>
        <v>14</v>
      </c>
      <c r="D315" s="2">
        <f>IFERROR(__xludf.DUMMYFUNCTION("""COMPUTED_VALUE"""),4180.36)</f>
        <v>4180.36</v>
      </c>
    </row>
    <row r="316">
      <c r="A316" s="2" t="str">
        <f>IFERROR(__xludf.DUMMYFUNCTION("""COMPUTED_VALUE"""),"PR043")</f>
        <v>PR043</v>
      </c>
      <c r="B316" s="2" t="str">
        <f>IFERROR(__xludf.DUMMYFUNCTION("""COMPUTED_VALUE"""),"VD015")</f>
        <v>VD015</v>
      </c>
      <c r="C316" s="2">
        <f>IFERROR(__xludf.DUMMYFUNCTION("""COMPUTED_VALUE"""),20.0)</f>
        <v>20</v>
      </c>
      <c r="D316" s="2">
        <f>IFERROR(__xludf.DUMMYFUNCTION("""COMPUTED_VALUE"""),1595.0)</f>
        <v>1595</v>
      </c>
    </row>
    <row r="317">
      <c r="A317" s="2" t="str">
        <f>IFERROR(__xludf.DUMMYFUNCTION("""COMPUTED_VALUE"""),"PR030")</f>
        <v>PR030</v>
      </c>
      <c r="B317" s="2" t="str">
        <f>IFERROR(__xludf.DUMMYFUNCTION("""COMPUTED_VALUE"""),"VD017")</f>
        <v>VD017</v>
      </c>
      <c r="C317" s="2">
        <f>IFERROR(__xludf.DUMMYFUNCTION("""COMPUTED_VALUE"""),18.0)</f>
        <v>18</v>
      </c>
      <c r="D317" s="2">
        <f>IFERROR(__xludf.DUMMYFUNCTION("""COMPUTED_VALUE"""),4865.33)</f>
        <v>4865.33</v>
      </c>
    </row>
    <row r="318">
      <c r="A318" s="2" t="str">
        <f>IFERROR(__xludf.DUMMYFUNCTION("""COMPUTED_VALUE"""),"PR047")</f>
        <v>PR047</v>
      </c>
      <c r="B318" s="2" t="str">
        <f>IFERROR(__xludf.DUMMYFUNCTION("""COMPUTED_VALUE"""),"VD024")</f>
        <v>VD024</v>
      </c>
      <c r="C318" s="2">
        <f>IFERROR(__xludf.DUMMYFUNCTION("""COMPUTED_VALUE"""),24.0)</f>
        <v>24</v>
      </c>
      <c r="D318" s="2">
        <f>IFERROR(__xludf.DUMMYFUNCTION("""COMPUTED_VALUE"""),7027.18)</f>
        <v>7027.18</v>
      </c>
    </row>
    <row r="319">
      <c r="A319" s="2" t="str">
        <f>IFERROR(__xludf.DUMMYFUNCTION("""COMPUTED_VALUE"""),"PR010")</f>
        <v>PR010</v>
      </c>
      <c r="B319" s="2" t="str">
        <f>IFERROR(__xludf.DUMMYFUNCTION("""COMPUTED_VALUE"""),"VD028")</f>
        <v>VD028</v>
      </c>
      <c r="C319" s="2">
        <f>IFERROR(__xludf.DUMMYFUNCTION("""COMPUTED_VALUE"""),2.0)</f>
        <v>2</v>
      </c>
      <c r="D319" s="2">
        <f>IFERROR(__xludf.DUMMYFUNCTION("""COMPUTED_VALUE"""),95.19)</f>
        <v>95.19</v>
      </c>
    </row>
    <row r="320">
      <c r="A320" s="2" t="str">
        <f>IFERROR(__xludf.DUMMYFUNCTION("""COMPUTED_VALUE"""),"PR001")</f>
        <v>PR001</v>
      </c>
      <c r="B320" s="2" t="str">
        <f>IFERROR(__xludf.DUMMYFUNCTION("""COMPUTED_VALUE"""),"VD035")</f>
        <v>VD035</v>
      </c>
      <c r="C320" s="2">
        <f>IFERROR(__xludf.DUMMYFUNCTION("""COMPUTED_VALUE"""),1.0)</f>
        <v>1</v>
      </c>
      <c r="D320" s="2">
        <f>IFERROR(__xludf.DUMMYFUNCTION("""COMPUTED_VALUE"""),72.49)</f>
        <v>72.49</v>
      </c>
    </row>
    <row r="321">
      <c r="A321" s="2" t="str">
        <f>IFERROR(__xludf.DUMMYFUNCTION("""COMPUTED_VALUE"""),"PR014")</f>
        <v>PR014</v>
      </c>
      <c r="B321" s="2" t="str">
        <f>IFERROR(__xludf.DUMMYFUNCTION("""COMPUTED_VALUE"""),"VD030")</f>
        <v>VD030</v>
      </c>
      <c r="C321" s="2">
        <f>IFERROR(__xludf.DUMMYFUNCTION("""COMPUTED_VALUE"""),9.0)</f>
        <v>9</v>
      </c>
      <c r="D321" s="2">
        <f>IFERROR(__xludf.DUMMYFUNCTION("""COMPUTED_VALUE"""),377.06)</f>
        <v>377.06</v>
      </c>
    </row>
    <row r="322">
      <c r="A322" s="2" t="str">
        <f>IFERROR(__xludf.DUMMYFUNCTION("""COMPUTED_VALUE"""),"PR041")</f>
        <v>PR041</v>
      </c>
      <c r="B322" s="2" t="str">
        <f>IFERROR(__xludf.DUMMYFUNCTION("""COMPUTED_VALUE"""),"VD042")</f>
        <v>VD042</v>
      </c>
      <c r="C322" s="2">
        <f>IFERROR(__xludf.DUMMYFUNCTION("""COMPUTED_VALUE"""),2.0)</f>
        <v>2</v>
      </c>
      <c r="D322" s="2">
        <f>IFERROR(__xludf.DUMMYFUNCTION("""COMPUTED_VALUE"""),109.8)</f>
        <v>109.8</v>
      </c>
    </row>
    <row r="323">
      <c r="A323" s="2" t="str">
        <f>IFERROR(__xludf.DUMMYFUNCTION("""COMPUTED_VALUE"""),"PR037")</f>
        <v>PR037</v>
      </c>
      <c r="B323" s="2" t="str">
        <f>IFERROR(__xludf.DUMMYFUNCTION("""COMPUTED_VALUE"""),"VD028")</f>
        <v>VD028</v>
      </c>
      <c r="C323" s="2">
        <f>IFERROR(__xludf.DUMMYFUNCTION("""COMPUTED_VALUE"""),8.0)</f>
        <v>8</v>
      </c>
      <c r="D323" s="2">
        <f>IFERROR(__xludf.DUMMYFUNCTION("""COMPUTED_VALUE"""),1187.2)</f>
        <v>1187.2</v>
      </c>
    </row>
    <row r="324">
      <c r="A324" s="2" t="str">
        <f>IFERROR(__xludf.DUMMYFUNCTION("""COMPUTED_VALUE"""),"PR003")</f>
        <v>PR003</v>
      </c>
      <c r="B324" s="2" t="str">
        <f>IFERROR(__xludf.DUMMYFUNCTION("""COMPUTED_VALUE"""),"VD048")</f>
        <v>VD048</v>
      </c>
      <c r="C324" s="2">
        <f>IFERROR(__xludf.DUMMYFUNCTION("""COMPUTED_VALUE"""),3.0)</f>
        <v>3</v>
      </c>
      <c r="D324" s="2">
        <f>IFERROR(__xludf.DUMMYFUNCTION("""COMPUTED_VALUE"""),227.59)</f>
        <v>227.59</v>
      </c>
    </row>
    <row r="325">
      <c r="A325" s="2" t="str">
        <f>IFERROR(__xludf.DUMMYFUNCTION("""COMPUTED_VALUE"""),"PR006")</f>
        <v>PR006</v>
      </c>
      <c r="B325" s="2" t="str">
        <f>IFERROR(__xludf.DUMMYFUNCTION("""COMPUTED_VALUE"""),"VD012")</f>
        <v>VD012</v>
      </c>
      <c r="C325" s="2">
        <f>IFERROR(__xludf.DUMMYFUNCTION("""COMPUTED_VALUE"""),3.0)</f>
        <v>3</v>
      </c>
      <c r="D325" s="2">
        <f>IFERROR(__xludf.DUMMYFUNCTION("""COMPUTED_VALUE"""),122.09)</f>
        <v>122.09</v>
      </c>
    </row>
    <row r="326">
      <c r="A326" s="2" t="str">
        <f>IFERROR(__xludf.DUMMYFUNCTION("""COMPUTED_VALUE"""),"PR012")</f>
        <v>PR012</v>
      </c>
      <c r="B326" s="2" t="str">
        <f>IFERROR(__xludf.DUMMYFUNCTION("""COMPUTED_VALUE"""),"VD023")</f>
        <v>VD023</v>
      </c>
      <c r="C326" s="2">
        <f>IFERROR(__xludf.DUMMYFUNCTION("""COMPUTED_VALUE"""),16.0)</f>
        <v>16</v>
      </c>
      <c r="D326" s="2">
        <f>IFERROR(__xludf.DUMMYFUNCTION("""COMPUTED_VALUE"""),805.87)</f>
        <v>805.87</v>
      </c>
    </row>
    <row r="327">
      <c r="A327" s="2" t="str">
        <f>IFERROR(__xludf.DUMMYFUNCTION("""COMPUTED_VALUE"""),"PR028")</f>
        <v>PR028</v>
      </c>
      <c r="B327" s="2" t="str">
        <f>IFERROR(__xludf.DUMMYFUNCTION("""COMPUTED_VALUE"""),"VD015")</f>
        <v>VD015</v>
      </c>
      <c r="C327" s="2">
        <f>IFERROR(__xludf.DUMMYFUNCTION("""COMPUTED_VALUE"""),2.0)</f>
        <v>2</v>
      </c>
      <c r="D327" s="2">
        <f>IFERROR(__xludf.DUMMYFUNCTION("""COMPUTED_VALUE"""),549.78)</f>
        <v>549.78</v>
      </c>
    </row>
    <row r="328">
      <c r="A328" s="2" t="str">
        <f>IFERROR(__xludf.DUMMYFUNCTION("""COMPUTED_VALUE"""),"PR043")</f>
        <v>PR043</v>
      </c>
      <c r="B328" s="2" t="str">
        <f>IFERROR(__xludf.DUMMYFUNCTION("""COMPUTED_VALUE"""),"VD031")</f>
        <v>VD031</v>
      </c>
      <c r="C328" s="2">
        <f>IFERROR(__xludf.DUMMYFUNCTION("""COMPUTED_VALUE"""),6.0)</f>
        <v>6</v>
      </c>
      <c r="D328" s="2">
        <f>IFERROR(__xludf.DUMMYFUNCTION("""COMPUTED_VALUE"""),443.7)</f>
        <v>443.7</v>
      </c>
    </row>
    <row r="329">
      <c r="A329" s="2" t="str">
        <f>IFERROR(__xludf.DUMMYFUNCTION("""COMPUTED_VALUE"""),"PR031")</f>
        <v>PR031</v>
      </c>
      <c r="B329" s="2" t="str">
        <f>IFERROR(__xludf.DUMMYFUNCTION("""COMPUTED_VALUE"""),"VD023")</f>
        <v>VD023</v>
      </c>
      <c r="C329" s="2">
        <f>IFERROR(__xludf.DUMMYFUNCTION("""COMPUTED_VALUE"""),8.0)</f>
        <v>8</v>
      </c>
      <c r="D329" s="2">
        <f>IFERROR(__xludf.DUMMYFUNCTION("""COMPUTED_VALUE"""),1999.2)</f>
        <v>1999.2</v>
      </c>
    </row>
    <row r="330">
      <c r="A330" s="2" t="str">
        <f>IFERROR(__xludf.DUMMYFUNCTION("""COMPUTED_VALUE"""),"PR005")</f>
        <v>PR005</v>
      </c>
      <c r="B330" s="2" t="str">
        <f>IFERROR(__xludf.DUMMYFUNCTION("""COMPUTED_VALUE"""),"VD030")</f>
        <v>VD030</v>
      </c>
      <c r="C330" s="2">
        <f>IFERROR(__xludf.DUMMYFUNCTION("""COMPUTED_VALUE"""),15.0)</f>
        <v>15</v>
      </c>
      <c r="D330" s="2">
        <f>IFERROR(__xludf.DUMMYFUNCTION("""COMPUTED_VALUE"""),4210.38)</f>
        <v>4210.38</v>
      </c>
    </row>
    <row r="331">
      <c r="A331" s="2" t="str">
        <f>IFERROR(__xludf.DUMMYFUNCTION("""COMPUTED_VALUE"""),"PR051")</f>
        <v>PR051</v>
      </c>
      <c r="B331" s="2" t="str">
        <f>IFERROR(__xludf.DUMMYFUNCTION("""COMPUTED_VALUE"""),"VD041")</f>
        <v>VD041</v>
      </c>
      <c r="C331" s="2">
        <f>IFERROR(__xludf.DUMMYFUNCTION("""COMPUTED_VALUE"""),5.0)</f>
        <v>5</v>
      </c>
      <c r="D331" s="2">
        <f>IFERROR(__xludf.DUMMYFUNCTION("""COMPUTED_VALUE"""),171.08)</f>
        <v>171.08</v>
      </c>
    </row>
    <row r="332">
      <c r="A332" s="2" t="str">
        <f>IFERROR(__xludf.DUMMYFUNCTION("""COMPUTED_VALUE"""),"PR018")</f>
        <v>PR018</v>
      </c>
      <c r="B332" s="2" t="str">
        <f>IFERROR(__xludf.DUMMYFUNCTION("""COMPUTED_VALUE"""),"VD028")</f>
        <v>VD028</v>
      </c>
      <c r="C332" s="2">
        <f>IFERROR(__xludf.DUMMYFUNCTION("""COMPUTED_VALUE"""),12.0)</f>
        <v>12</v>
      </c>
      <c r="D332" s="2">
        <f>IFERROR(__xludf.DUMMYFUNCTION("""COMPUTED_VALUE"""),430.33)</f>
        <v>430.33</v>
      </c>
    </row>
    <row r="333">
      <c r="A333" s="2" t="str">
        <f>IFERROR(__xludf.DUMMYFUNCTION("""COMPUTED_VALUE"""),"PR016")</f>
        <v>PR016</v>
      </c>
      <c r="B333" s="2" t="str">
        <f>IFERROR(__xludf.DUMMYFUNCTION("""COMPUTED_VALUE"""),"VD042")</f>
        <v>VD042</v>
      </c>
      <c r="C333" s="2">
        <f>IFERROR(__xludf.DUMMYFUNCTION("""COMPUTED_VALUE"""),5.0)</f>
        <v>5</v>
      </c>
      <c r="D333" s="2">
        <f>IFERROR(__xludf.DUMMYFUNCTION("""COMPUTED_VALUE"""),138.57)</f>
        <v>138.57</v>
      </c>
    </row>
    <row r="334">
      <c r="A334" s="2" t="str">
        <f>IFERROR(__xludf.DUMMYFUNCTION("""COMPUTED_VALUE"""),"PR048")</f>
        <v>PR048</v>
      </c>
      <c r="B334" s="2" t="str">
        <f>IFERROR(__xludf.DUMMYFUNCTION("""COMPUTED_VALUE"""),"VD019")</f>
        <v>VD019</v>
      </c>
      <c r="C334" s="2">
        <f>IFERROR(__xludf.DUMMYFUNCTION("""COMPUTED_VALUE"""),2.0)</f>
        <v>2</v>
      </c>
      <c r="D334" s="2">
        <f>IFERROR(__xludf.DUMMYFUNCTION("""COMPUTED_VALUE"""),614.59)</f>
        <v>614.59</v>
      </c>
    </row>
    <row r="335">
      <c r="A335" s="2" t="str">
        <f>IFERROR(__xludf.DUMMYFUNCTION("""COMPUTED_VALUE"""),"PR036")</f>
        <v>PR036</v>
      </c>
      <c r="B335" s="2" t="str">
        <f>IFERROR(__xludf.DUMMYFUNCTION("""COMPUTED_VALUE"""),"VD036")</f>
        <v>VD036</v>
      </c>
      <c r="C335" s="2">
        <f>IFERROR(__xludf.DUMMYFUNCTION("""COMPUTED_VALUE"""),16.0)</f>
        <v>16</v>
      </c>
      <c r="D335" s="2">
        <f>IFERROR(__xludf.DUMMYFUNCTION("""COMPUTED_VALUE"""),1630.64)</f>
        <v>1630.64</v>
      </c>
    </row>
    <row r="336">
      <c r="A336" s="2" t="str">
        <f>IFERROR(__xludf.DUMMYFUNCTION("""COMPUTED_VALUE"""),"PR023")</f>
        <v>PR023</v>
      </c>
      <c r="B336" s="2" t="str">
        <f>IFERROR(__xludf.DUMMYFUNCTION("""COMPUTED_VALUE"""),"VD032")</f>
        <v>VD032</v>
      </c>
      <c r="C336" s="2">
        <f>IFERROR(__xludf.DUMMYFUNCTION("""COMPUTED_VALUE"""),8.0)</f>
        <v>8</v>
      </c>
      <c r="D336" s="2">
        <f>IFERROR(__xludf.DUMMYFUNCTION("""COMPUTED_VALUE"""),2199.12)</f>
        <v>2199.12</v>
      </c>
    </row>
    <row r="337">
      <c r="A337" s="2" t="str">
        <f>IFERROR(__xludf.DUMMYFUNCTION("""COMPUTED_VALUE"""),"PR038")</f>
        <v>PR038</v>
      </c>
      <c r="B337" s="2" t="str">
        <f>IFERROR(__xludf.DUMMYFUNCTION("""COMPUTED_VALUE"""),"VD032")</f>
        <v>VD032</v>
      </c>
      <c r="C337" s="2">
        <f>IFERROR(__xludf.DUMMYFUNCTION("""COMPUTED_VALUE"""),15.0)</f>
        <v>15</v>
      </c>
      <c r="D337" s="2">
        <f>IFERROR(__xludf.DUMMYFUNCTION("""COMPUTED_VALUE"""),2357.85)</f>
        <v>2357.85</v>
      </c>
    </row>
    <row r="338">
      <c r="A338" s="2" t="str">
        <f>IFERROR(__xludf.DUMMYFUNCTION("""COMPUTED_VALUE"""),"PR037")</f>
        <v>PR037</v>
      </c>
      <c r="B338" s="2" t="str">
        <f>IFERROR(__xludf.DUMMYFUNCTION("""COMPUTED_VALUE"""),"VD025")</f>
        <v>VD025</v>
      </c>
      <c r="C338" s="2">
        <f>IFERROR(__xludf.DUMMYFUNCTION("""COMPUTED_VALUE"""),27.0)</f>
        <v>27</v>
      </c>
      <c r="D338" s="2">
        <f>IFERROR(__xludf.DUMMYFUNCTION("""COMPUTED_VALUE"""),3780.0)</f>
        <v>3780</v>
      </c>
    </row>
    <row r="339">
      <c r="A339" s="2" t="str">
        <f>IFERROR(__xludf.DUMMYFUNCTION("""COMPUTED_VALUE"""),"PR020")</f>
        <v>PR020</v>
      </c>
      <c r="B339" s="2" t="str">
        <f>IFERROR(__xludf.DUMMYFUNCTION("""COMPUTED_VALUE"""),"VD016")</f>
        <v>VD016</v>
      </c>
      <c r="C339" s="2">
        <f>IFERROR(__xludf.DUMMYFUNCTION("""COMPUTED_VALUE"""),12.0)</f>
        <v>12</v>
      </c>
      <c r="D339" s="2">
        <f>IFERROR(__xludf.DUMMYFUNCTION("""COMPUTED_VALUE"""),3778.74)</f>
        <v>3778.74</v>
      </c>
    </row>
    <row r="340">
      <c r="A340" s="2" t="str">
        <f>IFERROR(__xludf.DUMMYFUNCTION("""COMPUTED_VALUE"""),"PR049")</f>
        <v>PR049</v>
      </c>
      <c r="B340" s="2" t="str">
        <f>IFERROR(__xludf.DUMMYFUNCTION("""COMPUTED_VALUE"""),"VD017")</f>
        <v>VD017</v>
      </c>
      <c r="C340" s="2">
        <f>IFERROR(__xludf.DUMMYFUNCTION("""COMPUTED_VALUE"""),21.0)</f>
        <v>21</v>
      </c>
      <c r="D340" s="2">
        <f>IFERROR(__xludf.DUMMYFUNCTION("""COMPUTED_VALUE"""),753.08)</f>
        <v>753.08</v>
      </c>
    </row>
    <row r="341">
      <c r="A341" s="2" t="str">
        <f>IFERROR(__xludf.DUMMYFUNCTION("""COMPUTED_VALUE"""),"PR007")</f>
        <v>PR007</v>
      </c>
      <c r="B341" s="2" t="str">
        <f>IFERROR(__xludf.DUMMYFUNCTION("""COMPUTED_VALUE"""),"VD029")</f>
        <v>VD029</v>
      </c>
      <c r="C341" s="2">
        <f>IFERROR(__xludf.DUMMYFUNCTION("""COMPUTED_VALUE"""),18.0)</f>
        <v>18</v>
      </c>
      <c r="D341" s="2">
        <f>IFERROR(__xludf.DUMMYFUNCTION("""COMPUTED_VALUE"""),1561.66)</f>
        <v>1561.66</v>
      </c>
    </row>
    <row r="342">
      <c r="A342" s="2" t="str">
        <f>IFERROR(__xludf.DUMMYFUNCTION("""COMPUTED_VALUE"""),"PR056")</f>
        <v>PR056</v>
      </c>
      <c r="B342" s="2" t="str">
        <f>IFERROR(__xludf.DUMMYFUNCTION("""COMPUTED_VALUE"""),"VD043")</f>
        <v>VD043</v>
      </c>
      <c r="C342" s="2">
        <f>IFERROR(__xludf.DUMMYFUNCTION("""COMPUTED_VALUE"""),3.0)</f>
        <v>3</v>
      </c>
      <c r="D342" s="2">
        <f>IFERROR(__xludf.DUMMYFUNCTION("""COMPUTED_VALUE"""),272.4)</f>
        <v>272.4</v>
      </c>
    </row>
    <row r="343">
      <c r="A343" s="2" t="str">
        <f>IFERROR(__xludf.DUMMYFUNCTION("""COMPUTED_VALUE"""),"PR019")</f>
        <v>PR019</v>
      </c>
      <c r="B343" s="2" t="str">
        <f>IFERROR(__xludf.DUMMYFUNCTION("""COMPUTED_VALUE"""),"VD039")</f>
        <v>VD039</v>
      </c>
      <c r="C343" s="2">
        <f>IFERROR(__xludf.DUMMYFUNCTION("""COMPUTED_VALUE"""),20.0)</f>
        <v>20</v>
      </c>
      <c r="D343" s="2">
        <f>IFERROR(__xludf.DUMMYFUNCTION("""COMPUTED_VALUE"""),1057.88)</f>
        <v>1057.88</v>
      </c>
    </row>
    <row r="344">
      <c r="A344" s="2" t="str">
        <f>IFERROR(__xludf.DUMMYFUNCTION("""COMPUTED_VALUE"""),"PR015")</f>
        <v>PR015</v>
      </c>
      <c r="B344" s="2" t="str">
        <f>IFERROR(__xludf.DUMMYFUNCTION("""COMPUTED_VALUE"""),"VD046")</f>
        <v>VD046</v>
      </c>
      <c r="C344" s="2">
        <f>IFERROR(__xludf.DUMMYFUNCTION("""COMPUTED_VALUE"""),3.0)</f>
        <v>3</v>
      </c>
      <c r="D344" s="2">
        <f>IFERROR(__xludf.DUMMYFUNCTION("""COMPUTED_VALUE"""),135.15)</f>
        <v>135.15</v>
      </c>
    </row>
    <row r="345">
      <c r="A345" s="2" t="str">
        <f>IFERROR(__xludf.DUMMYFUNCTION("""COMPUTED_VALUE"""),"PR019")</f>
        <v>PR019</v>
      </c>
      <c r="B345" s="2" t="str">
        <f>IFERROR(__xludf.DUMMYFUNCTION("""COMPUTED_VALUE"""),"VD043")</f>
        <v>VD043</v>
      </c>
      <c r="C345" s="2">
        <f>IFERROR(__xludf.DUMMYFUNCTION("""COMPUTED_VALUE"""),21.0)</f>
        <v>21</v>
      </c>
      <c r="D345" s="2">
        <f>IFERROR(__xludf.DUMMYFUNCTION("""COMPUTED_VALUE"""),1100.3)</f>
        <v>1100.3</v>
      </c>
    </row>
    <row r="346">
      <c r="A346" s="2" t="str">
        <f>IFERROR(__xludf.DUMMYFUNCTION("""COMPUTED_VALUE"""),"PR043")</f>
        <v>PR043</v>
      </c>
      <c r="B346" s="2" t="str">
        <f>IFERROR(__xludf.DUMMYFUNCTION("""COMPUTED_VALUE"""),"VD031")</f>
        <v>VD031</v>
      </c>
      <c r="C346" s="2">
        <f>IFERROR(__xludf.DUMMYFUNCTION("""COMPUTED_VALUE"""),9.0)</f>
        <v>9</v>
      </c>
      <c r="D346" s="2">
        <f>IFERROR(__xludf.DUMMYFUNCTION("""COMPUTED_VALUE"""),698.18)</f>
        <v>698.18</v>
      </c>
    </row>
    <row r="347">
      <c r="A347" s="2" t="str">
        <f>IFERROR(__xludf.DUMMYFUNCTION("""COMPUTED_VALUE"""),"PR038")</f>
        <v>PR038</v>
      </c>
      <c r="B347" s="2" t="str">
        <f>IFERROR(__xludf.DUMMYFUNCTION("""COMPUTED_VALUE"""),"VD015")</f>
        <v>VD015</v>
      </c>
      <c r="C347" s="2">
        <f>IFERROR(__xludf.DUMMYFUNCTION("""COMPUTED_VALUE"""),12.0)</f>
        <v>12</v>
      </c>
      <c r="D347" s="2">
        <f>IFERROR(__xludf.DUMMYFUNCTION("""COMPUTED_VALUE"""),1869.13)</f>
        <v>1869.13</v>
      </c>
    </row>
    <row r="348">
      <c r="A348" s="2" t="str">
        <f>IFERROR(__xludf.DUMMYFUNCTION("""COMPUTED_VALUE"""),"PR050")</f>
        <v>PR050</v>
      </c>
      <c r="B348" s="2" t="str">
        <f>IFERROR(__xludf.DUMMYFUNCTION("""COMPUTED_VALUE"""),"VD042")</f>
        <v>VD042</v>
      </c>
      <c r="C348" s="2">
        <f>IFERROR(__xludf.DUMMYFUNCTION("""COMPUTED_VALUE"""),1.0)</f>
        <v>1</v>
      </c>
      <c r="D348" s="2">
        <f>IFERROR(__xludf.DUMMYFUNCTION("""COMPUTED_VALUE"""),33.89)</f>
        <v>33.89</v>
      </c>
    </row>
    <row r="349">
      <c r="A349" s="2" t="str">
        <f>IFERROR(__xludf.DUMMYFUNCTION("""COMPUTED_VALUE"""),"PR005")</f>
        <v>PR005</v>
      </c>
      <c r="B349" s="2" t="str">
        <f>IFERROR(__xludf.DUMMYFUNCTION("""COMPUTED_VALUE"""),"VD022")</f>
        <v>VD022</v>
      </c>
      <c r="C349" s="2">
        <f>IFERROR(__xludf.DUMMYFUNCTION("""COMPUTED_VALUE"""),6.0)</f>
        <v>6</v>
      </c>
      <c r="D349" s="2">
        <f>IFERROR(__xludf.DUMMYFUNCTION("""COMPUTED_VALUE"""),1574.99)</f>
        <v>1574.99</v>
      </c>
    </row>
    <row r="350">
      <c r="A350" s="2" t="str">
        <f>IFERROR(__xludf.DUMMYFUNCTION("""COMPUTED_VALUE"""),"PR018")</f>
        <v>PR018</v>
      </c>
      <c r="B350" s="2" t="str">
        <f>IFERROR(__xludf.DUMMYFUNCTION("""COMPUTED_VALUE"""),"VD047")</f>
        <v>VD047</v>
      </c>
      <c r="C350" s="2">
        <f>IFERROR(__xludf.DUMMYFUNCTION("""COMPUTED_VALUE"""),6.0)</f>
        <v>6</v>
      </c>
      <c r="D350" s="2">
        <f>IFERROR(__xludf.DUMMYFUNCTION("""COMPUTED_VALUE"""),197.4)</f>
        <v>197.4</v>
      </c>
    </row>
    <row r="351">
      <c r="A351" s="2" t="str">
        <f>IFERROR(__xludf.DUMMYFUNCTION("""COMPUTED_VALUE"""),"PR057")</f>
        <v>PR057</v>
      </c>
      <c r="B351" s="2" t="str">
        <f>IFERROR(__xludf.DUMMYFUNCTION("""COMPUTED_VALUE"""),"VD043")</f>
        <v>VD043</v>
      </c>
      <c r="C351" s="2">
        <f>IFERROR(__xludf.DUMMYFUNCTION("""COMPUTED_VALUE"""),1.0)</f>
        <v>1</v>
      </c>
      <c r="D351" s="2">
        <f>IFERROR(__xludf.DUMMYFUNCTION("""COMPUTED_VALUE"""),96.19)</f>
        <v>96.19</v>
      </c>
    </row>
    <row r="352">
      <c r="A352" s="2" t="str">
        <f>IFERROR(__xludf.DUMMYFUNCTION("""COMPUTED_VALUE"""),"PR010")</f>
        <v>PR010</v>
      </c>
      <c r="B352" s="2" t="str">
        <f>IFERROR(__xludf.DUMMYFUNCTION("""COMPUTED_VALUE"""),"VD042")</f>
        <v>VD042</v>
      </c>
      <c r="C352" s="2">
        <f>IFERROR(__xludf.DUMMYFUNCTION("""COMPUTED_VALUE"""),16.0)</f>
        <v>16</v>
      </c>
      <c r="D352" s="2">
        <f>IFERROR(__xludf.DUMMYFUNCTION("""COMPUTED_VALUE"""),732.77)</f>
        <v>732.77</v>
      </c>
    </row>
    <row r="353">
      <c r="A353" s="2" t="str">
        <f>IFERROR(__xludf.DUMMYFUNCTION("""COMPUTED_VALUE"""),"PR001")</f>
        <v>PR001</v>
      </c>
      <c r="B353" s="2" t="str">
        <f>IFERROR(__xludf.DUMMYFUNCTION("""COMPUTED_VALUE"""),"VD034")</f>
        <v>VD034</v>
      </c>
      <c r="C353" s="2">
        <f>IFERROR(__xludf.DUMMYFUNCTION("""COMPUTED_VALUE"""),6.0)</f>
        <v>6</v>
      </c>
      <c r="D353" s="2">
        <f>IFERROR(__xludf.DUMMYFUNCTION("""COMPUTED_VALUE"""),419.12)</f>
        <v>419.12</v>
      </c>
    </row>
    <row r="354">
      <c r="A354" s="2" t="str">
        <f>IFERROR(__xludf.DUMMYFUNCTION("""COMPUTED_VALUE"""),"PR036")</f>
        <v>PR036</v>
      </c>
      <c r="B354" s="2" t="str">
        <f>IFERROR(__xludf.DUMMYFUNCTION("""COMPUTED_VALUE"""),"VD046")</f>
        <v>VD046</v>
      </c>
      <c r="C354" s="2">
        <f>IFERROR(__xludf.DUMMYFUNCTION("""COMPUTED_VALUE"""),7.0)</f>
        <v>7</v>
      </c>
      <c r="D354" s="2">
        <f>IFERROR(__xludf.DUMMYFUNCTION("""COMPUTED_VALUE"""),706.86)</f>
        <v>706.86</v>
      </c>
    </row>
    <row r="355">
      <c r="A355" s="2" t="str">
        <f>IFERROR(__xludf.DUMMYFUNCTION("""COMPUTED_VALUE"""),"PR051")</f>
        <v>PR051</v>
      </c>
      <c r="B355" s="2" t="str">
        <f>IFERROR(__xludf.DUMMYFUNCTION("""COMPUTED_VALUE"""),"VD026")</f>
        <v>VD026</v>
      </c>
      <c r="C355" s="2">
        <f>IFERROR(__xludf.DUMMYFUNCTION("""COMPUTED_VALUE"""),20.0)</f>
        <v>20</v>
      </c>
      <c r="D355" s="2">
        <f>IFERROR(__xludf.DUMMYFUNCTION("""COMPUTED_VALUE"""),704.06)</f>
        <v>704.06</v>
      </c>
    </row>
    <row r="356">
      <c r="A356" s="2" t="str">
        <f>IFERROR(__xludf.DUMMYFUNCTION("""COMPUTED_VALUE"""),"PR030")</f>
        <v>PR030</v>
      </c>
      <c r="B356" s="2" t="str">
        <f>IFERROR(__xludf.DUMMYFUNCTION("""COMPUTED_VALUE"""),"VD036")</f>
        <v>VD036</v>
      </c>
      <c r="C356" s="2">
        <f>IFERROR(__xludf.DUMMYFUNCTION("""COMPUTED_VALUE"""),21.0)</f>
        <v>21</v>
      </c>
      <c r="D356" s="2">
        <f>IFERROR(__xludf.DUMMYFUNCTION("""COMPUTED_VALUE"""),5457.9)</f>
        <v>5457.9</v>
      </c>
    </row>
    <row r="357">
      <c r="A357" s="2" t="str">
        <f>IFERROR(__xludf.DUMMYFUNCTION("""COMPUTED_VALUE"""),"PR045")</f>
        <v>PR045</v>
      </c>
      <c r="B357" s="2" t="str">
        <f>IFERROR(__xludf.DUMMYFUNCTION("""COMPUTED_VALUE"""),"VD039")</f>
        <v>VD039</v>
      </c>
      <c r="C357" s="2">
        <f>IFERROR(__xludf.DUMMYFUNCTION("""COMPUTED_VALUE"""),18.0)</f>
        <v>18</v>
      </c>
      <c r="D357" s="2">
        <f>IFERROR(__xludf.DUMMYFUNCTION("""COMPUTED_VALUE"""),1409.4)</f>
        <v>1409.4</v>
      </c>
    </row>
    <row r="358">
      <c r="A358" s="2" t="str">
        <f>IFERROR(__xludf.DUMMYFUNCTION("""COMPUTED_VALUE"""),"PR025")</f>
        <v>PR025</v>
      </c>
      <c r="B358" s="2" t="str">
        <f>IFERROR(__xludf.DUMMYFUNCTION("""COMPUTED_VALUE"""),"VD013")</f>
        <v>VD013</v>
      </c>
      <c r="C358" s="2">
        <f>IFERROR(__xludf.DUMMYFUNCTION("""COMPUTED_VALUE"""),6.0)</f>
        <v>6</v>
      </c>
      <c r="D358" s="2">
        <f>IFERROR(__xludf.DUMMYFUNCTION("""COMPUTED_VALUE"""),1817.39)</f>
        <v>1817.39</v>
      </c>
    </row>
    <row r="359">
      <c r="A359" s="2" t="str">
        <f>IFERROR(__xludf.DUMMYFUNCTION("""COMPUTED_VALUE"""),"PR025")</f>
        <v>PR025</v>
      </c>
      <c r="B359" s="2" t="str">
        <f>IFERROR(__xludf.DUMMYFUNCTION("""COMPUTED_VALUE"""),"VD043")</f>
        <v>VD043</v>
      </c>
      <c r="C359" s="2">
        <f>IFERROR(__xludf.DUMMYFUNCTION("""COMPUTED_VALUE"""),16.0)</f>
        <v>16</v>
      </c>
      <c r="D359" s="2">
        <f>IFERROR(__xludf.DUMMYFUNCTION("""COMPUTED_VALUE"""),4990.34)</f>
        <v>4990.34</v>
      </c>
    </row>
    <row r="360">
      <c r="A360" s="2" t="str">
        <f>IFERROR(__xludf.DUMMYFUNCTION("""COMPUTED_VALUE"""),"PR047")</f>
        <v>PR047</v>
      </c>
      <c r="B360" s="2" t="str">
        <f>IFERROR(__xludf.DUMMYFUNCTION("""COMPUTED_VALUE"""),"VD011")</f>
        <v>VD011</v>
      </c>
      <c r="C360" s="2">
        <f>IFERROR(__xludf.DUMMYFUNCTION("""COMPUTED_VALUE"""),3.0)</f>
        <v>3</v>
      </c>
      <c r="D360" s="2">
        <f>IFERROR(__xludf.DUMMYFUNCTION("""COMPUTED_VALUE"""),913.19)</f>
        <v>913.19</v>
      </c>
    </row>
    <row r="361">
      <c r="A361" s="2" t="str">
        <f>IFERROR(__xludf.DUMMYFUNCTION("""COMPUTED_VALUE"""),"PR060")</f>
        <v>PR060</v>
      </c>
      <c r="B361" s="2" t="str">
        <f>IFERROR(__xludf.DUMMYFUNCTION("""COMPUTED_VALUE"""),"VD044")</f>
        <v>VD044</v>
      </c>
      <c r="C361" s="2">
        <f>IFERROR(__xludf.DUMMYFUNCTION("""COMPUTED_VALUE"""),6.0)</f>
        <v>6</v>
      </c>
      <c r="D361" s="2">
        <f>IFERROR(__xludf.DUMMYFUNCTION("""COMPUTED_VALUE"""),1101.6)</f>
        <v>1101.6</v>
      </c>
    </row>
    <row r="362">
      <c r="A362" s="2" t="str">
        <f>IFERROR(__xludf.DUMMYFUNCTION("""COMPUTED_VALUE"""),"PR012")</f>
        <v>PR012</v>
      </c>
      <c r="B362" s="2" t="str">
        <f>IFERROR(__xludf.DUMMYFUNCTION("""COMPUTED_VALUE"""),"VD022")</f>
        <v>VD022</v>
      </c>
      <c r="C362" s="2">
        <f>IFERROR(__xludf.DUMMYFUNCTION("""COMPUTED_VALUE"""),27.0)</f>
        <v>27</v>
      </c>
      <c r="D362" s="2">
        <f>IFERROR(__xludf.DUMMYFUNCTION("""COMPUTED_VALUE"""),1333.5)</f>
        <v>1333.5</v>
      </c>
    </row>
    <row r="363">
      <c r="A363" s="2" t="str">
        <f>IFERROR(__xludf.DUMMYFUNCTION("""COMPUTED_VALUE"""),"PR009")</f>
        <v>PR009</v>
      </c>
      <c r="B363" s="2" t="str">
        <f>IFERROR(__xludf.DUMMYFUNCTION("""COMPUTED_VALUE"""),"VD019")</f>
        <v>VD019</v>
      </c>
      <c r="C363" s="2">
        <f>IFERROR(__xludf.DUMMYFUNCTION("""COMPUTED_VALUE"""),2.0)</f>
        <v>2</v>
      </c>
      <c r="D363" s="2">
        <f>IFERROR(__xludf.DUMMYFUNCTION("""COMPUTED_VALUE"""),185.8)</f>
        <v>185.8</v>
      </c>
    </row>
    <row r="364">
      <c r="A364" s="2" t="str">
        <f>IFERROR(__xludf.DUMMYFUNCTION("""COMPUTED_VALUE"""),"PR010")</f>
        <v>PR010</v>
      </c>
      <c r="B364" s="2" t="str">
        <f>IFERROR(__xludf.DUMMYFUNCTION("""COMPUTED_VALUE"""),"VD041")</f>
        <v>VD041</v>
      </c>
      <c r="C364" s="2">
        <f>IFERROR(__xludf.DUMMYFUNCTION("""COMPUTED_VALUE"""),5.0)</f>
        <v>5</v>
      </c>
      <c r="D364" s="2">
        <f>IFERROR(__xludf.DUMMYFUNCTION("""COMPUTED_VALUE"""),237.97)</f>
        <v>237.97</v>
      </c>
    </row>
    <row r="365">
      <c r="A365" s="2" t="str">
        <f>IFERROR(__xludf.DUMMYFUNCTION("""COMPUTED_VALUE"""),"PR049")</f>
        <v>PR049</v>
      </c>
      <c r="B365" s="2" t="str">
        <f>IFERROR(__xludf.DUMMYFUNCTION("""COMPUTED_VALUE"""),"VD049")</f>
        <v>VD049</v>
      </c>
      <c r="C365" s="2">
        <f>IFERROR(__xludf.DUMMYFUNCTION("""COMPUTED_VALUE"""),4.0)</f>
        <v>4</v>
      </c>
      <c r="D365" s="2">
        <f>IFERROR(__xludf.DUMMYFUNCTION("""COMPUTED_VALUE"""),143.44)</f>
        <v>143.44</v>
      </c>
    </row>
    <row r="366">
      <c r="A366" s="2" t="str">
        <f>IFERROR(__xludf.DUMMYFUNCTION("""COMPUTED_VALUE"""),"PR016")</f>
        <v>PR016</v>
      </c>
      <c r="B366" s="2" t="str">
        <f>IFERROR(__xludf.DUMMYFUNCTION("""COMPUTED_VALUE"""),"VD044")</f>
        <v>VD044</v>
      </c>
      <c r="C366" s="2">
        <f>IFERROR(__xludf.DUMMYFUNCTION("""COMPUTED_VALUE"""),6.0)</f>
        <v>6</v>
      </c>
      <c r="D366" s="2">
        <f>IFERROR(__xludf.DUMMYFUNCTION("""COMPUTED_VALUE"""),161.62)</f>
        <v>161.62</v>
      </c>
    </row>
    <row r="367">
      <c r="A367" s="2" t="str">
        <f>IFERROR(__xludf.DUMMYFUNCTION("""COMPUTED_VALUE"""),"PR008")</f>
        <v>PR008</v>
      </c>
      <c r="B367" s="2" t="str">
        <f>IFERROR(__xludf.DUMMYFUNCTION("""COMPUTED_VALUE"""),"VD033")</f>
        <v>VD033</v>
      </c>
      <c r="C367" s="2">
        <f>IFERROR(__xludf.DUMMYFUNCTION("""COMPUTED_VALUE"""),27.0)</f>
        <v>27</v>
      </c>
      <c r="D367" s="2">
        <f>IFERROR(__xludf.DUMMYFUNCTION("""COMPUTED_VALUE"""),2548.67)</f>
        <v>2548.67</v>
      </c>
    </row>
    <row r="368">
      <c r="A368" s="2" t="str">
        <f>IFERROR(__xludf.DUMMYFUNCTION("""COMPUTED_VALUE"""),"PR018")</f>
        <v>PR018</v>
      </c>
      <c r="B368" s="2" t="str">
        <f>IFERROR(__xludf.DUMMYFUNCTION("""COMPUTED_VALUE"""),"VD033")</f>
        <v>VD033</v>
      </c>
      <c r="C368" s="2">
        <f>IFERROR(__xludf.DUMMYFUNCTION("""COMPUTED_VALUE"""),1.0)</f>
        <v>1</v>
      </c>
      <c r="D368" s="2">
        <f>IFERROR(__xludf.DUMMYFUNCTION("""COMPUTED_VALUE"""),34.87)</f>
        <v>34.87</v>
      </c>
    </row>
    <row r="369">
      <c r="A369" s="2" t="str">
        <f>IFERROR(__xludf.DUMMYFUNCTION("""COMPUTED_VALUE"""),"PR017")</f>
        <v>PR017</v>
      </c>
      <c r="B369" s="2" t="str">
        <f>IFERROR(__xludf.DUMMYFUNCTION("""COMPUTED_VALUE"""),"VD013")</f>
        <v>VD013</v>
      </c>
      <c r="C369" s="2">
        <f>IFERROR(__xludf.DUMMYFUNCTION("""COMPUTED_VALUE"""),9.0)</f>
        <v>9</v>
      </c>
      <c r="D369" s="2">
        <f>IFERROR(__xludf.DUMMYFUNCTION("""COMPUTED_VALUE"""),293.32)</f>
        <v>293.32</v>
      </c>
    </row>
    <row r="370">
      <c r="A370" s="2" t="str">
        <f>IFERROR(__xludf.DUMMYFUNCTION("""COMPUTED_VALUE"""),"PR050")</f>
        <v>PR050</v>
      </c>
      <c r="B370" s="2" t="str">
        <f>IFERROR(__xludf.DUMMYFUNCTION("""COMPUTED_VALUE"""),"VD030")</f>
        <v>VD030</v>
      </c>
      <c r="C370" s="2">
        <f>IFERROR(__xludf.DUMMYFUNCTION("""COMPUTED_VALUE"""),6.0)</f>
        <v>6</v>
      </c>
      <c r="D370" s="2">
        <f>IFERROR(__xludf.DUMMYFUNCTION("""COMPUTED_VALUE"""),205.3)</f>
        <v>205.3</v>
      </c>
    </row>
    <row r="371">
      <c r="A371" s="2" t="str">
        <f>IFERROR(__xludf.DUMMYFUNCTION("""COMPUTED_VALUE"""),"PR018")</f>
        <v>PR018</v>
      </c>
      <c r="B371" s="2" t="str">
        <f>IFERROR(__xludf.DUMMYFUNCTION("""COMPUTED_VALUE"""),"VD040")</f>
        <v>VD040</v>
      </c>
      <c r="C371" s="2">
        <f>IFERROR(__xludf.DUMMYFUNCTION("""COMPUTED_VALUE"""),20.0)</f>
        <v>20</v>
      </c>
      <c r="D371" s="2">
        <f>IFERROR(__xludf.DUMMYFUNCTION("""COMPUTED_VALUE"""),671.16)</f>
        <v>671.16</v>
      </c>
    </row>
    <row r="372">
      <c r="A372" s="2" t="str">
        <f>IFERROR(__xludf.DUMMYFUNCTION("""COMPUTED_VALUE"""),"PR001")</f>
        <v>PR001</v>
      </c>
      <c r="B372" s="2" t="str">
        <f>IFERROR(__xludf.DUMMYFUNCTION("""COMPUTED_VALUE"""),"VD045")</f>
        <v>VD045</v>
      </c>
      <c r="C372" s="2">
        <f>IFERROR(__xludf.DUMMYFUNCTION("""COMPUTED_VALUE"""),9.0)</f>
        <v>9</v>
      </c>
      <c r="D372" s="2">
        <f>IFERROR(__xludf.DUMMYFUNCTION("""COMPUTED_VALUE"""),634.62)</f>
        <v>634.62</v>
      </c>
    </row>
    <row r="373">
      <c r="A373" s="2" t="str">
        <f>IFERROR(__xludf.DUMMYFUNCTION("""COMPUTED_VALUE"""),"PR053")</f>
        <v>PR053</v>
      </c>
      <c r="B373" s="2" t="str">
        <f>IFERROR(__xludf.DUMMYFUNCTION("""COMPUTED_VALUE"""),"VD033")</f>
        <v>VD033</v>
      </c>
      <c r="C373" s="2">
        <f>IFERROR(__xludf.DUMMYFUNCTION("""COMPUTED_VALUE"""),6.0)</f>
        <v>6</v>
      </c>
      <c r="D373" s="2">
        <f>IFERROR(__xludf.DUMMYFUNCTION("""COMPUTED_VALUE"""),314.37)</f>
        <v>314.37</v>
      </c>
    </row>
    <row r="374">
      <c r="A374" s="2" t="str">
        <f>IFERROR(__xludf.DUMMYFUNCTION("""COMPUTED_VALUE"""),"PR011")</f>
        <v>PR011</v>
      </c>
      <c r="B374" s="2" t="str">
        <f>IFERROR(__xludf.DUMMYFUNCTION("""COMPUTED_VALUE"""),"VD046")</f>
        <v>VD046</v>
      </c>
      <c r="C374" s="2">
        <f>IFERROR(__xludf.DUMMYFUNCTION("""COMPUTED_VALUE"""),8.0)</f>
        <v>8</v>
      </c>
      <c r="D374" s="2">
        <f>IFERROR(__xludf.DUMMYFUNCTION("""COMPUTED_VALUE"""),375.2)</f>
        <v>375.2</v>
      </c>
    </row>
    <row r="375">
      <c r="A375" s="2" t="str">
        <f>IFERROR(__xludf.DUMMYFUNCTION("""COMPUTED_VALUE"""),"PR036")</f>
        <v>PR036</v>
      </c>
      <c r="B375" s="2" t="str">
        <f>IFERROR(__xludf.DUMMYFUNCTION("""COMPUTED_VALUE"""),"VD044")</f>
        <v>VD044</v>
      </c>
      <c r="C375" s="2">
        <f>IFERROR(__xludf.DUMMYFUNCTION("""COMPUTED_VALUE"""),9.0)</f>
        <v>9</v>
      </c>
      <c r="D375" s="2">
        <f>IFERROR(__xludf.DUMMYFUNCTION("""COMPUTED_VALUE"""),849.92)</f>
        <v>849.92</v>
      </c>
    </row>
    <row r="376">
      <c r="A376" s="2" t="str">
        <f>IFERROR(__xludf.DUMMYFUNCTION("""COMPUTED_VALUE"""),"PR007")</f>
        <v>PR007</v>
      </c>
      <c r="B376" s="2" t="str">
        <f>IFERROR(__xludf.DUMMYFUNCTION("""COMPUTED_VALUE"""),"VD035")</f>
        <v>VD035</v>
      </c>
      <c r="C376" s="2">
        <f>IFERROR(__xludf.DUMMYFUNCTION("""COMPUTED_VALUE"""),8.0)</f>
        <v>8</v>
      </c>
      <c r="D376" s="2">
        <f>IFERROR(__xludf.DUMMYFUNCTION("""COMPUTED_VALUE"""),700.94)</f>
        <v>700.94</v>
      </c>
    </row>
    <row r="377">
      <c r="A377" s="2" t="str">
        <f>IFERROR(__xludf.DUMMYFUNCTION("""COMPUTED_VALUE"""),"PR017")</f>
        <v>PR017</v>
      </c>
      <c r="B377" s="2" t="str">
        <f>IFERROR(__xludf.DUMMYFUNCTION("""COMPUTED_VALUE"""),"VD013")</f>
        <v>VD013</v>
      </c>
      <c r="C377" s="2">
        <f>IFERROR(__xludf.DUMMYFUNCTION("""COMPUTED_VALUE"""),2.0)</f>
        <v>2</v>
      </c>
      <c r="D377" s="2">
        <f>IFERROR(__xludf.DUMMYFUNCTION("""COMPUTED_VALUE"""),62.79)</f>
        <v>62.79</v>
      </c>
    </row>
    <row r="378">
      <c r="A378" s="2" t="str">
        <f>IFERROR(__xludf.DUMMYFUNCTION("""COMPUTED_VALUE"""),"PR029")</f>
        <v>PR029</v>
      </c>
      <c r="B378" s="2" t="str">
        <f>IFERROR(__xludf.DUMMYFUNCTION("""COMPUTED_VALUE"""),"VD022")</f>
        <v>VD022</v>
      </c>
      <c r="C378" s="2">
        <f>IFERROR(__xludf.DUMMYFUNCTION("""COMPUTED_VALUE"""),24.0)</f>
        <v>24</v>
      </c>
      <c r="D378" s="2">
        <f>IFERROR(__xludf.DUMMYFUNCTION("""COMPUTED_VALUE"""),6364.8)</f>
        <v>6364.8</v>
      </c>
    </row>
    <row r="379">
      <c r="A379" s="2" t="str">
        <f>IFERROR(__xludf.DUMMYFUNCTION("""COMPUTED_VALUE"""),"PR049")</f>
        <v>PR049</v>
      </c>
      <c r="B379" s="2" t="str">
        <f>IFERROR(__xludf.DUMMYFUNCTION("""COMPUTED_VALUE"""),"VD046")</f>
        <v>VD046</v>
      </c>
      <c r="C379" s="2">
        <f>IFERROR(__xludf.DUMMYFUNCTION("""COMPUTED_VALUE"""),2.0)</f>
        <v>2</v>
      </c>
      <c r="D379" s="2">
        <f>IFERROR(__xludf.DUMMYFUNCTION("""COMPUTED_VALUE"""),71.72)</f>
        <v>71.72</v>
      </c>
    </row>
    <row r="380">
      <c r="A380" s="2" t="str">
        <f>IFERROR(__xludf.DUMMYFUNCTION("""COMPUTED_VALUE"""),"PR036")</f>
        <v>PR036</v>
      </c>
      <c r="B380" s="2" t="str">
        <f>IFERROR(__xludf.DUMMYFUNCTION("""COMPUTED_VALUE"""),"VD035")</f>
        <v>VD035</v>
      </c>
      <c r="C380" s="2">
        <f>IFERROR(__xludf.DUMMYFUNCTION("""COMPUTED_VALUE"""),18.0)</f>
        <v>18</v>
      </c>
      <c r="D380" s="2">
        <f>IFERROR(__xludf.DUMMYFUNCTION("""COMPUTED_VALUE"""),1783.98)</f>
        <v>1783.98</v>
      </c>
    </row>
    <row r="381">
      <c r="A381" s="2" t="str">
        <f>IFERROR(__xludf.DUMMYFUNCTION("""COMPUTED_VALUE"""),"PR039")</f>
        <v>PR039</v>
      </c>
      <c r="B381" s="2" t="str">
        <f>IFERROR(__xludf.DUMMYFUNCTION("""COMPUTED_VALUE"""),"VD047")</f>
        <v>VD047</v>
      </c>
      <c r="C381" s="2">
        <f>IFERROR(__xludf.DUMMYFUNCTION("""COMPUTED_VALUE"""),14.0)</f>
        <v>14</v>
      </c>
      <c r="D381" s="2">
        <f>IFERROR(__xludf.DUMMYFUNCTION("""COMPUTED_VALUE"""),2227.96)</f>
        <v>2227.96</v>
      </c>
    </row>
    <row r="382">
      <c r="A382" s="2" t="str">
        <f>IFERROR(__xludf.DUMMYFUNCTION("""COMPUTED_VALUE"""),"PR043")</f>
        <v>PR043</v>
      </c>
      <c r="B382" s="2" t="str">
        <f>IFERROR(__xludf.DUMMYFUNCTION("""COMPUTED_VALUE"""),"VD049")</f>
        <v>VD049</v>
      </c>
      <c r="C382" s="2">
        <f>IFERROR(__xludf.DUMMYFUNCTION("""COMPUTED_VALUE"""),8.0)</f>
        <v>8</v>
      </c>
      <c r="D382" s="2">
        <f>IFERROR(__xludf.DUMMYFUNCTION("""COMPUTED_VALUE"""),585.8)</f>
        <v>585.8</v>
      </c>
    </row>
    <row r="383">
      <c r="A383" s="2" t="str">
        <f>IFERROR(__xludf.DUMMYFUNCTION("""COMPUTED_VALUE"""),"PR039")</f>
        <v>PR039</v>
      </c>
      <c r="B383" s="2" t="str">
        <f>IFERROR(__xludf.DUMMYFUNCTION("""COMPUTED_VALUE"""),"VD036")</f>
        <v>VD036</v>
      </c>
      <c r="C383" s="2">
        <f>IFERROR(__xludf.DUMMYFUNCTION("""COMPUTED_VALUE"""),7.0)</f>
        <v>7</v>
      </c>
      <c r="D383" s="2">
        <f>IFERROR(__xludf.DUMMYFUNCTION("""COMPUTED_VALUE"""),1124.2)</f>
        <v>1124.2</v>
      </c>
    </row>
    <row r="384">
      <c r="A384" s="2" t="str">
        <f>IFERROR(__xludf.DUMMYFUNCTION("""COMPUTED_VALUE"""),"PR039")</f>
        <v>PR039</v>
      </c>
      <c r="B384" s="2" t="str">
        <f>IFERROR(__xludf.DUMMYFUNCTION("""COMPUTED_VALUE"""),"VD032")</f>
        <v>VD032</v>
      </c>
      <c r="C384" s="2">
        <f>IFERROR(__xludf.DUMMYFUNCTION("""COMPUTED_VALUE"""),2.0)</f>
        <v>2</v>
      </c>
      <c r="D384" s="2">
        <f>IFERROR(__xludf.DUMMYFUNCTION("""COMPUTED_VALUE"""),312.44)</f>
        <v>312.44</v>
      </c>
    </row>
    <row r="385">
      <c r="A385" s="2" t="str">
        <f>IFERROR(__xludf.DUMMYFUNCTION("""COMPUTED_VALUE"""),"PR043")</f>
        <v>PR043</v>
      </c>
      <c r="B385" s="2" t="str">
        <f>IFERROR(__xludf.DUMMYFUNCTION("""COMPUTED_VALUE"""),"VD038")</f>
        <v>VD038</v>
      </c>
      <c r="C385" s="2">
        <f>IFERROR(__xludf.DUMMYFUNCTION("""COMPUTED_VALUE"""),3.0)</f>
        <v>3</v>
      </c>
      <c r="D385" s="2">
        <f>IFERROR(__xludf.DUMMYFUNCTION("""COMPUTED_VALUE"""),221.85)</f>
        <v>221.85</v>
      </c>
    </row>
    <row r="386">
      <c r="A386" s="2" t="str">
        <f>IFERROR(__xludf.DUMMYFUNCTION("""COMPUTED_VALUE"""),"PR005")</f>
        <v>PR005</v>
      </c>
      <c r="B386" s="2" t="str">
        <f>IFERROR(__xludf.DUMMYFUNCTION("""COMPUTED_VALUE"""),"VD021")</f>
        <v>VD021</v>
      </c>
      <c r="C386" s="2">
        <f>IFERROR(__xludf.DUMMYFUNCTION("""COMPUTED_VALUE"""),14.0)</f>
        <v>14</v>
      </c>
      <c r="D386" s="2">
        <f>IFERROR(__xludf.DUMMYFUNCTION("""COMPUTED_VALUE"""),3893.3)</f>
        <v>3893.3</v>
      </c>
    </row>
    <row r="387">
      <c r="A387" s="2" t="str">
        <f>IFERROR(__xludf.DUMMYFUNCTION("""COMPUTED_VALUE"""),"PR012")</f>
        <v>PR012</v>
      </c>
      <c r="B387" s="2" t="str">
        <f>IFERROR(__xludf.DUMMYFUNCTION("""COMPUTED_VALUE"""),"VD047")</f>
        <v>VD047</v>
      </c>
      <c r="C387" s="2">
        <f>IFERROR(__xludf.DUMMYFUNCTION("""COMPUTED_VALUE"""),2.0)</f>
        <v>2</v>
      </c>
      <c r="D387" s="2">
        <f>IFERROR(__xludf.DUMMYFUNCTION("""COMPUTED_VALUE"""),101.71)</f>
        <v>101.71</v>
      </c>
    </row>
    <row r="388">
      <c r="A388" s="2" t="str">
        <f>IFERROR(__xludf.DUMMYFUNCTION("""COMPUTED_VALUE"""),"PR039")</f>
        <v>PR039</v>
      </c>
      <c r="B388" s="2" t="str">
        <f>IFERROR(__xludf.DUMMYFUNCTION("""COMPUTED_VALUE"""),"VD042")</f>
        <v>VD042</v>
      </c>
      <c r="C388" s="2">
        <f>IFERROR(__xludf.DUMMYFUNCTION("""COMPUTED_VALUE"""),2.0)</f>
        <v>2</v>
      </c>
      <c r="D388" s="2">
        <f>IFERROR(__xludf.DUMMYFUNCTION("""COMPUTED_VALUE"""),292.0)</f>
        <v>292</v>
      </c>
    </row>
    <row r="389">
      <c r="A389" s="2" t="str">
        <f>IFERROR(__xludf.DUMMYFUNCTION("""COMPUTED_VALUE"""),"PR040")</f>
        <v>PR040</v>
      </c>
      <c r="B389" s="2" t="str">
        <f>IFERROR(__xludf.DUMMYFUNCTION("""COMPUTED_VALUE"""),"VD038")</f>
        <v>VD038</v>
      </c>
      <c r="C389" s="2">
        <f>IFERROR(__xludf.DUMMYFUNCTION("""COMPUTED_VALUE"""),2.0)</f>
        <v>2</v>
      </c>
      <c r="D389" s="2">
        <f>IFERROR(__xludf.DUMMYFUNCTION("""COMPUTED_VALUE"""),145.6)</f>
        <v>145.6</v>
      </c>
    </row>
    <row r="390">
      <c r="A390" s="2" t="str">
        <f>IFERROR(__xludf.DUMMYFUNCTION("""COMPUTED_VALUE"""),"PR053")</f>
        <v>PR053</v>
      </c>
      <c r="B390" s="2" t="str">
        <f>IFERROR(__xludf.DUMMYFUNCTION("""COMPUTED_VALUE"""),"VD031")</f>
        <v>VD031</v>
      </c>
      <c r="C390" s="2">
        <f>IFERROR(__xludf.DUMMYFUNCTION("""COMPUTED_VALUE"""),10.0)</f>
        <v>10</v>
      </c>
      <c r="D390" s="2">
        <f>IFERROR(__xludf.DUMMYFUNCTION("""COMPUTED_VALUE"""),523.95)</f>
        <v>523.95</v>
      </c>
    </row>
    <row r="391">
      <c r="A391" s="2" t="str">
        <f>IFERROR(__xludf.DUMMYFUNCTION("""COMPUTED_VALUE"""),"PR033")</f>
        <v>PR033</v>
      </c>
      <c r="B391" s="2" t="str">
        <f>IFERROR(__xludf.DUMMYFUNCTION("""COMPUTED_VALUE"""),"VD030")</f>
        <v>VD030</v>
      </c>
      <c r="C391" s="2">
        <f>IFERROR(__xludf.DUMMYFUNCTION("""COMPUTED_VALUE"""),10.0)</f>
        <v>10</v>
      </c>
      <c r="D391" s="2">
        <f>IFERROR(__xludf.DUMMYFUNCTION("""COMPUTED_VALUE"""),2858.9)</f>
        <v>2858.9</v>
      </c>
    </row>
    <row r="392">
      <c r="A392" s="2" t="str">
        <f>IFERROR(__xludf.DUMMYFUNCTION("""COMPUTED_VALUE"""),"PR045")</f>
        <v>PR045</v>
      </c>
      <c r="B392" s="2" t="str">
        <f>IFERROR(__xludf.DUMMYFUNCTION("""COMPUTED_VALUE"""),"VD026")</f>
        <v>VD026</v>
      </c>
      <c r="C392" s="2">
        <f>IFERROR(__xludf.DUMMYFUNCTION("""COMPUTED_VALUE"""),12.0)</f>
        <v>12</v>
      </c>
      <c r="D392" s="2">
        <f>IFERROR(__xludf.DUMMYFUNCTION("""COMPUTED_VALUE"""),913.5)</f>
        <v>913.5</v>
      </c>
    </row>
    <row r="393">
      <c r="A393" s="2" t="str">
        <f>IFERROR(__xludf.DUMMYFUNCTION("""COMPUTED_VALUE"""),"PR012")</f>
        <v>PR012</v>
      </c>
      <c r="B393" s="2" t="str">
        <f>IFERROR(__xludf.DUMMYFUNCTION("""COMPUTED_VALUE"""),"VD042")</f>
        <v>VD042</v>
      </c>
      <c r="C393" s="2">
        <f>IFERROR(__xludf.DUMMYFUNCTION("""COMPUTED_VALUE"""),10.0)</f>
        <v>10</v>
      </c>
      <c r="D393" s="2">
        <f>IFERROR(__xludf.DUMMYFUNCTION("""COMPUTED_VALUE"""),498.78)</f>
        <v>498.78</v>
      </c>
    </row>
    <row r="394">
      <c r="A394" s="2" t="str">
        <f>IFERROR(__xludf.DUMMYFUNCTION("""COMPUTED_VALUE"""),"PR002")</f>
        <v>PR002</v>
      </c>
      <c r="B394" s="2" t="str">
        <f>IFERROR(__xludf.DUMMYFUNCTION("""COMPUTED_VALUE"""),"VD037")</f>
        <v>VD037</v>
      </c>
      <c r="C394" s="2">
        <f>IFERROR(__xludf.DUMMYFUNCTION("""COMPUTED_VALUE"""),3.0)</f>
        <v>3</v>
      </c>
      <c r="D394" s="2">
        <f>IFERROR(__xludf.DUMMYFUNCTION("""COMPUTED_VALUE"""),215.99)</f>
        <v>215.99</v>
      </c>
    </row>
    <row r="395">
      <c r="A395" s="2" t="str">
        <f>IFERROR(__xludf.DUMMYFUNCTION("""COMPUTED_VALUE"""),"PR024")</f>
        <v>PR024</v>
      </c>
      <c r="B395" s="2" t="str">
        <f>IFERROR(__xludf.DUMMYFUNCTION("""COMPUTED_VALUE"""),"VD023")</f>
        <v>VD023</v>
      </c>
      <c r="C395" s="2">
        <f>IFERROR(__xludf.DUMMYFUNCTION("""COMPUTED_VALUE"""),9.0)</f>
        <v>9</v>
      </c>
      <c r="D395" s="2">
        <f>IFERROR(__xludf.DUMMYFUNCTION("""COMPUTED_VALUE"""),2549.62)</f>
        <v>2549.62</v>
      </c>
    </row>
    <row r="396">
      <c r="A396" s="2" t="str">
        <f>IFERROR(__xludf.DUMMYFUNCTION("""COMPUTED_VALUE"""),"PR039")</f>
        <v>PR039</v>
      </c>
      <c r="B396" s="2" t="str">
        <f>IFERROR(__xludf.DUMMYFUNCTION("""COMPUTED_VALUE"""),"VD028")</f>
        <v>VD028</v>
      </c>
      <c r="C396" s="2">
        <f>IFERROR(__xludf.DUMMYFUNCTION("""COMPUTED_VALUE"""),4.0)</f>
        <v>4</v>
      </c>
      <c r="D396" s="2">
        <f>IFERROR(__xludf.DUMMYFUNCTION("""COMPUTED_VALUE"""),601.52)</f>
        <v>601.52</v>
      </c>
    </row>
    <row r="397">
      <c r="A397" s="2" t="str">
        <f>IFERROR(__xludf.DUMMYFUNCTION("""COMPUTED_VALUE"""),"PR058")</f>
        <v>PR058</v>
      </c>
      <c r="B397" s="2" t="str">
        <f>IFERROR(__xludf.DUMMYFUNCTION("""COMPUTED_VALUE"""),"VD028")</f>
        <v>VD028</v>
      </c>
      <c r="C397" s="2">
        <f>IFERROR(__xludf.DUMMYFUNCTION("""COMPUTED_VALUE"""),3.0)</f>
        <v>3</v>
      </c>
      <c r="D397" s="2">
        <f>IFERROR(__xludf.DUMMYFUNCTION("""COMPUTED_VALUE"""),594.0)</f>
        <v>594</v>
      </c>
    </row>
    <row r="398">
      <c r="A398" s="2" t="str">
        <f>IFERROR(__xludf.DUMMYFUNCTION("""COMPUTED_VALUE"""),"PR027")</f>
        <v>PR027</v>
      </c>
      <c r="B398" s="2" t="str">
        <f>IFERROR(__xludf.DUMMYFUNCTION("""COMPUTED_VALUE"""),"VD040")</f>
        <v>VD040</v>
      </c>
      <c r="C398" s="2">
        <f>IFERROR(__xludf.DUMMYFUNCTION("""COMPUTED_VALUE"""),14.0)</f>
        <v>14</v>
      </c>
      <c r="D398" s="2">
        <f>IFERROR(__xludf.DUMMYFUNCTION("""COMPUTED_VALUE"""),1730.4)</f>
        <v>1730.4</v>
      </c>
    </row>
    <row r="399">
      <c r="A399" s="2" t="str">
        <f>IFERROR(__xludf.DUMMYFUNCTION("""COMPUTED_VALUE"""),"PR003")</f>
        <v>PR003</v>
      </c>
      <c r="B399" s="2" t="str">
        <f>IFERROR(__xludf.DUMMYFUNCTION("""COMPUTED_VALUE"""),"VD029")</f>
        <v>VD029</v>
      </c>
      <c r="C399" s="2">
        <f>IFERROR(__xludf.DUMMYFUNCTION("""COMPUTED_VALUE"""),24.0)</f>
        <v>24</v>
      </c>
      <c r="D399" s="2">
        <f>IFERROR(__xludf.DUMMYFUNCTION("""COMPUTED_VALUE"""),1769.66)</f>
        <v>1769.66</v>
      </c>
    </row>
    <row r="400">
      <c r="A400" s="2" t="str">
        <f>IFERROR(__xludf.DUMMYFUNCTION("""COMPUTED_VALUE"""),"PR032")</f>
        <v>PR032</v>
      </c>
      <c r="B400" s="2" t="str">
        <f>IFERROR(__xludf.DUMMYFUNCTION("""COMPUTED_VALUE"""),"VD016")</f>
        <v>VD016</v>
      </c>
      <c r="C400" s="2">
        <f>IFERROR(__xludf.DUMMYFUNCTION("""COMPUTED_VALUE"""),4.0)</f>
        <v>4</v>
      </c>
      <c r="D400" s="2">
        <f>IFERROR(__xludf.DUMMYFUNCTION("""COMPUTED_VALUE"""),1060.0)</f>
        <v>1060</v>
      </c>
    </row>
    <row r="401">
      <c r="A401" s="2" t="str">
        <f>IFERROR(__xludf.DUMMYFUNCTION("""COMPUTED_VALUE"""),"PR049")</f>
        <v>PR049</v>
      </c>
      <c r="B401" s="2" t="str">
        <f>IFERROR(__xludf.DUMMYFUNCTION("""COMPUTED_VALUE"""),"VD015")</f>
        <v>VD015</v>
      </c>
      <c r="C401" s="2">
        <f>IFERROR(__xludf.DUMMYFUNCTION("""COMPUTED_VALUE"""),12.0)</f>
        <v>12</v>
      </c>
      <c r="D401" s="2">
        <f>IFERROR(__xludf.DUMMYFUNCTION("""COMPUTED_VALUE"""),406.64)</f>
        <v>406.64</v>
      </c>
    </row>
    <row r="402">
      <c r="A402" s="2" t="str">
        <f>IFERROR(__xludf.DUMMYFUNCTION("""COMPUTED_VALUE"""),"PR011")</f>
        <v>PR011</v>
      </c>
      <c r="B402" s="2" t="str">
        <f>IFERROR(__xludf.DUMMYFUNCTION("""COMPUTED_VALUE"""),"VD016")</f>
        <v>VD016</v>
      </c>
      <c r="C402" s="2">
        <f>IFERROR(__xludf.DUMMYFUNCTION("""COMPUTED_VALUE"""),18.0)</f>
        <v>18</v>
      </c>
      <c r="D402" s="2">
        <f>IFERROR(__xludf.DUMMYFUNCTION("""COMPUTED_VALUE"""),903.29)</f>
        <v>903.29</v>
      </c>
    </row>
    <row r="403">
      <c r="A403" s="2" t="str">
        <f>IFERROR(__xludf.DUMMYFUNCTION("""COMPUTED_VALUE"""),"PR015")</f>
        <v>PR015</v>
      </c>
      <c r="B403" s="2" t="str">
        <f>IFERROR(__xludf.DUMMYFUNCTION("""COMPUTED_VALUE"""),"VD028")</f>
        <v>VD028</v>
      </c>
      <c r="C403" s="2">
        <f>IFERROR(__xludf.DUMMYFUNCTION("""COMPUTED_VALUE"""),1.0)</f>
        <v>1</v>
      </c>
      <c r="D403" s="2">
        <f>IFERROR(__xludf.DUMMYFUNCTION("""COMPUTED_VALUE"""),42.93)</f>
        <v>42.93</v>
      </c>
    </row>
    <row r="404">
      <c r="A404" s="2" t="str">
        <f>IFERROR(__xludf.DUMMYFUNCTION("""COMPUTED_VALUE"""),"PR025")</f>
        <v>PR025</v>
      </c>
      <c r="B404" s="2" t="str">
        <f>IFERROR(__xludf.DUMMYFUNCTION("""COMPUTED_VALUE"""),"VD025")</f>
        <v>VD025</v>
      </c>
      <c r="C404" s="2">
        <f>IFERROR(__xludf.DUMMYFUNCTION("""COMPUTED_VALUE"""),16.0)</f>
        <v>16</v>
      </c>
      <c r="D404" s="2">
        <f>IFERROR(__xludf.DUMMYFUNCTION("""COMPUTED_VALUE"""),4942.35)</f>
        <v>4942.35</v>
      </c>
    </row>
    <row r="405">
      <c r="A405" s="2" t="str">
        <f>IFERROR(__xludf.DUMMYFUNCTION("""COMPUTED_VALUE"""),"PR023")</f>
        <v>PR023</v>
      </c>
      <c r="B405" s="2" t="str">
        <f>IFERROR(__xludf.DUMMYFUNCTION("""COMPUTED_VALUE"""),"VD047")</f>
        <v>VD047</v>
      </c>
      <c r="C405" s="2">
        <f>IFERROR(__xludf.DUMMYFUNCTION("""COMPUTED_VALUE"""),2.0)</f>
        <v>2</v>
      </c>
      <c r="D405" s="2">
        <f>IFERROR(__xludf.DUMMYFUNCTION("""COMPUTED_VALUE"""),539.78)</f>
        <v>539.78</v>
      </c>
    </row>
    <row r="406">
      <c r="A406" s="2" t="str">
        <f>IFERROR(__xludf.DUMMYFUNCTION("""COMPUTED_VALUE"""),"PR031")</f>
        <v>PR031</v>
      </c>
      <c r="B406" s="2" t="str">
        <f>IFERROR(__xludf.DUMMYFUNCTION("""COMPUTED_VALUE"""),"VD035")</f>
        <v>VD035</v>
      </c>
      <c r="C406" s="2">
        <f>IFERROR(__xludf.DUMMYFUNCTION("""COMPUTED_VALUE"""),9.0)</f>
        <v>9</v>
      </c>
      <c r="D406" s="2">
        <f>IFERROR(__xludf.DUMMYFUNCTION("""COMPUTED_VALUE"""),2337.3)</f>
        <v>2337.3</v>
      </c>
    </row>
    <row r="407">
      <c r="A407" s="2" t="str">
        <f>IFERROR(__xludf.DUMMYFUNCTION("""COMPUTED_VALUE"""),"PR004")</f>
        <v>PR004</v>
      </c>
      <c r="B407" s="2" t="str">
        <f>IFERROR(__xludf.DUMMYFUNCTION("""COMPUTED_VALUE"""),"VD030")</f>
        <v>VD030</v>
      </c>
      <c r="C407" s="2">
        <f>IFERROR(__xludf.DUMMYFUNCTION("""COMPUTED_VALUE"""),5.0)</f>
        <v>5</v>
      </c>
      <c r="D407" s="2">
        <f>IFERROR(__xludf.DUMMYFUNCTION("""COMPUTED_VALUE"""),768.5)</f>
        <v>768.5</v>
      </c>
    </row>
    <row r="408">
      <c r="A408" s="2" t="str">
        <f>IFERROR(__xludf.DUMMYFUNCTION("""COMPUTED_VALUE"""),"PR001")</f>
        <v>PR001</v>
      </c>
      <c r="B408" s="2" t="str">
        <f>IFERROR(__xludf.DUMMYFUNCTION("""COMPUTED_VALUE"""),"VD037")</f>
        <v>VD037</v>
      </c>
      <c r="C408" s="2">
        <f>IFERROR(__xludf.DUMMYFUNCTION("""COMPUTED_VALUE"""),4.0)</f>
        <v>4</v>
      </c>
      <c r="D408" s="2">
        <f>IFERROR(__xludf.DUMMYFUNCTION("""COMPUTED_VALUE"""),263.6)</f>
        <v>263.6</v>
      </c>
    </row>
    <row r="409">
      <c r="A409" s="2" t="str">
        <f>IFERROR(__xludf.DUMMYFUNCTION("""COMPUTED_VALUE"""),"PR006")</f>
        <v>PR006</v>
      </c>
      <c r="B409" s="2" t="str">
        <f>IFERROR(__xludf.DUMMYFUNCTION("""COMPUTED_VALUE"""),"VD025")</f>
        <v>VD025</v>
      </c>
      <c r="C409" s="2">
        <f>IFERROR(__xludf.DUMMYFUNCTION("""COMPUTED_VALUE"""),8.0)</f>
        <v>8</v>
      </c>
      <c r="D409" s="2">
        <f>IFERROR(__xludf.DUMMYFUNCTION("""COMPUTED_VALUE"""),328.78)</f>
        <v>328.78</v>
      </c>
    </row>
    <row r="410">
      <c r="A410" s="2" t="str">
        <f>IFERROR(__xludf.DUMMYFUNCTION("""COMPUTED_VALUE"""),"PR019")</f>
        <v>PR019</v>
      </c>
      <c r="B410" s="2" t="str">
        <f>IFERROR(__xludf.DUMMYFUNCTION("""COMPUTED_VALUE"""),"VD030")</f>
        <v>VD030</v>
      </c>
      <c r="C410" s="2">
        <f>IFERROR(__xludf.DUMMYFUNCTION("""COMPUTED_VALUE"""),6.0)</f>
        <v>6</v>
      </c>
      <c r="D410" s="2">
        <f>IFERROR(__xludf.DUMMYFUNCTION("""COMPUTED_VALUE"""),299.4)</f>
        <v>299.4</v>
      </c>
    </row>
    <row r="411">
      <c r="A411" s="2" t="str">
        <f>IFERROR(__xludf.DUMMYFUNCTION("""COMPUTED_VALUE"""),"PR048")</f>
        <v>PR048</v>
      </c>
      <c r="B411" s="2" t="str">
        <f>IFERROR(__xludf.DUMMYFUNCTION("""COMPUTED_VALUE"""),"VD037")</f>
        <v>VD037</v>
      </c>
      <c r="C411" s="2">
        <f>IFERROR(__xludf.DUMMYFUNCTION("""COMPUTED_VALUE"""),6.0)</f>
        <v>6</v>
      </c>
      <c r="D411" s="2">
        <f>IFERROR(__xludf.DUMMYFUNCTION("""COMPUTED_VALUE"""),1861.16)</f>
        <v>1861.16</v>
      </c>
    </row>
    <row r="412">
      <c r="A412" s="2" t="str">
        <f>IFERROR(__xludf.DUMMYFUNCTION("""COMPUTED_VALUE"""),"PR060")</f>
        <v>PR060</v>
      </c>
      <c r="B412" s="2" t="str">
        <f>IFERROR(__xludf.DUMMYFUNCTION("""COMPUTED_VALUE"""),"VD032")</f>
        <v>VD032</v>
      </c>
      <c r="C412" s="2">
        <f>IFERROR(__xludf.DUMMYFUNCTION("""COMPUTED_VALUE"""),30.0)</f>
        <v>30</v>
      </c>
      <c r="D412" s="2">
        <f>IFERROR(__xludf.DUMMYFUNCTION("""COMPUTED_VALUE"""),5832.0)</f>
        <v>5832</v>
      </c>
    </row>
    <row r="413">
      <c r="A413" s="2" t="str">
        <f>IFERROR(__xludf.DUMMYFUNCTION("""COMPUTED_VALUE"""),"PR045")</f>
        <v>PR045</v>
      </c>
      <c r="B413" s="2" t="str">
        <f>IFERROR(__xludf.DUMMYFUNCTION("""COMPUTED_VALUE"""),"VD041")</f>
        <v>VD041</v>
      </c>
      <c r="C413" s="2">
        <f>IFERROR(__xludf.DUMMYFUNCTION("""COMPUTED_VALUE"""),7.0)</f>
        <v>7</v>
      </c>
      <c r="D413" s="2">
        <f>IFERROR(__xludf.DUMMYFUNCTION("""COMPUTED_VALUE"""),553.18)</f>
        <v>553.18</v>
      </c>
    </row>
    <row r="414">
      <c r="A414" s="2" t="str">
        <f>IFERROR(__xludf.DUMMYFUNCTION("""COMPUTED_VALUE"""),"PR003")</f>
        <v>PR003</v>
      </c>
      <c r="B414" s="2" t="str">
        <f>IFERROR(__xludf.DUMMYFUNCTION("""COMPUTED_VALUE"""),"VD012")</f>
        <v>VD012</v>
      </c>
      <c r="C414" s="2">
        <f>IFERROR(__xludf.DUMMYFUNCTION("""COMPUTED_VALUE"""),27.0)</f>
        <v>27</v>
      </c>
      <c r="D414" s="2">
        <f>IFERROR(__xludf.DUMMYFUNCTION("""COMPUTED_VALUE"""),1914.3)</f>
        <v>1914.3</v>
      </c>
    </row>
    <row r="415">
      <c r="A415" s="2" t="str">
        <f>IFERROR(__xludf.DUMMYFUNCTION("""COMPUTED_VALUE"""),"PR056")</f>
        <v>PR056</v>
      </c>
      <c r="B415" s="2" t="str">
        <f>IFERROR(__xludf.DUMMYFUNCTION("""COMPUTED_VALUE"""),"VD030")</f>
        <v>VD030</v>
      </c>
      <c r="C415" s="2">
        <f>IFERROR(__xludf.DUMMYFUNCTION("""COMPUTED_VALUE"""),12.0)</f>
        <v>12</v>
      </c>
      <c r="D415" s="2">
        <f>IFERROR(__xludf.DUMMYFUNCTION("""COMPUTED_VALUE"""),1089.59)</f>
        <v>1089.59</v>
      </c>
    </row>
    <row r="416">
      <c r="A416" s="2" t="str">
        <f>IFERROR(__xludf.DUMMYFUNCTION("""COMPUTED_VALUE"""),"PR033")</f>
        <v>PR033</v>
      </c>
      <c r="B416" s="2" t="str">
        <f>IFERROR(__xludf.DUMMYFUNCTION("""COMPUTED_VALUE"""),"VD014")</f>
        <v>VD014</v>
      </c>
      <c r="C416" s="2">
        <f>IFERROR(__xludf.DUMMYFUNCTION("""COMPUTED_VALUE"""),10.0)</f>
        <v>10</v>
      </c>
      <c r="D416" s="2">
        <f>IFERROR(__xludf.DUMMYFUNCTION("""COMPUTED_VALUE"""),2702.96)</f>
        <v>2702.96</v>
      </c>
    </row>
    <row r="417">
      <c r="A417" s="2" t="str">
        <f>IFERROR(__xludf.DUMMYFUNCTION("""COMPUTED_VALUE"""),"PR041")</f>
        <v>PR041</v>
      </c>
      <c r="B417" s="2" t="str">
        <f>IFERROR(__xludf.DUMMYFUNCTION("""COMPUTED_VALUE"""),"VD014")</f>
        <v>VD014</v>
      </c>
      <c r="C417" s="2">
        <f>IFERROR(__xludf.DUMMYFUNCTION("""COMPUTED_VALUE"""),20.0)</f>
        <v>20</v>
      </c>
      <c r="D417" s="2">
        <f>IFERROR(__xludf.DUMMYFUNCTION("""COMPUTED_VALUE"""),1108.98)</f>
        <v>1108.98</v>
      </c>
    </row>
    <row r="418">
      <c r="A418" s="2" t="str">
        <f>IFERROR(__xludf.DUMMYFUNCTION("""COMPUTED_VALUE"""),"PR004")</f>
        <v>PR004</v>
      </c>
      <c r="B418" s="2" t="str">
        <f>IFERROR(__xludf.DUMMYFUNCTION("""COMPUTED_VALUE"""),"VD011")</f>
        <v>VD011</v>
      </c>
      <c r="C418" s="2">
        <f>IFERROR(__xludf.DUMMYFUNCTION("""COMPUTED_VALUE"""),10.0)</f>
        <v>10</v>
      </c>
      <c r="D418" s="2">
        <f>IFERROR(__xludf.DUMMYFUNCTION("""COMPUTED_VALUE"""),1464.5)</f>
        <v>1464.5</v>
      </c>
    </row>
    <row r="419">
      <c r="A419" s="2" t="str">
        <f>IFERROR(__xludf.DUMMYFUNCTION("""COMPUTED_VALUE"""),"PR007")</f>
        <v>PR007</v>
      </c>
      <c r="B419" s="2" t="str">
        <f>IFERROR(__xludf.DUMMYFUNCTION("""COMPUTED_VALUE"""),"VD020")</f>
        <v>VD020</v>
      </c>
      <c r="C419" s="2">
        <f>IFERROR(__xludf.DUMMYFUNCTION("""COMPUTED_VALUE"""),9.0)</f>
        <v>9</v>
      </c>
      <c r="D419" s="2">
        <f>IFERROR(__xludf.DUMMYFUNCTION("""COMPUTED_VALUE"""),850.41)</f>
        <v>850.41</v>
      </c>
    </row>
    <row r="420">
      <c r="A420" s="2" t="str">
        <f>IFERROR(__xludf.DUMMYFUNCTION("""COMPUTED_VALUE"""),"PR046")</f>
        <v>PR046</v>
      </c>
      <c r="B420" s="2" t="str">
        <f>IFERROR(__xludf.DUMMYFUNCTION("""COMPUTED_VALUE"""),"VD015")</f>
        <v>VD015</v>
      </c>
      <c r="C420" s="2">
        <f>IFERROR(__xludf.DUMMYFUNCTION("""COMPUTED_VALUE"""),9.0)</f>
        <v>9</v>
      </c>
      <c r="D420" s="2">
        <f>IFERROR(__xludf.DUMMYFUNCTION("""COMPUTED_VALUE"""),2713.46)</f>
        <v>2713.46</v>
      </c>
    </row>
    <row r="421">
      <c r="A421" s="2" t="str">
        <f>IFERROR(__xludf.DUMMYFUNCTION("""COMPUTED_VALUE"""),"PR024")</f>
        <v>PR024</v>
      </c>
      <c r="B421" s="2" t="str">
        <f>IFERROR(__xludf.DUMMYFUNCTION("""COMPUTED_VALUE"""),"VD011")</f>
        <v>VD011</v>
      </c>
      <c r="C421" s="2">
        <f>IFERROR(__xludf.DUMMYFUNCTION("""COMPUTED_VALUE"""),3.0)</f>
        <v>3</v>
      </c>
      <c r="D421" s="2">
        <f>IFERROR(__xludf.DUMMYFUNCTION("""COMPUTED_VALUE"""),834.28)</f>
        <v>834.28</v>
      </c>
    </row>
    <row r="422">
      <c r="A422" s="2" t="str">
        <f>IFERROR(__xludf.DUMMYFUNCTION("""COMPUTED_VALUE"""),"PR047")</f>
        <v>PR047</v>
      </c>
      <c r="B422" s="2" t="str">
        <f>IFERROR(__xludf.DUMMYFUNCTION("""COMPUTED_VALUE"""),"VD033")</f>
        <v>VD033</v>
      </c>
      <c r="C422" s="2">
        <f>IFERROR(__xludf.DUMMYFUNCTION("""COMPUTED_VALUE"""),1.0)</f>
        <v>1</v>
      </c>
      <c r="D422" s="2">
        <f>IFERROR(__xludf.DUMMYFUNCTION("""COMPUTED_VALUE"""),307.29)</f>
        <v>307.29</v>
      </c>
    </row>
    <row r="423">
      <c r="A423" s="2" t="str">
        <f>IFERROR(__xludf.DUMMYFUNCTION("""COMPUTED_VALUE"""),"PR032")</f>
        <v>PR032</v>
      </c>
      <c r="B423" s="2" t="str">
        <f>IFERROR(__xludf.DUMMYFUNCTION("""COMPUTED_VALUE"""),"VD025")</f>
        <v>VD025</v>
      </c>
      <c r="C423" s="2">
        <f>IFERROR(__xludf.DUMMYFUNCTION("""COMPUTED_VALUE"""),16.0)</f>
        <v>16</v>
      </c>
      <c r="D423" s="2">
        <f>IFERROR(__xludf.DUMMYFUNCTION("""COMPUTED_VALUE"""),4080.0)</f>
        <v>4080</v>
      </c>
    </row>
    <row r="424">
      <c r="A424" s="2" t="str">
        <f>IFERROR(__xludf.DUMMYFUNCTION("""COMPUTED_VALUE"""),"PR020")</f>
        <v>PR020</v>
      </c>
      <c r="B424" s="2" t="str">
        <f>IFERROR(__xludf.DUMMYFUNCTION("""COMPUTED_VALUE"""),"VD015")</f>
        <v>VD015</v>
      </c>
      <c r="C424" s="2">
        <f>IFERROR(__xludf.DUMMYFUNCTION("""COMPUTED_VALUE"""),10.0)</f>
        <v>10</v>
      </c>
      <c r="D424" s="2">
        <f>IFERROR(__xludf.DUMMYFUNCTION("""COMPUTED_VALUE"""),3088.97)</f>
        <v>3088.97</v>
      </c>
    </row>
    <row r="425">
      <c r="A425" s="2" t="str">
        <f>IFERROR(__xludf.DUMMYFUNCTION("""COMPUTED_VALUE"""),"PR006")</f>
        <v>PR006</v>
      </c>
      <c r="B425" s="2" t="str">
        <f>IFERROR(__xludf.DUMMYFUNCTION("""COMPUTED_VALUE"""),"VD012")</f>
        <v>VD012</v>
      </c>
      <c r="C425" s="2">
        <f>IFERROR(__xludf.DUMMYFUNCTION("""COMPUTED_VALUE"""),15.0)</f>
        <v>15</v>
      </c>
      <c r="D425" s="2">
        <f>IFERROR(__xludf.DUMMYFUNCTION("""COMPUTED_VALUE"""),634.41)</f>
        <v>634.41</v>
      </c>
    </row>
    <row r="426">
      <c r="A426" s="2" t="str">
        <f>IFERROR(__xludf.DUMMYFUNCTION("""COMPUTED_VALUE"""),"PR031")</f>
        <v>PR031</v>
      </c>
      <c r="B426" s="2" t="str">
        <f>IFERROR(__xludf.DUMMYFUNCTION("""COMPUTED_VALUE"""),"VD034")</f>
        <v>VD034</v>
      </c>
      <c r="C426" s="2">
        <f>IFERROR(__xludf.DUMMYFUNCTION("""COMPUTED_VALUE"""),9.0)</f>
        <v>9</v>
      </c>
      <c r="D426" s="2">
        <f>IFERROR(__xludf.DUMMYFUNCTION("""COMPUTED_VALUE"""),2227.05)</f>
        <v>2227.05</v>
      </c>
    </row>
    <row r="427">
      <c r="A427" s="2" t="str">
        <f>IFERROR(__xludf.DUMMYFUNCTION("""COMPUTED_VALUE"""),"PR052")</f>
        <v>PR052</v>
      </c>
      <c r="B427" s="2" t="str">
        <f>IFERROR(__xludf.DUMMYFUNCTION("""COMPUTED_VALUE"""),"VD044")</f>
        <v>VD044</v>
      </c>
      <c r="C427" s="2">
        <f>IFERROR(__xludf.DUMMYFUNCTION("""COMPUTED_VALUE"""),12.0)</f>
        <v>12</v>
      </c>
      <c r="D427" s="2">
        <f>IFERROR(__xludf.DUMMYFUNCTION("""COMPUTED_VALUE"""),658.68)</f>
        <v>658.68</v>
      </c>
    </row>
    <row r="428">
      <c r="A428" s="2" t="str">
        <f>IFERROR(__xludf.DUMMYFUNCTION("""COMPUTED_VALUE"""),"PR050")</f>
        <v>PR050</v>
      </c>
      <c r="B428" s="2" t="str">
        <f>IFERROR(__xludf.DUMMYFUNCTION("""COMPUTED_VALUE"""),"VD018")</f>
        <v>VD018</v>
      </c>
      <c r="C428" s="2">
        <f>IFERROR(__xludf.DUMMYFUNCTION("""COMPUTED_VALUE"""),14.0)</f>
        <v>14</v>
      </c>
      <c r="D428" s="2">
        <f>IFERROR(__xludf.DUMMYFUNCTION("""COMPUTED_VALUE"""),502.05)</f>
        <v>502.05</v>
      </c>
    </row>
    <row r="429">
      <c r="A429" s="2" t="str">
        <f>IFERROR(__xludf.DUMMYFUNCTION("""COMPUTED_VALUE"""),"PR042")</f>
        <v>PR042</v>
      </c>
      <c r="B429" s="2" t="str">
        <f>IFERROR(__xludf.DUMMYFUNCTION("""COMPUTED_VALUE"""),"VD018")</f>
        <v>VD018</v>
      </c>
      <c r="C429" s="2">
        <f>IFERROR(__xludf.DUMMYFUNCTION("""COMPUTED_VALUE"""),4.0)</f>
        <v>4</v>
      </c>
      <c r="D429" s="2">
        <f>IFERROR(__xludf.DUMMYFUNCTION("""COMPUTED_VALUE"""),228.38)</f>
        <v>228.38</v>
      </c>
    </row>
    <row r="430">
      <c r="A430" s="2" t="str">
        <f>IFERROR(__xludf.DUMMYFUNCTION("""COMPUTED_VALUE"""),"PR006")</f>
        <v>PR006</v>
      </c>
      <c r="B430" s="2" t="str">
        <f>IFERROR(__xludf.DUMMYFUNCTION("""COMPUTED_VALUE"""),"VD021")</f>
        <v>VD021</v>
      </c>
      <c r="C430" s="2">
        <f>IFERROR(__xludf.DUMMYFUNCTION("""COMPUTED_VALUE"""),8.0)</f>
        <v>8</v>
      </c>
      <c r="D430" s="2">
        <f>IFERROR(__xludf.DUMMYFUNCTION("""COMPUTED_VALUE"""),347.93)</f>
        <v>347.93</v>
      </c>
    </row>
    <row r="431">
      <c r="A431" s="2" t="str">
        <f>IFERROR(__xludf.DUMMYFUNCTION("""COMPUTED_VALUE"""),"PR016")</f>
        <v>PR016</v>
      </c>
      <c r="B431" s="2" t="str">
        <f>IFERROR(__xludf.DUMMYFUNCTION("""COMPUTED_VALUE"""),"VD017")</f>
        <v>VD017</v>
      </c>
      <c r="C431" s="2">
        <f>IFERROR(__xludf.DUMMYFUNCTION("""COMPUTED_VALUE"""),12.0)</f>
        <v>12</v>
      </c>
      <c r="D431" s="2">
        <f>IFERROR(__xludf.DUMMYFUNCTION("""COMPUTED_VALUE"""),341.88)</f>
        <v>341.88</v>
      </c>
    </row>
    <row r="432">
      <c r="A432" s="2" t="str">
        <f>IFERROR(__xludf.DUMMYFUNCTION("""COMPUTED_VALUE"""),"PR015")</f>
        <v>PR015</v>
      </c>
      <c r="B432" s="2" t="str">
        <f>IFERROR(__xludf.DUMMYFUNCTION("""COMPUTED_VALUE"""),"VD034")</f>
        <v>VD034</v>
      </c>
      <c r="C432" s="2">
        <f>IFERROR(__xludf.DUMMYFUNCTION("""COMPUTED_VALUE"""),5.0)</f>
        <v>5</v>
      </c>
      <c r="D432" s="2">
        <f>IFERROR(__xludf.DUMMYFUNCTION("""COMPUTED_VALUE"""),233.75)</f>
        <v>233.75</v>
      </c>
    </row>
    <row r="433">
      <c r="A433" s="2" t="str">
        <f>IFERROR(__xludf.DUMMYFUNCTION("""COMPUTED_VALUE"""),"PR003")</f>
        <v>PR003</v>
      </c>
      <c r="B433" s="2" t="str">
        <f>IFERROR(__xludf.DUMMYFUNCTION("""COMPUTED_VALUE"""),"VD041")</f>
        <v>VD041</v>
      </c>
      <c r="C433" s="2">
        <f>IFERROR(__xludf.DUMMYFUNCTION("""COMPUTED_VALUE"""),5.0)</f>
        <v>5</v>
      </c>
      <c r="D433" s="2">
        <f>IFERROR(__xludf.DUMMYFUNCTION("""COMPUTED_VALUE"""),361.59)</f>
        <v>361.59</v>
      </c>
    </row>
    <row r="434">
      <c r="A434" s="2" t="str">
        <f>IFERROR(__xludf.DUMMYFUNCTION("""COMPUTED_VALUE"""),"PR007")</f>
        <v>PR007</v>
      </c>
      <c r="B434" s="2" t="str">
        <f>IFERROR(__xludf.DUMMYFUNCTION("""COMPUTED_VALUE"""),"VD025")</f>
        <v>VD025</v>
      </c>
      <c r="C434" s="2">
        <f>IFERROR(__xludf.DUMMYFUNCTION("""COMPUTED_VALUE"""),1.0)</f>
        <v>1</v>
      </c>
      <c r="D434" s="2">
        <f>IFERROR(__xludf.DUMMYFUNCTION("""COMPUTED_VALUE"""),88.48)</f>
        <v>88.48</v>
      </c>
    </row>
    <row r="435">
      <c r="A435" s="2" t="str">
        <f>IFERROR(__xludf.DUMMYFUNCTION("""COMPUTED_VALUE"""),"PR031")</f>
        <v>PR031</v>
      </c>
      <c r="B435" s="2" t="str">
        <f>IFERROR(__xludf.DUMMYFUNCTION("""COMPUTED_VALUE"""),"VD046")</f>
        <v>VD046</v>
      </c>
      <c r="C435" s="2">
        <f>IFERROR(__xludf.DUMMYFUNCTION("""COMPUTED_VALUE"""),4.0)</f>
        <v>4</v>
      </c>
      <c r="D435" s="2">
        <f>IFERROR(__xludf.DUMMYFUNCTION("""COMPUTED_VALUE"""),1078.0)</f>
        <v>1078</v>
      </c>
    </row>
    <row r="436">
      <c r="A436" s="2" t="str">
        <f>IFERROR(__xludf.DUMMYFUNCTION("""COMPUTED_VALUE"""),"PR037")</f>
        <v>PR037</v>
      </c>
      <c r="B436" s="2" t="str">
        <f>IFERROR(__xludf.DUMMYFUNCTION("""COMPUTED_VALUE"""),"VD021")</f>
        <v>VD021</v>
      </c>
      <c r="C436" s="2">
        <f>IFERROR(__xludf.DUMMYFUNCTION("""COMPUTED_VALUE"""),4.0)</f>
        <v>4</v>
      </c>
      <c r="D436" s="2">
        <f>IFERROR(__xludf.DUMMYFUNCTION("""COMPUTED_VALUE"""),604.8)</f>
        <v>604.8</v>
      </c>
    </row>
    <row r="437">
      <c r="A437" s="2" t="str">
        <f>IFERROR(__xludf.DUMMYFUNCTION("""COMPUTED_VALUE"""),"PR043")</f>
        <v>PR043</v>
      </c>
      <c r="B437" s="2" t="str">
        <f>IFERROR(__xludf.DUMMYFUNCTION("""COMPUTED_VALUE"""),"VD036")</f>
        <v>VD036</v>
      </c>
      <c r="C437" s="2">
        <f>IFERROR(__xludf.DUMMYFUNCTION("""COMPUTED_VALUE"""),27.0)</f>
        <v>27</v>
      </c>
      <c r="D437" s="2">
        <f>IFERROR(__xludf.DUMMYFUNCTION("""COMPUTED_VALUE"""),2074.95)</f>
        <v>2074.95</v>
      </c>
    </row>
    <row r="438">
      <c r="A438" s="2" t="str">
        <f>IFERROR(__xludf.DUMMYFUNCTION("""COMPUTED_VALUE"""),"PR038")</f>
        <v>PR038</v>
      </c>
      <c r="B438" s="2" t="str">
        <f>IFERROR(__xludf.DUMMYFUNCTION("""COMPUTED_VALUE"""),"VD036")</f>
        <v>VD036</v>
      </c>
      <c r="C438" s="2">
        <f>IFERROR(__xludf.DUMMYFUNCTION("""COMPUTED_VALUE"""),12.0)</f>
        <v>12</v>
      </c>
      <c r="D438" s="2">
        <f>IFERROR(__xludf.DUMMYFUNCTION("""COMPUTED_VALUE"""),1817.69)</f>
        <v>1817.69</v>
      </c>
    </row>
    <row r="439">
      <c r="A439" s="2" t="str">
        <f>IFERROR(__xludf.DUMMYFUNCTION("""COMPUTED_VALUE"""),"PR048")</f>
        <v>PR048</v>
      </c>
      <c r="B439" s="2" t="str">
        <f>IFERROR(__xludf.DUMMYFUNCTION("""COMPUTED_VALUE"""),"VD032")</f>
        <v>VD032</v>
      </c>
      <c r="C439" s="2">
        <f>IFERROR(__xludf.DUMMYFUNCTION("""COMPUTED_VALUE"""),9.0)</f>
        <v>9</v>
      </c>
      <c r="D439" s="2">
        <f>IFERROR(__xludf.DUMMYFUNCTION("""COMPUTED_VALUE"""),2817.83)</f>
        <v>2817.83</v>
      </c>
    </row>
    <row r="440">
      <c r="A440" s="2" t="str">
        <f>IFERROR(__xludf.DUMMYFUNCTION("""COMPUTED_VALUE"""),"PR051")</f>
        <v>PR051</v>
      </c>
      <c r="B440" s="2" t="str">
        <f>IFERROR(__xludf.DUMMYFUNCTION("""COMPUTED_VALUE"""),"VD039")</f>
        <v>VD039</v>
      </c>
      <c r="C440" s="2">
        <f>IFERROR(__xludf.DUMMYFUNCTION("""COMPUTED_VALUE"""),15.0)</f>
        <v>15</v>
      </c>
      <c r="D440" s="2">
        <f>IFERROR(__xludf.DUMMYFUNCTION("""COMPUTED_VALUE"""),537.92)</f>
        <v>537.92</v>
      </c>
    </row>
    <row r="441">
      <c r="A441" s="2" t="str">
        <f>IFERROR(__xludf.DUMMYFUNCTION("""COMPUTED_VALUE"""),"PR047")</f>
        <v>PR047</v>
      </c>
      <c r="B441" s="2" t="str">
        <f>IFERROR(__xludf.DUMMYFUNCTION("""COMPUTED_VALUE"""),"VD039")</f>
        <v>VD039</v>
      </c>
      <c r="C441" s="2">
        <f>IFERROR(__xludf.DUMMYFUNCTION("""COMPUTED_VALUE"""),8.0)</f>
        <v>8</v>
      </c>
      <c r="D441" s="2">
        <f>IFERROR(__xludf.DUMMYFUNCTION("""COMPUTED_VALUE"""),2504.74)</f>
        <v>2504.74</v>
      </c>
    </row>
    <row r="442">
      <c r="A442" s="2" t="str">
        <f>IFERROR(__xludf.DUMMYFUNCTION("""COMPUTED_VALUE"""),"PR014")</f>
        <v>PR014</v>
      </c>
      <c r="B442" s="2" t="str">
        <f>IFERROR(__xludf.DUMMYFUNCTION("""COMPUTED_VALUE"""),"VD017")</f>
        <v>VD017</v>
      </c>
      <c r="C442" s="2">
        <f>IFERROR(__xludf.DUMMYFUNCTION("""COMPUTED_VALUE"""),5.0)</f>
        <v>5</v>
      </c>
      <c r="D442" s="2">
        <f>IFERROR(__xludf.DUMMYFUNCTION("""COMPUTED_VALUE"""),217.46)</f>
        <v>217.46</v>
      </c>
    </row>
    <row r="443">
      <c r="A443" s="2" t="str">
        <f>IFERROR(__xludf.DUMMYFUNCTION("""COMPUTED_VALUE"""),"PR009")</f>
        <v>PR009</v>
      </c>
      <c r="B443" s="2" t="str">
        <f>IFERROR(__xludf.DUMMYFUNCTION("""COMPUTED_VALUE"""),"VD010")</f>
        <v>VD010</v>
      </c>
      <c r="C443" s="2">
        <f>IFERROR(__xludf.DUMMYFUNCTION("""COMPUTED_VALUE"""),5.0)</f>
        <v>5</v>
      </c>
      <c r="D443" s="2">
        <f>IFERROR(__xludf.DUMMYFUNCTION("""COMPUTED_VALUE"""),478.44)</f>
        <v>478.44</v>
      </c>
    </row>
    <row r="444">
      <c r="A444" s="2" t="str">
        <f>IFERROR(__xludf.DUMMYFUNCTION("""COMPUTED_VALUE"""),"PR029")</f>
        <v>PR029</v>
      </c>
      <c r="B444" s="2" t="str">
        <f>IFERROR(__xludf.DUMMYFUNCTION("""COMPUTED_VALUE"""),"VD014")</f>
        <v>VD014</v>
      </c>
      <c r="C444" s="2">
        <f>IFERROR(__xludf.DUMMYFUNCTION("""COMPUTED_VALUE"""),6.0)</f>
        <v>6</v>
      </c>
      <c r="D444" s="2">
        <f>IFERROR(__xludf.DUMMYFUNCTION("""COMPUTED_VALUE"""),1575.9)</f>
        <v>1575.9</v>
      </c>
    </row>
    <row r="445">
      <c r="A445" s="2" t="str">
        <f>IFERROR(__xludf.DUMMYFUNCTION("""COMPUTED_VALUE"""),"PR019")</f>
        <v>PR019</v>
      </c>
      <c r="B445" s="2" t="str">
        <f>IFERROR(__xludf.DUMMYFUNCTION("""COMPUTED_VALUE"""),"VD020")</f>
        <v>VD020</v>
      </c>
      <c r="C445" s="2">
        <f>IFERROR(__xludf.DUMMYFUNCTION("""COMPUTED_VALUE"""),6.0)</f>
        <v>6</v>
      </c>
      <c r="D445" s="2">
        <f>IFERROR(__xludf.DUMMYFUNCTION("""COMPUTED_VALUE"""),317.36)</f>
        <v>317.36</v>
      </c>
    </row>
    <row r="446">
      <c r="A446" s="2" t="str">
        <f>IFERROR(__xludf.DUMMYFUNCTION("""COMPUTED_VALUE"""),"PR007")</f>
        <v>PR007</v>
      </c>
      <c r="B446" s="2" t="str">
        <f>IFERROR(__xludf.DUMMYFUNCTION("""COMPUTED_VALUE"""),"VD028")</f>
        <v>VD028</v>
      </c>
      <c r="C446" s="2">
        <f>IFERROR(__xludf.DUMMYFUNCTION("""COMPUTED_VALUE"""),14.0)</f>
        <v>14</v>
      </c>
      <c r="D446" s="2">
        <f>IFERROR(__xludf.DUMMYFUNCTION("""COMPUTED_VALUE"""),1226.65)</f>
        <v>1226.65</v>
      </c>
    </row>
    <row r="447">
      <c r="A447" s="2" t="str">
        <f>IFERROR(__xludf.DUMMYFUNCTION("""COMPUTED_VALUE"""),"PR032")</f>
        <v>PR032</v>
      </c>
      <c r="B447" s="2" t="str">
        <f>IFERROR(__xludf.DUMMYFUNCTION("""COMPUTED_VALUE"""),"VD033")</f>
        <v>VD033</v>
      </c>
      <c r="C447" s="2">
        <f>IFERROR(__xludf.DUMMYFUNCTION("""COMPUTED_VALUE"""),30.0)</f>
        <v>30</v>
      </c>
      <c r="D447" s="2">
        <f>IFERROR(__xludf.DUMMYFUNCTION("""COMPUTED_VALUE"""),7950.0)</f>
        <v>7950</v>
      </c>
    </row>
    <row r="448">
      <c r="A448" s="2" t="str">
        <f>IFERROR(__xludf.DUMMYFUNCTION("""COMPUTED_VALUE"""),"PR052")</f>
        <v>PR052</v>
      </c>
      <c r="B448" s="2" t="str">
        <f>IFERROR(__xludf.DUMMYFUNCTION("""COMPUTED_VALUE"""),"VD037")</f>
        <v>VD037</v>
      </c>
      <c r="C448" s="2">
        <f>IFERROR(__xludf.DUMMYFUNCTION("""COMPUTED_VALUE"""),16.0)</f>
        <v>16</v>
      </c>
      <c r="D448" s="2">
        <f>IFERROR(__xludf.DUMMYFUNCTION("""COMPUTED_VALUE"""),870.26)</f>
        <v>870.26</v>
      </c>
    </row>
    <row r="449">
      <c r="A449" s="2" t="str">
        <f>IFERROR(__xludf.DUMMYFUNCTION("""COMPUTED_VALUE"""),"PR055")</f>
        <v>PR055</v>
      </c>
      <c r="B449" s="2" t="str">
        <f>IFERROR(__xludf.DUMMYFUNCTION("""COMPUTED_VALUE"""),"VD036")</f>
        <v>VD036</v>
      </c>
      <c r="C449" s="2">
        <f>IFERROR(__xludf.DUMMYFUNCTION("""COMPUTED_VALUE"""),1.0)</f>
        <v>1</v>
      </c>
      <c r="D449" s="2">
        <f>IFERROR(__xludf.DUMMYFUNCTION("""COMPUTED_VALUE"""),89.9)</f>
        <v>89.9</v>
      </c>
    </row>
    <row r="450">
      <c r="A450" s="2" t="str">
        <f>IFERROR(__xludf.DUMMYFUNCTION("""COMPUTED_VALUE"""),"PR027")</f>
        <v>PR027</v>
      </c>
      <c r="B450" s="2" t="str">
        <f>IFERROR(__xludf.DUMMYFUNCTION("""COMPUTED_VALUE"""),"VD019")</f>
        <v>VD019</v>
      </c>
      <c r="C450" s="2">
        <f>IFERROR(__xludf.DUMMYFUNCTION("""COMPUTED_VALUE"""),8.0)</f>
        <v>8</v>
      </c>
      <c r="D450" s="2">
        <f>IFERROR(__xludf.DUMMYFUNCTION("""COMPUTED_VALUE"""),988.8)</f>
        <v>988.8</v>
      </c>
    </row>
    <row r="451">
      <c r="A451" s="2" t="str">
        <f>IFERROR(__xludf.DUMMYFUNCTION("""COMPUTED_VALUE"""),"PR034")</f>
        <v>PR034</v>
      </c>
      <c r="B451" s="2" t="str">
        <f>IFERROR(__xludf.DUMMYFUNCTION("""COMPUTED_VALUE"""),"VD048")</f>
        <v>VD048</v>
      </c>
      <c r="C451" s="2">
        <f>IFERROR(__xludf.DUMMYFUNCTION("""COMPUTED_VALUE"""),30.0)</f>
        <v>30</v>
      </c>
      <c r="D451" s="2">
        <f>IFERROR(__xludf.DUMMYFUNCTION("""COMPUTED_VALUE"""),2777.91)</f>
        <v>2777.91</v>
      </c>
    </row>
    <row r="452">
      <c r="A452" s="2" t="str">
        <f>IFERROR(__xludf.DUMMYFUNCTION("""COMPUTED_VALUE"""),"PR028")</f>
        <v>PR028</v>
      </c>
      <c r="B452" s="2" t="str">
        <f>IFERROR(__xludf.DUMMYFUNCTION("""COMPUTED_VALUE"""),"VD042")</f>
        <v>VD042</v>
      </c>
      <c r="C452" s="2">
        <f>IFERROR(__xludf.DUMMYFUNCTION("""COMPUTED_VALUE"""),3.0)</f>
        <v>3</v>
      </c>
      <c r="D452" s="2">
        <f>IFERROR(__xludf.DUMMYFUNCTION("""COMPUTED_VALUE"""),749.7)</f>
        <v>749.7</v>
      </c>
    </row>
    <row r="453">
      <c r="A453" s="2" t="str">
        <f>IFERROR(__xludf.DUMMYFUNCTION("""COMPUTED_VALUE"""),"PR039")</f>
        <v>PR039</v>
      </c>
      <c r="B453" s="2" t="str">
        <f>IFERROR(__xludf.DUMMYFUNCTION("""COMPUTED_VALUE"""),"VD023")</f>
        <v>VD023</v>
      </c>
      <c r="C453" s="2">
        <f>IFERROR(__xludf.DUMMYFUNCTION("""COMPUTED_VALUE"""),9.0)</f>
        <v>9</v>
      </c>
      <c r="D453" s="2">
        <f>IFERROR(__xludf.DUMMYFUNCTION("""COMPUTED_VALUE"""),1445.4)</f>
        <v>1445.4</v>
      </c>
    </row>
    <row r="454">
      <c r="A454" s="2" t="str">
        <f>IFERROR(__xludf.DUMMYFUNCTION("""COMPUTED_VALUE"""),"PR053")</f>
        <v>PR053</v>
      </c>
      <c r="B454" s="2" t="str">
        <f>IFERROR(__xludf.DUMMYFUNCTION("""COMPUTED_VALUE"""),"VD024")</f>
        <v>VD024</v>
      </c>
      <c r="C454" s="2">
        <f>IFERROR(__xludf.DUMMYFUNCTION("""COMPUTED_VALUE"""),6.0)</f>
        <v>6</v>
      </c>
      <c r="D454" s="2">
        <f>IFERROR(__xludf.DUMMYFUNCTION("""COMPUTED_VALUE"""),308.38)</f>
        <v>308.38</v>
      </c>
    </row>
    <row r="455">
      <c r="A455" s="2" t="str">
        <f>IFERROR(__xludf.DUMMYFUNCTION("""COMPUTED_VALUE"""),"PR032")</f>
        <v>PR032</v>
      </c>
      <c r="B455" s="2" t="str">
        <f>IFERROR(__xludf.DUMMYFUNCTION("""COMPUTED_VALUE"""),"VD011")</f>
        <v>VD011</v>
      </c>
      <c r="C455" s="2">
        <f>IFERROR(__xludf.DUMMYFUNCTION("""COMPUTED_VALUE"""),27.0)</f>
        <v>27</v>
      </c>
      <c r="D455" s="2">
        <f>IFERROR(__xludf.DUMMYFUNCTION("""COMPUTED_VALUE"""),7020.0)</f>
        <v>7020</v>
      </c>
    </row>
    <row r="456">
      <c r="A456" s="2" t="str">
        <f>IFERROR(__xludf.DUMMYFUNCTION("""COMPUTED_VALUE"""),"PR027")</f>
        <v>PR027</v>
      </c>
      <c r="B456" s="2" t="str">
        <f>IFERROR(__xludf.DUMMYFUNCTION("""COMPUTED_VALUE"""),"VD030")</f>
        <v>VD030</v>
      </c>
      <c r="C456" s="2">
        <f>IFERROR(__xludf.DUMMYFUNCTION("""COMPUTED_VALUE"""),3.0)</f>
        <v>3</v>
      </c>
      <c r="D456" s="2">
        <f>IFERROR(__xludf.DUMMYFUNCTION("""COMPUTED_VALUE"""),381.6)</f>
        <v>381.6</v>
      </c>
    </row>
    <row r="457">
      <c r="A457" s="2" t="str">
        <f>IFERROR(__xludf.DUMMYFUNCTION("""COMPUTED_VALUE"""),"PR049")</f>
        <v>PR049</v>
      </c>
      <c r="B457" s="2" t="str">
        <f>IFERROR(__xludf.DUMMYFUNCTION("""COMPUTED_VALUE"""),"VD017")</f>
        <v>VD017</v>
      </c>
      <c r="C457" s="2">
        <f>IFERROR(__xludf.DUMMYFUNCTION("""COMPUTED_VALUE"""),24.0)</f>
        <v>24</v>
      </c>
      <c r="D457" s="2">
        <f>IFERROR(__xludf.DUMMYFUNCTION("""COMPUTED_VALUE"""),868.56)</f>
        <v>868.56</v>
      </c>
    </row>
    <row r="458">
      <c r="A458" s="2" t="str">
        <f>IFERROR(__xludf.DUMMYFUNCTION("""COMPUTED_VALUE"""),"PR050")</f>
        <v>PR050</v>
      </c>
      <c r="B458" s="2" t="str">
        <f>IFERROR(__xludf.DUMMYFUNCTION("""COMPUTED_VALUE"""),"VD018")</f>
        <v>VD018</v>
      </c>
      <c r="C458" s="2">
        <f>IFERROR(__xludf.DUMMYFUNCTION("""COMPUTED_VALUE"""),30.0)</f>
        <v>30</v>
      </c>
      <c r="D458" s="2">
        <f>IFERROR(__xludf.DUMMYFUNCTION("""COMPUTED_VALUE"""),987.0)</f>
        <v>987</v>
      </c>
    </row>
    <row r="459">
      <c r="A459" s="2" t="str">
        <f>IFERROR(__xludf.DUMMYFUNCTION("""COMPUTED_VALUE"""),"PR051")</f>
        <v>PR051</v>
      </c>
      <c r="B459" s="2" t="str">
        <f>IFERROR(__xludf.DUMMYFUNCTION("""COMPUTED_VALUE"""),"VD021")</f>
        <v>VD021</v>
      </c>
      <c r="C459" s="2">
        <f>IFERROR(__xludf.DUMMYFUNCTION("""COMPUTED_VALUE"""),9.0)</f>
        <v>9</v>
      </c>
      <c r="D459" s="2">
        <f>IFERROR(__xludf.DUMMYFUNCTION("""COMPUTED_VALUE"""),302.02)</f>
        <v>302.02</v>
      </c>
    </row>
    <row r="460">
      <c r="A460" s="2" t="str">
        <f>IFERROR(__xludf.DUMMYFUNCTION("""COMPUTED_VALUE"""),"PR031")</f>
        <v>PR031</v>
      </c>
      <c r="B460" s="2" t="str">
        <f>IFERROR(__xludf.DUMMYFUNCTION("""COMPUTED_VALUE"""),"VD018")</f>
        <v>VD018</v>
      </c>
      <c r="C460" s="2">
        <f>IFERROR(__xludf.DUMMYFUNCTION("""COMPUTED_VALUE"""),12.0)</f>
        <v>12</v>
      </c>
      <c r="D460" s="2">
        <f>IFERROR(__xludf.DUMMYFUNCTION("""COMPUTED_VALUE"""),3175.2)</f>
        <v>3175.2</v>
      </c>
    </row>
    <row r="461">
      <c r="A461" s="2" t="str">
        <f>IFERROR(__xludf.DUMMYFUNCTION("""COMPUTED_VALUE"""),"PR017")</f>
        <v>PR017</v>
      </c>
      <c r="B461" s="2" t="str">
        <f>IFERROR(__xludf.DUMMYFUNCTION("""COMPUTED_VALUE"""),"VD014")</f>
        <v>VD014</v>
      </c>
      <c r="C461" s="2">
        <f>IFERROR(__xludf.DUMMYFUNCTION("""COMPUTED_VALUE"""),6.0)</f>
        <v>6</v>
      </c>
      <c r="D461" s="2">
        <f>IFERROR(__xludf.DUMMYFUNCTION("""COMPUTED_VALUE"""),197.34)</f>
        <v>197.34</v>
      </c>
    </row>
    <row r="462">
      <c r="A462" s="2" t="str">
        <f>IFERROR(__xludf.DUMMYFUNCTION("""COMPUTED_VALUE"""),"PR044")</f>
        <v>PR044</v>
      </c>
      <c r="B462" s="2" t="str">
        <f>IFERROR(__xludf.DUMMYFUNCTION("""COMPUTED_VALUE"""),"VD025")</f>
        <v>VD025</v>
      </c>
      <c r="C462" s="2">
        <f>IFERROR(__xludf.DUMMYFUNCTION("""COMPUTED_VALUE"""),1.0)</f>
        <v>1</v>
      </c>
      <c r="D462" s="2">
        <f>IFERROR(__xludf.DUMMYFUNCTION("""COMPUTED_VALUE"""),76.13)</f>
        <v>76.13</v>
      </c>
    </row>
    <row r="463">
      <c r="A463" s="2" t="str">
        <f>IFERROR(__xludf.DUMMYFUNCTION("""COMPUTED_VALUE"""),"PR018")</f>
        <v>PR018</v>
      </c>
      <c r="B463" s="2" t="str">
        <f>IFERROR(__xludf.DUMMYFUNCTION("""COMPUTED_VALUE"""),"VD019")</f>
        <v>VD019</v>
      </c>
      <c r="C463" s="2">
        <f>IFERROR(__xludf.DUMMYFUNCTION("""COMPUTED_VALUE"""),3.0)</f>
        <v>3</v>
      </c>
      <c r="D463" s="2">
        <f>IFERROR(__xludf.DUMMYFUNCTION("""COMPUTED_VALUE"""),98.7)</f>
        <v>98.7</v>
      </c>
    </row>
    <row r="464">
      <c r="A464" s="2" t="str">
        <f>IFERROR(__xludf.DUMMYFUNCTION("""COMPUTED_VALUE"""),"PR010")</f>
        <v>PR010</v>
      </c>
      <c r="B464" s="2" t="str">
        <f>IFERROR(__xludf.DUMMYFUNCTION("""COMPUTED_VALUE"""),"VD042")</f>
        <v>VD042</v>
      </c>
      <c r="C464" s="2">
        <f>IFERROR(__xludf.DUMMYFUNCTION("""COMPUTED_VALUE"""),10.0)</f>
        <v>10</v>
      </c>
      <c r="D464" s="2">
        <f>IFERROR(__xludf.DUMMYFUNCTION("""COMPUTED_VALUE"""),489.41)</f>
        <v>489.41</v>
      </c>
    </row>
    <row r="465">
      <c r="A465" s="2" t="str">
        <f>IFERROR(__xludf.DUMMYFUNCTION("""COMPUTED_VALUE"""),"PR041")</f>
        <v>PR041</v>
      </c>
      <c r="B465" s="2" t="str">
        <f>IFERROR(__xludf.DUMMYFUNCTION("""COMPUTED_VALUE"""),"VD032")</f>
        <v>VD032</v>
      </c>
      <c r="C465" s="2">
        <f>IFERROR(__xludf.DUMMYFUNCTION("""COMPUTED_VALUE"""),10.0)</f>
        <v>10</v>
      </c>
      <c r="D465" s="2">
        <f>IFERROR(__xludf.DUMMYFUNCTION("""COMPUTED_VALUE"""),554.49)</f>
        <v>554.49</v>
      </c>
    </row>
    <row r="466">
      <c r="A466" s="2" t="str">
        <f>IFERROR(__xludf.DUMMYFUNCTION("""COMPUTED_VALUE"""),"PR050")</f>
        <v>PR050</v>
      </c>
      <c r="B466" s="2" t="str">
        <f>IFERROR(__xludf.DUMMYFUNCTION("""COMPUTED_VALUE"""),"VD042")</f>
        <v>VD042</v>
      </c>
      <c r="C466" s="2">
        <f>IFERROR(__xludf.DUMMYFUNCTION("""COMPUTED_VALUE"""),2.0)</f>
        <v>2</v>
      </c>
      <c r="D466" s="2">
        <f>IFERROR(__xludf.DUMMYFUNCTION("""COMPUTED_VALUE"""),68.43)</f>
        <v>68.43</v>
      </c>
    </row>
    <row r="467">
      <c r="A467" s="2" t="str">
        <f>IFERROR(__xludf.DUMMYFUNCTION("""COMPUTED_VALUE"""),"PR022")</f>
        <v>PR022</v>
      </c>
      <c r="B467" s="2" t="str">
        <f>IFERROR(__xludf.DUMMYFUNCTION("""COMPUTED_VALUE"""),"VD031")</f>
        <v>VD031</v>
      </c>
      <c r="C467" s="2">
        <f>IFERROR(__xludf.DUMMYFUNCTION("""COMPUTED_VALUE"""),10.0)</f>
        <v>10</v>
      </c>
      <c r="D467" s="2">
        <f>IFERROR(__xludf.DUMMYFUNCTION("""COMPUTED_VALUE"""),3270.0)</f>
        <v>3270</v>
      </c>
    </row>
    <row r="468">
      <c r="A468" s="2" t="str">
        <f>IFERROR(__xludf.DUMMYFUNCTION("""COMPUTED_VALUE"""),"PR048")</f>
        <v>PR048</v>
      </c>
      <c r="B468" s="2" t="str">
        <f>IFERROR(__xludf.DUMMYFUNCTION("""COMPUTED_VALUE"""),"VD016")</f>
        <v>VD016</v>
      </c>
      <c r="C468" s="2">
        <f>IFERROR(__xludf.DUMMYFUNCTION("""COMPUTED_VALUE"""),16.0)</f>
        <v>16</v>
      </c>
      <c r="D468" s="2">
        <f>IFERROR(__xludf.DUMMYFUNCTION("""COMPUTED_VALUE"""),5009.47)</f>
        <v>5009.47</v>
      </c>
    </row>
    <row r="469">
      <c r="A469" s="2" t="str">
        <f>IFERROR(__xludf.DUMMYFUNCTION("""COMPUTED_VALUE"""),"PR028")</f>
        <v>PR028</v>
      </c>
      <c r="B469" s="2" t="str">
        <f>IFERROR(__xludf.DUMMYFUNCTION("""COMPUTED_VALUE"""),"VD041")</f>
        <v>VD041</v>
      </c>
      <c r="C469" s="2">
        <f>IFERROR(__xludf.DUMMYFUNCTION("""COMPUTED_VALUE"""),16.0)</f>
        <v>16</v>
      </c>
      <c r="D469" s="2">
        <f>IFERROR(__xludf.DUMMYFUNCTION("""COMPUTED_VALUE"""),4038.38)</f>
        <v>4038.38</v>
      </c>
    </row>
    <row r="470">
      <c r="A470" s="2" t="str">
        <f>IFERROR(__xludf.DUMMYFUNCTION("""COMPUTED_VALUE"""),"PR002")</f>
        <v>PR002</v>
      </c>
      <c r="B470" s="2" t="str">
        <f>IFERROR(__xludf.DUMMYFUNCTION("""COMPUTED_VALUE"""),"VD027")</f>
        <v>VD027</v>
      </c>
      <c r="C470" s="2">
        <f>IFERROR(__xludf.DUMMYFUNCTION("""COMPUTED_VALUE"""),2.0)</f>
        <v>2</v>
      </c>
      <c r="D470" s="2">
        <f>IFERROR(__xludf.DUMMYFUNCTION("""COMPUTED_VALUE"""),153.78)</f>
        <v>153.78</v>
      </c>
    </row>
    <row r="471">
      <c r="A471" s="2" t="str">
        <f>IFERROR(__xludf.DUMMYFUNCTION("""COMPUTED_VALUE"""),"PR043")</f>
        <v>PR043</v>
      </c>
      <c r="B471" s="2" t="str">
        <f>IFERROR(__xludf.DUMMYFUNCTION("""COMPUTED_VALUE"""),"VD046")</f>
        <v>VD046</v>
      </c>
      <c r="C471" s="2">
        <f>IFERROR(__xludf.DUMMYFUNCTION("""COMPUTED_VALUE"""),2.0)</f>
        <v>2</v>
      </c>
      <c r="D471" s="2">
        <f>IFERROR(__xludf.DUMMYFUNCTION("""COMPUTED_VALUE"""),146.45)</f>
        <v>146.45</v>
      </c>
    </row>
    <row r="472">
      <c r="A472" s="2" t="str">
        <f>IFERROR(__xludf.DUMMYFUNCTION("""COMPUTED_VALUE"""),"PR033")</f>
        <v>PR033</v>
      </c>
      <c r="B472" s="2" t="str">
        <f>IFERROR(__xludf.DUMMYFUNCTION("""COMPUTED_VALUE"""),"VD042")</f>
        <v>VD042</v>
      </c>
      <c r="C472" s="2">
        <f>IFERROR(__xludf.DUMMYFUNCTION("""COMPUTED_VALUE"""),10.0)</f>
        <v>10</v>
      </c>
      <c r="D472" s="2">
        <f>IFERROR(__xludf.DUMMYFUNCTION("""COMPUTED_VALUE"""),2832.91)</f>
        <v>2832.91</v>
      </c>
    </row>
    <row r="473">
      <c r="A473" s="2" t="str">
        <f>IFERROR(__xludf.DUMMYFUNCTION("""COMPUTED_VALUE"""),"PR041")</f>
        <v>PR041</v>
      </c>
      <c r="B473" s="2" t="str">
        <f>IFERROR(__xludf.DUMMYFUNCTION("""COMPUTED_VALUE"""),"VD020")</f>
        <v>VD020</v>
      </c>
      <c r="C473" s="2">
        <f>IFERROR(__xludf.DUMMYFUNCTION("""COMPUTED_VALUE"""),7.0)</f>
        <v>7</v>
      </c>
      <c r="D473" s="2">
        <f>IFERROR(__xludf.DUMMYFUNCTION("""COMPUTED_VALUE"""),388.14)</f>
        <v>388.14</v>
      </c>
    </row>
    <row r="474">
      <c r="A474" s="2" t="str">
        <f>IFERROR(__xludf.DUMMYFUNCTION("""COMPUTED_VALUE"""),"PR030")</f>
        <v>PR030</v>
      </c>
      <c r="B474" s="2" t="str">
        <f>IFERROR(__xludf.DUMMYFUNCTION("""COMPUTED_VALUE"""),"VD045")</f>
        <v>VD045</v>
      </c>
      <c r="C474" s="2">
        <f>IFERROR(__xludf.DUMMYFUNCTION("""COMPUTED_VALUE"""),5.0)</f>
        <v>5</v>
      </c>
      <c r="D474" s="2">
        <f>IFERROR(__xludf.DUMMYFUNCTION("""COMPUTED_VALUE"""),1312.5)</f>
        <v>1312.5</v>
      </c>
    </row>
    <row r="475">
      <c r="A475" s="2" t="str">
        <f>IFERROR(__xludf.DUMMYFUNCTION("""COMPUTED_VALUE"""),"PR060")</f>
        <v>PR060</v>
      </c>
      <c r="B475" s="2" t="str">
        <f>IFERROR(__xludf.DUMMYFUNCTION("""COMPUTED_VALUE"""),"VD032")</f>
        <v>VD032</v>
      </c>
      <c r="C475" s="2">
        <f>IFERROR(__xludf.DUMMYFUNCTION("""COMPUTED_VALUE"""),6.0)</f>
        <v>6</v>
      </c>
      <c r="D475" s="2">
        <f>IFERROR(__xludf.DUMMYFUNCTION("""COMPUTED_VALUE"""),1090.8)</f>
        <v>1090.8</v>
      </c>
    </row>
    <row r="476">
      <c r="A476" s="2" t="str">
        <f>IFERROR(__xludf.DUMMYFUNCTION("""COMPUTED_VALUE"""),"PR051")</f>
        <v>PR051</v>
      </c>
      <c r="B476" s="2" t="str">
        <f>IFERROR(__xludf.DUMMYFUNCTION("""COMPUTED_VALUE"""),"VD034")</f>
        <v>VD034</v>
      </c>
      <c r="C476" s="2">
        <f>IFERROR(__xludf.DUMMYFUNCTION("""COMPUTED_VALUE"""),20.0)</f>
        <v>20</v>
      </c>
      <c r="D476" s="2">
        <f>IFERROR(__xludf.DUMMYFUNCTION("""COMPUTED_VALUE"""),658.0)</f>
        <v>658</v>
      </c>
    </row>
    <row r="477">
      <c r="A477" s="2" t="str">
        <f>IFERROR(__xludf.DUMMYFUNCTION("""COMPUTED_VALUE"""),"PR005")</f>
        <v>PR005</v>
      </c>
      <c r="B477" s="2" t="str">
        <f>IFERROR(__xludf.DUMMYFUNCTION("""COMPUTED_VALUE"""),"VD011")</f>
        <v>VD011</v>
      </c>
      <c r="C477" s="2">
        <f>IFERROR(__xludf.DUMMYFUNCTION("""COMPUTED_VALUE"""),10.0)</f>
        <v>10</v>
      </c>
      <c r="D477" s="2">
        <f>IFERROR(__xludf.DUMMYFUNCTION("""COMPUTED_VALUE"""),2676.97)</f>
        <v>2676.97</v>
      </c>
    </row>
    <row r="478">
      <c r="A478" s="2" t="str">
        <f>IFERROR(__xludf.DUMMYFUNCTION("""COMPUTED_VALUE"""),"PR013")</f>
        <v>PR013</v>
      </c>
      <c r="B478" s="2" t="str">
        <f>IFERROR(__xludf.DUMMYFUNCTION("""COMPUTED_VALUE"""),"VD012")</f>
        <v>VD012</v>
      </c>
      <c r="C478" s="2">
        <f>IFERROR(__xludf.DUMMYFUNCTION("""COMPUTED_VALUE"""),20.0)</f>
        <v>20</v>
      </c>
      <c r="D478" s="2">
        <f>IFERROR(__xludf.DUMMYFUNCTION("""COMPUTED_VALUE"""),845.88)</f>
        <v>845.88</v>
      </c>
    </row>
    <row r="479">
      <c r="A479" s="2" t="str">
        <f>IFERROR(__xludf.DUMMYFUNCTION("""COMPUTED_VALUE"""),"PR037")</f>
        <v>PR037</v>
      </c>
      <c r="B479" s="2" t="str">
        <f>IFERROR(__xludf.DUMMYFUNCTION("""COMPUTED_VALUE"""),"VD039")</f>
        <v>VD039</v>
      </c>
      <c r="C479" s="2">
        <f>IFERROR(__xludf.DUMMYFUNCTION("""COMPUTED_VALUE"""),14.0)</f>
        <v>14</v>
      </c>
      <c r="D479" s="2">
        <f>IFERROR(__xludf.DUMMYFUNCTION("""COMPUTED_VALUE"""),1979.6)</f>
        <v>1979.6</v>
      </c>
    </row>
    <row r="480">
      <c r="A480" s="2" t="str">
        <f>IFERROR(__xludf.DUMMYFUNCTION("""COMPUTED_VALUE"""),"PR032")</f>
        <v>PR032</v>
      </c>
      <c r="B480" s="2" t="str">
        <f>IFERROR(__xludf.DUMMYFUNCTION("""COMPUTED_VALUE"""),"VD022")</f>
        <v>VD022</v>
      </c>
      <c r="C480" s="2">
        <f>IFERROR(__xludf.DUMMYFUNCTION("""COMPUTED_VALUE"""),16.0)</f>
        <v>16</v>
      </c>
      <c r="D480" s="2">
        <f>IFERROR(__xludf.DUMMYFUNCTION("""COMPUTED_VALUE"""),4160.0)</f>
        <v>4160</v>
      </c>
    </row>
    <row r="481">
      <c r="A481" s="2" t="str">
        <f>IFERROR(__xludf.DUMMYFUNCTION("""COMPUTED_VALUE"""),"PR052")</f>
        <v>PR052</v>
      </c>
      <c r="B481" s="2" t="str">
        <f>IFERROR(__xludf.DUMMYFUNCTION("""COMPUTED_VALUE"""),"VD045")</f>
        <v>VD045</v>
      </c>
      <c r="C481" s="2">
        <f>IFERROR(__xludf.DUMMYFUNCTION("""COMPUTED_VALUE"""),5.0)</f>
        <v>5</v>
      </c>
      <c r="D481" s="2">
        <f>IFERROR(__xludf.DUMMYFUNCTION("""COMPUTED_VALUE"""),269.46)</f>
        <v>269.46</v>
      </c>
    </row>
    <row r="482">
      <c r="A482" s="2" t="str">
        <f>IFERROR(__xludf.DUMMYFUNCTION("""COMPUTED_VALUE"""),"PR038")</f>
        <v>PR038</v>
      </c>
      <c r="B482" s="2" t="str">
        <f>IFERROR(__xludf.DUMMYFUNCTION("""COMPUTED_VALUE"""),"VD020")</f>
        <v>VD020</v>
      </c>
      <c r="C482" s="2">
        <f>IFERROR(__xludf.DUMMYFUNCTION("""COMPUTED_VALUE"""),2.0)</f>
        <v>2</v>
      </c>
      <c r="D482" s="2">
        <f>IFERROR(__xludf.DUMMYFUNCTION("""COMPUTED_VALUE"""),305.81)</f>
        <v>305.81</v>
      </c>
    </row>
    <row r="483">
      <c r="A483" s="2" t="str">
        <f>IFERROR(__xludf.DUMMYFUNCTION("""COMPUTED_VALUE"""),"PR049")</f>
        <v>PR049</v>
      </c>
      <c r="B483" s="2" t="str">
        <f>IFERROR(__xludf.DUMMYFUNCTION("""COMPUTED_VALUE"""),"VD029")</f>
        <v>VD029</v>
      </c>
      <c r="C483" s="2">
        <f>IFERROR(__xludf.DUMMYFUNCTION("""COMPUTED_VALUE"""),9.0)</f>
        <v>9</v>
      </c>
      <c r="D483" s="2">
        <f>IFERROR(__xludf.DUMMYFUNCTION("""COMPUTED_VALUE"""),310.91)</f>
        <v>310.91</v>
      </c>
    </row>
    <row r="484">
      <c r="A484" s="2" t="str">
        <f>IFERROR(__xludf.DUMMYFUNCTION("""COMPUTED_VALUE"""),"PR022")</f>
        <v>PR022</v>
      </c>
      <c r="B484" s="2" t="str">
        <f>IFERROR(__xludf.DUMMYFUNCTION("""COMPUTED_VALUE"""),"VD015")</f>
        <v>VD015</v>
      </c>
      <c r="C484" s="2">
        <f>IFERROR(__xludf.DUMMYFUNCTION("""COMPUTED_VALUE"""),12.0)</f>
        <v>12</v>
      </c>
      <c r="D484" s="2">
        <f>IFERROR(__xludf.DUMMYFUNCTION("""COMPUTED_VALUE"""),3672.0)</f>
        <v>3672</v>
      </c>
    </row>
    <row r="485">
      <c r="A485" s="2" t="str">
        <f>IFERROR(__xludf.DUMMYFUNCTION("""COMPUTED_VALUE"""),"PR015")</f>
        <v>PR015</v>
      </c>
      <c r="B485" s="2" t="str">
        <f>IFERROR(__xludf.DUMMYFUNCTION("""COMPUTED_VALUE"""),"VD020")</f>
        <v>VD020</v>
      </c>
      <c r="C485" s="2">
        <f>IFERROR(__xludf.DUMMYFUNCTION("""COMPUTED_VALUE"""),10.0)</f>
        <v>10</v>
      </c>
      <c r="D485" s="2">
        <f>IFERROR(__xludf.DUMMYFUNCTION("""COMPUTED_VALUE"""),442.0)</f>
        <v>442</v>
      </c>
    </row>
    <row r="486">
      <c r="A486" s="2" t="str">
        <f>IFERROR(__xludf.DUMMYFUNCTION("""COMPUTED_VALUE"""),"PR039")</f>
        <v>PR039</v>
      </c>
      <c r="B486" s="2" t="str">
        <f>IFERROR(__xludf.DUMMYFUNCTION("""COMPUTED_VALUE"""),"VD020")</f>
        <v>VD020</v>
      </c>
      <c r="C486" s="2">
        <f>IFERROR(__xludf.DUMMYFUNCTION("""COMPUTED_VALUE"""),9.0)</f>
        <v>9</v>
      </c>
      <c r="D486" s="2">
        <f>IFERROR(__xludf.DUMMYFUNCTION("""COMPUTED_VALUE"""),1445.4)</f>
        <v>1445.4</v>
      </c>
    </row>
    <row r="487">
      <c r="A487" s="2" t="str">
        <f>IFERROR(__xludf.DUMMYFUNCTION("""COMPUTED_VALUE"""),"PR035")</f>
        <v>PR035</v>
      </c>
      <c r="B487" s="2" t="str">
        <f>IFERROR(__xludf.DUMMYFUNCTION("""COMPUTED_VALUE"""),"VD017")</f>
        <v>VD017</v>
      </c>
      <c r="C487" s="2">
        <f>IFERROR(__xludf.DUMMYFUNCTION("""COMPUTED_VALUE"""),14.0)</f>
        <v>14</v>
      </c>
      <c r="D487" s="2">
        <f>IFERROR(__xludf.DUMMYFUNCTION("""COMPUTED_VALUE"""),1343.58)</f>
        <v>1343.58</v>
      </c>
    </row>
    <row r="488">
      <c r="A488" s="2" t="str">
        <f>IFERROR(__xludf.DUMMYFUNCTION("""COMPUTED_VALUE"""),"PR025")</f>
        <v>PR025</v>
      </c>
      <c r="B488" s="2" t="str">
        <f>IFERROR(__xludf.DUMMYFUNCTION("""COMPUTED_VALUE"""),"VD012")</f>
        <v>VD012</v>
      </c>
      <c r="C488" s="2">
        <f>IFERROR(__xludf.DUMMYFUNCTION("""COMPUTED_VALUE"""),3.0)</f>
        <v>3</v>
      </c>
      <c r="D488" s="2">
        <f>IFERROR(__xludf.DUMMYFUNCTION("""COMPUTED_VALUE"""),962.68)</f>
        <v>962.68</v>
      </c>
    </row>
    <row r="489">
      <c r="A489" s="2" t="str">
        <f>IFERROR(__xludf.DUMMYFUNCTION("""COMPUTED_VALUE"""),"PR027")</f>
        <v>PR027</v>
      </c>
      <c r="B489" s="2" t="str">
        <f>IFERROR(__xludf.DUMMYFUNCTION("""COMPUTED_VALUE"""),"VD031")</f>
        <v>VD031</v>
      </c>
      <c r="C489" s="2">
        <f>IFERROR(__xludf.DUMMYFUNCTION("""COMPUTED_VALUE"""),8.0)</f>
        <v>8</v>
      </c>
      <c r="D489" s="2">
        <f>IFERROR(__xludf.DUMMYFUNCTION("""COMPUTED_VALUE"""),969.6)</f>
        <v>969.6</v>
      </c>
    </row>
    <row r="490">
      <c r="A490" s="2" t="str">
        <f>IFERROR(__xludf.DUMMYFUNCTION("""COMPUTED_VALUE"""),"PR020")</f>
        <v>PR020</v>
      </c>
      <c r="B490" s="2" t="str">
        <f>IFERROR(__xludf.DUMMYFUNCTION("""COMPUTED_VALUE"""),"VD022")</f>
        <v>VD022</v>
      </c>
      <c r="C490" s="2">
        <f>IFERROR(__xludf.DUMMYFUNCTION("""COMPUTED_VALUE"""),6.0)</f>
        <v>6</v>
      </c>
      <c r="D490" s="2">
        <f>IFERROR(__xludf.DUMMYFUNCTION("""COMPUTED_VALUE"""),1853.38)</f>
        <v>1853.38</v>
      </c>
    </row>
    <row r="491">
      <c r="A491" s="2" t="str">
        <f>IFERROR(__xludf.DUMMYFUNCTION("""COMPUTED_VALUE"""),"PR050")</f>
        <v>PR050</v>
      </c>
      <c r="B491" s="2" t="str">
        <f>IFERROR(__xludf.DUMMYFUNCTION("""COMPUTED_VALUE"""),"VD047")</f>
        <v>VD047</v>
      </c>
      <c r="C491" s="2">
        <f>IFERROR(__xludf.DUMMYFUNCTION("""COMPUTED_VALUE"""),8.0)</f>
        <v>8</v>
      </c>
      <c r="D491" s="2">
        <f>IFERROR(__xludf.DUMMYFUNCTION("""COMPUTED_VALUE"""),289.52)</f>
        <v>289.52</v>
      </c>
    </row>
    <row r="492">
      <c r="A492" s="2" t="str">
        <f>IFERROR(__xludf.DUMMYFUNCTION("""COMPUTED_VALUE"""),"PR053")</f>
        <v>PR053</v>
      </c>
      <c r="B492" s="2" t="str">
        <f>IFERROR(__xludf.DUMMYFUNCTION("""COMPUTED_VALUE"""),"VD041")</f>
        <v>VD041</v>
      </c>
      <c r="C492" s="2">
        <f>IFERROR(__xludf.DUMMYFUNCTION("""COMPUTED_VALUE"""),5.0)</f>
        <v>5</v>
      </c>
      <c r="D492" s="2">
        <f>IFERROR(__xludf.DUMMYFUNCTION("""COMPUTED_VALUE"""),274.45)</f>
        <v>274.45</v>
      </c>
    </row>
    <row r="493">
      <c r="A493" s="2" t="str">
        <f>IFERROR(__xludf.DUMMYFUNCTION("""COMPUTED_VALUE"""),"PR042")</f>
        <v>PR042</v>
      </c>
      <c r="B493" s="2" t="str">
        <f>IFERROR(__xludf.DUMMYFUNCTION("""COMPUTED_VALUE"""),"VD018")</f>
        <v>VD018</v>
      </c>
      <c r="C493" s="2">
        <f>IFERROR(__xludf.DUMMYFUNCTION("""COMPUTED_VALUE"""),14.0)</f>
        <v>14</v>
      </c>
      <c r="D493" s="2">
        <f>IFERROR(__xludf.DUMMYFUNCTION("""COMPUTED_VALUE"""),822.4)</f>
        <v>822.4</v>
      </c>
    </row>
    <row r="494">
      <c r="A494" s="2" t="str">
        <f>IFERROR(__xludf.DUMMYFUNCTION("""COMPUTED_VALUE"""),"PR041")</f>
        <v>PR041</v>
      </c>
      <c r="B494" s="2" t="str">
        <f>IFERROR(__xludf.DUMMYFUNCTION("""COMPUTED_VALUE"""),"VD049")</f>
        <v>VD049</v>
      </c>
      <c r="C494" s="2">
        <f>IFERROR(__xludf.DUMMYFUNCTION("""COMPUTED_VALUE"""),6.0)</f>
        <v>6</v>
      </c>
      <c r="D494" s="2">
        <f>IFERROR(__xludf.DUMMYFUNCTION("""COMPUTED_VALUE"""),352.46)</f>
        <v>352.46</v>
      </c>
    </row>
    <row r="495">
      <c r="A495" s="2" t="str">
        <f>IFERROR(__xludf.DUMMYFUNCTION("""COMPUTED_VALUE"""),"PR043")</f>
        <v>PR043</v>
      </c>
      <c r="B495" s="2" t="str">
        <f>IFERROR(__xludf.DUMMYFUNCTION("""COMPUTED_VALUE"""),"VD032")</f>
        <v>VD032</v>
      </c>
      <c r="C495" s="2">
        <f>IFERROR(__xludf.DUMMYFUNCTION("""COMPUTED_VALUE"""),2.0)</f>
        <v>2</v>
      </c>
      <c r="D495" s="2">
        <f>IFERROR(__xludf.DUMMYFUNCTION("""COMPUTED_VALUE"""),155.15)</f>
        <v>155.15</v>
      </c>
    </row>
    <row r="496">
      <c r="A496" s="2" t="str">
        <f>IFERROR(__xludf.DUMMYFUNCTION("""COMPUTED_VALUE"""),"PR006")</f>
        <v>PR006</v>
      </c>
      <c r="B496" s="2" t="str">
        <f>IFERROR(__xludf.DUMMYFUNCTION("""COMPUTED_VALUE"""),"VD044")</f>
        <v>VD044</v>
      </c>
      <c r="C496" s="2">
        <f>IFERROR(__xludf.DUMMYFUNCTION("""COMPUTED_VALUE"""),8.0)</f>
        <v>8</v>
      </c>
      <c r="D496" s="2">
        <f>IFERROR(__xludf.DUMMYFUNCTION("""COMPUTED_VALUE"""),341.54)</f>
        <v>341.54</v>
      </c>
    </row>
    <row r="497">
      <c r="A497" s="2" t="str">
        <f>IFERROR(__xludf.DUMMYFUNCTION("""COMPUTED_VALUE"""),"PR058")</f>
        <v>PR058</v>
      </c>
      <c r="B497" s="2" t="str">
        <f>IFERROR(__xludf.DUMMYFUNCTION("""COMPUTED_VALUE"""),"VD018")</f>
        <v>VD018</v>
      </c>
      <c r="C497" s="2">
        <f>IFERROR(__xludf.DUMMYFUNCTION("""COMPUTED_VALUE"""),4.0)</f>
        <v>4</v>
      </c>
      <c r="D497" s="2">
        <f>IFERROR(__xludf.DUMMYFUNCTION("""COMPUTED_VALUE"""),792.0)</f>
        <v>792</v>
      </c>
    </row>
    <row r="498">
      <c r="A498" s="2" t="str">
        <f>IFERROR(__xludf.DUMMYFUNCTION("""COMPUTED_VALUE"""),"PR038")</f>
        <v>PR038</v>
      </c>
      <c r="B498" s="2" t="str">
        <f>IFERROR(__xludf.DUMMYFUNCTION("""COMPUTED_VALUE"""),"VD032")</f>
        <v>VD032</v>
      </c>
      <c r="C498" s="2">
        <f>IFERROR(__xludf.DUMMYFUNCTION("""COMPUTED_VALUE"""),4.0)</f>
        <v>4</v>
      </c>
      <c r="D498" s="2">
        <f>IFERROR(__xludf.DUMMYFUNCTION("""COMPUTED_VALUE"""),600.18)</f>
        <v>600.18</v>
      </c>
    </row>
    <row r="499">
      <c r="A499" s="2" t="str">
        <f>IFERROR(__xludf.DUMMYFUNCTION("""COMPUTED_VALUE"""),"PR022")</f>
        <v>PR022</v>
      </c>
      <c r="B499" s="2" t="str">
        <f>IFERROR(__xludf.DUMMYFUNCTION("""COMPUTED_VALUE"""),"VD026")</f>
        <v>VD026</v>
      </c>
      <c r="C499" s="2">
        <f>IFERROR(__xludf.DUMMYFUNCTION("""COMPUTED_VALUE"""),9.0)</f>
        <v>9</v>
      </c>
      <c r="D499" s="2">
        <f>IFERROR(__xludf.DUMMYFUNCTION("""COMPUTED_VALUE"""),2916.0)</f>
        <v>2916</v>
      </c>
    </row>
    <row r="500">
      <c r="A500" s="2" t="str">
        <f>IFERROR(__xludf.DUMMYFUNCTION("""COMPUTED_VALUE"""),"PR035")</f>
        <v>PR035</v>
      </c>
      <c r="B500" s="2" t="str">
        <f>IFERROR(__xludf.DUMMYFUNCTION("""COMPUTED_VALUE"""),"VD046")</f>
        <v>VD046</v>
      </c>
      <c r="C500" s="2">
        <f>IFERROR(__xludf.DUMMYFUNCTION("""COMPUTED_VALUE"""),5.0)</f>
        <v>5</v>
      </c>
      <c r="D500" s="2">
        <f>IFERROR(__xludf.DUMMYFUNCTION("""COMPUTED_VALUE"""),479.85)</f>
        <v>479.85</v>
      </c>
    </row>
    <row r="501">
      <c r="A501" s="2" t="str">
        <f>IFERROR(__xludf.DUMMYFUNCTION("""COMPUTED_VALUE"""),"PR015")</f>
        <v>PR015</v>
      </c>
      <c r="B501" s="2" t="str">
        <f>IFERROR(__xludf.DUMMYFUNCTION("""COMPUTED_VALUE"""),"VD032")</f>
        <v>VD032</v>
      </c>
      <c r="C501" s="2">
        <f>IFERROR(__xludf.DUMMYFUNCTION("""COMPUTED_VALUE"""),5.0)</f>
        <v>5</v>
      </c>
      <c r="D501" s="2">
        <f>IFERROR(__xludf.DUMMYFUNCTION("""COMPUTED_VALUE"""),223.13)</f>
        <v>223.13</v>
      </c>
    </row>
    <row r="502">
      <c r="A502" s="2" t="str">
        <f>IFERROR(__xludf.DUMMYFUNCTION("""COMPUTED_VALUE"""),"PR020")</f>
        <v>PR020</v>
      </c>
      <c r="B502" s="2" t="str">
        <f>IFERROR(__xludf.DUMMYFUNCTION("""COMPUTED_VALUE"""),"VD021")</f>
        <v>VD021</v>
      </c>
      <c r="C502" s="2">
        <f>IFERROR(__xludf.DUMMYFUNCTION("""COMPUTED_VALUE"""),9.0)</f>
        <v>9</v>
      </c>
      <c r="D502" s="2">
        <f>IFERROR(__xludf.DUMMYFUNCTION("""COMPUTED_VALUE"""),2753.08)</f>
        <v>2753.08</v>
      </c>
    </row>
    <row r="503">
      <c r="A503" s="2" t="str">
        <f>IFERROR(__xludf.DUMMYFUNCTION("""COMPUTED_VALUE"""),"PR011")</f>
        <v>PR011</v>
      </c>
      <c r="B503" s="2" t="str">
        <f>IFERROR(__xludf.DUMMYFUNCTION("""COMPUTED_VALUE"""),"VD014")</f>
        <v>VD014</v>
      </c>
      <c r="C503" s="2">
        <f>IFERROR(__xludf.DUMMYFUNCTION("""COMPUTED_VALUE"""),9.0)</f>
        <v>9</v>
      </c>
      <c r="D503" s="2">
        <f>IFERROR(__xludf.DUMMYFUNCTION("""COMPUTED_VALUE"""),455.87)</f>
        <v>455.87</v>
      </c>
    </row>
    <row r="504">
      <c r="A504" s="2" t="str">
        <f>IFERROR(__xludf.DUMMYFUNCTION("""COMPUTED_VALUE"""),"PR050")</f>
        <v>PR050</v>
      </c>
      <c r="B504" s="2" t="str">
        <f>IFERROR(__xludf.DUMMYFUNCTION("""COMPUTED_VALUE"""),"VD040")</f>
        <v>VD040</v>
      </c>
      <c r="C504" s="2">
        <f>IFERROR(__xludf.DUMMYFUNCTION("""COMPUTED_VALUE"""),1.0)</f>
        <v>1</v>
      </c>
      <c r="D504" s="2">
        <f>IFERROR(__xludf.DUMMYFUNCTION("""COMPUTED_VALUE"""),33.56)</f>
        <v>33.56</v>
      </c>
    </row>
    <row r="505">
      <c r="A505" s="2" t="str">
        <f>IFERROR(__xludf.DUMMYFUNCTION("""COMPUTED_VALUE"""),"PR046")</f>
        <v>PR046</v>
      </c>
      <c r="B505" s="2" t="str">
        <f>IFERROR(__xludf.DUMMYFUNCTION("""COMPUTED_VALUE"""),"VD019")</f>
        <v>VD019</v>
      </c>
      <c r="C505" s="2">
        <f>IFERROR(__xludf.DUMMYFUNCTION("""COMPUTED_VALUE"""),4.0)</f>
        <v>4</v>
      </c>
      <c r="D505" s="2">
        <f>IFERROR(__xludf.DUMMYFUNCTION("""COMPUTED_VALUE"""),1263.96)</f>
        <v>1263.96</v>
      </c>
    </row>
    <row r="506">
      <c r="A506" s="2" t="str">
        <f>IFERROR(__xludf.DUMMYFUNCTION("""COMPUTED_VALUE"""),"PR016")</f>
        <v>PR016</v>
      </c>
      <c r="B506" s="2" t="str">
        <f>IFERROR(__xludf.DUMMYFUNCTION("""COMPUTED_VALUE"""),"VD012")</f>
        <v>VD012</v>
      </c>
      <c r="C506" s="2">
        <f>IFERROR(__xludf.DUMMYFUNCTION("""COMPUTED_VALUE"""),2.0)</f>
        <v>2</v>
      </c>
      <c r="D506" s="2">
        <f>IFERROR(__xludf.DUMMYFUNCTION("""COMPUTED_VALUE"""),53.35)</f>
        <v>53.35</v>
      </c>
    </row>
    <row r="507">
      <c r="A507" s="2" t="str">
        <f>IFERROR(__xludf.DUMMYFUNCTION("""COMPUTED_VALUE"""),"PR041")</f>
        <v>PR041</v>
      </c>
      <c r="B507" s="2" t="str">
        <f>IFERROR(__xludf.DUMMYFUNCTION("""COMPUTED_VALUE"""),"VD049")</f>
        <v>VD049</v>
      </c>
      <c r="C507" s="2">
        <f>IFERROR(__xludf.DUMMYFUNCTION("""COMPUTED_VALUE"""),1.0)</f>
        <v>1</v>
      </c>
      <c r="D507" s="2">
        <f>IFERROR(__xludf.DUMMYFUNCTION("""COMPUTED_VALUE"""),59.84)</f>
        <v>59.84</v>
      </c>
    </row>
    <row r="508">
      <c r="A508" s="2" t="str">
        <f>IFERROR(__xludf.DUMMYFUNCTION("""COMPUTED_VALUE"""),"PR037")</f>
        <v>PR037</v>
      </c>
      <c r="B508" s="2" t="str">
        <f>IFERROR(__xludf.DUMMYFUNCTION("""COMPUTED_VALUE"""),"VD038")</f>
        <v>VD038</v>
      </c>
      <c r="C508" s="2">
        <f>IFERROR(__xludf.DUMMYFUNCTION("""COMPUTED_VALUE"""),14.0)</f>
        <v>14</v>
      </c>
      <c r="D508" s="2">
        <f>IFERROR(__xludf.DUMMYFUNCTION("""COMPUTED_VALUE"""),1960.0)</f>
        <v>1960</v>
      </c>
    </row>
    <row r="509">
      <c r="A509" s="2" t="str">
        <f>IFERROR(__xludf.DUMMYFUNCTION("""COMPUTED_VALUE"""),"PR019")</f>
        <v>PR019</v>
      </c>
      <c r="B509" s="2" t="str">
        <f>IFERROR(__xludf.DUMMYFUNCTION("""COMPUTED_VALUE"""),"VD018")</f>
        <v>VD018</v>
      </c>
      <c r="C509" s="2">
        <f>IFERROR(__xludf.DUMMYFUNCTION("""COMPUTED_VALUE"""),4.0)</f>
        <v>4</v>
      </c>
      <c r="D509" s="2">
        <f>IFERROR(__xludf.DUMMYFUNCTION("""COMPUTED_VALUE"""),213.57)</f>
        <v>213.57</v>
      </c>
    </row>
    <row r="510">
      <c r="A510" s="2" t="str">
        <f>IFERROR(__xludf.DUMMYFUNCTION("""COMPUTED_VALUE"""),"PR052")</f>
        <v>PR052</v>
      </c>
      <c r="B510" s="2" t="str">
        <f>IFERROR(__xludf.DUMMYFUNCTION("""COMPUTED_VALUE"""),"VD043")</f>
        <v>VD043</v>
      </c>
      <c r="C510" s="2">
        <f>IFERROR(__xludf.DUMMYFUNCTION("""COMPUTED_VALUE"""),7.0)</f>
        <v>7</v>
      </c>
      <c r="D510" s="2">
        <f>IFERROR(__xludf.DUMMYFUNCTION("""COMPUTED_VALUE"""),356.29)</f>
        <v>356.29</v>
      </c>
    </row>
    <row r="511">
      <c r="A511" s="2" t="str">
        <f>IFERROR(__xludf.DUMMYFUNCTION("""COMPUTED_VALUE"""),"PR011")</f>
        <v>PR011</v>
      </c>
      <c r="B511" s="2" t="str">
        <f>IFERROR(__xludf.DUMMYFUNCTION("""COMPUTED_VALUE"""),"VD042")</f>
        <v>VD042</v>
      </c>
      <c r="C511" s="2">
        <f>IFERROR(__xludf.DUMMYFUNCTION("""COMPUTED_VALUE"""),1.0)</f>
        <v>1</v>
      </c>
      <c r="D511" s="2">
        <f>IFERROR(__xludf.DUMMYFUNCTION("""COMPUTED_VALUE"""),50.65)</f>
        <v>50.65</v>
      </c>
    </row>
    <row r="512">
      <c r="A512" s="2" t="str">
        <f>IFERROR(__xludf.DUMMYFUNCTION("""COMPUTED_VALUE"""),"PR058")</f>
        <v>PR058</v>
      </c>
      <c r="B512" s="2" t="str">
        <f>IFERROR(__xludf.DUMMYFUNCTION("""COMPUTED_VALUE"""),"VD048")</f>
        <v>VD048</v>
      </c>
      <c r="C512" s="2">
        <f>IFERROR(__xludf.DUMMYFUNCTION("""COMPUTED_VALUE"""),8.0)</f>
        <v>8</v>
      </c>
      <c r="D512" s="2">
        <f>IFERROR(__xludf.DUMMYFUNCTION("""COMPUTED_VALUE"""),1526.4)</f>
        <v>1526.4</v>
      </c>
    </row>
    <row r="513">
      <c r="A513" s="2" t="str">
        <f>IFERROR(__xludf.DUMMYFUNCTION("""COMPUTED_VALUE"""),"PR042")</f>
        <v>PR042</v>
      </c>
      <c r="B513" s="2" t="str">
        <f>IFERROR(__xludf.DUMMYFUNCTION("""COMPUTED_VALUE"""),"VD024")</f>
        <v>VD024</v>
      </c>
      <c r="C513" s="2">
        <f>IFERROR(__xludf.DUMMYFUNCTION("""COMPUTED_VALUE"""),3.0)</f>
        <v>3</v>
      </c>
      <c r="D513" s="2">
        <f>IFERROR(__xludf.DUMMYFUNCTION("""COMPUTED_VALUE"""),169.64)</f>
        <v>169.64</v>
      </c>
    </row>
    <row r="514">
      <c r="A514" s="2" t="str">
        <f>IFERROR(__xludf.DUMMYFUNCTION("""COMPUTED_VALUE"""),"PR009")</f>
        <v>PR009</v>
      </c>
      <c r="B514" s="2" t="str">
        <f>IFERROR(__xludf.DUMMYFUNCTION("""COMPUTED_VALUE"""),"VD037")</f>
        <v>VD037</v>
      </c>
      <c r="C514" s="2">
        <f>IFERROR(__xludf.DUMMYFUNCTION("""COMPUTED_VALUE"""),6.0)</f>
        <v>6</v>
      </c>
      <c r="D514" s="2">
        <f>IFERROR(__xludf.DUMMYFUNCTION("""COMPUTED_VALUE"""),568.55)</f>
        <v>568.55</v>
      </c>
    </row>
    <row r="515">
      <c r="A515" s="2" t="str">
        <f>IFERROR(__xludf.DUMMYFUNCTION("""COMPUTED_VALUE"""),"PR017")</f>
        <v>PR017</v>
      </c>
      <c r="B515" s="2" t="str">
        <f>IFERROR(__xludf.DUMMYFUNCTION("""COMPUTED_VALUE"""),"VD043")</f>
        <v>VD043</v>
      </c>
      <c r="C515" s="2">
        <f>IFERROR(__xludf.DUMMYFUNCTION("""COMPUTED_VALUE"""),2.0)</f>
        <v>2</v>
      </c>
      <c r="D515" s="2">
        <f>IFERROR(__xludf.DUMMYFUNCTION("""COMPUTED_VALUE"""),65.18)</f>
        <v>65.18</v>
      </c>
    </row>
    <row r="516">
      <c r="A516" s="2" t="str">
        <f>IFERROR(__xludf.DUMMYFUNCTION("""COMPUTED_VALUE"""),"PR009")</f>
        <v>PR009</v>
      </c>
      <c r="B516" s="2" t="str">
        <f>IFERROR(__xludf.DUMMYFUNCTION("""COMPUTED_VALUE"""),"VD025")</f>
        <v>VD025</v>
      </c>
      <c r="C516" s="2">
        <f>IFERROR(__xludf.DUMMYFUNCTION("""COMPUTED_VALUE"""),5.0)</f>
        <v>5</v>
      </c>
      <c r="D516" s="2">
        <f>IFERROR(__xludf.DUMMYFUNCTION("""COMPUTED_VALUE"""),478.44)</f>
        <v>478.44</v>
      </c>
    </row>
    <row r="517">
      <c r="A517" s="2" t="str">
        <f>IFERROR(__xludf.DUMMYFUNCTION("""COMPUTED_VALUE"""),"PR026")</f>
        <v>PR026</v>
      </c>
      <c r="B517" s="2" t="str">
        <f>IFERROR(__xludf.DUMMYFUNCTION("""COMPUTED_VALUE"""),"VD033")</f>
        <v>VD033</v>
      </c>
      <c r="C517" s="2">
        <f>IFERROR(__xludf.DUMMYFUNCTION("""COMPUTED_VALUE"""),12.0)</f>
        <v>12</v>
      </c>
      <c r="D517" s="2">
        <f>IFERROR(__xludf.DUMMYFUNCTION("""COMPUTED_VALUE"""),4324.76)</f>
        <v>4324.76</v>
      </c>
    </row>
    <row r="518">
      <c r="A518" s="2" t="str">
        <f>IFERROR(__xludf.DUMMYFUNCTION("""COMPUTED_VALUE"""),"PR058")</f>
        <v>PR058</v>
      </c>
      <c r="B518" s="2" t="str">
        <f>IFERROR(__xludf.DUMMYFUNCTION("""COMPUTED_VALUE"""),"VD046")</f>
        <v>VD046</v>
      </c>
      <c r="C518" s="2">
        <f>IFERROR(__xludf.DUMMYFUNCTION("""COMPUTED_VALUE"""),3.0)</f>
        <v>3</v>
      </c>
      <c r="D518" s="2">
        <f>IFERROR(__xludf.DUMMYFUNCTION("""COMPUTED_VALUE"""),577.8)</f>
        <v>577.8</v>
      </c>
    </row>
    <row r="519">
      <c r="A519" s="2" t="str">
        <f>IFERROR(__xludf.DUMMYFUNCTION("""COMPUTED_VALUE"""),"PR011")</f>
        <v>PR011</v>
      </c>
      <c r="B519" s="2" t="str">
        <f>IFERROR(__xludf.DUMMYFUNCTION("""COMPUTED_VALUE"""),"VD039")</f>
        <v>VD039</v>
      </c>
      <c r="C519" s="2">
        <f>IFERROR(__xludf.DUMMYFUNCTION("""COMPUTED_VALUE"""),2.0)</f>
        <v>2</v>
      </c>
      <c r="D519" s="2">
        <f>IFERROR(__xludf.DUMMYFUNCTION("""COMPUTED_VALUE"""),99.43)</f>
        <v>99.43</v>
      </c>
    </row>
    <row r="520">
      <c r="A520" s="2" t="str">
        <f>IFERROR(__xludf.DUMMYFUNCTION("""COMPUTED_VALUE"""),"PR030")</f>
        <v>PR030</v>
      </c>
      <c r="B520" s="2" t="str">
        <f>IFERROR(__xludf.DUMMYFUNCTION("""COMPUTED_VALUE"""),"VD027")</f>
        <v>VD027</v>
      </c>
      <c r="C520" s="2">
        <f>IFERROR(__xludf.DUMMYFUNCTION("""COMPUTED_VALUE"""),8.0)</f>
        <v>8</v>
      </c>
      <c r="D520" s="2">
        <f>IFERROR(__xludf.DUMMYFUNCTION("""COMPUTED_VALUE"""),2079.2)</f>
        <v>2079.2</v>
      </c>
    </row>
    <row r="521">
      <c r="A521" s="2" t="str">
        <f>IFERROR(__xludf.DUMMYFUNCTION("""COMPUTED_VALUE"""),"PR032")</f>
        <v>PR032</v>
      </c>
      <c r="B521" s="2" t="str">
        <f>IFERROR(__xludf.DUMMYFUNCTION("""COMPUTED_VALUE"""),"VD031")</f>
        <v>VD031</v>
      </c>
      <c r="C521" s="2">
        <f>IFERROR(__xludf.DUMMYFUNCTION("""COMPUTED_VALUE"""),20.0)</f>
        <v>20</v>
      </c>
      <c r="D521" s="2">
        <f>IFERROR(__xludf.DUMMYFUNCTION("""COMPUTED_VALUE"""),5300.0)</f>
        <v>5300</v>
      </c>
    </row>
    <row r="522">
      <c r="A522" s="2" t="str">
        <f>IFERROR(__xludf.DUMMYFUNCTION("""COMPUTED_VALUE"""),"PR039")</f>
        <v>PR039</v>
      </c>
      <c r="B522" s="2" t="str">
        <f>IFERROR(__xludf.DUMMYFUNCTION("""COMPUTED_VALUE"""),"VD021")</f>
        <v>VD021</v>
      </c>
      <c r="C522" s="2">
        <f>IFERROR(__xludf.DUMMYFUNCTION("""COMPUTED_VALUE"""),2.0)</f>
        <v>2</v>
      </c>
      <c r="D522" s="2">
        <f>IFERROR(__xludf.DUMMYFUNCTION("""COMPUTED_VALUE"""),292.0)</f>
        <v>292</v>
      </c>
    </row>
    <row r="523">
      <c r="A523" s="2" t="str">
        <f>IFERROR(__xludf.DUMMYFUNCTION("""COMPUTED_VALUE"""),"PR045")</f>
        <v>PR045</v>
      </c>
      <c r="B523" s="2" t="str">
        <f>IFERROR(__xludf.DUMMYFUNCTION("""COMPUTED_VALUE"""),"VD017")</f>
        <v>VD017</v>
      </c>
      <c r="C523" s="2">
        <f>IFERROR(__xludf.DUMMYFUNCTION("""COMPUTED_VALUE"""),20.0)</f>
        <v>20</v>
      </c>
      <c r="D523" s="2">
        <f>IFERROR(__xludf.DUMMYFUNCTION("""COMPUTED_VALUE"""),1537.0)</f>
        <v>1537</v>
      </c>
    </row>
    <row r="524">
      <c r="A524" s="2" t="str">
        <f>IFERROR(__xludf.DUMMYFUNCTION("""COMPUTED_VALUE"""),"PR035")</f>
        <v>PR035</v>
      </c>
      <c r="B524" s="2" t="str">
        <f>IFERROR(__xludf.DUMMYFUNCTION("""COMPUTED_VALUE"""),"VD045")</f>
        <v>VD045</v>
      </c>
      <c r="C524" s="2">
        <f>IFERROR(__xludf.DUMMYFUNCTION("""COMPUTED_VALUE"""),6.0)</f>
        <v>6</v>
      </c>
      <c r="D524" s="2">
        <f>IFERROR(__xludf.DUMMYFUNCTION("""COMPUTED_VALUE"""),586.79)</f>
        <v>586.79</v>
      </c>
    </row>
    <row r="525">
      <c r="A525" s="2" t="str">
        <f>IFERROR(__xludf.DUMMYFUNCTION("""COMPUTED_VALUE"""),"PR008")</f>
        <v>PR008</v>
      </c>
      <c r="B525" s="2" t="str">
        <f>IFERROR(__xludf.DUMMYFUNCTION("""COMPUTED_VALUE"""),"VD015")</f>
        <v>VD015</v>
      </c>
      <c r="C525" s="2">
        <f>IFERROR(__xludf.DUMMYFUNCTION("""COMPUTED_VALUE"""),9.0)</f>
        <v>9</v>
      </c>
      <c r="D525" s="2">
        <f>IFERROR(__xludf.DUMMYFUNCTION("""COMPUTED_VALUE"""),809.1)</f>
        <v>809.1</v>
      </c>
    </row>
    <row r="526">
      <c r="A526" s="2" t="str">
        <f>IFERROR(__xludf.DUMMYFUNCTION("""COMPUTED_VALUE"""),"PR037")</f>
        <v>PR037</v>
      </c>
      <c r="B526" s="2" t="str">
        <f>IFERROR(__xludf.DUMMYFUNCTION("""COMPUTED_VALUE"""),"VD045")</f>
        <v>VD045</v>
      </c>
      <c r="C526" s="2">
        <f>IFERROR(__xludf.DUMMYFUNCTION("""COMPUTED_VALUE"""),4.0)</f>
        <v>4</v>
      </c>
      <c r="D526" s="2">
        <f>IFERROR(__xludf.DUMMYFUNCTION("""COMPUTED_VALUE"""),571.2)</f>
        <v>571.2</v>
      </c>
    </row>
    <row r="527">
      <c r="A527" s="2" t="str">
        <f>IFERROR(__xludf.DUMMYFUNCTION("""COMPUTED_VALUE"""),"PR055")</f>
        <v>PR055</v>
      </c>
      <c r="B527" s="2" t="str">
        <f>IFERROR(__xludf.DUMMYFUNCTION("""COMPUTED_VALUE"""),"VD047")</f>
        <v>VD047</v>
      </c>
      <c r="C527" s="2">
        <f>IFERROR(__xludf.DUMMYFUNCTION("""COMPUTED_VALUE"""),9.0)</f>
        <v>9</v>
      </c>
      <c r="D527" s="2">
        <f>IFERROR(__xludf.DUMMYFUNCTION("""COMPUTED_VALUE"""),841.46)</f>
        <v>841.46</v>
      </c>
    </row>
    <row r="528">
      <c r="A528" s="2" t="str">
        <f>IFERROR(__xludf.DUMMYFUNCTION("""COMPUTED_VALUE"""),"PR022")</f>
        <v>PR022</v>
      </c>
      <c r="B528" s="2" t="str">
        <f>IFERROR(__xludf.DUMMYFUNCTION("""COMPUTED_VALUE"""),"VD034")</f>
        <v>VD034</v>
      </c>
      <c r="C528" s="2">
        <f>IFERROR(__xludf.DUMMYFUNCTION("""COMPUTED_VALUE"""),10.0)</f>
        <v>10</v>
      </c>
      <c r="D528" s="2">
        <f>IFERROR(__xludf.DUMMYFUNCTION("""COMPUTED_VALUE"""),3120.0)</f>
        <v>3120</v>
      </c>
    </row>
    <row r="529">
      <c r="A529" s="2" t="str">
        <f>IFERROR(__xludf.DUMMYFUNCTION("""COMPUTED_VALUE"""),"PR029")</f>
        <v>PR029</v>
      </c>
      <c r="B529" s="2" t="str">
        <f>IFERROR(__xludf.DUMMYFUNCTION("""COMPUTED_VALUE"""),"VD047")</f>
        <v>VD047</v>
      </c>
      <c r="C529" s="2">
        <f>IFERROR(__xludf.DUMMYFUNCTION("""COMPUTED_VALUE"""),4.0)</f>
        <v>4</v>
      </c>
      <c r="D529" s="2">
        <f>IFERROR(__xludf.DUMMYFUNCTION("""COMPUTED_VALUE"""),1030.2)</f>
        <v>1030.2</v>
      </c>
    </row>
    <row r="530">
      <c r="A530" s="2" t="str">
        <f>IFERROR(__xludf.DUMMYFUNCTION("""COMPUTED_VALUE"""),"PR006")</f>
        <v>PR006</v>
      </c>
      <c r="B530" s="2" t="str">
        <f>IFERROR(__xludf.DUMMYFUNCTION("""COMPUTED_VALUE"""),"VD010")</f>
        <v>VD010</v>
      </c>
      <c r="C530" s="2">
        <f>IFERROR(__xludf.DUMMYFUNCTION("""COMPUTED_VALUE"""),10.0)</f>
        <v>10</v>
      </c>
      <c r="D530" s="2">
        <f>IFERROR(__xludf.DUMMYFUNCTION("""COMPUTED_VALUE"""),430.92)</f>
        <v>430.92</v>
      </c>
    </row>
    <row r="531">
      <c r="A531" s="2" t="str">
        <f>IFERROR(__xludf.DUMMYFUNCTION("""COMPUTED_VALUE"""),"PR003")</f>
        <v>PR003</v>
      </c>
      <c r="B531" s="2" t="str">
        <f>IFERROR(__xludf.DUMMYFUNCTION("""COMPUTED_VALUE"""),"VD017")</f>
        <v>VD017</v>
      </c>
      <c r="C531" s="2">
        <f>IFERROR(__xludf.DUMMYFUNCTION("""COMPUTED_VALUE"""),12.0)</f>
        <v>12</v>
      </c>
      <c r="D531" s="2">
        <f>IFERROR(__xludf.DUMMYFUNCTION("""COMPUTED_VALUE"""),935.88)</f>
        <v>935.88</v>
      </c>
    </row>
    <row r="532">
      <c r="A532" s="2" t="str">
        <f>IFERROR(__xludf.DUMMYFUNCTION("""COMPUTED_VALUE"""),"PR017")</f>
        <v>PR017</v>
      </c>
      <c r="B532" s="2" t="str">
        <f>IFERROR(__xludf.DUMMYFUNCTION("""COMPUTED_VALUE"""),"VD025")</f>
        <v>VD025</v>
      </c>
      <c r="C532" s="2">
        <f>IFERROR(__xludf.DUMMYFUNCTION("""COMPUTED_VALUE"""),1.0)</f>
        <v>1</v>
      </c>
      <c r="D532" s="2">
        <f>IFERROR(__xludf.DUMMYFUNCTION("""COMPUTED_VALUE"""),29.9)</f>
        <v>29.9</v>
      </c>
    </row>
    <row r="533">
      <c r="A533" s="2" t="str">
        <f>IFERROR(__xludf.DUMMYFUNCTION("""COMPUTED_VALUE"""),"PR037")</f>
        <v>PR037</v>
      </c>
      <c r="B533" s="2" t="str">
        <f>IFERROR(__xludf.DUMMYFUNCTION("""COMPUTED_VALUE"""),"VD027")</f>
        <v>VD027</v>
      </c>
      <c r="C533" s="2">
        <f>IFERROR(__xludf.DUMMYFUNCTION("""COMPUTED_VALUE"""),20.0)</f>
        <v>20</v>
      </c>
      <c r="D533" s="2">
        <f>IFERROR(__xludf.DUMMYFUNCTION("""COMPUTED_VALUE"""),2912.0)</f>
        <v>2912</v>
      </c>
    </row>
    <row r="534">
      <c r="A534" s="2" t="str">
        <f>IFERROR(__xludf.DUMMYFUNCTION("""COMPUTED_VALUE"""),"PR024")</f>
        <v>PR024</v>
      </c>
      <c r="B534" s="2" t="str">
        <f>IFERROR(__xludf.DUMMYFUNCTION("""COMPUTED_VALUE"""),"VD035")</f>
        <v>VD035</v>
      </c>
      <c r="C534" s="2">
        <f>IFERROR(__xludf.DUMMYFUNCTION("""COMPUTED_VALUE"""),8.0)</f>
        <v>8</v>
      </c>
      <c r="D534" s="2">
        <f>IFERROR(__xludf.DUMMYFUNCTION("""COMPUTED_VALUE"""),2183.16)</f>
        <v>2183.16</v>
      </c>
    </row>
    <row r="535">
      <c r="A535" s="2" t="str">
        <f>IFERROR(__xludf.DUMMYFUNCTION("""COMPUTED_VALUE"""),"PR006")</f>
        <v>PR006</v>
      </c>
      <c r="B535" s="2" t="str">
        <f>IFERROR(__xludf.DUMMYFUNCTION("""COMPUTED_VALUE"""),"VD022")</f>
        <v>VD022</v>
      </c>
      <c r="C535" s="2">
        <f>IFERROR(__xludf.DUMMYFUNCTION("""COMPUTED_VALUE"""),18.0)</f>
        <v>18</v>
      </c>
      <c r="D535" s="2">
        <f>IFERROR(__xludf.DUMMYFUNCTION("""COMPUTED_VALUE"""),725.38)</f>
        <v>725.38</v>
      </c>
    </row>
    <row r="536">
      <c r="A536" s="2" t="str">
        <f>IFERROR(__xludf.DUMMYFUNCTION("""COMPUTED_VALUE"""),"PR051")</f>
        <v>PR051</v>
      </c>
      <c r="B536" s="2" t="str">
        <f>IFERROR(__xludf.DUMMYFUNCTION("""COMPUTED_VALUE"""),"VD027")</f>
        <v>VD027</v>
      </c>
      <c r="C536" s="2">
        <f>IFERROR(__xludf.DUMMYFUNCTION("""COMPUTED_VALUE"""),18.0)</f>
        <v>18</v>
      </c>
      <c r="D536" s="2">
        <f>IFERROR(__xludf.DUMMYFUNCTION("""COMPUTED_VALUE"""),633.65)</f>
        <v>633.65</v>
      </c>
    </row>
    <row r="537">
      <c r="A537" s="2" t="str">
        <f>IFERROR(__xludf.DUMMYFUNCTION("""COMPUTED_VALUE"""),"PR057")</f>
        <v>PR057</v>
      </c>
      <c r="B537" s="2" t="str">
        <f>IFERROR(__xludf.DUMMYFUNCTION("""COMPUTED_VALUE"""),"VD019")</f>
        <v>VD019</v>
      </c>
      <c r="C537" s="2">
        <f>IFERROR(__xludf.DUMMYFUNCTION("""COMPUTED_VALUE"""),16.0)</f>
        <v>16</v>
      </c>
      <c r="D537" s="2">
        <f>IFERROR(__xludf.DUMMYFUNCTION("""COMPUTED_VALUE"""),1539.09)</f>
        <v>1539.09</v>
      </c>
    </row>
    <row r="538">
      <c r="A538" s="2" t="str">
        <f>IFERROR(__xludf.DUMMYFUNCTION("""COMPUTED_VALUE"""),"PR004")</f>
        <v>PR004</v>
      </c>
      <c r="B538" s="2" t="str">
        <f>IFERROR(__xludf.DUMMYFUNCTION("""COMPUTED_VALUE"""),"VD037")</f>
        <v>VD037</v>
      </c>
      <c r="C538" s="2">
        <f>IFERROR(__xludf.DUMMYFUNCTION("""COMPUTED_VALUE"""),16.0)</f>
        <v>16</v>
      </c>
      <c r="D538" s="2">
        <f>IFERROR(__xludf.DUMMYFUNCTION("""COMPUTED_VALUE"""),2343.2)</f>
        <v>2343.2</v>
      </c>
    </row>
    <row r="539">
      <c r="A539" s="2" t="str">
        <f>IFERROR(__xludf.DUMMYFUNCTION("""COMPUTED_VALUE"""),"PR046")</f>
        <v>PR046</v>
      </c>
      <c r="B539" s="2" t="str">
        <f>IFERROR(__xludf.DUMMYFUNCTION("""COMPUTED_VALUE"""),"VD041")</f>
        <v>VD041</v>
      </c>
      <c r="C539" s="2">
        <f>IFERROR(__xludf.DUMMYFUNCTION("""COMPUTED_VALUE"""),2.0)</f>
        <v>2</v>
      </c>
      <c r="D539" s="2">
        <f>IFERROR(__xludf.DUMMYFUNCTION("""COMPUTED_VALUE"""),614.59)</f>
        <v>614.59</v>
      </c>
    </row>
    <row r="540">
      <c r="A540" s="2" t="str">
        <f>IFERROR(__xludf.DUMMYFUNCTION("""COMPUTED_VALUE"""),"PR030")</f>
        <v>PR030</v>
      </c>
      <c r="B540" s="2" t="str">
        <f>IFERROR(__xludf.DUMMYFUNCTION("""COMPUTED_VALUE"""),"VD015")</f>
        <v>VD015</v>
      </c>
      <c r="C540" s="2">
        <f>IFERROR(__xludf.DUMMYFUNCTION("""COMPUTED_VALUE"""),1.0)</f>
        <v>1</v>
      </c>
      <c r="D540" s="2">
        <f>IFERROR(__xludf.DUMMYFUNCTION("""COMPUTED_VALUE"""),265.1)</f>
        <v>265.1</v>
      </c>
    </row>
    <row r="541">
      <c r="A541" s="2" t="str">
        <f>IFERROR(__xludf.DUMMYFUNCTION("""COMPUTED_VALUE"""),"PR010")</f>
        <v>PR010</v>
      </c>
      <c r="B541" s="2" t="str">
        <f>IFERROR(__xludf.DUMMYFUNCTION("""COMPUTED_VALUE"""),"VD029")</f>
        <v>VD029</v>
      </c>
      <c r="C541" s="2">
        <f>IFERROR(__xludf.DUMMYFUNCTION("""COMPUTED_VALUE"""),5.0)</f>
        <v>5</v>
      </c>
      <c r="D541" s="2">
        <f>IFERROR(__xludf.DUMMYFUNCTION("""COMPUTED_VALUE"""),240.22)</f>
        <v>240.22</v>
      </c>
    </row>
    <row r="542">
      <c r="A542" s="2" t="str">
        <f>IFERROR(__xludf.DUMMYFUNCTION("""COMPUTED_VALUE"""),"PR028")</f>
        <v>PR028</v>
      </c>
      <c r="B542" s="2" t="str">
        <f>IFERROR(__xludf.DUMMYFUNCTION("""COMPUTED_VALUE"""),"VD034")</f>
        <v>VD034</v>
      </c>
      <c r="C542" s="2">
        <f>IFERROR(__xludf.DUMMYFUNCTION("""COMPUTED_VALUE"""),8.0)</f>
        <v>8</v>
      </c>
      <c r="D542" s="2">
        <f>IFERROR(__xludf.DUMMYFUNCTION("""COMPUTED_VALUE"""),2179.13)</f>
        <v>2179.13</v>
      </c>
    </row>
    <row r="543">
      <c r="A543" s="2" t="str">
        <f>IFERROR(__xludf.DUMMYFUNCTION("""COMPUTED_VALUE"""),"PR059")</f>
        <v>PR059</v>
      </c>
      <c r="B543" s="2" t="str">
        <f>IFERROR(__xludf.DUMMYFUNCTION("""COMPUTED_VALUE"""),"VD042")</f>
        <v>VD042</v>
      </c>
      <c r="C543" s="2">
        <f>IFERROR(__xludf.DUMMYFUNCTION("""COMPUTED_VALUE"""),14.0)</f>
        <v>14</v>
      </c>
      <c r="D543" s="2">
        <f>IFERROR(__xludf.DUMMYFUNCTION("""COMPUTED_VALUE"""),2671.2)</f>
        <v>2671.2</v>
      </c>
    </row>
    <row r="544">
      <c r="A544" s="2" t="str">
        <f>IFERROR(__xludf.DUMMYFUNCTION("""COMPUTED_VALUE"""),"PR033")</f>
        <v>PR033</v>
      </c>
      <c r="B544" s="2" t="str">
        <f>IFERROR(__xludf.DUMMYFUNCTION("""COMPUTED_VALUE"""),"VD019")</f>
        <v>VD019</v>
      </c>
      <c r="C544" s="2">
        <f>IFERROR(__xludf.DUMMYFUNCTION("""COMPUTED_VALUE"""),8.0)</f>
        <v>8</v>
      </c>
      <c r="D544" s="2">
        <f>IFERROR(__xludf.DUMMYFUNCTION("""COMPUTED_VALUE"""),2224.74)</f>
        <v>2224.74</v>
      </c>
    </row>
    <row r="545">
      <c r="A545" s="2" t="str">
        <f>IFERROR(__xludf.DUMMYFUNCTION("""COMPUTED_VALUE"""),"PR054")</f>
        <v>PR054</v>
      </c>
      <c r="B545" s="2" t="str">
        <f>IFERROR(__xludf.DUMMYFUNCTION("""COMPUTED_VALUE"""),"VD018")</f>
        <v>VD018</v>
      </c>
      <c r="C545" s="2">
        <f>IFERROR(__xludf.DUMMYFUNCTION("""COMPUTED_VALUE"""),16.0)</f>
        <v>16</v>
      </c>
      <c r="D545" s="2">
        <f>IFERROR(__xludf.DUMMYFUNCTION("""COMPUTED_VALUE"""),870.26)</f>
        <v>870.26</v>
      </c>
    </row>
    <row r="546">
      <c r="A546" s="2" t="str">
        <f>IFERROR(__xludf.DUMMYFUNCTION("""COMPUTED_VALUE"""),"PR023")</f>
        <v>PR023</v>
      </c>
      <c r="B546" s="2" t="str">
        <f>IFERROR(__xludf.DUMMYFUNCTION("""COMPUTED_VALUE"""),"VD017")</f>
        <v>VD017</v>
      </c>
      <c r="C546" s="2">
        <f>IFERROR(__xludf.DUMMYFUNCTION("""COMPUTED_VALUE"""),4.0)</f>
        <v>4</v>
      </c>
      <c r="D546" s="2">
        <f>IFERROR(__xludf.DUMMYFUNCTION("""COMPUTED_VALUE"""),1089.56)</f>
        <v>1089.56</v>
      </c>
    </row>
    <row r="547">
      <c r="A547" s="2" t="str">
        <f>IFERROR(__xludf.DUMMYFUNCTION("""COMPUTED_VALUE"""),"PR031")</f>
        <v>PR031</v>
      </c>
      <c r="B547" s="2" t="str">
        <f>IFERROR(__xludf.DUMMYFUNCTION("""COMPUTED_VALUE"""),"VD040")</f>
        <v>VD040</v>
      </c>
      <c r="C547" s="2">
        <f>IFERROR(__xludf.DUMMYFUNCTION("""COMPUTED_VALUE"""),3.0)</f>
        <v>3</v>
      </c>
      <c r="D547" s="2">
        <f>IFERROR(__xludf.DUMMYFUNCTION("""COMPUTED_VALUE"""),757.05)</f>
        <v>757.05</v>
      </c>
    </row>
    <row r="548">
      <c r="A548" s="2" t="str">
        <f>IFERROR(__xludf.DUMMYFUNCTION("""COMPUTED_VALUE"""),"PR004")</f>
        <v>PR004</v>
      </c>
      <c r="B548" s="2" t="str">
        <f>IFERROR(__xludf.DUMMYFUNCTION("""COMPUTED_VALUE"""),"VD039")</f>
        <v>VD039</v>
      </c>
      <c r="C548" s="2">
        <f>IFERROR(__xludf.DUMMYFUNCTION("""COMPUTED_VALUE"""),16.0)</f>
        <v>16</v>
      </c>
      <c r="D548" s="2">
        <f>IFERROR(__xludf.DUMMYFUNCTION("""COMPUTED_VALUE"""),2528.8)</f>
        <v>2528.8</v>
      </c>
    </row>
    <row r="549">
      <c r="A549" s="2" t="str">
        <f>IFERROR(__xludf.DUMMYFUNCTION("""COMPUTED_VALUE"""),"PR029")</f>
        <v>PR029</v>
      </c>
      <c r="B549" s="2" t="str">
        <f>IFERROR(__xludf.DUMMYFUNCTION("""COMPUTED_VALUE"""),"VD048")</f>
        <v>VD048</v>
      </c>
      <c r="C549" s="2">
        <f>IFERROR(__xludf.DUMMYFUNCTION("""COMPUTED_VALUE"""),7.0)</f>
        <v>7</v>
      </c>
      <c r="D549" s="2">
        <f>IFERROR(__xludf.DUMMYFUNCTION("""COMPUTED_VALUE"""),1874.25)</f>
        <v>1874.25</v>
      </c>
    </row>
    <row r="550">
      <c r="A550" s="2" t="str">
        <f>IFERROR(__xludf.DUMMYFUNCTION("""COMPUTED_VALUE"""),"PR031")</f>
        <v>PR031</v>
      </c>
      <c r="B550" s="2" t="str">
        <f>IFERROR(__xludf.DUMMYFUNCTION("""COMPUTED_VALUE"""),"VD024")</f>
        <v>VD024</v>
      </c>
      <c r="C550" s="2">
        <f>IFERROR(__xludf.DUMMYFUNCTION("""COMPUTED_VALUE"""),5.0)</f>
        <v>5</v>
      </c>
      <c r="D550" s="2">
        <f>IFERROR(__xludf.DUMMYFUNCTION("""COMPUTED_VALUE"""),1286.25)</f>
        <v>1286.25</v>
      </c>
    </row>
    <row r="551">
      <c r="A551" s="2" t="str">
        <f>IFERROR(__xludf.DUMMYFUNCTION("""COMPUTED_VALUE"""),"PR020")</f>
        <v>PR020</v>
      </c>
      <c r="B551" s="2" t="str">
        <f>IFERROR(__xludf.DUMMYFUNCTION("""COMPUTED_VALUE"""),"VD014")</f>
        <v>VD014</v>
      </c>
      <c r="C551" s="2">
        <f>IFERROR(__xludf.DUMMYFUNCTION("""COMPUTED_VALUE"""),12.0)</f>
        <v>12</v>
      </c>
      <c r="D551" s="2">
        <f>IFERROR(__xludf.DUMMYFUNCTION("""COMPUTED_VALUE"""),3850.72)</f>
        <v>3850.72</v>
      </c>
    </row>
    <row r="552">
      <c r="A552" s="2" t="str">
        <f>IFERROR(__xludf.DUMMYFUNCTION("""COMPUTED_VALUE"""),"PR006")</f>
        <v>PR006</v>
      </c>
      <c r="B552" s="2" t="str">
        <f>IFERROR(__xludf.DUMMYFUNCTION("""COMPUTED_VALUE"""),"VD011")</f>
        <v>VD011</v>
      </c>
      <c r="C552" s="2">
        <f>IFERROR(__xludf.DUMMYFUNCTION("""COMPUTED_VALUE"""),7.0)</f>
        <v>7</v>
      </c>
      <c r="D552" s="2">
        <f>IFERROR(__xludf.DUMMYFUNCTION("""COMPUTED_VALUE"""),293.27)</f>
        <v>293.27</v>
      </c>
    </row>
    <row r="553">
      <c r="A553" s="2" t="str">
        <f>IFERROR(__xludf.DUMMYFUNCTION("""COMPUTED_VALUE"""),"PR060")</f>
        <v>PR060</v>
      </c>
      <c r="B553" s="2" t="str">
        <f>IFERROR(__xludf.DUMMYFUNCTION("""COMPUTED_VALUE"""),"VD021")</f>
        <v>VD021</v>
      </c>
      <c r="C553" s="2">
        <f>IFERROR(__xludf.DUMMYFUNCTION("""COMPUTED_VALUE"""),12.0)</f>
        <v>12</v>
      </c>
      <c r="D553" s="2">
        <f>IFERROR(__xludf.DUMMYFUNCTION("""COMPUTED_VALUE"""),2160.0)</f>
        <v>2160</v>
      </c>
    </row>
    <row r="554">
      <c r="A554" s="2" t="str">
        <f>IFERROR(__xludf.DUMMYFUNCTION("""COMPUTED_VALUE"""),"PR052")</f>
        <v>PR052</v>
      </c>
      <c r="B554" s="2" t="str">
        <f>IFERROR(__xludf.DUMMYFUNCTION("""COMPUTED_VALUE"""),"VD039")</f>
        <v>VD039</v>
      </c>
      <c r="C554" s="2">
        <f>IFERROR(__xludf.DUMMYFUNCTION("""COMPUTED_VALUE"""),6.0)</f>
        <v>6</v>
      </c>
      <c r="D554" s="2">
        <f>IFERROR(__xludf.DUMMYFUNCTION("""COMPUTED_VALUE"""),311.38)</f>
        <v>311.38</v>
      </c>
    </row>
    <row r="555">
      <c r="A555" s="2" t="str">
        <f>IFERROR(__xludf.DUMMYFUNCTION("""COMPUTED_VALUE"""),"PR008")</f>
        <v>PR008</v>
      </c>
      <c r="B555" s="2" t="str">
        <f>IFERROR(__xludf.DUMMYFUNCTION("""COMPUTED_VALUE"""),"VD027")</f>
        <v>VD027</v>
      </c>
      <c r="C555" s="2">
        <f>IFERROR(__xludf.DUMMYFUNCTION("""COMPUTED_VALUE"""),3.0)</f>
        <v>3</v>
      </c>
      <c r="D555" s="2">
        <f>IFERROR(__xludf.DUMMYFUNCTION("""COMPUTED_VALUE"""),277.79)</f>
        <v>277.79</v>
      </c>
    </row>
    <row r="556">
      <c r="A556" s="2" t="str">
        <f>IFERROR(__xludf.DUMMYFUNCTION("""COMPUTED_VALUE"""),"PR004")</f>
        <v>PR004</v>
      </c>
      <c r="B556" s="2" t="str">
        <f>IFERROR(__xludf.DUMMYFUNCTION("""COMPUTED_VALUE"""),"VD032")</f>
        <v>VD032</v>
      </c>
      <c r="C556" s="2">
        <f>IFERROR(__xludf.DUMMYFUNCTION("""COMPUTED_VALUE"""),1.0)</f>
        <v>1</v>
      </c>
      <c r="D556" s="2">
        <f>IFERROR(__xludf.DUMMYFUNCTION("""COMPUTED_VALUE"""),147.9)</f>
        <v>147.9</v>
      </c>
    </row>
    <row r="557">
      <c r="A557" s="2" t="str">
        <f>IFERROR(__xludf.DUMMYFUNCTION("""COMPUTED_VALUE"""),"PR057")</f>
        <v>PR057</v>
      </c>
      <c r="B557" s="2" t="str">
        <f>IFERROR(__xludf.DUMMYFUNCTION("""COMPUTED_VALUE"""),"VD049")</f>
        <v>VD049</v>
      </c>
      <c r="C557" s="2">
        <f>IFERROR(__xludf.DUMMYFUNCTION("""COMPUTED_VALUE"""),4.0)</f>
        <v>4</v>
      </c>
      <c r="D557" s="2">
        <f>IFERROR(__xludf.DUMMYFUNCTION("""COMPUTED_VALUE"""),370.39)</f>
        <v>370.39</v>
      </c>
    </row>
    <row r="558">
      <c r="A558" s="2" t="str">
        <f>IFERROR(__xludf.DUMMYFUNCTION("""COMPUTED_VALUE"""),"PR016")</f>
        <v>PR016</v>
      </c>
      <c r="B558" s="2" t="str">
        <f>IFERROR(__xludf.DUMMYFUNCTION("""COMPUTED_VALUE"""),"VD044")</f>
        <v>VD044</v>
      </c>
      <c r="C558" s="2">
        <f>IFERROR(__xludf.DUMMYFUNCTION("""COMPUTED_VALUE"""),4.0)</f>
        <v>4</v>
      </c>
      <c r="D558" s="2">
        <f>IFERROR(__xludf.DUMMYFUNCTION("""COMPUTED_VALUE"""),112.92)</f>
        <v>112.92</v>
      </c>
    </row>
    <row r="559">
      <c r="A559" s="2" t="str">
        <f>IFERROR(__xludf.DUMMYFUNCTION("""COMPUTED_VALUE"""),"PR025")</f>
        <v>PR025</v>
      </c>
      <c r="B559" s="2" t="str">
        <f>IFERROR(__xludf.DUMMYFUNCTION("""COMPUTED_VALUE"""),"VD012")</f>
        <v>VD012</v>
      </c>
      <c r="C559" s="2">
        <f>IFERROR(__xludf.DUMMYFUNCTION("""COMPUTED_VALUE"""),7.0)</f>
        <v>7</v>
      </c>
      <c r="D559" s="2">
        <f>IFERROR(__xludf.DUMMYFUNCTION("""COMPUTED_VALUE"""),2162.28)</f>
        <v>2162.28</v>
      </c>
    </row>
    <row r="560">
      <c r="A560" s="2" t="str">
        <f>IFERROR(__xludf.DUMMYFUNCTION("""COMPUTED_VALUE"""),"PR028")</f>
        <v>PR028</v>
      </c>
      <c r="B560" s="2" t="str">
        <f>IFERROR(__xludf.DUMMYFUNCTION("""COMPUTED_VALUE"""),"VD032")</f>
        <v>VD032</v>
      </c>
      <c r="C560" s="2">
        <f>IFERROR(__xludf.DUMMYFUNCTION("""COMPUTED_VALUE"""),18.0)</f>
        <v>18</v>
      </c>
      <c r="D560" s="2">
        <f>IFERROR(__xludf.DUMMYFUNCTION("""COMPUTED_VALUE"""),4813.07)</f>
        <v>4813.07</v>
      </c>
    </row>
    <row r="561">
      <c r="A561" s="2" t="str">
        <f>IFERROR(__xludf.DUMMYFUNCTION("""COMPUTED_VALUE"""),"PR014")</f>
        <v>PR014</v>
      </c>
      <c r="B561" s="2" t="str">
        <f>IFERROR(__xludf.DUMMYFUNCTION("""COMPUTED_VALUE"""),"VD020")</f>
        <v>VD020</v>
      </c>
      <c r="C561" s="2">
        <f>IFERROR(__xludf.DUMMYFUNCTION("""COMPUTED_VALUE"""),4.0)</f>
        <v>4</v>
      </c>
      <c r="D561" s="2">
        <f>IFERROR(__xludf.DUMMYFUNCTION("""COMPUTED_VALUE"""),164.39)</f>
        <v>164.39</v>
      </c>
    </row>
    <row r="562">
      <c r="A562" s="2" t="str">
        <f>IFERROR(__xludf.DUMMYFUNCTION("""COMPUTED_VALUE"""),"PR006")</f>
        <v>PR006</v>
      </c>
      <c r="B562" s="2" t="str">
        <f>IFERROR(__xludf.DUMMYFUNCTION("""COMPUTED_VALUE"""),"VD026")</f>
        <v>VD026</v>
      </c>
      <c r="C562" s="2">
        <f>IFERROR(__xludf.DUMMYFUNCTION("""COMPUTED_VALUE"""),5.0)</f>
        <v>5</v>
      </c>
      <c r="D562" s="2">
        <f>IFERROR(__xludf.DUMMYFUNCTION("""COMPUTED_VALUE"""),215.46)</f>
        <v>215.46</v>
      </c>
    </row>
    <row r="563">
      <c r="A563" s="2" t="str">
        <f>IFERROR(__xludf.DUMMYFUNCTION("""COMPUTED_VALUE"""),"PR004")</f>
        <v>PR004</v>
      </c>
      <c r="B563" s="2" t="str">
        <f>IFERROR(__xludf.DUMMYFUNCTION("""COMPUTED_VALUE"""),"VD015")</f>
        <v>VD015</v>
      </c>
      <c r="C563" s="2">
        <f>IFERROR(__xludf.DUMMYFUNCTION("""COMPUTED_VALUE"""),16.0)</f>
        <v>16</v>
      </c>
      <c r="D563" s="2">
        <f>IFERROR(__xludf.DUMMYFUNCTION("""COMPUTED_VALUE"""),2320.0)</f>
        <v>2320</v>
      </c>
    </row>
    <row r="564">
      <c r="A564" s="2" t="str">
        <f>IFERROR(__xludf.DUMMYFUNCTION("""COMPUTED_VALUE"""),"PR033")</f>
        <v>PR033</v>
      </c>
      <c r="B564" s="2" t="str">
        <f>IFERROR(__xludf.DUMMYFUNCTION("""COMPUTED_VALUE"""),"VD043")</f>
        <v>VD043</v>
      </c>
      <c r="C564" s="2">
        <f>IFERROR(__xludf.DUMMYFUNCTION("""COMPUTED_VALUE"""),5.0)</f>
        <v>5</v>
      </c>
      <c r="D564" s="2">
        <f>IFERROR(__xludf.DUMMYFUNCTION("""COMPUTED_VALUE"""),1338.49)</f>
        <v>1338.49</v>
      </c>
    </row>
    <row r="565">
      <c r="A565" s="2" t="str">
        <f>IFERROR(__xludf.DUMMYFUNCTION("""COMPUTED_VALUE"""),"PR027")</f>
        <v>PR027</v>
      </c>
      <c r="B565" s="2" t="str">
        <f>IFERROR(__xludf.DUMMYFUNCTION("""COMPUTED_VALUE"""),"VD037")</f>
        <v>VD037</v>
      </c>
      <c r="C565" s="2">
        <f>IFERROR(__xludf.DUMMYFUNCTION("""COMPUTED_VALUE"""),10.0)</f>
        <v>10</v>
      </c>
      <c r="D565" s="2">
        <f>IFERROR(__xludf.DUMMYFUNCTION("""COMPUTED_VALUE"""),1236.0)</f>
        <v>1236</v>
      </c>
    </row>
    <row r="566">
      <c r="A566" s="2" t="str">
        <f>IFERROR(__xludf.DUMMYFUNCTION("""COMPUTED_VALUE"""),"PR053")</f>
        <v>PR053</v>
      </c>
      <c r="B566" s="2" t="str">
        <f>IFERROR(__xludf.DUMMYFUNCTION("""COMPUTED_VALUE"""),"VD047")</f>
        <v>VD047</v>
      </c>
      <c r="C566" s="2">
        <f>IFERROR(__xludf.DUMMYFUNCTION("""COMPUTED_VALUE"""),6.0)</f>
        <v>6</v>
      </c>
      <c r="D566" s="2">
        <f>IFERROR(__xludf.DUMMYFUNCTION("""COMPUTED_VALUE"""),314.37)</f>
        <v>314.37</v>
      </c>
    </row>
    <row r="567">
      <c r="A567" s="2" t="str">
        <f>IFERROR(__xludf.DUMMYFUNCTION("""COMPUTED_VALUE"""),"PR025")</f>
        <v>PR025</v>
      </c>
      <c r="B567" s="2" t="str">
        <f>IFERROR(__xludf.DUMMYFUNCTION("""COMPUTED_VALUE"""),"VD037")</f>
        <v>VD037</v>
      </c>
      <c r="C567" s="2">
        <f>IFERROR(__xludf.DUMMYFUNCTION("""COMPUTED_VALUE"""),20.0)</f>
        <v>20</v>
      </c>
      <c r="D567" s="2">
        <f>IFERROR(__xludf.DUMMYFUNCTION("""COMPUTED_VALUE"""),6057.98)</f>
        <v>6057.98</v>
      </c>
    </row>
    <row r="568">
      <c r="A568" s="2" t="str">
        <f>IFERROR(__xludf.DUMMYFUNCTION("""COMPUTED_VALUE"""),"PR036")</f>
        <v>PR036</v>
      </c>
      <c r="B568" s="2" t="str">
        <f>IFERROR(__xludf.DUMMYFUNCTION("""COMPUTED_VALUE"""),"VD019")</f>
        <v>VD019</v>
      </c>
      <c r="C568" s="2">
        <f>IFERROR(__xludf.DUMMYFUNCTION("""COMPUTED_VALUE"""),2.0)</f>
        <v>2</v>
      </c>
      <c r="D568" s="2">
        <f>IFERROR(__xludf.DUMMYFUNCTION("""COMPUTED_VALUE"""),203.83)</f>
        <v>203.83</v>
      </c>
    </row>
    <row r="569">
      <c r="A569" s="2" t="str">
        <f>IFERROR(__xludf.DUMMYFUNCTION("""COMPUTED_VALUE"""),"PR054")</f>
        <v>PR054</v>
      </c>
      <c r="B569" s="2" t="str">
        <f>IFERROR(__xludf.DUMMYFUNCTION("""COMPUTED_VALUE"""),"VD049")</f>
        <v>VD049</v>
      </c>
      <c r="C569" s="2">
        <f>IFERROR(__xludf.DUMMYFUNCTION("""COMPUTED_VALUE"""),6.0)</f>
        <v>6</v>
      </c>
      <c r="D569" s="2">
        <f>IFERROR(__xludf.DUMMYFUNCTION("""COMPUTED_VALUE"""),320.36)</f>
        <v>320.36</v>
      </c>
    </row>
    <row r="570">
      <c r="A570" s="2" t="str">
        <f>IFERROR(__xludf.DUMMYFUNCTION("""COMPUTED_VALUE"""),"PR057")</f>
        <v>PR057</v>
      </c>
      <c r="B570" s="2" t="str">
        <f>IFERROR(__xludf.DUMMYFUNCTION("""COMPUTED_VALUE"""),"VD043")</f>
        <v>VD043</v>
      </c>
      <c r="C570" s="2">
        <f>IFERROR(__xludf.DUMMYFUNCTION("""COMPUTED_VALUE"""),6.0)</f>
        <v>6</v>
      </c>
      <c r="D570" s="2">
        <f>IFERROR(__xludf.DUMMYFUNCTION("""COMPUTED_VALUE"""),560.98)</f>
        <v>560.98</v>
      </c>
    </row>
    <row r="571">
      <c r="A571" s="2" t="str">
        <f>IFERROR(__xludf.DUMMYFUNCTION("""COMPUTED_VALUE"""),"PR026")</f>
        <v>PR026</v>
      </c>
      <c r="B571" s="2" t="str">
        <f>IFERROR(__xludf.DUMMYFUNCTION("""COMPUTED_VALUE"""),"VD046")</f>
        <v>VD046</v>
      </c>
      <c r="C571" s="2">
        <f>IFERROR(__xludf.DUMMYFUNCTION("""COMPUTED_VALUE"""),10.0)</f>
        <v>10</v>
      </c>
      <c r="D571" s="2">
        <f>IFERROR(__xludf.DUMMYFUNCTION("""COMPUTED_VALUE"""),3743.93)</f>
        <v>3743.93</v>
      </c>
    </row>
    <row r="572">
      <c r="A572" s="2" t="str">
        <f>IFERROR(__xludf.DUMMYFUNCTION("""COMPUTED_VALUE"""),"PR031")</f>
        <v>PR031</v>
      </c>
      <c r="B572" s="2" t="str">
        <f>IFERROR(__xludf.DUMMYFUNCTION("""COMPUTED_VALUE"""),"VD029")</f>
        <v>VD029</v>
      </c>
      <c r="C572" s="2">
        <f>IFERROR(__xludf.DUMMYFUNCTION("""COMPUTED_VALUE"""),6.0)</f>
        <v>6</v>
      </c>
      <c r="D572" s="2">
        <f>IFERROR(__xludf.DUMMYFUNCTION("""COMPUTED_VALUE"""),1587.6)</f>
        <v>1587.6</v>
      </c>
    </row>
    <row r="573">
      <c r="A573" s="2" t="str">
        <f>IFERROR(__xludf.DUMMYFUNCTION("""COMPUTED_VALUE"""),"PR028")</f>
        <v>PR028</v>
      </c>
      <c r="B573" s="2" t="str">
        <f>IFERROR(__xludf.DUMMYFUNCTION("""COMPUTED_VALUE"""),"VD029")</f>
        <v>VD029</v>
      </c>
      <c r="C573" s="2">
        <f>IFERROR(__xludf.DUMMYFUNCTION("""COMPUTED_VALUE"""),2.0)</f>
        <v>2</v>
      </c>
      <c r="D573" s="2">
        <f>IFERROR(__xludf.DUMMYFUNCTION("""COMPUTED_VALUE"""),539.78)</f>
        <v>539.78</v>
      </c>
    </row>
    <row r="574">
      <c r="A574" s="2" t="str">
        <f>IFERROR(__xludf.DUMMYFUNCTION("""COMPUTED_VALUE"""),"PR019")</f>
        <v>PR019</v>
      </c>
      <c r="B574" s="2" t="str">
        <f>IFERROR(__xludf.DUMMYFUNCTION("""COMPUTED_VALUE"""),"VD046")</f>
        <v>VD046</v>
      </c>
      <c r="C574" s="2">
        <f>IFERROR(__xludf.DUMMYFUNCTION("""COMPUTED_VALUE"""),2.0)</f>
        <v>2</v>
      </c>
      <c r="D574" s="2">
        <f>IFERROR(__xludf.DUMMYFUNCTION("""COMPUTED_VALUE"""),109.78)</f>
        <v>109.78</v>
      </c>
    </row>
    <row r="575">
      <c r="A575" s="2" t="str">
        <f>IFERROR(__xludf.DUMMYFUNCTION("""COMPUTED_VALUE"""),"PR056")</f>
        <v>PR056</v>
      </c>
      <c r="B575" s="2" t="str">
        <f>IFERROR(__xludf.DUMMYFUNCTION("""COMPUTED_VALUE"""),"VD028")</f>
        <v>VD028</v>
      </c>
      <c r="C575" s="2">
        <f>IFERROR(__xludf.DUMMYFUNCTION("""COMPUTED_VALUE"""),3.0)</f>
        <v>3</v>
      </c>
      <c r="D575" s="2">
        <f>IFERROR(__xludf.DUMMYFUNCTION("""COMPUTED_VALUE"""),275.09)</f>
        <v>275.09</v>
      </c>
    </row>
    <row r="576">
      <c r="A576" s="2" t="str">
        <f>IFERROR(__xludf.DUMMYFUNCTION("""COMPUTED_VALUE"""),"PR006")</f>
        <v>PR006</v>
      </c>
      <c r="B576" s="2" t="str">
        <f>IFERROR(__xludf.DUMMYFUNCTION("""COMPUTED_VALUE"""),"VD029")</f>
        <v>VD029</v>
      </c>
      <c r="C576" s="2">
        <f>IFERROR(__xludf.DUMMYFUNCTION("""COMPUTED_VALUE"""),8.0)</f>
        <v>8</v>
      </c>
      <c r="D576" s="2">
        <f>IFERROR(__xludf.DUMMYFUNCTION("""COMPUTED_VALUE"""),335.16)</f>
        <v>335.16</v>
      </c>
    </row>
    <row r="577">
      <c r="A577" s="2" t="str">
        <f>IFERROR(__xludf.DUMMYFUNCTION("""COMPUTED_VALUE"""),"PR010")</f>
        <v>PR010</v>
      </c>
      <c r="B577" s="2" t="str">
        <f>IFERROR(__xludf.DUMMYFUNCTION("""COMPUTED_VALUE"""),"VD028")</f>
        <v>VD028</v>
      </c>
      <c r="C577" s="2">
        <f>IFERROR(__xludf.DUMMYFUNCTION("""COMPUTED_VALUE"""),2.0)</f>
        <v>2</v>
      </c>
      <c r="D577" s="2">
        <f>IFERROR(__xludf.DUMMYFUNCTION("""COMPUTED_VALUE"""),96.98)</f>
        <v>96.98</v>
      </c>
    </row>
    <row r="578">
      <c r="A578" s="2" t="str">
        <f>IFERROR(__xludf.DUMMYFUNCTION("""COMPUTED_VALUE"""),"PR029")</f>
        <v>PR029</v>
      </c>
      <c r="B578" s="2" t="str">
        <f>IFERROR(__xludf.DUMMYFUNCTION("""COMPUTED_VALUE"""),"VD022")</f>
        <v>VD022</v>
      </c>
      <c r="C578" s="2">
        <f>IFERROR(__xludf.DUMMYFUNCTION("""COMPUTED_VALUE"""),18.0)</f>
        <v>18</v>
      </c>
      <c r="D578" s="2">
        <f>IFERROR(__xludf.DUMMYFUNCTION("""COMPUTED_VALUE"""),4773.6)</f>
        <v>4773.6</v>
      </c>
    </row>
    <row r="579">
      <c r="A579" s="2" t="str">
        <f>IFERROR(__xludf.DUMMYFUNCTION("""COMPUTED_VALUE"""),"PR026")</f>
        <v>PR026</v>
      </c>
      <c r="B579" s="2" t="str">
        <f>IFERROR(__xludf.DUMMYFUNCTION("""COMPUTED_VALUE"""),"VD014")</f>
        <v>VD014</v>
      </c>
      <c r="C579" s="2">
        <f>IFERROR(__xludf.DUMMYFUNCTION("""COMPUTED_VALUE"""),14.0)</f>
        <v>14</v>
      </c>
      <c r="D579" s="2">
        <f>IFERROR(__xludf.DUMMYFUNCTION("""COMPUTED_VALUE"""),5241.5)</f>
        <v>5241.5</v>
      </c>
    </row>
    <row r="580">
      <c r="A580" s="2" t="str">
        <f>IFERROR(__xludf.DUMMYFUNCTION("""COMPUTED_VALUE"""),"PR054")</f>
        <v>PR054</v>
      </c>
      <c r="B580" s="2" t="str">
        <f>IFERROR(__xludf.DUMMYFUNCTION("""COMPUTED_VALUE"""),"VD046")</f>
        <v>VD046</v>
      </c>
      <c r="C580" s="2">
        <f>IFERROR(__xludf.DUMMYFUNCTION("""COMPUTED_VALUE"""),10.0)</f>
        <v>10</v>
      </c>
      <c r="D580" s="2">
        <f>IFERROR(__xludf.DUMMYFUNCTION("""COMPUTED_VALUE"""),503.99)</f>
        <v>503.99</v>
      </c>
    </row>
    <row r="581">
      <c r="A581" s="2" t="str">
        <f>IFERROR(__xludf.DUMMYFUNCTION("""COMPUTED_VALUE"""),"PR055")</f>
        <v>PR055</v>
      </c>
      <c r="B581" s="2" t="str">
        <f>IFERROR(__xludf.DUMMYFUNCTION("""COMPUTED_VALUE"""),"VD014")</f>
        <v>VD014</v>
      </c>
      <c r="C581" s="2">
        <f>IFERROR(__xludf.DUMMYFUNCTION("""COMPUTED_VALUE"""),8.0)</f>
        <v>8</v>
      </c>
      <c r="D581" s="2">
        <f>IFERROR(__xludf.DUMMYFUNCTION("""COMPUTED_VALUE"""),747.97)</f>
        <v>747.97</v>
      </c>
    </row>
    <row r="582">
      <c r="A582" s="2" t="str">
        <f>IFERROR(__xludf.DUMMYFUNCTION("""COMPUTED_VALUE"""),"PR022")</f>
        <v>PR022</v>
      </c>
      <c r="B582" s="2" t="str">
        <f>IFERROR(__xludf.DUMMYFUNCTION("""COMPUTED_VALUE"""),"VD041")</f>
        <v>VD041</v>
      </c>
      <c r="C582" s="2">
        <f>IFERROR(__xludf.DUMMYFUNCTION("""COMPUTED_VALUE"""),2.0)</f>
        <v>2</v>
      </c>
      <c r="D582" s="2">
        <f>IFERROR(__xludf.DUMMYFUNCTION("""COMPUTED_VALUE"""),630.0)</f>
        <v>630</v>
      </c>
    </row>
    <row r="583">
      <c r="A583" s="2" t="str">
        <f>IFERROR(__xludf.DUMMYFUNCTION("""COMPUTED_VALUE"""),"PR038")</f>
        <v>PR038</v>
      </c>
      <c r="B583" s="2" t="str">
        <f>IFERROR(__xludf.DUMMYFUNCTION("""COMPUTED_VALUE"""),"VD038")</f>
        <v>VD038</v>
      </c>
      <c r="C583" s="2">
        <f>IFERROR(__xludf.DUMMYFUNCTION("""COMPUTED_VALUE"""),3.0)</f>
        <v>3</v>
      </c>
      <c r="D583" s="2">
        <f>IFERROR(__xludf.DUMMYFUNCTION("""COMPUTED_VALUE"""),467.28)</f>
        <v>467.28</v>
      </c>
    </row>
    <row r="584">
      <c r="A584" s="2" t="str">
        <f>IFERROR(__xludf.DUMMYFUNCTION("""COMPUTED_VALUE"""),"PR049")</f>
        <v>PR049</v>
      </c>
      <c r="B584" s="2" t="str">
        <f>IFERROR(__xludf.DUMMYFUNCTION("""COMPUTED_VALUE"""),"VD038")</f>
        <v>VD038</v>
      </c>
      <c r="C584" s="2">
        <f>IFERROR(__xludf.DUMMYFUNCTION("""COMPUTED_VALUE"""),4.0)</f>
        <v>4</v>
      </c>
      <c r="D584" s="2">
        <f>IFERROR(__xludf.DUMMYFUNCTION("""COMPUTED_VALUE"""),140.81)</f>
        <v>140.81</v>
      </c>
    </row>
    <row r="585">
      <c r="A585" s="2" t="str">
        <f>IFERROR(__xludf.DUMMYFUNCTION("""COMPUTED_VALUE"""),"PR033")</f>
        <v>PR033</v>
      </c>
      <c r="B585" s="2" t="str">
        <f>IFERROR(__xludf.DUMMYFUNCTION("""COMPUTED_VALUE"""),"VD048")</f>
        <v>VD048</v>
      </c>
      <c r="C585" s="2">
        <f>IFERROR(__xludf.DUMMYFUNCTION("""COMPUTED_VALUE"""),12.0)</f>
        <v>12</v>
      </c>
      <c r="D585" s="2">
        <f>IFERROR(__xludf.DUMMYFUNCTION("""COMPUTED_VALUE"""),3243.55)</f>
        <v>3243.55</v>
      </c>
    </row>
    <row r="586">
      <c r="A586" s="2" t="str">
        <f>IFERROR(__xludf.DUMMYFUNCTION("""COMPUTED_VALUE"""),"PR050")</f>
        <v>PR050</v>
      </c>
      <c r="B586" s="2" t="str">
        <f>IFERROR(__xludf.DUMMYFUNCTION("""COMPUTED_VALUE"""),"VD018")</f>
        <v>VD018</v>
      </c>
      <c r="C586" s="2">
        <f>IFERROR(__xludf.DUMMYFUNCTION("""COMPUTED_VALUE"""),2.0)</f>
        <v>2</v>
      </c>
      <c r="D586" s="2">
        <f>IFERROR(__xludf.DUMMYFUNCTION("""COMPUTED_VALUE"""),67.77)</f>
        <v>67.77</v>
      </c>
    </row>
    <row r="587">
      <c r="A587" s="2" t="str">
        <f>IFERROR(__xludf.DUMMYFUNCTION("""COMPUTED_VALUE"""),"PR037")</f>
        <v>PR037</v>
      </c>
      <c r="B587" s="2" t="str">
        <f>IFERROR(__xludf.DUMMYFUNCTION("""COMPUTED_VALUE"""),"VD014")</f>
        <v>VD014</v>
      </c>
      <c r="C587" s="2">
        <f>IFERROR(__xludf.DUMMYFUNCTION("""COMPUTED_VALUE"""),8.0)</f>
        <v>8</v>
      </c>
      <c r="D587" s="2">
        <f>IFERROR(__xludf.DUMMYFUNCTION("""COMPUTED_VALUE"""),1209.6)</f>
        <v>1209.6</v>
      </c>
    </row>
    <row r="588">
      <c r="A588" s="2" t="str">
        <f>IFERROR(__xludf.DUMMYFUNCTION("""COMPUTED_VALUE"""),"PR001")</f>
        <v>PR001</v>
      </c>
      <c r="B588" s="2" t="str">
        <f>IFERROR(__xludf.DUMMYFUNCTION("""COMPUTED_VALUE"""),"VD010")</f>
        <v>VD010</v>
      </c>
      <c r="C588" s="2">
        <f>IFERROR(__xludf.DUMMYFUNCTION("""COMPUTED_VALUE"""),8.0)</f>
        <v>8</v>
      </c>
      <c r="D588" s="2">
        <f>IFERROR(__xludf.DUMMYFUNCTION("""COMPUTED_VALUE"""),537.74)</f>
        <v>537.74</v>
      </c>
    </row>
    <row r="589">
      <c r="A589" s="2" t="str">
        <f>IFERROR(__xludf.DUMMYFUNCTION("""COMPUTED_VALUE"""),"PR049")</f>
        <v>PR049</v>
      </c>
      <c r="B589" s="2" t="str">
        <f>IFERROR(__xludf.DUMMYFUNCTION("""COMPUTED_VALUE"""),"VD015")</f>
        <v>VD015</v>
      </c>
      <c r="C589" s="2">
        <f>IFERROR(__xludf.DUMMYFUNCTION("""COMPUTED_VALUE"""),16.0)</f>
        <v>16</v>
      </c>
      <c r="D589" s="2">
        <f>IFERROR(__xludf.DUMMYFUNCTION("""COMPUTED_VALUE"""),573.78)</f>
        <v>573.78</v>
      </c>
    </row>
    <row r="590">
      <c r="A590" s="2" t="str">
        <f>IFERROR(__xludf.DUMMYFUNCTION("""COMPUTED_VALUE"""),"PR013")</f>
        <v>PR013</v>
      </c>
      <c r="B590" s="2" t="str">
        <f>IFERROR(__xludf.DUMMYFUNCTION("""COMPUTED_VALUE"""),"VD020")</f>
        <v>VD020</v>
      </c>
      <c r="C590" s="2">
        <f>IFERROR(__xludf.DUMMYFUNCTION("""COMPUTED_VALUE"""),6.0)</f>
        <v>6</v>
      </c>
      <c r="D590" s="2">
        <f>IFERROR(__xludf.DUMMYFUNCTION("""COMPUTED_VALUE"""),248.98)</f>
        <v>248.98</v>
      </c>
    </row>
    <row r="591">
      <c r="A591" s="2" t="str">
        <f>IFERROR(__xludf.DUMMYFUNCTION("""COMPUTED_VALUE"""),"PR003")</f>
        <v>PR003</v>
      </c>
      <c r="B591" s="2" t="str">
        <f>IFERROR(__xludf.DUMMYFUNCTION("""COMPUTED_VALUE"""),"VD031")</f>
        <v>VD031</v>
      </c>
      <c r="C591" s="2">
        <f>IFERROR(__xludf.DUMMYFUNCTION("""COMPUTED_VALUE"""),9.0)</f>
        <v>9</v>
      </c>
      <c r="D591" s="2">
        <f>IFERROR(__xludf.DUMMYFUNCTION("""COMPUTED_VALUE"""),657.24)</f>
        <v>657.24</v>
      </c>
    </row>
    <row r="592">
      <c r="A592" s="2" t="str">
        <f>IFERROR(__xludf.DUMMYFUNCTION("""COMPUTED_VALUE"""),"PR057")</f>
        <v>PR057</v>
      </c>
      <c r="B592" s="2" t="str">
        <f>IFERROR(__xludf.DUMMYFUNCTION("""COMPUTED_VALUE"""),"VD045")</f>
        <v>VD045</v>
      </c>
      <c r="C592" s="2">
        <f>IFERROR(__xludf.DUMMYFUNCTION("""COMPUTED_VALUE"""),7.0)</f>
        <v>7</v>
      </c>
      <c r="D592" s="2">
        <f>IFERROR(__xludf.DUMMYFUNCTION("""COMPUTED_VALUE"""),679.64)</f>
        <v>679.64</v>
      </c>
    </row>
    <row r="593">
      <c r="A593" s="2" t="str">
        <f>IFERROR(__xludf.DUMMYFUNCTION("""COMPUTED_VALUE"""),"PR025")</f>
        <v>PR025</v>
      </c>
      <c r="B593" s="2" t="str">
        <f>IFERROR(__xludf.DUMMYFUNCTION("""COMPUTED_VALUE"""),"VD035")</f>
        <v>VD035</v>
      </c>
      <c r="C593" s="2">
        <f>IFERROR(__xludf.DUMMYFUNCTION("""COMPUTED_VALUE"""),1.0)</f>
        <v>1</v>
      </c>
      <c r="D593" s="2">
        <f>IFERROR(__xludf.DUMMYFUNCTION("""COMPUTED_VALUE"""),305.9)</f>
        <v>305.9</v>
      </c>
    </row>
    <row r="594">
      <c r="A594" s="2" t="str">
        <f>IFERROR(__xludf.DUMMYFUNCTION("""COMPUTED_VALUE"""),"PR047")</f>
        <v>PR047</v>
      </c>
      <c r="B594" s="2" t="str">
        <f>IFERROR(__xludf.DUMMYFUNCTION("""COMPUTED_VALUE"""),"VD023")</f>
        <v>VD023</v>
      </c>
      <c r="C594" s="2">
        <f>IFERROR(__xludf.DUMMYFUNCTION("""COMPUTED_VALUE"""),20.0)</f>
        <v>20</v>
      </c>
      <c r="D594" s="2">
        <f>IFERROR(__xludf.DUMMYFUNCTION("""COMPUTED_VALUE"""),6029.92)</f>
        <v>6029.92</v>
      </c>
    </row>
    <row r="595">
      <c r="A595" s="2" t="str">
        <f>IFERROR(__xludf.DUMMYFUNCTION("""COMPUTED_VALUE"""),"PR060")</f>
        <v>PR060</v>
      </c>
      <c r="B595" s="2" t="str">
        <f>IFERROR(__xludf.DUMMYFUNCTION("""COMPUTED_VALUE"""),"VD030")</f>
        <v>VD030</v>
      </c>
      <c r="C595" s="2">
        <f>IFERROR(__xludf.DUMMYFUNCTION("""COMPUTED_VALUE"""),18.0)</f>
        <v>18</v>
      </c>
      <c r="D595" s="2">
        <f>IFERROR(__xludf.DUMMYFUNCTION("""COMPUTED_VALUE"""),3402.0)</f>
        <v>3402</v>
      </c>
    </row>
    <row r="596">
      <c r="A596" s="2" t="str">
        <f>IFERROR(__xludf.DUMMYFUNCTION("""COMPUTED_VALUE"""),"PR017")</f>
        <v>PR017</v>
      </c>
      <c r="B596" s="2" t="str">
        <f>IFERROR(__xludf.DUMMYFUNCTION("""COMPUTED_VALUE"""),"VD049")</f>
        <v>VD049</v>
      </c>
      <c r="C596" s="2">
        <f>IFERROR(__xludf.DUMMYFUNCTION("""COMPUTED_VALUE"""),18.0)</f>
        <v>18</v>
      </c>
      <c r="D596" s="2">
        <f>IFERROR(__xludf.DUMMYFUNCTION("""COMPUTED_VALUE"""),581.26)</f>
        <v>581.26</v>
      </c>
    </row>
    <row r="597">
      <c r="A597" s="2" t="str">
        <f>IFERROR(__xludf.DUMMYFUNCTION("""COMPUTED_VALUE"""),"PR024")</f>
        <v>PR024</v>
      </c>
      <c r="B597" s="2" t="str">
        <f>IFERROR(__xludf.DUMMYFUNCTION("""COMPUTED_VALUE"""),"VD026")</f>
        <v>VD026</v>
      </c>
      <c r="C597" s="2">
        <f>IFERROR(__xludf.DUMMYFUNCTION("""COMPUTED_VALUE"""),10.0)</f>
        <v>10</v>
      </c>
      <c r="D597" s="2">
        <f>IFERROR(__xludf.DUMMYFUNCTION("""COMPUTED_VALUE"""),2806.92)</f>
        <v>2806.92</v>
      </c>
    </row>
    <row r="598">
      <c r="A598" s="2" t="str">
        <f>IFERROR(__xludf.DUMMYFUNCTION("""COMPUTED_VALUE"""),"PR013")</f>
        <v>PR013</v>
      </c>
      <c r="B598" s="2" t="str">
        <f>IFERROR(__xludf.DUMMYFUNCTION("""COMPUTED_VALUE"""),"VD013")</f>
        <v>VD013</v>
      </c>
      <c r="C598" s="2">
        <f>IFERROR(__xludf.DUMMYFUNCTION("""COMPUTED_VALUE"""),16.0)</f>
        <v>16</v>
      </c>
      <c r="D598" s="2">
        <f>IFERROR(__xludf.DUMMYFUNCTION("""COMPUTED_VALUE"""),702.24)</f>
        <v>702.24</v>
      </c>
    </row>
    <row r="599">
      <c r="A599" s="2" t="str">
        <f>IFERROR(__xludf.DUMMYFUNCTION("""COMPUTED_VALUE"""),"PR057")</f>
        <v>PR057</v>
      </c>
      <c r="B599" s="2" t="str">
        <f>IFERROR(__xludf.DUMMYFUNCTION("""COMPUTED_VALUE"""),"VD027")</f>
        <v>VD027</v>
      </c>
      <c r="C599" s="2">
        <f>IFERROR(__xludf.DUMMYFUNCTION("""COMPUTED_VALUE"""),18.0)</f>
        <v>18</v>
      </c>
      <c r="D599" s="2">
        <f>IFERROR(__xludf.DUMMYFUNCTION("""COMPUTED_VALUE"""),1666.75)</f>
        <v>1666.75</v>
      </c>
    </row>
    <row r="600">
      <c r="A600" s="2" t="str">
        <f>IFERROR(__xludf.DUMMYFUNCTION("""COMPUTED_VALUE"""),"PR057")</f>
        <v>PR057</v>
      </c>
      <c r="B600" s="2" t="str">
        <f>IFERROR(__xludf.DUMMYFUNCTION("""COMPUTED_VALUE"""),"VD038")</f>
        <v>VD038</v>
      </c>
      <c r="C600" s="2">
        <f>IFERROR(__xludf.DUMMYFUNCTION("""COMPUTED_VALUE"""),8.0)</f>
        <v>8</v>
      </c>
      <c r="D600" s="2">
        <f>IFERROR(__xludf.DUMMYFUNCTION("""COMPUTED_VALUE"""),733.58)</f>
        <v>733.58</v>
      </c>
    </row>
    <row r="601">
      <c r="A601" s="2" t="str">
        <f>IFERROR(__xludf.DUMMYFUNCTION("""COMPUTED_VALUE"""),"PR020")</f>
        <v>PR020</v>
      </c>
      <c r="B601" s="2" t="str">
        <f>IFERROR(__xludf.DUMMYFUNCTION("""COMPUTED_VALUE"""),"VD021")</f>
        <v>VD021</v>
      </c>
      <c r="C601" s="2">
        <f>IFERROR(__xludf.DUMMYFUNCTION("""COMPUTED_VALUE"""),2.0)</f>
        <v>2</v>
      </c>
      <c r="D601" s="2">
        <f>IFERROR(__xludf.DUMMYFUNCTION("""COMPUTED_VALUE"""),617.79)</f>
        <v>617.79</v>
      </c>
    </row>
    <row r="602">
      <c r="A602" s="2" t="str">
        <f>IFERROR(__xludf.DUMMYFUNCTION("""COMPUTED_VALUE"""),"PR007")</f>
        <v>PR007</v>
      </c>
      <c r="B602" s="2" t="str">
        <f>IFERROR(__xludf.DUMMYFUNCTION("""COMPUTED_VALUE"""),"VD033")</f>
        <v>VD033</v>
      </c>
      <c r="C602" s="2">
        <f>IFERROR(__xludf.DUMMYFUNCTION("""COMPUTED_VALUE"""),8.0)</f>
        <v>8</v>
      </c>
      <c r="D602" s="2">
        <f>IFERROR(__xludf.DUMMYFUNCTION("""COMPUTED_VALUE"""),749.05)</f>
        <v>749.05</v>
      </c>
    </row>
    <row r="603">
      <c r="A603" s="2" t="str">
        <f>IFERROR(__xludf.DUMMYFUNCTION("""COMPUTED_VALUE"""),"PR040")</f>
        <v>PR040</v>
      </c>
      <c r="B603" s="2" t="str">
        <f>IFERROR(__xludf.DUMMYFUNCTION("""COMPUTED_VALUE"""),"VD023")</f>
        <v>VD023</v>
      </c>
      <c r="C603" s="2">
        <f>IFERROR(__xludf.DUMMYFUNCTION("""COMPUTED_VALUE"""),4.0)</f>
        <v>4</v>
      </c>
      <c r="D603" s="2">
        <f>IFERROR(__xludf.DUMMYFUNCTION("""COMPUTED_VALUE"""),308.0)</f>
        <v>308</v>
      </c>
    </row>
    <row r="604">
      <c r="A604" s="2" t="str">
        <f>IFERROR(__xludf.DUMMYFUNCTION("""COMPUTED_VALUE"""),"PR024")</f>
        <v>PR024</v>
      </c>
      <c r="B604" s="2" t="str">
        <f>IFERROR(__xludf.DUMMYFUNCTION("""COMPUTED_VALUE"""),"VD018")</f>
        <v>VD018</v>
      </c>
      <c r="C604" s="2">
        <f>IFERROR(__xludf.DUMMYFUNCTION("""COMPUTED_VALUE"""),2.0)</f>
        <v>2</v>
      </c>
      <c r="D604" s="2">
        <f>IFERROR(__xludf.DUMMYFUNCTION("""COMPUTED_VALUE"""),535.39)</f>
        <v>535.39</v>
      </c>
    </row>
    <row r="605">
      <c r="A605" s="2" t="str">
        <f>IFERROR(__xludf.DUMMYFUNCTION("""COMPUTED_VALUE"""),"PR004")</f>
        <v>PR004</v>
      </c>
      <c r="B605" s="2" t="str">
        <f>IFERROR(__xludf.DUMMYFUNCTION("""COMPUTED_VALUE"""),"VD031")</f>
        <v>VD031</v>
      </c>
      <c r="C605" s="2">
        <f>IFERROR(__xludf.DUMMYFUNCTION("""COMPUTED_VALUE"""),4.0)</f>
        <v>4</v>
      </c>
      <c r="D605" s="2">
        <f>IFERROR(__xludf.DUMMYFUNCTION("""COMPUTED_VALUE"""),603.2)</f>
        <v>603.2</v>
      </c>
    </row>
    <row r="606">
      <c r="A606" s="2" t="str">
        <f>IFERROR(__xludf.DUMMYFUNCTION("""COMPUTED_VALUE"""),"PR016")</f>
        <v>PR016</v>
      </c>
      <c r="B606" s="2" t="str">
        <f>IFERROR(__xludf.DUMMYFUNCTION("""COMPUTED_VALUE"""),"VD010")</f>
        <v>VD010</v>
      </c>
      <c r="C606" s="2">
        <f>IFERROR(__xludf.DUMMYFUNCTION("""COMPUTED_VALUE"""),8.0)</f>
        <v>8</v>
      </c>
      <c r="D606" s="2">
        <f>IFERROR(__xludf.DUMMYFUNCTION("""COMPUTED_VALUE"""),221.7)</f>
        <v>221.7</v>
      </c>
    </row>
    <row r="607">
      <c r="A607" s="2" t="str">
        <f>IFERROR(__xludf.DUMMYFUNCTION("""COMPUTED_VALUE"""),"PR029")</f>
        <v>PR029</v>
      </c>
      <c r="B607" s="2" t="str">
        <f>IFERROR(__xludf.DUMMYFUNCTION("""COMPUTED_VALUE"""),"VD030")</f>
        <v>VD030</v>
      </c>
      <c r="C607" s="2">
        <f>IFERROR(__xludf.DUMMYFUNCTION("""COMPUTED_VALUE"""),5.0)</f>
        <v>5</v>
      </c>
      <c r="D607" s="2">
        <f>IFERROR(__xludf.DUMMYFUNCTION("""COMPUTED_VALUE"""),1287.75)</f>
        <v>1287.75</v>
      </c>
    </row>
    <row r="608">
      <c r="A608" s="2" t="str">
        <f>IFERROR(__xludf.DUMMYFUNCTION("""COMPUTED_VALUE"""),"PR007")</f>
        <v>PR007</v>
      </c>
      <c r="B608" s="2" t="str">
        <f>IFERROR(__xludf.DUMMYFUNCTION("""COMPUTED_VALUE"""),"VD046")</f>
        <v>VD046</v>
      </c>
      <c r="C608" s="2">
        <f>IFERROR(__xludf.DUMMYFUNCTION("""COMPUTED_VALUE"""),9.0)</f>
        <v>9</v>
      </c>
      <c r="D608" s="2">
        <f>IFERROR(__xludf.DUMMYFUNCTION("""COMPUTED_VALUE"""),804.02)</f>
        <v>804.02</v>
      </c>
    </row>
    <row r="609">
      <c r="A609" s="2" t="str">
        <f>IFERROR(__xludf.DUMMYFUNCTION("""COMPUTED_VALUE"""),"PR049")</f>
        <v>PR049</v>
      </c>
      <c r="B609" s="2" t="str">
        <f>IFERROR(__xludf.DUMMYFUNCTION("""COMPUTED_VALUE"""),"VD032")</f>
        <v>VD032</v>
      </c>
      <c r="C609" s="2">
        <f>IFERROR(__xludf.DUMMYFUNCTION("""COMPUTED_VALUE"""),14.0)</f>
        <v>14</v>
      </c>
      <c r="D609" s="2">
        <f>IFERROR(__xludf.DUMMYFUNCTION("""COMPUTED_VALUE"""),492.84)</f>
        <v>492.84</v>
      </c>
    </row>
    <row r="610">
      <c r="A610" s="2" t="str">
        <f>IFERROR(__xludf.DUMMYFUNCTION("""COMPUTED_VALUE"""),"PR039")</f>
        <v>PR039</v>
      </c>
      <c r="B610" s="2" t="str">
        <f>IFERROR(__xludf.DUMMYFUNCTION("""COMPUTED_VALUE"""),"VD035")</f>
        <v>VD035</v>
      </c>
      <c r="C610" s="2">
        <f>IFERROR(__xludf.DUMMYFUNCTION("""COMPUTED_VALUE"""),16.0)</f>
        <v>16</v>
      </c>
      <c r="D610" s="2">
        <f>IFERROR(__xludf.DUMMYFUNCTION("""COMPUTED_VALUE"""),2452.8)</f>
        <v>2452.8</v>
      </c>
    </row>
    <row r="611">
      <c r="A611" s="2" t="str">
        <f>IFERROR(__xludf.DUMMYFUNCTION("""COMPUTED_VALUE"""),"PR022")</f>
        <v>PR022</v>
      </c>
      <c r="B611" s="2" t="str">
        <f>IFERROR(__xludf.DUMMYFUNCTION("""COMPUTED_VALUE"""),"VD022")</f>
        <v>VD022</v>
      </c>
      <c r="C611" s="2">
        <f>IFERROR(__xludf.DUMMYFUNCTION("""COMPUTED_VALUE"""),2.0)</f>
        <v>2</v>
      </c>
      <c r="D611" s="2">
        <f>IFERROR(__xludf.DUMMYFUNCTION("""COMPUTED_VALUE"""),606.0)</f>
        <v>606</v>
      </c>
    </row>
    <row r="612">
      <c r="A612" s="2" t="str">
        <f>IFERROR(__xludf.DUMMYFUNCTION("""COMPUTED_VALUE"""),"PR004")</f>
        <v>PR004</v>
      </c>
      <c r="B612" s="2" t="str">
        <f>IFERROR(__xludf.DUMMYFUNCTION("""COMPUTED_VALUE"""),"VD023")</f>
        <v>VD023</v>
      </c>
      <c r="C612" s="2">
        <f>IFERROR(__xludf.DUMMYFUNCTION("""COMPUTED_VALUE"""),2.0)</f>
        <v>2</v>
      </c>
      <c r="D612" s="2">
        <f>IFERROR(__xludf.DUMMYFUNCTION("""COMPUTED_VALUE"""),319.0)</f>
        <v>319</v>
      </c>
    </row>
    <row r="613">
      <c r="A613" s="2" t="str">
        <f>IFERROR(__xludf.DUMMYFUNCTION("""COMPUTED_VALUE"""),"PR011")</f>
        <v>PR011</v>
      </c>
      <c r="B613" s="2" t="str">
        <f>IFERROR(__xludf.DUMMYFUNCTION("""COMPUTED_VALUE"""),"VD049")</f>
        <v>VD049</v>
      </c>
      <c r="C613" s="2">
        <f>IFERROR(__xludf.DUMMYFUNCTION("""COMPUTED_VALUE"""),9.0)</f>
        <v>9</v>
      </c>
      <c r="D613" s="2">
        <f>IFERROR(__xludf.DUMMYFUNCTION("""COMPUTED_VALUE"""),460.09)</f>
        <v>460.09</v>
      </c>
    </row>
    <row r="614">
      <c r="A614" s="2" t="str">
        <f>IFERROR(__xludf.DUMMYFUNCTION("""COMPUTED_VALUE"""),"PR052")</f>
        <v>PR052</v>
      </c>
      <c r="B614" s="2" t="str">
        <f>IFERROR(__xludf.DUMMYFUNCTION("""COMPUTED_VALUE"""),"VD044")</f>
        <v>VD044</v>
      </c>
      <c r="C614" s="2">
        <f>IFERROR(__xludf.DUMMYFUNCTION("""COMPUTED_VALUE"""),20.0)</f>
        <v>20</v>
      </c>
      <c r="D614" s="2">
        <f>IFERROR(__xludf.DUMMYFUNCTION("""COMPUTED_VALUE"""),1077.84)</f>
        <v>1077.84</v>
      </c>
    </row>
    <row r="615">
      <c r="A615" s="2" t="str">
        <f>IFERROR(__xludf.DUMMYFUNCTION("""COMPUTED_VALUE"""),"PR001")</f>
        <v>PR001</v>
      </c>
      <c r="B615" s="2" t="str">
        <f>IFERROR(__xludf.DUMMYFUNCTION("""COMPUTED_VALUE"""),"VD039")</f>
        <v>VD039</v>
      </c>
      <c r="C615" s="2">
        <f>IFERROR(__xludf.DUMMYFUNCTION("""COMPUTED_VALUE"""),5.0)</f>
        <v>5</v>
      </c>
      <c r="D615" s="2">
        <f>IFERROR(__xludf.DUMMYFUNCTION("""COMPUTED_VALUE"""),345.98)</f>
        <v>345.98</v>
      </c>
    </row>
    <row r="616">
      <c r="A616" s="2" t="str">
        <f>IFERROR(__xludf.DUMMYFUNCTION("""COMPUTED_VALUE"""),"PR051")</f>
        <v>PR051</v>
      </c>
      <c r="B616" s="2" t="str">
        <f>IFERROR(__xludf.DUMMYFUNCTION("""COMPUTED_VALUE"""),"VD031")</f>
        <v>VD031</v>
      </c>
      <c r="C616" s="2">
        <f>IFERROR(__xludf.DUMMYFUNCTION("""COMPUTED_VALUE"""),5.0)</f>
        <v>5</v>
      </c>
      <c r="D616" s="2">
        <f>IFERROR(__xludf.DUMMYFUNCTION("""COMPUTED_VALUE"""),164.5)</f>
        <v>164.5</v>
      </c>
    </row>
    <row r="617">
      <c r="A617" s="2" t="str">
        <f>IFERROR(__xludf.DUMMYFUNCTION("""COMPUTED_VALUE"""),"PR007")</f>
        <v>PR007</v>
      </c>
      <c r="B617" s="2" t="str">
        <f>IFERROR(__xludf.DUMMYFUNCTION("""COMPUTED_VALUE"""),"VD023")</f>
        <v>VD023</v>
      </c>
      <c r="C617" s="2">
        <f>IFERROR(__xludf.DUMMYFUNCTION("""COMPUTED_VALUE"""),4.0)</f>
        <v>4</v>
      </c>
      <c r="D617" s="2">
        <f>IFERROR(__xludf.DUMMYFUNCTION("""COMPUTED_VALUE"""),367.65)</f>
        <v>367.65</v>
      </c>
    </row>
    <row r="618">
      <c r="A618" s="2" t="str">
        <f>IFERROR(__xludf.DUMMYFUNCTION("""COMPUTED_VALUE"""),"PR039")</f>
        <v>PR039</v>
      </c>
      <c r="B618" s="2" t="str">
        <f>IFERROR(__xludf.DUMMYFUNCTION("""COMPUTED_VALUE"""),"VD019")</f>
        <v>VD019</v>
      </c>
      <c r="C618" s="2">
        <f>IFERROR(__xludf.DUMMYFUNCTION("""COMPUTED_VALUE"""),3.0)</f>
        <v>3</v>
      </c>
      <c r="D618" s="2">
        <f>IFERROR(__xludf.DUMMYFUNCTION("""COMPUTED_VALUE"""),459.9)</f>
        <v>459.9</v>
      </c>
    </row>
    <row r="619">
      <c r="A619" s="2" t="str">
        <f>IFERROR(__xludf.DUMMYFUNCTION("""COMPUTED_VALUE"""),"PR033")</f>
        <v>PR033</v>
      </c>
      <c r="B619" s="2" t="str">
        <f>IFERROR(__xludf.DUMMYFUNCTION("""COMPUTED_VALUE"""),"VD041")</f>
        <v>VD041</v>
      </c>
      <c r="C619" s="2">
        <f>IFERROR(__xludf.DUMMYFUNCTION("""COMPUTED_VALUE"""),5.0)</f>
        <v>5</v>
      </c>
      <c r="D619" s="2">
        <f>IFERROR(__xludf.DUMMYFUNCTION("""COMPUTED_VALUE"""),1351.48)</f>
        <v>1351.48</v>
      </c>
    </row>
    <row r="620">
      <c r="A620" s="2" t="str">
        <f>IFERROR(__xludf.DUMMYFUNCTION("""COMPUTED_VALUE"""),"PR043")</f>
        <v>PR043</v>
      </c>
      <c r="B620" s="2" t="str">
        <f>IFERROR(__xludf.DUMMYFUNCTION("""COMPUTED_VALUE"""),"VD035")</f>
        <v>VD035</v>
      </c>
      <c r="C620" s="2">
        <f>IFERROR(__xludf.DUMMYFUNCTION("""COMPUTED_VALUE"""),6.0)</f>
        <v>6</v>
      </c>
      <c r="D620" s="2">
        <f>IFERROR(__xludf.DUMMYFUNCTION("""COMPUTED_VALUE"""),474.15)</f>
        <v>474.15</v>
      </c>
    </row>
    <row r="621">
      <c r="A621" s="2" t="str">
        <f>IFERROR(__xludf.DUMMYFUNCTION("""COMPUTED_VALUE"""),"PR056")</f>
        <v>PR056</v>
      </c>
      <c r="B621" s="2" t="str">
        <f>IFERROR(__xludf.DUMMYFUNCTION("""COMPUTED_VALUE"""),"VD025")</f>
        <v>VD025</v>
      </c>
      <c r="C621" s="2">
        <f>IFERROR(__xludf.DUMMYFUNCTION("""COMPUTED_VALUE"""),1.0)</f>
        <v>1</v>
      </c>
      <c r="D621" s="2">
        <f>IFERROR(__xludf.DUMMYFUNCTION("""COMPUTED_VALUE"""),92.6)</f>
        <v>92.6</v>
      </c>
    </row>
    <row r="622">
      <c r="A622" s="2" t="str">
        <f>IFERROR(__xludf.DUMMYFUNCTION("""COMPUTED_VALUE"""),"PR032")</f>
        <v>PR032</v>
      </c>
      <c r="B622" s="2" t="str">
        <f>IFERROR(__xludf.DUMMYFUNCTION("""COMPUTED_VALUE"""),"VD033")</f>
        <v>VD033</v>
      </c>
      <c r="C622" s="2">
        <f>IFERROR(__xludf.DUMMYFUNCTION("""COMPUTED_VALUE"""),7.0)</f>
        <v>7</v>
      </c>
      <c r="D622" s="2">
        <f>IFERROR(__xludf.DUMMYFUNCTION("""COMPUTED_VALUE"""),1820.0)</f>
        <v>1820</v>
      </c>
    </row>
    <row r="623">
      <c r="A623" s="2" t="str">
        <f>IFERROR(__xludf.DUMMYFUNCTION("""COMPUTED_VALUE"""),"PR035")</f>
        <v>PR035</v>
      </c>
      <c r="B623" s="2" t="str">
        <f>IFERROR(__xludf.DUMMYFUNCTION("""COMPUTED_VALUE"""),"VD042")</f>
        <v>VD042</v>
      </c>
      <c r="C623" s="2">
        <f>IFERROR(__xludf.DUMMYFUNCTION("""COMPUTED_VALUE"""),4.0)</f>
        <v>4</v>
      </c>
      <c r="D623" s="2">
        <f>IFERROR(__xludf.DUMMYFUNCTION("""COMPUTED_VALUE"""),398.5)</f>
        <v>398.5</v>
      </c>
    </row>
    <row r="624">
      <c r="A624" s="2" t="str">
        <f>IFERROR(__xludf.DUMMYFUNCTION("""COMPUTED_VALUE"""),"PR011")</f>
        <v>PR011</v>
      </c>
      <c r="B624" s="2" t="str">
        <f>IFERROR(__xludf.DUMMYFUNCTION("""COMPUTED_VALUE"""),"VD030")</f>
        <v>VD030</v>
      </c>
      <c r="C624" s="2">
        <f>IFERROR(__xludf.DUMMYFUNCTION("""COMPUTED_VALUE"""),4.0)</f>
        <v>4</v>
      </c>
      <c r="D624" s="2">
        <f>IFERROR(__xludf.DUMMYFUNCTION("""COMPUTED_VALUE"""),193.23)</f>
        <v>193.23</v>
      </c>
    </row>
    <row r="625">
      <c r="A625" s="2" t="str">
        <f>IFERROR(__xludf.DUMMYFUNCTION("""COMPUTED_VALUE"""),"PR011")</f>
        <v>PR011</v>
      </c>
      <c r="B625" s="2" t="str">
        <f>IFERROR(__xludf.DUMMYFUNCTION("""COMPUTED_VALUE"""),"VD036")</f>
        <v>VD036</v>
      </c>
      <c r="C625" s="2">
        <f>IFERROR(__xludf.DUMMYFUNCTION("""COMPUTED_VALUE"""),2.0)</f>
        <v>2</v>
      </c>
      <c r="D625" s="2">
        <f>IFERROR(__xludf.DUMMYFUNCTION("""COMPUTED_VALUE"""),93.8)</f>
        <v>93.8</v>
      </c>
    </row>
    <row r="626">
      <c r="A626" s="2" t="str">
        <f>IFERROR(__xludf.DUMMYFUNCTION("""COMPUTED_VALUE"""),"PR039")</f>
        <v>PR039</v>
      </c>
      <c r="B626" s="2" t="str">
        <f>IFERROR(__xludf.DUMMYFUNCTION("""COMPUTED_VALUE"""),"VD031")</f>
        <v>VD031</v>
      </c>
      <c r="C626" s="2">
        <f>IFERROR(__xludf.DUMMYFUNCTION("""COMPUTED_VALUE"""),4.0)</f>
        <v>4</v>
      </c>
      <c r="D626" s="2">
        <f>IFERROR(__xludf.DUMMYFUNCTION("""COMPUTED_VALUE"""),624.88)</f>
        <v>624.88</v>
      </c>
    </row>
    <row r="627">
      <c r="A627" s="2" t="str">
        <f>IFERROR(__xludf.DUMMYFUNCTION("""COMPUTED_VALUE"""),"PR026")</f>
        <v>PR026</v>
      </c>
      <c r="B627" s="2" t="str">
        <f>IFERROR(__xludf.DUMMYFUNCTION("""COMPUTED_VALUE"""),"VD045")</f>
        <v>VD045</v>
      </c>
      <c r="C627" s="2">
        <f>IFERROR(__xludf.DUMMYFUNCTION("""COMPUTED_VALUE"""),16.0)</f>
        <v>16</v>
      </c>
      <c r="D627" s="2">
        <f>IFERROR(__xludf.DUMMYFUNCTION("""COMPUTED_VALUE"""),5822.34)</f>
        <v>5822.34</v>
      </c>
    </row>
    <row r="628">
      <c r="A628" s="2" t="str">
        <f>IFERROR(__xludf.DUMMYFUNCTION("""COMPUTED_VALUE"""),"PR048")</f>
        <v>PR048</v>
      </c>
      <c r="B628" s="2" t="str">
        <f>IFERROR(__xludf.DUMMYFUNCTION("""COMPUTED_VALUE"""),"VD029")</f>
        <v>VD029</v>
      </c>
      <c r="C628" s="2">
        <f>IFERROR(__xludf.DUMMYFUNCTION("""COMPUTED_VALUE"""),20.0)</f>
        <v>20</v>
      </c>
      <c r="D628" s="2">
        <f>IFERROR(__xludf.DUMMYFUNCTION("""COMPUTED_VALUE"""),6145.88)</f>
        <v>6145.88</v>
      </c>
    </row>
    <row r="629">
      <c r="A629" s="2" t="str">
        <f>IFERROR(__xludf.DUMMYFUNCTION("""COMPUTED_VALUE"""),"PR021")</f>
        <v>PR021</v>
      </c>
      <c r="B629" s="2" t="str">
        <f>IFERROR(__xludf.DUMMYFUNCTION("""COMPUTED_VALUE"""),"VD045")</f>
        <v>VD045</v>
      </c>
      <c r="C629" s="2">
        <f>IFERROR(__xludf.DUMMYFUNCTION("""COMPUTED_VALUE"""),6.0)</f>
        <v>6</v>
      </c>
      <c r="D629" s="2">
        <f>IFERROR(__xludf.DUMMYFUNCTION("""COMPUTED_VALUE"""),1817.4)</f>
        <v>1817.4</v>
      </c>
    </row>
    <row r="630">
      <c r="A630" s="2" t="str">
        <f>IFERROR(__xludf.DUMMYFUNCTION("""COMPUTED_VALUE"""),"PR047")</f>
        <v>PR047</v>
      </c>
      <c r="B630" s="2" t="str">
        <f>IFERROR(__xludf.DUMMYFUNCTION("""COMPUTED_VALUE"""),"VD030")</f>
        <v>VD030</v>
      </c>
      <c r="C630" s="2">
        <f>IFERROR(__xludf.DUMMYFUNCTION("""COMPUTED_VALUE"""),14.0)</f>
        <v>14</v>
      </c>
      <c r="D630" s="2">
        <f>IFERROR(__xludf.DUMMYFUNCTION("""COMPUTED_VALUE"""),4180.36)</f>
        <v>4180.36</v>
      </c>
    </row>
    <row r="631">
      <c r="A631" s="2" t="str">
        <f>IFERROR(__xludf.DUMMYFUNCTION("""COMPUTED_VALUE"""),"PR002")</f>
        <v>PR002</v>
      </c>
      <c r="B631" s="2" t="str">
        <f>IFERROR(__xludf.DUMMYFUNCTION("""COMPUTED_VALUE"""),"VD030")</f>
        <v>VD030</v>
      </c>
      <c r="C631" s="2">
        <f>IFERROR(__xludf.DUMMYFUNCTION("""COMPUTED_VALUE"""),8.0)</f>
        <v>8</v>
      </c>
      <c r="D631" s="2">
        <f>IFERROR(__xludf.DUMMYFUNCTION("""COMPUTED_VALUE"""),609.53)</f>
        <v>609.53</v>
      </c>
    </row>
    <row r="632">
      <c r="A632" s="2" t="str">
        <f>IFERROR(__xludf.DUMMYFUNCTION("""COMPUTED_VALUE"""),"PR048")</f>
        <v>PR048</v>
      </c>
      <c r="B632" s="2" t="str">
        <f>IFERROR(__xludf.DUMMYFUNCTION("""COMPUTED_VALUE"""),"VD040")</f>
        <v>VD040</v>
      </c>
      <c r="C632" s="2">
        <f>IFERROR(__xludf.DUMMYFUNCTION("""COMPUTED_VALUE"""),4.0)</f>
        <v>4</v>
      </c>
      <c r="D632" s="2">
        <f>IFERROR(__xludf.DUMMYFUNCTION("""COMPUTED_VALUE"""),1263.96)</f>
        <v>1263.96</v>
      </c>
    </row>
    <row r="633">
      <c r="A633" s="2" t="str">
        <f>IFERROR(__xludf.DUMMYFUNCTION("""COMPUTED_VALUE"""),"PR017")</f>
        <v>PR017</v>
      </c>
      <c r="B633" s="2" t="str">
        <f>IFERROR(__xludf.DUMMYFUNCTION("""COMPUTED_VALUE"""),"VD019")</f>
        <v>VD019</v>
      </c>
      <c r="C633" s="2">
        <f>IFERROR(__xludf.DUMMYFUNCTION("""COMPUTED_VALUE"""),10.0)</f>
        <v>10</v>
      </c>
      <c r="D633" s="2">
        <f>IFERROR(__xludf.DUMMYFUNCTION("""COMPUTED_VALUE"""),304.98)</f>
        <v>304.98</v>
      </c>
    </row>
    <row r="634">
      <c r="A634" s="2" t="str">
        <f>IFERROR(__xludf.DUMMYFUNCTION("""COMPUTED_VALUE"""),"PR058")</f>
        <v>PR058</v>
      </c>
      <c r="B634" s="2" t="str">
        <f>IFERROR(__xludf.DUMMYFUNCTION("""COMPUTED_VALUE"""),"VD046")</f>
        <v>VD046</v>
      </c>
      <c r="C634" s="2">
        <f>IFERROR(__xludf.DUMMYFUNCTION("""COMPUTED_VALUE"""),1.0)</f>
        <v>1</v>
      </c>
      <c r="D634" s="2">
        <f>IFERROR(__xludf.DUMMYFUNCTION("""COMPUTED_VALUE"""),189.0)</f>
        <v>189</v>
      </c>
    </row>
    <row r="635">
      <c r="A635" s="2" t="str">
        <f>IFERROR(__xludf.DUMMYFUNCTION("""COMPUTED_VALUE"""),"PR040")</f>
        <v>PR040</v>
      </c>
      <c r="B635" s="2" t="str">
        <f>IFERROR(__xludf.DUMMYFUNCTION("""COMPUTED_VALUE"""),"VD020")</f>
        <v>VD020</v>
      </c>
      <c r="C635" s="2">
        <f>IFERROR(__xludf.DUMMYFUNCTION("""COMPUTED_VALUE"""),10.0)</f>
        <v>10</v>
      </c>
      <c r="D635" s="2">
        <f>IFERROR(__xludf.DUMMYFUNCTION("""COMPUTED_VALUE"""),770.0)</f>
        <v>770</v>
      </c>
    </row>
    <row r="636">
      <c r="A636" s="2" t="str">
        <f>IFERROR(__xludf.DUMMYFUNCTION("""COMPUTED_VALUE"""),"PR014")</f>
        <v>PR014</v>
      </c>
      <c r="B636" s="2" t="str">
        <f>IFERROR(__xludf.DUMMYFUNCTION("""COMPUTED_VALUE"""),"VD028")</f>
        <v>VD028</v>
      </c>
      <c r="C636" s="2">
        <f>IFERROR(__xludf.DUMMYFUNCTION("""COMPUTED_VALUE"""),8.0)</f>
        <v>8</v>
      </c>
      <c r="D636" s="2">
        <f>IFERROR(__xludf.DUMMYFUNCTION("""COMPUTED_VALUE"""),331.97)</f>
        <v>331.97</v>
      </c>
    </row>
    <row r="637">
      <c r="A637" s="2" t="str">
        <f>IFERROR(__xludf.DUMMYFUNCTION("""COMPUTED_VALUE"""),"PR021")</f>
        <v>PR021</v>
      </c>
      <c r="B637" s="2" t="str">
        <f>IFERROR(__xludf.DUMMYFUNCTION("""COMPUTED_VALUE"""),"VD022")</f>
        <v>VD022</v>
      </c>
      <c r="C637" s="2">
        <f>IFERROR(__xludf.DUMMYFUNCTION("""COMPUTED_VALUE"""),8.0)</f>
        <v>8</v>
      </c>
      <c r="D637" s="2">
        <f>IFERROR(__xludf.DUMMYFUNCTION("""COMPUTED_VALUE"""),2447.43)</f>
        <v>2447.43</v>
      </c>
    </row>
    <row r="638">
      <c r="A638" s="2" t="str">
        <f>IFERROR(__xludf.DUMMYFUNCTION("""COMPUTED_VALUE"""),"PR028")</f>
        <v>PR028</v>
      </c>
      <c r="B638" s="2" t="str">
        <f>IFERROR(__xludf.DUMMYFUNCTION("""COMPUTED_VALUE"""),"VD021")</f>
        <v>VD021</v>
      </c>
      <c r="C638" s="2">
        <f>IFERROR(__xludf.DUMMYFUNCTION("""COMPUTED_VALUE"""),10.0)</f>
        <v>10</v>
      </c>
      <c r="D638" s="2">
        <f>IFERROR(__xludf.DUMMYFUNCTION("""COMPUTED_VALUE"""),2723.91)</f>
        <v>2723.91</v>
      </c>
    </row>
    <row r="639">
      <c r="A639" s="2" t="str">
        <f>IFERROR(__xludf.DUMMYFUNCTION("""COMPUTED_VALUE"""),"PR052")</f>
        <v>PR052</v>
      </c>
      <c r="B639" s="2" t="str">
        <f>IFERROR(__xludf.DUMMYFUNCTION("""COMPUTED_VALUE"""),"VD018")</f>
        <v>VD018</v>
      </c>
      <c r="C639" s="2">
        <f>IFERROR(__xludf.DUMMYFUNCTION("""COMPUTED_VALUE"""),5.0)</f>
        <v>5</v>
      </c>
      <c r="D639" s="2">
        <f>IFERROR(__xludf.DUMMYFUNCTION("""COMPUTED_VALUE"""),259.48)</f>
        <v>259.48</v>
      </c>
    </row>
    <row r="640">
      <c r="A640" s="2" t="str">
        <f>IFERROR(__xludf.DUMMYFUNCTION("""COMPUTED_VALUE"""),"PR042")</f>
        <v>PR042</v>
      </c>
      <c r="B640" s="2" t="str">
        <f>IFERROR(__xludf.DUMMYFUNCTION("""COMPUTED_VALUE"""),"VD011")</f>
        <v>VD011</v>
      </c>
      <c r="C640" s="2">
        <f>IFERROR(__xludf.DUMMYFUNCTION("""COMPUTED_VALUE"""),9.0)</f>
        <v>9</v>
      </c>
      <c r="D640" s="2">
        <f>IFERROR(__xludf.DUMMYFUNCTION("""COMPUTED_VALUE"""),523.75)</f>
        <v>523.75</v>
      </c>
    </row>
    <row r="641">
      <c r="A641" s="2" t="str">
        <f>IFERROR(__xludf.DUMMYFUNCTION("""COMPUTED_VALUE"""),"PR034")</f>
        <v>PR034</v>
      </c>
      <c r="B641" s="2" t="str">
        <f>IFERROR(__xludf.DUMMYFUNCTION("""COMPUTED_VALUE"""),"VD033")</f>
        <v>VD033</v>
      </c>
      <c r="C641" s="2">
        <f>IFERROR(__xludf.DUMMYFUNCTION("""COMPUTED_VALUE"""),6.0)</f>
        <v>6</v>
      </c>
      <c r="D641" s="2">
        <f>IFERROR(__xludf.DUMMYFUNCTION("""COMPUTED_VALUE"""),539.4)</f>
        <v>539.4</v>
      </c>
    </row>
    <row r="642">
      <c r="A642" s="2" t="str">
        <f>IFERROR(__xludf.DUMMYFUNCTION("""COMPUTED_VALUE"""),"PR040")</f>
        <v>PR040</v>
      </c>
      <c r="B642" s="2" t="str">
        <f>IFERROR(__xludf.DUMMYFUNCTION("""COMPUTED_VALUE"""),"VD011")</f>
        <v>VD011</v>
      </c>
      <c r="C642" s="2">
        <f>IFERROR(__xludf.DUMMYFUNCTION("""COMPUTED_VALUE"""),2.0)</f>
        <v>2</v>
      </c>
      <c r="D642" s="2">
        <f>IFERROR(__xludf.DUMMYFUNCTION("""COMPUTED_VALUE"""),140.0)</f>
        <v>140</v>
      </c>
    </row>
    <row r="643">
      <c r="A643" s="2" t="str">
        <f>IFERROR(__xludf.DUMMYFUNCTION("""COMPUTED_VALUE"""),"PR004")</f>
        <v>PR004</v>
      </c>
      <c r="B643" s="2" t="str">
        <f>IFERROR(__xludf.DUMMYFUNCTION("""COMPUTED_VALUE"""),"VD012")</f>
        <v>VD012</v>
      </c>
      <c r="C643" s="2">
        <f>IFERROR(__xludf.DUMMYFUNCTION("""COMPUTED_VALUE"""),6.0)</f>
        <v>6</v>
      </c>
      <c r="D643" s="2">
        <f>IFERROR(__xludf.DUMMYFUNCTION("""COMPUTED_VALUE"""),948.3)</f>
        <v>948.3</v>
      </c>
    </row>
    <row r="644">
      <c r="A644" s="2" t="str">
        <f>IFERROR(__xludf.DUMMYFUNCTION("""COMPUTED_VALUE"""),"PR050")</f>
        <v>PR050</v>
      </c>
      <c r="B644" s="2" t="str">
        <f>IFERROR(__xludf.DUMMYFUNCTION("""COMPUTED_VALUE"""),"VD040")</f>
        <v>VD040</v>
      </c>
      <c r="C644" s="2">
        <f>IFERROR(__xludf.DUMMYFUNCTION("""COMPUTED_VALUE"""),6.0)</f>
        <v>6</v>
      </c>
      <c r="D644" s="2">
        <f>IFERROR(__xludf.DUMMYFUNCTION("""COMPUTED_VALUE"""),213.19)</f>
        <v>213.19</v>
      </c>
    </row>
    <row r="645">
      <c r="A645" s="2" t="str">
        <f>IFERROR(__xludf.DUMMYFUNCTION("""COMPUTED_VALUE"""),"PR059")</f>
        <v>PR059</v>
      </c>
      <c r="B645" s="2" t="str">
        <f>IFERROR(__xludf.DUMMYFUNCTION("""COMPUTED_VALUE"""),"VD027")</f>
        <v>VD027</v>
      </c>
      <c r="C645" s="2">
        <f>IFERROR(__xludf.DUMMYFUNCTION("""COMPUTED_VALUE"""),2.0)</f>
        <v>2</v>
      </c>
      <c r="D645" s="2">
        <f>IFERROR(__xludf.DUMMYFUNCTION("""COMPUTED_VALUE"""),378.0)</f>
        <v>378</v>
      </c>
    </row>
    <row r="646">
      <c r="A646" s="2" t="str">
        <f>IFERROR(__xludf.DUMMYFUNCTION("""COMPUTED_VALUE"""),"PR058")</f>
        <v>PR058</v>
      </c>
      <c r="B646" s="2" t="str">
        <f>IFERROR(__xludf.DUMMYFUNCTION("""COMPUTED_VALUE"""),"VD031")</f>
        <v>VD031</v>
      </c>
      <c r="C646" s="2">
        <f>IFERROR(__xludf.DUMMYFUNCTION("""COMPUTED_VALUE"""),5.0)</f>
        <v>5</v>
      </c>
      <c r="D646" s="2">
        <f>IFERROR(__xludf.DUMMYFUNCTION("""COMPUTED_VALUE"""),927.0)</f>
        <v>927</v>
      </c>
    </row>
    <row r="647">
      <c r="A647" s="2" t="str">
        <f>IFERROR(__xludf.DUMMYFUNCTION("""COMPUTED_VALUE"""),"PR039")</f>
        <v>PR039</v>
      </c>
      <c r="B647" s="2" t="str">
        <f>IFERROR(__xludf.DUMMYFUNCTION("""COMPUTED_VALUE"""),"VD048")</f>
        <v>VD048</v>
      </c>
      <c r="C647" s="2">
        <f>IFERROR(__xludf.DUMMYFUNCTION("""COMPUTED_VALUE"""),1.0)</f>
        <v>1</v>
      </c>
      <c r="D647" s="2">
        <f>IFERROR(__xludf.DUMMYFUNCTION("""COMPUTED_VALUE"""),153.3)</f>
        <v>153.3</v>
      </c>
    </row>
    <row r="648">
      <c r="A648" s="2" t="str">
        <f>IFERROR(__xludf.DUMMYFUNCTION("""COMPUTED_VALUE"""),"PR001")</f>
        <v>PR001</v>
      </c>
      <c r="B648" s="2" t="str">
        <f>IFERROR(__xludf.DUMMYFUNCTION("""COMPUTED_VALUE"""),"VD028")</f>
        <v>VD028</v>
      </c>
      <c r="C648" s="2">
        <f>IFERROR(__xludf.DUMMYFUNCTION("""COMPUTED_VALUE"""),5.0)</f>
        <v>5</v>
      </c>
      <c r="D648" s="2">
        <f>IFERROR(__xludf.DUMMYFUNCTION("""COMPUTED_VALUE"""),336.09)</f>
        <v>336.09</v>
      </c>
    </row>
    <row r="649">
      <c r="A649" s="2" t="str">
        <f>IFERROR(__xludf.DUMMYFUNCTION("""COMPUTED_VALUE"""),"PR006")</f>
        <v>PR006</v>
      </c>
      <c r="B649" s="2" t="str">
        <f>IFERROR(__xludf.DUMMYFUNCTION("""COMPUTED_VALUE"""),"VD027")</f>
        <v>VD027</v>
      </c>
      <c r="C649" s="2">
        <f>IFERROR(__xludf.DUMMYFUNCTION("""COMPUTED_VALUE"""),8.0)</f>
        <v>8</v>
      </c>
      <c r="D649" s="2">
        <f>IFERROR(__xludf.DUMMYFUNCTION("""COMPUTED_VALUE"""),347.93)</f>
        <v>347.93</v>
      </c>
    </row>
    <row r="650">
      <c r="A650" s="2" t="str">
        <f>IFERROR(__xludf.DUMMYFUNCTION("""COMPUTED_VALUE"""),"PR049")</f>
        <v>PR049</v>
      </c>
      <c r="B650" s="2" t="str">
        <f>IFERROR(__xludf.DUMMYFUNCTION("""COMPUTED_VALUE"""),"VD017")</f>
        <v>VD017</v>
      </c>
      <c r="C650" s="2">
        <f>IFERROR(__xludf.DUMMYFUNCTION("""COMPUTED_VALUE"""),16.0)</f>
        <v>16</v>
      </c>
      <c r="D650" s="2">
        <f>IFERROR(__xludf.DUMMYFUNCTION("""COMPUTED_VALUE"""),536.93)</f>
        <v>536.93</v>
      </c>
    </row>
    <row r="651">
      <c r="A651" s="2" t="str">
        <f>IFERROR(__xludf.DUMMYFUNCTION("""COMPUTED_VALUE"""),"PR029")</f>
        <v>PR029</v>
      </c>
      <c r="B651" s="2" t="str">
        <f>IFERROR(__xludf.DUMMYFUNCTION("""COMPUTED_VALUE"""),"VD035")</f>
        <v>VD035</v>
      </c>
      <c r="C651" s="2">
        <f>IFERROR(__xludf.DUMMYFUNCTION("""COMPUTED_VALUE"""),8.0)</f>
        <v>8</v>
      </c>
      <c r="D651" s="2">
        <f>IFERROR(__xludf.DUMMYFUNCTION("""COMPUTED_VALUE"""),2121.6)</f>
        <v>2121.6</v>
      </c>
    </row>
    <row r="652">
      <c r="A652" s="2" t="str">
        <f>IFERROR(__xludf.DUMMYFUNCTION("""COMPUTED_VALUE"""),"PR053")</f>
        <v>PR053</v>
      </c>
      <c r="B652" s="2" t="str">
        <f>IFERROR(__xludf.DUMMYFUNCTION("""COMPUTED_VALUE"""),"VD017")</f>
        <v>VD017</v>
      </c>
      <c r="C652" s="2">
        <f>IFERROR(__xludf.DUMMYFUNCTION("""COMPUTED_VALUE"""),3.0)</f>
        <v>3</v>
      </c>
      <c r="D652" s="2">
        <f>IFERROR(__xludf.DUMMYFUNCTION("""COMPUTED_VALUE"""),164.67)</f>
        <v>164.67</v>
      </c>
    </row>
    <row r="653">
      <c r="A653" s="2" t="str">
        <f>IFERROR(__xludf.DUMMYFUNCTION("""COMPUTED_VALUE"""),"PR058")</f>
        <v>PR058</v>
      </c>
      <c r="B653" s="2" t="str">
        <f>IFERROR(__xludf.DUMMYFUNCTION("""COMPUTED_VALUE"""),"VD038")</f>
        <v>VD038</v>
      </c>
      <c r="C653" s="2">
        <f>IFERROR(__xludf.DUMMYFUNCTION("""COMPUTED_VALUE"""),5.0)</f>
        <v>5</v>
      </c>
      <c r="D653" s="2">
        <f>IFERROR(__xludf.DUMMYFUNCTION("""COMPUTED_VALUE"""),909.0)</f>
        <v>909</v>
      </c>
    </row>
    <row r="654">
      <c r="A654" s="2" t="str">
        <f>IFERROR(__xludf.DUMMYFUNCTION("""COMPUTED_VALUE"""),"PR054")</f>
        <v>PR054</v>
      </c>
      <c r="B654" s="2" t="str">
        <f>IFERROR(__xludf.DUMMYFUNCTION("""COMPUTED_VALUE"""),"VD021")</f>
        <v>VD021</v>
      </c>
      <c r="C654" s="2">
        <f>IFERROR(__xludf.DUMMYFUNCTION("""COMPUTED_VALUE"""),12.0)</f>
        <v>12</v>
      </c>
      <c r="D654" s="2">
        <f>IFERROR(__xludf.DUMMYFUNCTION("""COMPUTED_VALUE"""),604.79)</f>
        <v>604.79</v>
      </c>
    </row>
    <row r="655">
      <c r="A655" s="2" t="str">
        <f>IFERROR(__xludf.DUMMYFUNCTION("""COMPUTED_VALUE"""),"PR035")</f>
        <v>PR035</v>
      </c>
      <c r="B655" s="2" t="str">
        <f>IFERROR(__xludf.DUMMYFUNCTION("""COMPUTED_VALUE"""),"VD039")</f>
        <v>VD039</v>
      </c>
      <c r="C655" s="2">
        <f>IFERROR(__xludf.DUMMYFUNCTION("""COMPUTED_VALUE"""),1.0)</f>
        <v>1</v>
      </c>
      <c r="D655" s="2">
        <f>IFERROR(__xludf.DUMMYFUNCTION("""COMPUTED_VALUE"""),94.14)</f>
        <v>94.14</v>
      </c>
    </row>
    <row r="656">
      <c r="A656" s="2" t="str">
        <f>IFERROR(__xludf.DUMMYFUNCTION("""COMPUTED_VALUE"""),"PR013")</f>
        <v>PR013</v>
      </c>
      <c r="B656" s="2" t="str">
        <f>IFERROR(__xludf.DUMMYFUNCTION("""COMPUTED_VALUE"""),"VD020")</f>
        <v>VD020</v>
      </c>
      <c r="C656" s="2">
        <f>IFERROR(__xludf.DUMMYFUNCTION("""COMPUTED_VALUE"""),18.0)</f>
        <v>18</v>
      </c>
      <c r="D656" s="2">
        <f>IFERROR(__xludf.DUMMYFUNCTION("""COMPUTED_VALUE"""),761.29)</f>
        <v>761.29</v>
      </c>
    </row>
    <row r="657">
      <c r="A657" s="2" t="str">
        <f>IFERROR(__xludf.DUMMYFUNCTION("""COMPUTED_VALUE"""),"PR011")</f>
        <v>PR011</v>
      </c>
      <c r="B657" s="2" t="str">
        <f>IFERROR(__xludf.DUMMYFUNCTION("""COMPUTED_VALUE"""),"VD032")</f>
        <v>VD032</v>
      </c>
      <c r="C657" s="2">
        <f>IFERROR(__xludf.DUMMYFUNCTION("""COMPUTED_VALUE"""),18.0)</f>
        <v>18</v>
      </c>
      <c r="D657" s="2">
        <f>IFERROR(__xludf.DUMMYFUNCTION("""COMPUTED_VALUE"""),886.41)</f>
        <v>886.41</v>
      </c>
    </row>
    <row r="658">
      <c r="A658" s="2" t="str">
        <f>IFERROR(__xludf.DUMMYFUNCTION("""COMPUTED_VALUE"""),"PR037")</f>
        <v>PR037</v>
      </c>
      <c r="B658" s="2" t="str">
        <f>IFERROR(__xludf.DUMMYFUNCTION("""COMPUTED_VALUE"""),"VD010")</f>
        <v>VD010</v>
      </c>
      <c r="C658" s="2">
        <f>IFERROR(__xludf.DUMMYFUNCTION("""COMPUTED_VALUE"""),10.0)</f>
        <v>10</v>
      </c>
      <c r="D658" s="2">
        <f>IFERROR(__xludf.DUMMYFUNCTION("""COMPUTED_VALUE"""),1540.0)</f>
        <v>1540</v>
      </c>
    </row>
    <row r="659">
      <c r="A659" s="2" t="str">
        <f>IFERROR(__xludf.DUMMYFUNCTION("""COMPUTED_VALUE"""),"PR038")</f>
        <v>PR038</v>
      </c>
      <c r="B659" s="2" t="str">
        <f>IFERROR(__xludf.DUMMYFUNCTION("""COMPUTED_VALUE"""),"VD040")</f>
        <v>VD040</v>
      </c>
      <c r="C659" s="2">
        <f>IFERROR(__xludf.DUMMYFUNCTION("""COMPUTED_VALUE"""),6.0)</f>
        <v>6</v>
      </c>
      <c r="D659" s="2">
        <f>IFERROR(__xludf.DUMMYFUNCTION("""COMPUTED_VALUE"""),908.84)</f>
        <v>908.84</v>
      </c>
    </row>
    <row r="660">
      <c r="A660" s="2" t="str">
        <f>IFERROR(__xludf.DUMMYFUNCTION("""COMPUTED_VALUE"""),"PR049")</f>
        <v>PR049</v>
      </c>
      <c r="B660" s="2" t="str">
        <f>IFERROR(__xludf.DUMMYFUNCTION("""COMPUTED_VALUE"""),"VD020")</f>
        <v>VD020</v>
      </c>
      <c r="C660" s="2">
        <f>IFERROR(__xludf.DUMMYFUNCTION("""COMPUTED_VALUE"""),2.0)</f>
        <v>2</v>
      </c>
      <c r="D660" s="2">
        <f>IFERROR(__xludf.DUMMYFUNCTION("""COMPUTED_VALUE"""),68.43)</f>
        <v>68.43</v>
      </c>
    </row>
    <row r="661">
      <c r="A661" s="2" t="str">
        <f>IFERROR(__xludf.DUMMYFUNCTION("""COMPUTED_VALUE"""),"PR006")</f>
        <v>PR006</v>
      </c>
      <c r="B661" s="2" t="str">
        <f>IFERROR(__xludf.DUMMYFUNCTION("""COMPUTED_VALUE"""),"VD048")</f>
        <v>VD048</v>
      </c>
      <c r="C661" s="2">
        <f>IFERROR(__xludf.DUMMYFUNCTION("""COMPUTED_VALUE"""),7.0)</f>
        <v>7</v>
      </c>
      <c r="D661" s="2">
        <f>IFERROR(__xludf.DUMMYFUNCTION("""COMPUTED_VALUE"""),307.23)</f>
        <v>307.23</v>
      </c>
    </row>
    <row r="662">
      <c r="A662" s="2" t="str">
        <f>IFERROR(__xludf.DUMMYFUNCTION("""COMPUTED_VALUE"""),"PR058")</f>
        <v>PR058</v>
      </c>
      <c r="B662" s="2" t="str">
        <f>IFERROR(__xludf.DUMMYFUNCTION("""COMPUTED_VALUE"""),"VD021")</f>
        <v>VD021</v>
      </c>
      <c r="C662" s="2">
        <f>IFERROR(__xludf.DUMMYFUNCTION("""COMPUTED_VALUE"""),6.0)</f>
        <v>6</v>
      </c>
      <c r="D662" s="2">
        <f>IFERROR(__xludf.DUMMYFUNCTION("""COMPUTED_VALUE"""),1166.4)</f>
        <v>1166.4</v>
      </c>
    </row>
    <row r="663">
      <c r="A663" s="2" t="str">
        <f>IFERROR(__xludf.DUMMYFUNCTION("""COMPUTED_VALUE"""),"PR059")</f>
        <v>PR059</v>
      </c>
      <c r="B663" s="2" t="str">
        <f>IFERROR(__xludf.DUMMYFUNCTION("""COMPUTED_VALUE"""),"VD033")</f>
        <v>VD033</v>
      </c>
      <c r="C663" s="2">
        <f>IFERROR(__xludf.DUMMYFUNCTION("""COMPUTED_VALUE"""),6.0)</f>
        <v>6</v>
      </c>
      <c r="D663" s="2">
        <f>IFERROR(__xludf.DUMMYFUNCTION("""COMPUTED_VALUE"""),1166.4)</f>
        <v>1166.4</v>
      </c>
    </row>
    <row r="664">
      <c r="A664" s="2" t="str">
        <f>IFERROR(__xludf.DUMMYFUNCTION("""COMPUTED_VALUE"""),"PR051")</f>
        <v>PR051</v>
      </c>
      <c r="B664" s="2" t="str">
        <f>IFERROR(__xludf.DUMMYFUNCTION("""COMPUTED_VALUE"""),"VD024")</f>
        <v>VD024</v>
      </c>
      <c r="C664" s="2">
        <f>IFERROR(__xludf.DUMMYFUNCTION("""COMPUTED_VALUE"""),1.0)</f>
        <v>1</v>
      </c>
      <c r="D664" s="2">
        <f>IFERROR(__xludf.DUMMYFUNCTION("""COMPUTED_VALUE"""),33.56)</f>
        <v>33.56</v>
      </c>
    </row>
    <row r="665">
      <c r="A665" s="2" t="str">
        <f>IFERROR(__xludf.DUMMYFUNCTION("""COMPUTED_VALUE"""),"PR038")</f>
        <v>PR038</v>
      </c>
      <c r="B665" s="2" t="str">
        <f>IFERROR(__xludf.DUMMYFUNCTION("""COMPUTED_VALUE"""),"VD013")</f>
        <v>VD013</v>
      </c>
      <c r="C665" s="2">
        <f>IFERROR(__xludf.DUMMYFUNCTION("""COMPUTED_VALUE"""),7.0)</f>
        <v>7</v>
      </c>
      <c r="D665" s="2">
        <f>IFERROR(__xludf.DUMMYFUNCTION("""COMPUTED_VALUE"""),1020.31)</f>
        <v>1020.31</v>
      </c>
    </row>
    <row r="666">
      <c r="A666" s="2" t="str">
        <f>IFERROR(__xludf.DUMMYFUNCTION("""COMPUTED_VALUE"""),"PR005")</f>
        <v>PR005</v>
      </c>
      <c r="B666" s="2" t="str">
        <f>IFERROR(__xludf.DUMMYFUNCTION("""COMPUTED_VALUE"""),"VD048")</f>
        <v>VD048</v>
      </c>
      <c r="C666" s="2">
        <f>IFERROR(__xludf.DUMMYFUNCTION("""COMPUTED_VALUE"""),1.0)</f>
        <v>1</v>
      </c>
      <c r="D666" s="2">
        <f>IFERROR(__xludf.DUMMYFUNCTION("""COMPUTED_VALUE"""),275.49)</f>
        <v>275.49</v>
      </c>
    </row>
    <row r="667">
      <c r="A667" s="2" t="str">
        <f>IFERROR(__xludf.DUMMYFUNCTION("""COMPUTED_VALUE"""),"PR008")</f>
        <v>PR008</v>
      </c>
      <c r="B667" s="2" t="str">
        <f>IFERROR(__xludf.DUMMYFUNCTION("""COMPUTED_VALUE"""),"VD015")</f>
        <v>VD015</v>
      </c>
      <c r="C667" s="2">
        <f>IFERROR(__xludf.DUMMYFUNCTION("""COMPUTED_VALUE"""),20.0)</f>
        <v>20</v>
      </c>
      <c r="D667" s="2">
        <f>IFERROR(__xludf.DUMMYFUNCTION("""COMPUTED_VALUE"""),1977.8)</f>
        <v>1977.8</v>
      </c>
    </row>
    <row r="668">
      <c r="A668" s="2" t="str">
        <f>IFERROR(__xludf.DUMMYFUNCTION("""COMPUTED_VALUE"""),"PR044")</f>
        <v>PR044</v>
      </c>
      <c r="B668" s="2" t="str">
        <f>IFERROR(__xludf.DUMMYFUNCTION("""COMPUTED_VALUE"""),"VD046")</f>
        <v>VD046</v>
      </c>
      <c r="C668" s="2">
        <f>IFERROR(__xludf.DUMMYFUNCTION("""COMPUTED_VALUE"""),5.0)</f>
        <v>5</v>
      </c>
      <c r="D668" s="2">
        <f>IFERROR(__xludf.DUMMYFUNCTION("""COMPUTED_VALUE"""),387.88)</f>
        <v>387.88</v>
      </c>
    </row>
    <row r="669">
      <c r="A669" s="2" t="str">
        <f>IFERROR(__xludf.DUMMYFUNCTION("""COMPUTED_VALUE"""),"PR022")</f>
        <v>PR022</v>
      </c>
      <c r="B669" s="2" t="str">
        <f>IFERROR(__xludf.DUMMYFUNCTION("""COMPUTED_VALUE"""),"VD021")</f>
        <v>VD021</v>
      </c>
      <c r="C669" s="2">
        <f>IFERROR(__xludf.DUMMYFUNCTION("""COMPUTED_VALUE"""),3.0)</f>
        <v>3</v>
      </c>
      <c r="D669" s="2">
        <f>IFERROR(__xludf.DUMMYFUNCTION("""COMPUTED_VALUE"""),963.0)</f>
        <v>963</v>
      </c>
    </row>
    <row r="670">
      <c r="A670" s="2" t="str">
        <f>IFERROR(__xludf.DUMMYFUNCTION("""COMPUTED_VALUE"""),"PR017")</f>
        <v>PR017</v>
      </c>
      <c r="B670" s="2" t="str">
        <f>IFERROR(__xludf.DUMMYFUNCTION("""COMPUTED_VALUE"""),"VD042")</f>
        <v>VD042</v>
      </c>
      <c r="C670" s="2">
        <f>IFERROR(__xludf.DUMMYFUNCTION("""COMPUTED_VALUE"""),4.0)</f>
        <v>4</v>
      </c>
      <c r="D670" s="2">
        <f>IFERROR(__xludf.DUMMYFUNCTION("""COMPUTED_VALUE"""),121.99)</f>
        <v>121.99</v>
      </c>
    </row>
    <row r="671">
      <c r="A671" s="2" t="str">
        <f>IFERROR(__xludf.DUMMYFUNCTION("""COMPUTED_VALUE"""),"PR008")</f>
        <v>PR008</v>
      </c>
      <c r="B671" s="2" t="str">
        <f>IFERROR(__xludf.DUMMYFUNCTION("""COMPUTED_VALUE"""),"VD043")</f>
        <v>VD043</v>
      </c>
      <c r="C671" s="2">
        <f>IFERROR(__xludf.DUMMYFUNCTION("""COMPUTED_VALUE"""),10.0)</f>
        <v>10</v>
      </c>
      <c r="D671" s="2">
        <f>IFERROR(__xludf.DUMMYFUNCTION("""COMPUTED_VALUE"""),943.95)</f>
        <v>943.95</v>
      </c>
    </row>
    <row r="672">
      <c r="A672" s="2" t="str">
        <f>IFERROR(__xludf.DUMMYFUNCTION("""COMPUTED_VALUE"""),"PR047")</f>
        <v>PR047</v>
      </c>
      <c r="B672" s="2" t="str">
        <f>IFERROR(__xludf.DUMMYFUNCTION("""COMPUTED_VALUE"""),"VD025")</f>
        <v>VD025</v>
      </c>
      <c r="C672" s="2">
        <f>IFERROR(__xludf.DUMMYFUNCTION("""COMPUTED_VALUE"""),6.0)</f>
        <v>6</v>
      </c>
      <c r="D672" s="2">
        <f>IFERROR(__xludf.DUMMYFUNCTION("""COMPUTED_VALUE"""),1861.16)</f>
        <v>1861.16</v>
      </c>
    </row>
    <row r="673">
      <c r="A673" s="2" t="str">
        <f>IFERROR(__xludf.DUMMYFUNCTION("""COMPUTED_VALUE"""),"PR041")</f>
        <v>PR041</v>
      </c>
      <c r="B673" s="2" t="str">
        <f>IFERROR(__xludf.DUMMYFUNCTION("""COMPUTED_VALUE"""),"VD041")</f>
        <v>VD041</v>
      </c>
      <c r="C673" s="2">
        <f>IFERROR(__xludf.DUMMYFUNCTION("""COMPUTED_VALUE"""),2.0)</f>
        <v>2</v>
      </c>
      <c r="D673" s="2">
        <f>IFERROR(__xludf.DUMMYFUNCTION("""COMPUTED_VALUE"""),116.39)</f>
        <v>116.39</v>
      </c>
    </row>
    <row r="674">
      <c r="A674" s="2" t="str">
        <f>IFERROR(__xludf.DUMMYFUNCTION("""COMPUTED_VALUE"""),"PR051")</f>
        <v>PR051</v>
      </c>
      <c r="B674" s="2" t="str">
        <f>IFERROR(__xludf.DUMMYFUNCTION("""COMPUTED_VALUE"""),"VD044")</f>
        <v>VD044</v>
      </c>
      <c r="C674" s="2">
        <f>IFERROR(__xludf.DUMMYFUNCTION("""COMPUTED_VALUE"""),10.0)</f>
        <v>10</v>
      </c>
      <c r="D674" s="2">
        <f>IFERROR(__xludf.DUMMYFUNCTION("""COMPUTED_VALUE"""),358.61)</f>
        <v>358.61</v>
      </c>
    </row>
    <row r="675">
      <c r="A675" s="2" t="str">
        <f>IFERROR(__xludf.DUMMYFUNCTION("""COMPUTED_VALUE"""),"PR001")</f>
        <v>PR001</v>
      </c>
      <c r="B675" s="2" t="str">
        <f>IFERROR(__xludf.DUMMYFUNCTION("""COMPUTED_VALUE"""),"VD032")</f>
        <v>VD032</v>
      </c>
      <c r="C675" s="2">
        <f>IFERROR(__xludf.DUMMYFUNCTION("""COMPUTED_VALUE"""),6.0)</f>
        <v>6</v>
      </c>
      <c r="D675" s="2">
        <f>IFERROR(__xludf.DUMMYFUNCTION("""COMPUTED_VALUE"""),427.03)</f>
        <v>427.03</v>
      </c>
    </row>
    <row r="676">
      <c r="A676" s="2" t="str">
        <f>IFERROR(__xludf.DUMMYFUNCTION("""COMPUTED_VALUE"""),"PR010")</f>
        <v>PR010</v>
      </c>
      <c r="B676" s="2" t="str">
        <f>IFERROR(__xludf.DUMMYFUNCTION("""COMPUTED_VALUE"""),"VD037")</f>
        <v>VD037</v>
      </c>
      <c r="C676" s="2">
        <f>IFERROR(__xludf.DUMMYFUNCTION("""COMPUTED_VALUE"""),20.0)</f>
        <v>20</v>
      </c>
      <c r="D676" s="2">
        <f>IFERROR(__xludf.DUMMYFUNCTION("""COMPUTED_VALUE"""),942.9)</f>
        <v>942.9</v>
      </c>
    </row>
    <row r="677">
      <c r="A677" s="2" t="str">
        <f>IFERROR(__xludf.DUMMYFUNCTION("""COMPUTED_VALUE"""),"PR047")</f>
        <v>PR047</v>
      </c>
      <c r="B677" s="2" t="str">
        <f>IFERROR(__xludf.DUMMYFUNCTION("""COMPUTED_VALUE"""),"VD033")</f>
        <v>VD033</v>
      </c>
      <c r="C677" s="2">
        <f>IFERROR(__xludf.DUMMYFUNCTION("""COMPUTED_VALUE"""),8.0)</f>
        <v>8</v>
      </c>
      <c r="D677" s="2">
        <f>IFERROR(__xludf.DUMMYFUNCTION("""COMPUTED_VALUE"""),2388.78)</f>
        <v>2388.78</v>
      </c>
    </row>
    <row r="678">
      <c r="A678" s="2" t="str">
        <f>IFERROR(__xludf.DUMMYFUNCTION("""COMPUTED_VALUE"""),"PR029")</f>
        <v>PR029</v>
      </c>
      <c r="B678" s="2" t="str">
        <f>IFERROR(__xludf.DUMMYFUNCTION("""COMPUTED_VALUE"""),"VD013")</f>
        <v>VD013</v>
      </c>
      <c r="C678" s="2">
        <f>IFERROR(__xludf.DUMMYFUNCTION("""COMPUTED_VALUE"""),14.0)</f>
        <v>14</v>
      </c>
      <c r="D678" s="2">
        <f>IFERROR(__xludf.DUMMYFUNCTION("""COMPUTED_VALUE"""),3641.4)</f>
        <v>3641.4</v>
      </c>
    </row>
    <row r="679">
      <c r="A679" s="2" t="str">
        <f>IFERROR(__xludf.DUMMYFUNCTION("""COMPUTED_VALUE"""),"PR031")</f>
        <v>PR031</v>
      </c>
      <c r="B679" s="2" t="str">
        <f>IFERROR(__xludf.DUMMYFUNCTION("""COMPUTED_VALUE"""),"VD036")</f>
        <v>VD036</v>
      </c>
      <c r="C679" s="2">
        <f>IFERROR(__xludf.DUMMYFUNCTION("""COMPUTED_VALUE"""),2.0)</f>
        <v>2</v>
      </c>
      <c r="D679" s="2">
        <f>IFERROR(__xludf.DUMMYFUNCTION("""COMPUTED_VALUE"""),499.8)</f>
        <v>499.8</v>
      </c>
    </row>
    <row r="680">
      <c r="A680" s="2" t="str">
        <f>IFERROR(__xludf.DUMMYFUNCTION("""COMPUTED_VALUE"""),"PR032")</f>
        <v>PR032</v>
      </c>
      <c r="B680" s="2" t="str">
        <f>IFERROR(__xludf.DUMMYFUNCTION("""COMPUTED_VALUE"""),"VD021")</f>
        <v>VD021</v>
      </c>
      <c r="C680" s="2">
        <f>IFERROR(__xludf.DUMMYFUNCTION("""COMPUTED_VALUE"""),3.0)</f>
        <v>3</v>
      </c>
      <c r="D680" s="2">
        <f>IFERROR(__xludf.DUMMYFUNCTION("""COMPUTED_VALUE"""),772.5)</f>
        <v>772.5</v>
      </c>
    </row>
    <row r="681">
      <c r="A681" s="2" t="str">
        <f>IFERROR(__xludf.DUMMYFUNCTION("""COMPUTED_VALUE"""),"PR037")</f>
        <v>PR037</v>
      </c>
      <c r="B681" s="2" t="str">
        <f>IFERROR(__xludf.DUMMYFUNCTION("""COMPUTED_VALUE"""),"VD049")</f>
        <v>VD049</v>
      </c>
      <c r="C681" s="2">
        <f>IFERROR(__xludf.DUMMYFUNCTION("""COMPUTED_VALUE"""),3.0)</f>
        <v>3</v>
      </c>
      <c r="D681" s="2">
        <f>IFERROR(__xludf.DUMMYFUNCTION("""COMPUTED_VALUE"""),432.6)</f>
        <v>432.6</v>
      </c>
    </row>
    <row r="682">
      <c r="A682" s="2" t="str">
        <f>IFERROR(__xludf.DUMMYFUNCTION("""COMPUTED_VALUE"""),"PR018")</f>
        <v>PR018</v>
      </c>
      <c r="B682" s="2" t="str">
        <f>IFERROR(__xludf.DUMMYFUNCTION("""COMPUTED_VALUE"""),"VD026")</f>
        <v>VD026</v>
      </c>
      <c r="C682" s="2">
        <f>IFERROR(__xludf.DUMMYFUNCTION("""COMPUTED_VALUE"""),3.0)</f>
        <v>3</v>
      </c>
      <c r="D682" s="2">
        <f>IFERROR(__xludf.DUMMYFUNCTION("""COMPUTED_VALUE"""),107.58)</f>
        <v>107.58</v>
      </c>
    </row>
    <row r="683">
      <c r="A683" s="2" t="str">
        <f>IFERROR(__xludf.DUMMYFUNCTION("""COMPUTED_VALUE"""),"PR048")</f>
        <v>PR048</v>
      </c>
      <c r="B683" s="2" t="str">
        <f>IFERROR(__xludf.DUMMYFUNCTION("""COMPUTED_VALUE"""),"VD040")</f>
        <v>VD040</v>
      </c>
      <c r="C683" s="2">
        <f>IFERROR(__xludf.DUMMYFUNCTION("""COMPUTED_VALUE"""),2.0)</f>
        <v>2</v>
      </c>
      <c r="D683" s="2">
        <f>IFERROR(__xludf.DUMMYFUNCTION("""COMPUTED_VALUE"""),591.4)</f>
        <v>591.4</v>
      </c>
    </row>
    <row r="684">
      <c r="A684" s="2" t="str">
        <f>IFERROR(__xludf.DUMMYFUNCTION("""COMPUTED_VALUE"""),"PR011")</f>
        <v>PR011</v>
      </c>
      <c r="B684" s="2" t="str">
        <f>IFERROR(__xludf.DUMMYFUNCTION("""COMPUTED_VALUE"""),"VD036")</f>
        <v>VD036</v>
      </c>
      <c r="C684" s="2">
        <f>IFERROR(__xludf.DUMMYFUNCTION("""COMPUTED_VALUE"""),9.0)</f>
        <v>9</v>
      </c>
      <c r="D684" s="2">
        <f>IFERROR(__xludf.DUMMYFUNCTION("""COMPUTED_VALUE"""),464.31)</f>
        <v>464.31</v>
      </c>
    </row>
    <row r="685">
      <c r="A685" s="2" t="str">
        <f>IFERROR(__xludf.DUMMYFUNCTION("""COMPUTED_VALUE"""),"PR021")</f>
        <v>PR021</v>
      </c>
      <c r="B685" s="2" t="str">
        <f>IFERROR(__xludf.DUMMYFUNCTION("""COMPUTED_VALUE"""),"VD019")</f>
        <v>VD019</v>
      </c>
      <c r="C685" s="2">
        <f>IFERROR(__xludf.DUMMYFUNCTION("""COMPUTED_VALUE"""),2.0)</f>
        <v>2</v>
      </c>
      <c r="D685" s="2">
        <f>IFERROR(__xludf.DUMMYFUNCTION("""COMPUTED_VALUE"""),623.97)</f>
        <v>623.97</v>
      </c>
    </row>
    <row r="686">
      <c r="A686" s="2" t="str">
        <f>IFERROR(__xludf.DUMMYFUNCTION("""COMPUTED_VALUE"""),"PR021")</f>
        <v>PR021</v>
      </c>
      <c r="B686" s="2" t="str">
        <f>IFERROR(__xludf.DUMMYFUNCTION("""COMPUTED_VALUE"""),"VD038")</f>
        <v>VD038</v>
      </c>
      <c r="C686" s="2">
        <f>IFERROR(__xludf.DUMMYFUNCTION("""COMPUTED_VALUE"""),6.0)</f>
        <v>6</v>
      </c>
      <c r="D686" s="2">
        <f>IFERROR(__xludf.DUMMYFUNCTION("""COMPUTED_VALUE"""),1926.44)</f>
        <v>1926.44</v>
      </c>
    </row>
    <row r="687">
      <c r="A687" s="2" t="str">
        <f>IFERROR(__xludf.DUMMYFUNCTION("""COMPUTED_VALUE"""),"PR049")</f>
        <v>PR049</v>
      </c>
      <c r="B687" s="2" t="str">
        <f>IFERROR(__xludf.DUMMYFUNCTION("""COMPUTED_VALUE"""),"VD021")</f>
        <v>VD021</v>
      </c>
      <c r="C687" s="2">
        <f>IFERROR(__xludf.DUMMYFUNCTION("""COMPUTED_VALUE"""),2.0)</f>
        <v>2</v>
      </c>
      <c r="D687" s="2">
        <f>IFERROR(__xludf.DUMMYFUNCTION("""COMPUTED_VALUE"""),67.77)</f>
        <v>67.77</v>
      </c>
    </row>
    <row r="688">
      <c r="A688" s="2" t="str">
        <f>IFERROR(__xludf.DUMMYFUNCTION("""COMPUTED_VALUE"""),"PR056")</f>
        <v>PR056</v>
      </c>
      <c r="B688" s="2" t="str">
        <f>IFERROR(__xludf.DUMMYFUNCTION("""COMPUTED_VALUE"""),"VD030")</f>
        <v>VD030</v>
      </c>
      <c r="C688" s="2">
        <f>IFERROR(__xludf.DUMMYFUNCTION("""COMPUTED_VALUE"""),7.0)</f>
        <v>7</v>
      </c>
      <c r="D688" s="2">
        <f>IFERROR(__xludf.DUMMYFUNCTION("""COMPUTED_VALUE"""),692.23)</f>
        <v>692.23</v>
      </c>
    </row>
    <row r="689">
      <c r="A689" s="2" t="str">
        <f>IFERROR(__xludf.DUMMYFUNCTION("""COMPUTED_VALUE"""),"PR005")</f>
        <v>PR005</v>
      </c>
      <c r="B689" s="2" t="str">
        <f>IFERROR(__xludf.DUMMYFUNCTION("""COMPUTED_VALUE"""),"VD028")</f>
        <v>VD028</v>
      </c>
      <c r="C689" s="2">
        <f>IFERROR(__xludf.DUMMYFUNCTION("""COMPUTED_VALUE"""),6.0)</f>
        <v>6</v>
      </c>
      <c r="D689" s="2">
        <f>IFERROR(__xludf.DUMMYFUNCTION("""COMPUTED_VALUE"""),1684.15)</f>
        <v>1684.15</v>
      </c>
    </row>
    <row r="690">
      <c r="A690" s="2" t="str">
        <f>IFERROR(__xludf.DUMMYFUNCTION("""COMPUTED_VALUE"""),"PR029")</f>
        <v>PR029</v>
      </c>
      <c r="B690" s="2" t="str">
        <f>IFERROR(__xludf.DUMMYFUNCTION("""COMPUTED_VALUE"""),"VD010")</f>
        <v>VD010</v>
      </c>
      <c r="C690" s="2">
        <f>IFERROR(__xludf.DUMMYFUNCTION("""COMPUTED_VALUE"""),8.0)</f>
        <v>8</v>
      </c>
      <c r="D690" s="2">
        <f>IFERROR(__xludf.DUMMYFUNCTION("""COMPUTED_VALUE"""),2060.4)</f>
        <v>2060.4</v>
      </c>
    </row>
    <row r="691">
      <c r="A691" s="2" t="str">
        <f>IFERROR(__xludf.DUMMYFUNCTION("""COMPUTED_VALUE"""),"PR054")</f>
        <v>PR054</v>
      </c>
      <c r="B691" s="2" t="str">
        <f>IFERROR(__xludf.DUMMYFUNCTION("""COMPUTED_VALUE"""),"VD032")</f>
        <v>VD032</v>
      </c>
      <c r="C691" s="2">
        <f>IFERROR(__xludf.DUMMYFUNCTION("""COMPUTED_VALUE"""),10.0)</f>
        <v>10</v>
      </c>
      <c r="D691" s="2">
        <f>IFERROR(__xludf.DUMMYFUNCTION("""COMPUTED_VALUE"""),538.92)</f>
        <v>538.92</v>
      </c>
    </row>
    <row r="692">
      <c r="A692" s="2" t="str">
        <f>IFERROR(__xludf.DUMMYFUNCTION("""COMPUTED_VALUE"""),"PR038")</f>
        <v>PR038</v>
      </c>
      <c r="B692" s="2" t="str">
        <f>IFERROR(__xludf.DUMMYFUNCTION("""COMPUTED_VALUE"""),"VD040")</f>
        <v>VD040</v>
      </c>
      <c r="C692" s="2">
        <f>IFERROR(__xludf.DUMMYFUNCTION("""COMPUTED_VALUE"""),6.0)</f>
        <v>6</v>
      </c>
      <c r="D692" s="2">
        <f>IFERROR(__xludf.DUMMYFUNCTION("""COMPUTED_VALUE"""),917.42)</f>
        <v>917.42</v>
      </c>
    </row>
    <row r="693">
      <c r="A693" s="2" t="str">
        <f>IFERROR(__xludf.DUMMYFUNCTION("""COMPUTED_VALUE"""),"PR042")</f>
        <v>PR042</v>
      </c>
      <c r="B693" s="2" t="str">
        <f>IFERROR(__xludf.DUMMYFUNCTION("""COMPUTED_VALUE"""),"VD012")</f>
        <v>VD012</v>
      </c>
      <c r="C693" s="2">
        <f>IFERROR(__xludf.DUMMYFUNCTION("""COMPUTED_VALUE"""),8.0)</f>
        <v>8</v>
      </c>
      <c r="D693" s="2">
        <f>IFERROR(__xludf.DUMMYFUNCTION("""COMPUTED_VALUE"""),452.38)</f>
        <v>452.38</v>
      </c>
    </row>
    <row r="694">
      <c r="A694" s="2" t="str">
        <f>IFERROR(__xludf.DUMMYFUNCTION("""COMPUTED_VALUE"""),"PR028")</f>
        <v>PR028</v>
      </c>
      <c r="B694" s="2" t="str">
        <f>IFERROR(__xludf.DUMMYFUNCTION("""COMPUTED_VALUE"""),"VD032")</f>
        <v>VD032</v>
      </c>
      <c r="C694" s="2">
        <f>IFERROR(__xludf.DUMMYFUNCTION("""COMPUTED_VALUE"""),9.0)</f>
        <v>9</v>
      </c>
      <c r="D694" s="2">
        <f>IFERROR(__xludf.DUMMYFUNCTION("""COMPUTED_VALUE"""),2429.03)</f>
        <v>2429.03</v>
      </c>
    </row>
    <row r="695">
      <c r="A695" s="2" t="str">
        <f>IFERROR(__xludf.DUMMYFUNCTION("""COMPUTED_VALUE"""),"PR039")</f>
        <v>PR039</v>
      </c>
      <c r="B695" s="2" t="str">
        <f>IFERROR(__xludf.DUMMYFUNCTION("""COMPUTED_VALUE"""),"VD027")</f>
        <v>VD027</v>
      </c>
      <c r="C695" s="2">
        <f>IFERROR(__xludf.DUMMYFUNCTION("""COMPUTED_VALUE"""),6.0)</f>
        <v>6</v>
      </c>
      <c r="D695" s="2">
        <f>IFERROR(__xludf.DUMMYFUNCTION("""COMPUTED_VALUE"""),928.56)</f>
        <v>928.56</v>
      </c>
    </row>
    <row r="696">
      <c r="A696" s="2" t="str">
        <f>IFERROR(__xludf.DUMMYFUNCTION("""COMPUTED_VALUE"""),"PR010")</f>
        <v>PR010</v>
      </c>
      <c r="B696" s="2" t="str">
        <f>IFERROR(__xludf.DUMMYFUNCTION("""COMPUTED_VALUE"""),"VD027")</f>
        <v>VD027</v>
      </c>
      <c r="C696" s="2">
        <f>IFERROR(__xludf.DUMMYFUNCTION("""COMPUTED_VALUE"""),1.0)</f>
        <v>1</v>
      </c>
      <c r="D696" s="2">
        <f>IFERROR(__xludf.DUMMYFUNCTION("""COMPUTED_VALUE"""),45.8)</f>
        <v>45.8</v>
      </c>
    </row>
    <row r="697">
      <c r="A697" s="2" t="str">
        <f>IFERROR(__xludf.DUMMYFUNCTION("""COMPUTED_VALUE"""),"PR050")</f>
        <v>PR050</v>
      </c>
      <c r="B697" s="2" t="str">
        <f>IFERROR(__xludf.DUMMYFUNCTION("""COMPUTED_VALUE"""),"VD029")</f>
        <v>VD029</v>
      </c>
      <c r="C697" s="2">
        <f>IFERROR(__xludf.DUMMYFUNCTION("""COMPUTED_VALUE"""),16.0)</f>
        <v>16</v>
      </c>
      <c r="D697" s="2">
        <f>IFERROR(__xludf.DUMMYFUNCTION("""COMPUTED_VALUE"""),526.4)</f>
        <v>526.4</v>
      </c>
    </row>
    <row r="698">
      <c r="A698" s="2" t="str">
        <f>IFERROR(__xludf.DUMMYFUNCTION("""COMPUTED_VALUE"""),"PR046")</f>
        <v>PR046</v>
      </c>
      <c r="B698" s="2" t="str">
        <f>IFERROR(__xludf.DUMMYFUNCTION("""COMPUTED_VALUE"""),"VD025")</f>
        <v>VD025</v>
      </c>
      <c r="C698" s="2">
        <f>IFERROR(__xludf.DUMMYFUNCTION("""COMPUTED_VALUE"""),6.0)</f>
        <v>6</v>
      </c>
      <c r="D698" s="2">
        <f>IFERROR(__xludf.DUMMYFUNCTION("""COMPUTED_VALUE"""),1826.37)</f>
        <v>1826.37</v>
      </c>
    </row>
    <row r="699">
      <c r="A699" s="2" t="str">
        <f>IFERROR(__xludf.DUMMYFUNCTION("""COMPUTED_VALUE"""),"PR036")</f>
        <v>PR036</v>
      </c>
      <c r="B699" s="2" t="str">
        <f>IFERROR(__xludf.DUMMYFUNCTION("""COMPUTED_VALUE"""),"VD024")</f>
        <v>VD024</v>
      </c>
      <c r="C699" s="2">
        <f>IFERROR(__xludf.DUMMYFUNCTION("""COMPUTED_VALUE"""),2.0)</f>
        <v>2</v>
      </c>
      <c r="D699" s="2">
        <f>IFERROR(__xludf.DUMMYFUNCTION("""COMPUTED_VALUE"""),203.83)</f>
        <v>203.83</v>
      </c>
    </row>
    <row r="700">
      <c r="A700" s="2" t="str">
        <f>IFERROR(__xludf.DUMMYFUNCTION("""COMPUTED_VALUE"""),"PR047")</f>
        <v>PR047</v>
      </c>
      <c r="B700" s="2" t="str">
        <f>IFERROR(__xludf.DUMMYFUNCTION("""COMPUTED_VALUE"""),"VD035")</f>
        <v>VD035</v>
      </c>
      <c r="C700" s="2">
        <f>IFERROR(__xludf.DUMMYFUNCTION("""COMPUTED_VALUE"""),1.0)</f>
        <v>1</v>
      </c>
      <c r="D700" s="2">
        <f>IFERROR(__xludf.DUMMYFUNCTION("""COMPUTED_VALUE"""),313.09)</f>
        <v>313.09</v>
      </c>
    </row>
    <row r="701">
      <c r="A701" s="2" t="str">
        <f>IFERROR(__xludf.DUMMYFUNCTION("""COMPUTED_VALUE"""),"PR014")</f>
        <v>PR014</v>
      </c>
      <c r="B701" s="2" t="str">
        <f>IFERROR(__xludf.DUMMYFUNCTION("""COMPUTED_VALUE"""),"VD028")</f>
        <v>VD028</v>
      </c>
      <c r="C701" s="2">
        <f>IFERROR(__xludf.DUMMYFUNCTION("""COMPUTED_VALUE"""),4.0)</f>
        <v>4</v>
      </c>
      <c r="D701" s="2">
        <f>IFERROR(__xludf.DUMMYFUNCTION("""COMPUTED_VALUE"""),161.2)</f>
        <v>161.2</v>
      </c>
    </row>
    <row r="702">
      <c r="A702" s="2" t="str">
        <f>IFERROR(__xludf.DUMMYFUNCTION("""COMPUTED_VALUE"""),"PR039")</f>
        <v>PR039</v>
      </c>
      <c r="B702" s="2" t="str">
        <f>IFERROR(__xludf.DUMMYFUNCTION("""COMPUTED_VALUE"""),"VD012")</f>
        <v>VD012</v>
      </c>
      <c r="C702" s="2">
        <f>IFERROR(__xludf.DUMMYFUNCTION("""COMPUTED_VALUE"""),20.0)</f>
        <v>20</v>
      </c>
      <c r="D702" s="2">
        <f>IFERROR(__xludf.DUMMYFUNCTION("""COMPUTED_VALUE"""),3124.4)</f>
        <v>3124.4</v>
      </c>
    </row>
    <row r="703">
      <c r="A703" s="2" t="str">
        <f>IFERROR(__xludf.DUMMYFUNCTION("""COMPUTED_VALUE"""),"PR051")</f>
        <v>PR051</v>
      </c>
      <c r="B703" s="2" t="str">
        <f>IFERROR(__xludf.DUMMYFUNCTION("""COMPUTED_VALUE"""),"VD034")</f>
        <v>VD034</v>
      </c>
      <c r="C703" s="2">
        <f>IFERROR(__xludf.DUMMYFUNCTION("""COMPUTED_VALUE"""),6.0)</f>
        <v>6</v>
      </c>
      <c r="D703" s="2">
        <f>IFERROR(__xludf.DUMMYFUNCTION("""COMPUTED_VALUE"""),211.22)</f>
        <v>211.22</v>
      </c>
    </row>
    <row r="704">
      <c r="A704" s="2" t="str">
        <f>IFERROR(__xludf.DUMMYFUNCTION("""COMPUTED_VALUE"""),"PR060")</f>
        <v>PR060</v>
      </c>
      <c r="B704" s="2" t="str">
        <f>IFERROR(__xludf.DUMMYFUNCTION("""COMPUTED_VALUE"""),"VD043")</f>
        <v>VD043</v>
      </c>
      <c r="C704" s="2">
        <f>IFERROR(__xludf.DUMMYFUNCTION("""COMPUTED_VALUE"""),8.0)</f>
        <v>8</v>
      </c>
      <c r="D704" s="2">
        <f>IFERROR(__xludf.DUMMYFUNCTION("""COMPUTED_VALUE"""),1483.2)</f>
        <v>1483.2</v>
      </c>
    </row>
    <row r="705">
      <c r="A705" s="2" t="str">
        <f>IFERROR(__xludf.DUMMYFUNCTION("""COMPUTED_VALUE"""),"PR050")</f>
        <v>PR050</v>
      </c>
      <c r="B705" s="2" t="str">
        <f>IFERROR(__xludf.DUMMYFUNCTION("""COMPUTED_VALUE"""),"VD040")</f>
        <v>VD040</v>
      </c>
      <c r="C705" s="2">
        <f>IFERROR(__xludf.DUMMYFUNCTION("""COMPUTED_VALUE"""),10.0)</f>
        <v>10</v>
      </c>
      <c r="D705" s="2">
        <f>IFERROR(__xludf.DUMMYFUNCTION("""COMPUTED_VALUE"""),329.0)</f>
        <v>329</v>
      </c>
    </row>
    <row r="706">
      <c r="A706" s="2" t="str">
        <f>IFERROR(__xludf.DUMMYFUNCTION("""COMPUTED_VALUE"""),"PR044")</f>
        <v>PR044</v>
      </c>
      <c r="B706" s="2" t="str">
        <f>IFERROR(__xludf.DUMMYFUNCTION("""COMPUTED_VALUE"""),"VD012")</f>
        <v>VD012</v>
      </c>
      <c r="C706" s="2">
        <f>IFERROR(__xludf.DUMMYFUNCTION("""COMPUTED_VALUE"""),4.0)</f>
        <v>4</v>
      </c>
      <c r="D706" s="2">
        <f>IFERROR(__xludf.DUMMYFUNCTION("""COMPUTED_VALUE"""),301.6)</f>
        <v>301.6</v>
      </c>
    </row>
    <row r="707">
      <c r="A707" s="2" t="str">
        <f>IFERROR(__xludf.DUMMYFUNCTION("""COMPUTED_VALUE"""),"PR013")</f>
        <v>PR013</v>
      </c>
      <c r="B707" s="2" t="str">
        <f>IFERROR(__xludf.DUMMYFUNCTION("""COMPUTED_VALUE"""),"VD031")</f>
        <v>VD031</v>
      </c>
      <c r="C707" s="2">
        <f>IFERROR(__xludf.DUMMYFUNCTION("""COMPUTED_VALUE"""),14.0)</f>
        <v>14</v>
      </c>
      <c r="D707" s="2">
        <f>IFERROR(__xludf.DUMMYFUNCTION("""COMPUTED_VALUE"""),608.87)</f>
        <v>608.87</v>
      </c>
    </row>
    <row r="708">
      <c r="A708" s="2" t="str">
        <f>IFERROR(__xludf.DUMMYFUNCTION("""COMPUTED_VALUE"""),"PR002")</f>
        <v>PR002</v>
      </c>
      <c r="B708" s="2" t="str">
        <f>IFERROR(__xludf.DUMMYFUNCTION("""COMPUTED_VALUE"""),"VD027")</f>
        <v>VD027</v>
      </c>
      <c r="C708" s="2">
        <f>IFERROR(__xludf.DUMMYFUNCTION("""COMPUTED_VALUE"""),6.0)</f>
        <v>6</v>
      </c>
      <c r="D708" s="2">
        <f>IFERROR(__xludf.DUMMYFUNCTION("""COMPUTED_VALUE"""),452.95)</f>
        <v>452.95</v>
      </c>
    </row>
    <row r="709">
      <c r="A709" s="2" t="str">
        <f>IFERROR(__xludf.DUMMYFUNCTION("""COMPUTED_VALUE"""),"PR031")</f>
        <v>PR031</v>
      </c>
      <c r="B709" s="2" t="str">
        <f>IFERROR(__xludf.DUMMYFUNCTION("""COMPUTED_VALUE"""),"VD024")</f>
        <v>VD024</v>
      </c>
      <c r="C709" s="2">
        <f>IFERROR(__xludf.DUMMYFUNCTION("""COMPUTED_VALUE"""),6.0)</f>
        <v>6</v>
      </c>
      <c r="D709" s="2">
        <f>IFERROR(__xludf.DUMMYFUNCTION("""COMPUTED_VALUE"""),1499.4)</f>
        <v>1499.4</v>
      </c>
    </row>
    <row r="710">
      <c r="A710" s="2" t="str">
        <f>IFERROR(__xludf.DUMMYFUNCTION("""COMPUTED_VALUE"""),"PR052")</f>
        <v>PR052</v>
      </c>
      <c r="B710" s="2" t="str">
        <f>IFERROR(__xludf.DUMMYFUNCTION("""COMPUTED_VALUE"""),"VD041")</f>
        <v>VD041</v>
      </c>
      <c r="C710" s="2">
        <f>IFERROR(__xludf.DUMMYFUNCTION("""COMPUTED_VALUE"""),14.0)</f>
        <v>14</v>
      </c>
      <c r="D710" s="2">
        <f>IFERROR(__xludf.DUMMYFUNCTION("""COMPUTED_VALUE"""),754.49)</f>
        <v>754.49</v>
      </c>
    </row>
    <row r="711">
      <c r="A711" s="2" t="str">
        <f>IFERROR(__xludf.DUMMYFUNCTION("""COMPUTED_VALUE"""),"PR058")</f>
        <v>PR058</v>
      </c>
      <c r="B711" s="2" t="str">
        <f>IFERROR(__xludf.DUMMYFUNCTION("""COMPUTED_VALUE"""),"VD030")</f>
        <v>VD030</v>
      </c>
      <c r="C711" s="2">
        <f>IFERROR(__xludf.DUMMYFUNCTION("""COMPUTED_VALUE"""),2.0)</f>
        <v>2</v>
      </c>
      <c r="D711" s="2">
        <f>IFERROR(__xludf.DUMMYFUNCTION("""COMPUTED_VALUE"""),363.6)</f>
        <v>363.6</v>
      </c>
    </row>
    <row r="712">
      <c r="A712" s="2" t="str">
        <f>IFERROR(__xludf.DUMMYFUNCTION("""COMPUTED_VALUE"""),"PR034")</f>
        <v>PR034</v>
      </c>
      <c r="B712" s="2" t="str">
        <f>IFERROR(__xludf.DUMMYFUNCTION("""COMPUTED_VALUE"""),"VD013")</f>
        <v>VD013</v>
      </c>
      <c r="C712" s="2">
        <f>IFERROR(__xludf.DUMMYFUNCTION("""COMPUTED_VALUE"""),7.0)</f>
        <v>7</v>
      </c>
      <c r="D712" s="2">
        <f>IFERROR(__xludf.DUMMYFUNCTION("""COMPUTED_VALUE"""),667.06)</f>
        <v>667.06</v>
      </c>
    </row>
    <row r="713">
      <c r="A713" s="2" t="str">
        <f>IFERROR(__xludf.DUMMYFUNCTION("""COMPUTED_VALUE"""),"PR052")</f>
        <v>PR052</v>
      </c>
      <c r="B713" s="2" t="str">
        <f>IFERROR(__xludf.DUMMYFUNCTION("""COMPUTED_VALUE"""),"VD041")</f>
        <v>VD041</v>
      </c>
      <c r="C713" s="2">
        <f>IFERROR(__xludf.DUMMYFUNCTION("""COMPUTED_VALUE"""),18.0)</f>
        <v>18</v>
      </c>
      <c r="D713" s="2">
        <f>IFERROR(__xludf.DUMMYFUNCTION("""COMPUTED_VALUE"""),970.06)</f>
        <v>970.06</v>
      </c>
    </row>
    <row r="714">
      <c r="A714" s="2" t="str">
        <f>IFERROR(__xludf.DUMMYFUNCTION("""COMPUTED_VALUE"""),"PR046")</f>
        <v>PR046</v>
      </c>
      <c r="B714" s="2" t="str">
        <f>IFERROR(__xludf.DUMMYFUNCTION("""COMPUTED_VALUE"""),"VD019")</f>
        <v>VD019</v>
      </c>
      <c r="C714" s="2">
        <f>IFERROR(__xludf.DUMMYFUNCTION("""COMPUTED_VALUE"""),4.0)</f>
        <v>4</v>
      </c>
      <c r="D714" s="2">
        <f>IFERROR(__xludf.DUMMYFUNCTION("""COMPUTED_VALUE"""),1240.77)</f>
        <v>1240.77</v>
      </c>
    </row>
    <row r="715">
      <c r="A715" s="2" t="str">
        <f>IFERROR(__xludf.DUMMYFUNCTION("""COMPUTED_VALUE"""),"PR056")</f>
        <v>PR056</v>
      </c>
      <c r="B715" s="2" t="str">
        <f>IFERROR(__xludf.DUMMYFUNCTION("""COMPUTED_VALUE"""),"VD039")</f>
        <v>VD039</v>
      </c>
      <c r="C715" s="2">
        <f>IFERROR(__xludf.DUMMYFUNCTION("""COMPUTED_VALUE"""),14.0)</f>
        <v>14</v>
      </c>
      <c r="D715" s="2">
        <f>IFERROR(__xludf.DUMMYFUNCTION("""COMPUTED_VALUE"""),1334.12)</f>
        <v>1334.12</v>
      </c>
    </row>
    <row r="716">
      <c r="A716" s="2" t="str">
        <f>IFERROR(__xludf.DUMMYFUNCTION("""COMPUTED_VALUE"""),"PR034")</f>
        <v>PR034</v>
      </c>
      <c r="B716" s="2" t="str">
        <f>IFERROR(__xludf.DUMMYFUNCTION("""COMPUTED_VALUE"""),"VD042")</f>
        <v>VD042</v>
      </c>
      <c r="C716" s="2">
        <f>IFERROR(__xludf.DUMMYFUNCTION("""COMPUTED_VALUE"""),10.0)</f>
        <v>10</v>
      </c>
      <c r="D716" s="2">
        <f>IFERROR(__xludf.DUMMYFUNCTION("""COMPUTED_VALUE"""),988.9)</f>
        <v>988.9</v>
      </c>
    </row>
    <row r="717">
      <c r="A717" s="2" t="str">
        <f>IFERROR(__xludf.DUMMYFUNCTION("""COMPUTED_VALUE"""),"PR029")</f>
        <v>PR029</v>
      </c>
      <c r="B717" s="2" t="str">
        <f>IFERROR(__xludf.DUMMYFUNCTION("""COMPUTED_VALUE"""),"VD043")</f>
        <v>VD043</v>
      </c>
      <c r="C717" s="2">
        <f>IFERROR(__xludf.DUMMYFUNCTION("""COMPUTED_VALUE"""),1.0)</f>
        <v>1</v>
      </c>
      <c r="D717" s="2">
        <f>IFERROR(__xludf.DUMMYFUNCTION("""COMPUTED_VALUE"""),267.75)</f>
        <v>267.75</v>
      </c>
    </row>
    <row r="718">
      <c r="A718" s="2" t="str">
        <f>IFERROR(__xludf.DUMMYFUNCTION("""COMPUTED_VALUE"""),"PR043")</f>
        <v>PR043</v>
      </c>
      <c r="B718" s="2" t="str">
        <f>IFERROR(__xludf.DUMMYFUNCTION("""COMPUTED_VALUE"""),"VD023")</f>
        <v>VD023</v>
      </c>
      <c r="C718" s="2">
        <f>IFERROR(__xludf.DUMMYFUNCTION("""COMPUTED_VALUE"""),8.0)</f>
        <v>8</v>
      </c>
      <c r="D718" s="2">
        <f>IFERROR(__xludf.DUMMYFUNCTION("""COMPUTED_VALUE"""),603.2)</f>
        <v>603.2</v>
      </c>
    </row>
    <row r="719">
      <c r="A719" s="2" t="str">
        <f>IFERROR(__xludf.DUMMYFUNCTION("""COMPUTED_VALUE"""),"PR014")</f>
        <v>PR014</v>
      </c>
      <c r="B719" s="2" t="str">
        <f>IFERROR(__xludf.DUMMYFUNCTION("""COMPUTED_VALUE"""),"VD035")</f>
        <v>VD035</v>
      </c>
      <c r="C719" s="2">
        <f>IFERROR(__xludf.DUMMYFUNCTION("""COMPUTED_VALUE"""),5.0)</f>
        <v>5</v>
      </c>
      <c r="D719" s="2">
        <f>IFERROR(__xludf.DUMMYFUNCTION("""COMPUTED_VALUE"""),211.47)</f>
        <v>211.47</v>
      </c>
    </row>
    <row r="720">
      <c r="A720" s="2" t="str">
        <f>IFERROR(__xludf.DUMMYFUNCTION("""COMPUTED_VALUE"""),"PR019")</f>
        <v>PR019</v>
      </c>
      <c r="B720" s="2" t="str">
        <f>IFERROR(__xludf.DUMMYFUNCTION("""COMPUTED_VALUE"""),"VD018")</f>
        <v>VD018</v>
      </c>
      <c r="C720" s="2">
        <f>IFERROR(__xludf.DUMMYFUNCTION("""COMPUTED_VALUE"""),18.0)</f>
        <v>18</v>
      </c>
      <c r="D720" s="2">
        <f>IFERROR(__xludf.DUMMYFUNCTION("""COMPUTED_VALUE"""),925.15)</f>
        <v>925.15</v>
      </c>
    </row>
    <row r="721">
      <c r="A721" s="2" t="str">
        <f>IFERROR(__xludf.DUMMYFUNCTION("""COMPUTED_VALUE"""),"PR057")</f>
        <v>PR057</v>
      </c>
      <c r="B721" s="2" t="str">
        <f>IFERROR(__xludf.DUMMYFUNCTION("""COMPUTED_VALUE"""),"VD028")</f>
        <v>VD028</v>
      </c>
      <c r="C721" s="2">
        <f>IFERROR(__xludf.DUMMYFUNCTION("""COMPUTED_VALUE"""),6.0)</f>
        <v>6</v>
      </c>
      <c r="D721" s="2">
        <f>IFERROR(__xludf.DUMMYFUNCTION("""COMPUTED_VALUE"""),539.4)</f>
        <v>539.4</v>
      </c>
    </row>
    <row r="722">
      <c r="A722" s="2" t="str">
        <f>IFERROR(__xludf.DUMMYFUNCTION("""COMPUTED_VALUE"""),"PR047")</f>
        <v>PR047</v>
      </c>
      <c r="B722" s="2" t="str">
        <f>IFERROR(__xludf.DUMMYFUNCTION("""COMPUTED_VALUE"""),"VD047")</f>
        <v>VD047</v>
      </c>
      <c r="C722" s="2">
        <f>IFERROR(__xludf.DUMMYFUNCTION("""COMPUTED_VALUE"""),8.0)</f>
        <v>8</v>
      </c>
      <c r="D722" s="2">
        <f>IFERROR(__xludf.DUMMYFUNCTION("""COMPUTED_VALUE"""),2458.35)</f>
        <v>2458.35</v>
      </c>
    </row>
    <row r="723">
      <c r="A723" s="2" t="str">
        <f>IFERROR(__xludf.DUMMYFUNCTION("""COMPUTED_VALUE"""),"PR012")</f>
        <v>PR012</v>
      </c>
      <c r="B723" s="2" t="str">
        <f>IFERROR(__xludf.DUMMYFUNCTION("""COMPUTED_VALUE"""),"VD042")</f>
        <v>VD042</v>
      </c>
      <c r="C723" s="2">
        <f>IFERROR(__xludf.DUMMYFUNCTION("""COMPUTED_VALUE"""),16.0)</f>
        <v>16</v>
      </c>
      <c r="D723" s="2">
        <f>IFERROR(__xludf.DUMMYFUNCTION("""COMPUTED_VALUE"""),837.17)</f>
        <v>837.17</v>
      </c>
    </row>
    <row r="724">
      <c r="A724" s="2" t="str">
        <f>IFERROR(__xludf.DUMMYFUNCTION("""COMPUTED_VALUE"""),"PR016")</f>
        <v>PR016</v>
      </c>
      <c r="B724" s="2" t="str">
        <f>IFERROR(__xludf.DUMMYFUNCTION("""COMPUTED_VALUE"""),"VD048")</f>
        <v>VD048</v>
      </c>
      <c r="C724" s="2">
        <f>IFERROR(__xludf.DUMMYFUNCTION("""COMPUTED_VALUE"""),14.0)</f>
        <v>14</v>
      </c>
      <c r="D724" s="2">
        <f>IFERROR(__xludf.DUMMYFUNCTION("""COMPUTED_VALUE"""),391.61)</f>
        <v>391.61</v>
      </c>
    </row>
    <row r="725">
      <c r="A725" s="2" t="str">
        <f>IFERROR(__xludf.DUMMYFUNCTION("""COMPUTED_VALUE"""),"PR047")</f>
        <v>PR047</v>
      </c>
      <c r="B725" s="2" t="str">
        <f>IFERROR(__xludf.DUMMYFUNCTION("""COMPUTED_VALUE"""),"VD049")</f>
        <v>VD049</v>
      </c>
      <c r="C725" s="2">
        <f>IFERROR(__xludf.DUMMYFUNCTION("""COMPUTED_VALUE"""),2.0)</f>
        <v>2</v>
      </c>
      <c r="D725" s="2">
        <f>IFERROR(__xludf.DUMMYFUNCTION("""COMPUTED_VALUE"""),620.39)</f>
        <v>620.39</v>
      </c>
    </row>
    <row r="726">
      <c r="A726" s="2" t="str">
        <f>IFERROR(__xludf.DUMMYFUNCTION("""COMPUTED_VALUE"""),"PR048")</f>
        <v>PR048</v>
      </c>
      <c r="B726" s="2" t="str">
        <f>IFERROR(__xludf.DUMMYFUNCTION("""COMPUTED_VALUE"""),"VD036")</f>
        <v>VD036</v>
      </c>
      <c r="C726" s="2">
        <f>IFERROR(__xludf.DUMMYFUNCTION("""COMPUTED_VALUE"""),4.0)</f>
        <v>4</v>
      </c>
      <c r="D726" s="2">
        <f>IFERROR(__xludf.DUMMYFUNCTION("""COMPUTED_VALUE"""),1275.56)</f>
        <v>1275.56</v>
      </c>
    </row>
    <row r="727">
      <c r="A727" s="2" t="str">
        <f>IFERROR(__xludf.DUMMYFUNCTION("""COMPUTED_VALUE"""),"PR020")</f>
        <v>PR020</v>
      </c>
      <c r="B727" s="2" t="str">
        <f>IFERROR(__xludf.DUMMYFUNCTION("""COMPUTED_VALUE"""),"VD038")</f>
        <v>VD038</v>
      </c>
      <c r="C727" s="2">
        <f>IFERROR(__xludf.DUMMYFUNCTION("""COMPUTED_VALUE"""),4.0)</f>
        <v>4</v>
      </c>
      <c r="D727" s="2">
        <f>IFERROR(__xludf.DUMMYFUNCTION("""COMPUTED_VALUE"""),1235.59)</f>
        <v>1235.59</v>
      </c>
    </row>
    <row r="728">
      <c r="A728" s="2" t="str">
        <f>IFERROR(__xludf.DUMMYFUNCTION("""COMPUTED_VALUE"""),"PR011")</f>
        <v>PR011</v>
      </c>
      <c r="B728" s="2" t="str">
        <f>IFERROR(__xludf.DUMMYFUNCTION("""COMPUTED_VALUE"""),"VD018")</f>
        <v>VD018</v>
      </c>
      <c r="C728" s="2">
        <f>IFERROR(__xludf.DUMMYFUNCTION("""COMPUTED_VALUE"""),6.0)</f>
        <v>6</v>
      </c>
      <c r="D728" s="2">
        <f>IFERROR(__xludf.DUMMYFUNCTION("""COMPUTED_VALUE"""),309.54)</f>
        <v>309.54</v>
      </c>
    </row>
    <row r="729">
      <c r="A729" s="2" t="str">
        <f>IFERROR(__xludf.DUMMYFUNCTION("""COMPUTED_VALUE"""),"PR049")</f>
        <v>PR049</v>
      </c>
      <c r="B729" s="2" t="str">
        <f>IFERROR(__xludf.DUMMYFUNCTION("""COMPUTED_VALUE"""),"VD043")</f>
        <v>VD043</v>
      </c>
      <c r="C729" s="2">
        <f>IFERROR(__xludf.DUMMYFUNCTION("""COMPUTED_VALUE"""),7.0)</f>
        <v>7</v>
      </c>
      <c r="D729" s="2">
        <f>IFERROR(__xludf.DUMMYFUNCTION("""COMPUTED_VALUE"""),244.12)</f>
        <v>244.12</v>
      </c>
    </row>
    <row r="730">
      <c r="A730" s="2" t="str">
        <f>IFERROR(__xludf.DUMMYFUNCTION("""COMPUTED_VALUE"""),"PR018")</f>
        <v>PR018</v>
      </c>
      <c r="B730" s="2" t="str">
        <f>IFERROR(__xludf.DUMMYFUNCTION("""COMPUTED_VALUE"""),"VD033")</f>
        <v>VD033</v>
      </c>
      <c r="C730" s="2">
        <f>IFERROR(__xludf.DUMMYFUNCTION("""COMPUTED_VALUE"""),4.0)</f>
        <v>4</v>
      </c>
      <c r="D730" s="2">
        <f>IFERROR(__xludf.DUMMYFUNCTION("""COMPUTED_VALUE"""),135.55)</f>
        <v>135.55</v>
      </c>
    </row>
    <row r="731">
      <c r="A731" s="2" t="str">
        <f>IFERROR(__xludf.DUMMYFUNCTION("""COMPUTED_VALUE"""),"PR051")</f>
        <v>PR051</v>
      </c>
      <c r="B731" s="2" t="str">
        <f>IFERROR(__xludf.DUMMYFUNCTION("""COMPUTED_VALUE"""),"VD010")</f>
        <v>VD010</v>
      </c>
      <c r="C731" s="2">
        <f>IFERROR(__xludf.DUMMYFUNCTION("""COMPUTED_VALUE"""),9.0)</f>
        <v>9</v>
      </c>
      <c r="D731" s="2">
        <f>IFERROR(__xludf.DUMMYFUNCTION("""COMPUTED_VALUE"""),296.1)</f>
        <v>296.1</v>
      </c>
    </row>
    <row r="732">
      <c r="A732" s="2" t="str">
        <f>IFERROR(__xludf.DUMMYFUNCTION("""COMPUTED_VALUE"""),"PR007")</f>
        <v>PR007</v>
      </c>
      <c r="B732" s="2" t="str">
        <f>IFERROR(__xludf.DUMMYFUNCTION("""COMPUTED_VALUE"""),"VD041")</f>
        <v>VD041</v>
      </c>
      <c r="C732" s="2">
        <f>IFERROR(__xludf.DUMMYFUNCTION("""COMPUTED_VALUE"""),4.0)</f>
        <v>4</v>
      </c>
      <c r="D732" s="2">
        <f>IFERROR(__xludf.DUMMYFUNCTION("""COMPUTED_VALUE"""),353.91)</f>
        <v>353.91</v>
      </c>
    </row>
    <row r="733">
      <c r="A733" s="2" t="str">
        <f>IFERROR(__xludf.DUMMYFUNCTION("""COMPUTED_VALUE"""),"PR008")</f>
        <v>PR008</v>
      </c>
      <c r="B733" s="2" t="str">
        <f>IFERROR(__xludf.DUMMYFUNCTION("""COMPUTED_VALUE"""),"VD046")</f>
        <v>VD046</v>
      </c>
      <c r="C733" s="2">
        <f>IFERROR(__xludf.DUMMYFUNCTION("""COMPUTED_VALUE"""),3.0)</f>
        <v>3</v>
      </c>
      <c r="D733" s="2">
        <f>IFERROR(__xludf.DUMMYFUNCTION("""COMPUTED_VALUE"""),288.58)</f>
        <v>288.58</v>
      </c>
    </row>
    <row r="734">
      <c r="A734" s="2" t="str">
        <f>IFERROR(__xludf.DUMMYFUNCTION("""COMPUTED_VALUE"""),"PR053")</f>
        <v>PR053</v>
      </c>
      <c r="B734" s="2" t="str">
        <f>IFERROR(__xludf.DUMMYFUNCTION("""COMPUTED_VALUE"""),"VD029")</f>
        <v>VD029</v>
      </c>
      <c r="C734" s="2">
        <f>IFERROR(__xludf.DUMMYFUNCTION("""COMPUTED_VALUE"""),8.0)</f>
        <v>8</v>
      </c>
      <c r="D734" s="2">
        <f>IFERROR(__xludf.DUMMYFUNCTION("""COMPUTED_VALUE"""),415.17)</f>
        <v>415.17</v>
      </c>
    </row>
    <row r="735">
      <c r="A735" s="2" t="str">
        <f>IFERROR(__xludf.DUMMYFUNCTION("""COMPUTED_VALUE"""),"PR060")</f>
        <v>PR060</v>
      </c>
      <c r="B735" s="2" t="str">
        <f>IFERROR(__xludf.DUMMYFUNCTION("""COMPUTED_VALUE"""),"VD015")</f>
        <v>VD015</v>
      </c>
      <c r="C735" s="2">
        <f>IFERROR(__xludf.DUMMYFUNCTION("""COMPUTED_VALUE"""),20.0)</f>
        <v>20</v>
      </c>
      <c r="D735" s="2">
        <f>IFERROR(__xludf.DUMMYFUNCTION("""COMPUTED_VALUE"""),3744.0)</f>
        <v>3744</v>
      </c>
    </row>
    <row r="736">
      <c r="A736" s="2" t="str">
        <f>IFERROR(__xludf.DUMMYFUNCTION("""COMPUTED_VALUE"""),"PR037")</f>
        <v>PR037</v>
      </c>
      <c r="B736" s="2" t="str">
        <f>IFERROR(__xludf.DUMMYFUNCTION("""COMPUTED_VALUE"""),"VD040")</f>
        <v>VD040</v>
      </c>
      <c r="C736" s="2">
        <f>IFERROR(__xludf.DUMMYFUNCTION("""COMPUTED_VALUE"""),9.0)</f>
        <v>9</v>
      </c>
      <c r="D736" s="2">
        <f>IFERROR(__xludf.DUMMYFUNCTION("""COMPUTED_VALUE"""),1335.6)</f>
        <v>1335.6</v>
      </c>
    </row>
    <row r="737">
      <c r="A737" s="2" t="str">
        <f>IFERROR(__xludf.DUMMYFUNCTION("""COMPUTED_VALUE"""),"PR050")</f>
        <v>PR050</v>
      </c>
      <c r="B737" s="2" t="str">
        <f>IFERROR(__xludf.DUMMYFUNCTION("""COMPUTED_VALUE"""),"VD028")</f>
        <v>VD028</v>
      </c>
      <c r="C737" s="2">
        <f>IFERROR(__xludf.DUMMYFUNCTION("""COMPUTED_VALUE"""),2.0)</f>
        <v>2</v>
      </c>
      <c r="D737" s="2">
        <f>IFERROR(__xludf.DUMMYFUNCTION("""COMPUTED_VALUE"""),66.46)</f>
        <v>66.46</v>
      </c>
    </row>
    <row r="738">
      <c r="A738" s="2" t="str">
        <f>IFERROR(__xludf.DUMMYFUNCTION("""COMPUTED_VALUE"""),"PR013")</f>
        <v>PR013</v>
      </c>
      <c r="B738" s="2" t="str">
        <f>IFERROR(__xludf.DUMMYFUNCTION("""COMPUTED_VALUE"""),"VD017")</f>
        <v>VD017</v>
      </c>
      <c r="C738" s="2">
        <f>IFERROR(__xludf.DUMMYFUNCTION("""COMPUTED_VALUE"""),8.0)</f>
        <v>8</v>
      </c>
      <c r="D738" s="2">
        <f>IFERROR(__xludf.DUMMYFUNCTION("""COMPUTED_VALUE"""),351.12)</f>
        <v>351.12</v>
      </c>
    </row>
    <row r="739">
      <c r="A739" s="2" t="str">
        <f>IFERROR(__xludf.DUMMYFUNCTION("""COMPUTED_VALUE"""),"PR024")</f>
        <v>PR024</v>
      </c>
      <c r="B739" s="2" t="str">
        <f>IFERROR(__xludf.DUMMYFUNCTION("""COMPUTED_VALUE"""),"VD043")</f>
        <v>VD043</v>
      </c>
      <c r="C739" s="2">
        <f>IFERROR(__xludf.DUMMYFUNCTION("""COMPUTED_VALUE"""),10.0)</f>
        <v>10</v>
      </c>
      <c r="D739" s="2">
        <f>IFERROR(__xludf.DUMMYFUNCTION("""COMPUTED_VALUE"""),2650.98)</f>
        <v>2650.98</v>
      </c>
    </row>
    <row r="740">
      <c r="A740" s="2" t="str">
        <f>IFERROR(__xludf.DUMMYFUNCTION("""COMPUTED_VALUE"""),"PR001")</f>
        <v>PR001</v>
      </c>
      <c r="B740" s="2" t="str">
        <f>IFERROR(__xludf.DUMMYFUNCTION("""COMPUTED_VALUE"""),"VD038")</f>
        <v>VD038</v>
      </c>
      <c r="C740" s="2">
        <f>IFERROR(__xludf.DUMMYFUNCTION("""COMPUTED_VALUE"""),14.0)</f>
        <v>14</v>
      </c>
      <c r="D740" s="2">
        <f>IFERROR(__xludf.DUMMYFUNCTION("""COMPUTED_VALUE"""),987.18)</f>
        <v>987.18</v>
      </c>
    </row>
    <row r="741">
      <c r="A741" s="2" t="str">
        <f>IFERROR(__xludf.DUMMYFUNCTION("""COMPUTED_VALUE"""),"PR004")</f>
        <v>PR004</v>
      </c>
      <c r="B741" s="2" t="str">
        <f>IFERROR(__xludf.DUMMYFUNCTION("""COMPUTED_VALUE"""),"VD019")</f>
        <v>VD019</v>
      </c>
      <c r="C741" s="2">
        <f>IFERROR(__xludf.DUMMYFUNCTION("""COMPUTED_VALUE"""),1.0)</f>
        <v>1</v>
      </c>
      <c r="D741" s="2">
        <f>IFERROR(__xludf.DUMMYFUNCTION("""COMPUTED_VALUE"""),150.8)</f>
        <v>150.8</v>
      </c>
    </row>
    <row r="742">
      <c r="A742" s="2" t="str">
        <f>IFERROR(__xludf.DUMMYFUNCTION("""COMPUTED_VALUE"""),"PR041")</f>
        <v>PR041</v>
      </c>
      <c r="B742" s="2" t="str">
        <f>IFERROR(__xludf.DUMMYFUNCTION("""COMPUTED_VALUE"""),"VD017")</f>
        <v>VD017</v>
      </c>
      <c r="C742" s="2">
        <f>IFERROR(__xludf.DUMMYFUNCTION("""COMPUTED_VALUE"""),4.0)</f>
        <v>4</v>
      </c>
      <c r="D742" s="2">
        <f>IFERROR(__xludf.DUMMYFUNCTION("""COMPUTED_VALUE"""),228.38)</f>
        <v>228.38</v>
      </c>
    </row>
    <row r="743">
      <c r="A743" s="2" t="str">
        <f>IFERROR(__xludf.DUMMYFUNCTION("""COMPUTED_VALUE"""),"PR055")</f>
        <v>PR055</v>
      </c>
      <c r="B743" s="2" t="str">
        <f>IFERROR(__xludf.DUMMYFUNCTION("""COMPUTED_VALUE"""),"VD040")</f>
        <v>VD040</v>
      </c>
      <c r="C743" s="2">
        <f>IFERROR(__xludf.DUMMYFUNCTION("""COMPUTED_VALUE"""),16.0)</f>
        <v>16</v>
      </c>
      <c r="D743" s="2">
        <f>IFERROR(__xludf.DUMMYFUNCTION("""COMPUTED_VALUE"""),1495.94)</f>
        <v>1495.94</v>
      </c>
    </row>
    <row r="744">
      <c r="A744" s="2" t="str">
        <f>IFERROR(__xludf.DUMMYFUNCTION("""COMPUTED_VALUE"""),"PR048")</f>
        <v>PR048</v>
      </c>
      <c r="B744" s="2" t="str">
        <f>IFERROR(__xludf.DUMMYFUNCTION("""COMPUTED_VALUE"""),"VD045")</f>
        <v>VD045</v>
      </c>
      <c r="C744" s="2">
        <f>IFERROR(__xludf.DUMMYFUNCTION("""COMPUTED_VALUE"""),4.0)</f>
        <v>4</v>
      </c>
      <c r="D744" s="2">
        <f>IFERROR(__xludf.DUMMYFUNCTION("""COMPUTED_VALUE"""),1205.98)</f>
        <v>1205.98</v>
      </c>
    </row>
    <row r="745">
      <c r="A745" s="2" t="str">
        <f>IFERROR(__xludf.DUMMYFUNCTION("""COMPUTED_VALUE"""),"PR024")</f>
        <v>PR024</v>
      </c>
      <c r="B745" s="2" t="str">
        <f>IFERROR(__xludf.DUMMYFUNCTION("""COMPUTED_VALUE"""),"VD019")</f>
        <v>VD019</v>
      </c>
      <c r="C745" s="2">
        <f>IFERROR(__xludf.DUMMYFUNCTION("""COMPUTED_VALUE"""),4.0)</f>
        <v>4</v>
      </c>
      <c r="D745" s="2">
        <f>IFERROR(__xludf.DUMMYFUNCTION("""COMPUTED_VALUE"""),1112.37)</f>
        <v>1112.37</v>
      </c>
    </row>
    <row r="746">
      <c r="A746" s="2" t="str">
        <f>IFERROR(__xludf.DUMMYFUNCTION("""COMPUTED_VALUE"""),"PR006")</f>
        <v>PR006</v>
      </c>
      <c r="B746" s="2" t="str">
        <f>IFERROR(__xludf.DUMMYFUNCTION("""COMPUTED_VALUE"""),"VD023")</f>
        <v>VD023</v>
      </c>
      <c r="C746" s="2">
        <f>IFERROR(__xludf.DUMMYFUNCTION("""COMPUTED_VALUE"""),14.0)</f>
        <v>14</v>
      </c>
      <c r="D746" s="2">
        <f>IFERROR(__xludf.DUMMYFUNCTION("""COMPUTED_VALUE"""),586.53)</f>
        <v>586.53</v>
      </c>
    </row>
    <row r="747">
      <c r="A747" s="2" t="str">
        <f>IFERROR(__xludf.DUMMYFUNCTION("""COMPUTED_VALUE"""),"PR022")</f>
        <v>PR022</v>
      </c>
      <c r="B747" s="2" t="str">
        <f>IFERROR(__xludf.DUMMYFUNCTION("""COMPUTED_VALUE"""),"VD029")</f>
        <v>VD029</v>
      </c>
      <c r="C747" s="2">
        <f>IFERROR(__xludf.DUMMYFUNCTION("""COMPUTED_VALUE"""),7.0)</f>
        <v>7</v>
      </c>
      <c r="D747" s="2">
        <f>IFERROR(__xludf.DUMMYFUNCTION("""COMPUTED_VALUE"""),2100.0)</f>
        <v>2100</v>
      </c>
    </row>
    <row r="748">
      <c r="A748" s="2" t="str">
        <f>IFERROR(__xludf.DUMMYFUNCTION("""COMPUTED_VALUE"""),"PR027")</f>
        <v>PR027</v>
      </c>
      <c r="B748" s="2" t="str">
        <f>IFERROR(__xludf.DUMMYFUNCTION("""COMPUTED_VALUE"""),"VD016")</f>
        <v>VD016</v>
      </c>
      <c r="C748" s="2">
        <f>IFERROR(__xludf.DUMMYFUNCTION("""COMPUTED_VALUE"""),2.0)</f>
        <v>2</v>
      </c>
      <c r="D748" s="2">
        <f>IFERROR(__xludf.DUMMYFUNCTION("""COMPUTED_VALUE"""),242.4)</f>
        <v>242.4</v>
      </c>
    </row>
    <row r="749">
      <c r="A749" s="2" t="str">
        <f>IFERROR(__xludf.DUMMYFUNCTION("""COMPUTED_VALUE"""),"PR017")</f>
        <v>PR017</v>
      </c>
      <c r="B749" s="2" t="str">
        <f>IFERROR(__xludf.DUMMYFUNCTION("""COMPUTED_VALUE"""),"VD029")</f>
        <v>VD029</v>
      </c>
      <c r="C749" s="2">
        <f>IFERROR(__xludf.DUMMYFUNCTION("""COMPUTED_VALUE"""),12.0)</f>
        <v>12</v>
      </c>
      <c r="D749" s="2">
        <f>IFERROR(__xludf.DUMMYFUNCTION("""COMPUTED_VALUE"""),380.33)</f>
        <v>380.33</v>
      </c>
    </row>
    <row r="750">
      <c r="A750" s="2" t="str">
        <f>IFERROR(__xludf.DUMMYFUNCTION("""COMPUTED_VALUE"""),"PR018")</f>
        <v>PR018</v>
      </c>
      <c r="B750" s="2" t="str">
        <f>IFERROR(__xludf.DUMMYFUNCTION("""COMPUTED_VALUE"""),"VD049")</f>
        <v>VD049</v>
      </c>
      <c r="C750" s="2">
        <f>IFERROR(__xludf.DUMMYFUNCTION("""COMPUTED_VALUE"""),12.0)</f>
        <v>12</v>
      </c>
      <c r="D750" s="2">
        <f>IFERROR(__xludf.DUMMYFUNCTION("""COMPUTED_VALUE"""),410.59)</f>
        <v>410.59</v>
      </c>
    </row>
    <row r="751">
      <c r="A751" s="2" t="str">
        <f>IFERROR(__xludf.DUMMYFUNCTION("""COMPUTED_VALUE"""),"PR003")</f>
        <v>PR003</v>
      </c>
      <c r="B751" s="2" t="str">
        <f>IFERROR(__xludf.DUMMYFUNCTION("""COMPUTED_VALUE"""),"VD024")</f>
        <v>VD024</v>
      </c>
      <c r="C751" s="2">
        <f>IFERROR(__xludf.DUMMYFUNCTION("""COMPUTED_VALUE"""),9.0)</f>
        <v>9</v>
      </c>
      <c r="D751" s="2">
        <f>IFERROR(__xludf.DUMMYFUNCTION("""COMPUTED_VALUE"""),638.1)</f>
        <v>638.1</v>
      </c>
    </row>
    <row r="752">
      <c r="A752" s="2" t="str">
        <f>IFERROR(__xludf.DUMMYFUNCTION("""COMPUTED_VALUE"""),"PR021")</f>
        <v>PR021</v>
      </c>
      <c r="B752" s="2" t="str">
        <f>IFERROR(__xludf.DUMMYFUNCTION("""COMPUTED_VALUE"""),"VD046")</f>
        <v>VD046</v>
      </c>
      <c r="C752" s="2">
        <f>IFERROR(__xludf.DUMMYFUNCTION("""COMPUTED_VALUE"""),20.0)</f>
        <v>20</v>
      </c>
      <c r="D752" s="2">
        <f>IFERROR(__xludf.DUMMYFUNCTION("""COMPUTED_VALUE"""),6239.74)</f>
        <v>6239.74</v>
      </c>
    </row>
    <row r="753">
      <c r="A753" s="2" t="str">
        <f>IFERROR(__xludf.DUMMYFUNCTION("""COMPUTED_VALUE"""),"PR018")</f>
        <v>PR018</v>
      </c>
      <c r="B753" s="2" t="str">
        <f>IFERROR(__xludf.DUMMYFUNCTION("""COMPUTED_VALUE"""),"VD049")</f>
        <v>VD049</v>
      </c>
      <c r="C753" s="2">
        <f>IFERROR(__xludf.DUMMYFUNCTION("""COMPUTED_VALUE"""),8.0)</f>
        <v>8</v>
      </c>
      <c r="D753" s="2">
        <f>IFERROR(__xludf.DUMMYFUNCTION("""COMPUTED_VALUE"""),278.99)</f>
        <v>278.99</v>
      </c>
    </row>
    <row r="754">
      <c r="A754" s="2" t="str">
        <f>IFERROR(__xludf.DUMMYFUNCTION("""COMPUTED_VALUE"""),"PR047")</f>
        <v>PR047</v>
      </c>
      <c r="B754" s="2" t="str">
        <f>IFERROR(__xludf.DUMMYFUNCTION("""COMPUTED_VALUE"""),"VD019")</f>
        <v>VD019</v>
      </c>
      <c r="C754" s="2">
        <f>IFERROR(__xludf.DUMMYFUNCTION("""COMPUTED_VALUE"""),8.0)</f>
        <v>8</v>
      </c>
      <c r="D754" s="2">
        <f>IFERROR(__xludf.DUMMYFUNCTION("""COMPUTED_VALUE"""),2527.93)</f>
        <v>2527.93</v>
      </c>
    </row>
    <row r="755">
      <c r="A755" s="2" t="str">
        <f>IFERROR(__xludf.DUMMYFUNCTION("""COMPUTED_VALUE"""),"PR030")</f>
        <v>PR030</v>
      </c>
      <c r="B755" s="2" t="str">
        <f>IFERROR(__xludf.DUMMYFUNCTION("""COMPUTED_VALUE"""),"VD043")</f>
        <v>VD043</v>
      </c>
      <c r="C755" s="2">
        <f>IFERROR(__xludf.DUMMYFUNCTION("""COMPUTED_VALUE"""),16.0)</f>
        <v>16</v>
      </c>
      <c r="D755" s="2">
        <f>IFERROR(__xludf.DUMMYFUNCTION("""COMPUTED_VALUE"""),4366.32)</f>
        <v>4366.32</v>
      </c>
    </row>
    <row r="756">
      <c r="A756" s="2" t="str">
        <f>IFERROR(__xludf.DUMMYFUNCTION("""COMPUTED_VALUE"""),"PR011")</f>
        <v>PR011</v>
      </c>
      <c r="B756" s="2" t="str">
        <f>IFERROR(__xludf.DUMMYFUNCTION("""COMPUTED_VALUE"""),"VD026")</f>
        <v>VD026</v>
      </c>
      <c r="C756" s="2">
        <f>IFERROR(__xludf.DUMMYFUNCTION("""COMPUTED_VALUE"""),14.0)</f>
        <v>14</v>
      </c>
      <c r="D756" s="2">
        <f>IFERROR(__xludf.DUMMYFUNCTION("""COMPUTED_VALUE"""),709.13)</f>
        <v>709.13</v>
      </c>
    </row>
    <row r="757">
      <c r="A757" s="2" t="str">
        <f>IFERROR(__xludf.DUMMYFUNCTION("""COMPUTED_VALUE"""),"PR049")</f>
        <v>PR049</v>
      </c>
      <c r="B757" s="2" t="str">
        <f>IFERROR(__xludf.DUMMYFUNCTION("""COMPUTED_VALUE"""),"VD042")</f>
        <v>VD042</v>
      </c>
      <c r="C757" s="2">
        <f>IFERROR(__xludf.DUMMYFUNCTION("""COMPUTED_VALUE"""),8.0)</f>
        <v>8</v>
      </c>
      <c r="D757" s="2">
        <f>IFERROR(__xludf.DUMMYFUNCTION("""COMPUTED_VALUE"""),289.52)</f>
        <v>289.52</v>
      </c>
    </row>
    <row r="758">
      <c r="A758" s="2" t="str">
        <f>IFERROR(__xludf.DUMMYFUNCTION("""COMPUTED_VALUE"""),"PR057")</f>
        <v>PR057</v>
      </c>
      <c r="B758" s="2" t="str">
        <f>IFERROR(__xludf.DUMMYFUNCTION("""COMPUTED_VALUE"""),"VD034")</f>
        <v>VD034</v>
      </c>
      <c r="C758" s="2">
        <f>IFERROR(__xludf.DUMMYFUNCTION("""COMPUTED_VALUE"""),4.0)</f>
        <v>4</v>
      </c>
      <c r="D758" s="2">
        <f>IFERROR(__xludf.DUMMYFUNCTION("""COMPUTED_VALUE"""),366.79)</f>
        <v>366.79</v>
      </c>
    </row>
    <row r="759">
      <c r="A759" s="2" t="str">
        <f>IFERROR(__xludf.DUMMYFUNCTION("""COMPUTED_VALUE"""),"PR049")</f>
        <v>PR049</v>
      </c>
      <c r="B759" s="2" t="str">
        <f>IFERROR(__xludf.DUMMYFUNCTION("""COMPUTED_VALUE"""),"VD049")</f>
        <v>VD049</v>
      </c>
      <c r="C759" s="2">
        <f>IFERROR(__xludf.DUMMYFUNCTION("""COMPUTED_VALUE"""),10.0)</f>
        <v>10</v>
      </c>
      <c r="D759" s="2">
        <f>IFERROR(__xludf.DUMMYFUNCTION("""COMPUTED_VALUE"""),361.9)</f>
        <v>361.9</v>
      </c>
    </row>
    <row r="760">
      <c r="A760" s="2" t="str">
        <f>IFERROR(__xludf.DUMMYFUNCTION("""COMPUTED_VALUE"""),"PR037")</f>
        <v>PR037</v>
      </c>
      <c r="B760" s="2" t="str">
        <f>IFERROR(__xludf.DUMMYFUNCTION("""COMPUTED_VALUE"""),"VD029")</f>
        <v>VD029</v>
      </c>
      <c r="C760" s="2">
        <f>IFERROR(__xludf.DUMMYFUNCTION("""COMPUTED_VALUE"""),4.0)</f>
        <v>4</v>
      </c>
      <c r="D760" s="2">
        <f>IFERROR(__xludf.DUMMYFUNCTION("""COMPUTED_VALUE"""),588.0)</f>
        <v>588</v>
      </c>
    </row>
    <row r="761">
      <c r="A761" s="2" t="str">
        <f>IFERROR(__xludf.DUMMYFUNCTION("""COMPUTED_VALUE"""),"PR029")</f>
        <v>PR029</v>
      </c>
      <c r="B761" s="2" t="str">
        <f>IFERROR(__xludf.DUMMYFUNCTION("""COMPUTED_VALUE"""),"VD017")</f>
        <v>VD017</v>
      </c>
      <c r="C761" s="2">
        <f>IFERROR(__xludf.DUMMYFUNCTION("""COMPUTED_VALUE"""),8.0)</f>
        <v>8</v>
      </c>
      <c r="D761" s="2">
        <f>IFERROR(__xludf.DUMMYFUNCTION("""COMPUTED_VALUE"""),2223.6)</f>
        <v>2223.6</v>
      </c>
    </row>
    <row r="762">
      <c r="A762" s="2" t="str">
        <f>IFERROR(__xludf.DUMMYFUNCTION("""COMPUTED_VALUE"""),"PR007")</f>
        <v>PR007</v>
      </c>
      <c r="B762" s="2" t="str">
        <f>IFERROR(__xludf.DUMMYFUNCTION("""COMPUTED_VALUE"""),"VD027")</f>
        <v>VD027</v>
      </c>
      <c r="C762" s="2">
        <f>IFERROR(__xludf.DUMMYFUNCTION("""COMPUTED_VALUE"""),18.0)</f>
        <v>18</v>
      </c>
      <c r="D762" s="2">
        <f>IFERROR(__xludf.DUMMYFUNCTION("""COMPUTED_VALUE"""),1592.59)</f>
        <v>1592.59</v>
      </c>
    </row>
    <row r="763">
      <c r="A763" s="2" t="str">
        <f>IFERROR(__xludf.DUMMYFUNCTION("""COMPUTED_VALUE"""),"PR023")</f>
        <v>PR023</v>
      </c>
      <c r="B763" s="2" t="str">
        <f>IFERROR(__xludf.DUMMYFUNCTION("""COMPUTED_VALUE"""),"VD044")</f>
        <v>VD044</v>
      </c>
      <c r="C763" s="2">
        <f>IFERROR(__xludf.DUMMYFUNCTION("""COMPUTED_VALUE"""),7.0)</f>
        <v>7</v>
      </c>
      <c r="D763" s="2">
        <f>IFERROR(__xludf.DUMMYFUNCTION("""COMPUTED_VALUE"""),1784.29)</f>
        <v>1784.29</v>
      </c>
    </row>
    <row r="764">
      <c r="A764" s="2" t="str">
        <f>IFERROR(__xludf.DUMMYFUNCTION("""COMPUTED_VALUE"""),"PR003")</f>
        <v>PR003</v>
      </c>
      <c r="B764" s="2" t="str">
        <f>IFERROR(__xludf.DUMMYFUNCTION("""COMPUTED_VALUE"""),"VD011")</f>
        <v>VD011</v>
      </c>
      <c r="C764" s="2">
        <f>IFERROR(__xludf.DUMMYFUNCTION("""COMPUTED_VALUE"""),2.0)</f>
        <v>2</v>
      </c>
      <c r="D764" s="2">
        <f>IFERROR(__xludf.DUMMYFUNCTION("""COMPUTED_VALUE"""),143.22)</f>
        <v>143.22</v>
      </c>
    </row>
    <row r="765">
      <c r="A765" s="2" t="str">
        <f>IFERROR(__xludf.DUMMYFUNCTION("""COMPUTED_VALUE"""),"PR006")</f>
        <v>PR006</v>
      </c>
      <c r="B765" s="2" t="str">
        <f>IFERROR(__xludf.DUMMYFUNCTION("""COMPUTED_VALUE"""),"VD039")</f>
        <v>VD039</v>
      </c>
      <c r="C765" s="2">
        <f>IFERROR(__xludf.DUMMYFUNCTION("""COMPUTED_VALUE"""),10.0)</f>
        <v>10</v>
      </c>
      <c r="D765" s="2">
        <f>IFERROR(__xludf.DUMMYFUNCTION("""COMPUTED_VALUE"""),402.99)</f>
        <v>402.99</v>
      </c>
    </row>
    <row r="766">
      <c r="A766" s="2" t="str">
        <f>IFERROR(__xludf.DUMMYFUNCTION("""COMPUTED_VALUE"""),"PR014")</f>
        <v>PR014</v>
      </c>
      <c r="B766" s="2" t="str">
        <f>IFERROR(__xludf.DUMMYFUNCTION("""COMPUTED_VALUE"""),"VD039")</f>
        <v>VD039</v>
      </c>
      <c r="C766" s="2">
        <f>IFERROR(__xludf.DUMMYFUNCTION("""COMPUTED_VALUE"""),7.0)</f>
        <v>7</v>
      </c>
      <c r="D766" s="2">
        <f>IFERROR(__xludf.DUMMYFUNCTION("""COMPUTED_VALUE"""),304.44)</f>
        <v>304.44</v>
      </c>
    </row>
    <row r="767">
      <c r="A767" s="2" t="str">
        <f>IFERROR(__xludf.DUMMYFUNCTION("""COMPUTED_VALUE"""),"PR033")</f>
        <v>PR033</v>
      </c>
      <c r="B767" s="2" t="str">
        <f>IFERROR(__xludf.DUMMYFUNCTION("""COMPUTED_VALUE"""),"VD042")</f>
        <v>VD042</v>
      </c>
      <c r="C767" s="2">
        <f>IFERROR(__xludf.DUMMYFUNCTION("""COMPUTED_VALUE"""),9.0)</f>
        <v>9</v>
      </c>
      <c r="D767" s="2">
        <f>IFERROR(__xludf.DUMMYFUNCTION("""COMPUTED_VALUE"""),2409.27)</f>
        <v>2409.27</v>
      </c>
    </row>
    <row r="768">
      <c r="A768" s="2" t="str">
        <f>IFERROR(__xludf.DUMMYFUNCTION("""COMPUTED_VALUE"""),"PR017")</f>
        <v>PR017</v>
      </c>
      <c r="B768" s="2" t="str">
        <f>IFERROR(__xludf.DUMMYFUNCTION("""COMPUTED_VALUE"""),"VD022")</f>
        <v>VD022</v>
      </c>
      <c r="C768" s="2">
        <f>IFERROR(__xludf.DUMMYFUNCTION("""COMPUTED_VALUE"""),2.0)</f>
        <v>2</v>
      </c>
      <c r="D768" s="2">
        <f>IFERROR(__xludf.DUMMYFUNCTION("""COMPUTED_VALUE"""),63.39)</f>
        <v>63.39</v>
      </c>
    </row>
    <row r="769">
      <c r="A769" s="2" t="str">
        <f>IFERROR(__xludf.DUMMYFUNCTION("""COMPUTED_VALUE"""),"PR038")</f>
        <v>PR038</v>
      </c>
      <c r="B769" s="2" t="str">
        <f>IFERROR(__xludf.DUMMYFUNCTION("""COMPUTED_VALUE"""),"VD010")</f>
        <v>VD010</v>
      </c>
      <c r="C769" s="2">
        <f>IFERROR(__xludf.DUMMYFUNCTION("""COMPUTED_VALUE"""),7.0)</f>
        <v>7</v>
      </c>
      <c r="D769" s="2">
        <f>IFERROR(__xludf.DUMMYFUNCTION("""COMPUTED_VALUE"""),1070.32)</f>
        <v>1070.32</v>
      </c>
    </row>
    <row r="770">
      <c r="A770" s="2" t="str">
        <f>IFERROR(__xludf.DUMMYFUNCTION("""COMPUTED_VALUE"""),"PR020")</f>
        <v>PR020</v>
      </c>
      <c r="B770" s="2" t="str">
        <f>IFERROR(__xludf.DUMMYFUNCTION("""COMPUTED_VALUE"""),"VD038")</f>
        <v>VD038</v>
      </c>
      <c r="C770" s="2">
        <f>IFERROR(__xludf.DUMMYFUNCTION("""COMPUTED_VALUE"""),5.0)</f>
        <v>5</v>
      </c>
      <c r="D770" s="2">
        <f>IFERROR(__xludf.DUMMYFUNCTION("""COMPUTED_VALUE"""),1589.47)</f>
        <v>1589.47</v>
      </c>
    </row>
    <row r="771">
      <c r="A771" s="2" t="str">
        <f>IFERROR(__xludf.DUMMYFUNCTION("""COMPUTED_VALUE"""),"PR005")</f>
        <v>PR005</v>
      </c>
      <c r="B771" s="2" t="str">
        <f>IFERROR(__xludf.DUMMYFUNCTION("""COMPUTED_VALUE"""),"VD047")</f>
        <v>VD047</v>
      </c>
      <c r="C771" s="2">
        <f>IFERROR(__xludf.DUMMYFUNCTION("""COMPUTED_VALUE"""),3.0)</f>
        <v>3</v>
      </c>
      <c r="D771" s="2">
        <f>IFERROR(__xludf.DUMMYFUNCTION("""COMPUTED_VALUE"""),849.87)</f>
        <v>849.87</v>
      </c>
    </row>
    <row r="772">
      <c r="A772" s="2" t="str">
        <f>IFERROR(__xludf.DUMMYFUNCTION("""COMPUTED_VALUE"""),"PR058")</f>
        <v>PR058</v>
      </c>
      <c r="B772" s="2" t="str">
        <f>IFERROR(__xludf.DUMMYFUNCTION("""COMPUTED_VALUE"""),"VD014")</f>
        <v>VD014</v>
      </c>
      <c r="C772" s="2">
        <f>IFERROR(__xludf.DUMMYFUNCTION("""COMPUTED_VALUE"""),1.0)</f>
        <v>1</v>
      </c>
      <c r="D772" s="2">
        <f>IFERROR(__xludf.DUMMYFUNCTION("""COMPUTED_VALUE"""),190.8)</f>
        <v>190.8</v>
      </c>
    </row>
    <row r="773">
      <c r="A773" s="2" t="str">
        <f>IFERROR(__xludf.DUMMYFUNCTION("""COMPUTED_VALUE"""),"PR033")</f>
        <v>PR033</v>
      </c>
      <c r="B773" s="2" t="str">
        <f>IFERROR(__xludf.DUMMYFUNCTION("""COMPUTED_VALUE"""),"VD049")</f>
        <v>VD049</v>
      </c>
      <c r="C773" s="2">
        <f>IFERROR(__xludf.DUMMYFUNCTION("""COMPUTED_VALUE"""),2.0)</f>
        <v>2</v>
      </c>
      <c r="D773" s="2">
        <f>IFERROR(__xludf.DUMMYFUNCTION("""COMPUTED_VALUE"""),571.78)</f>
        <v>571.78</v>
      </c>
    </row>
    <row r="774">
      <c r="A774" s="2" t="str">
        <f>IFERROR(__xludf.DUMMYFUNCTION("""COMPUTED_VALUE"""),"PR049")</f>
        <v>PR049</v>
      </c>
      <c r="B774" s="2" t="str">
        <f>IFERROR(__xludf.DUMMYFUNCTION("""COMPUTED_VALUE"""),"VD047")</f>
        <v>VD047</v>
      </c>
      <c r="C774" s="2">
        <f>IFERROR(__xludf.DUMMYFUNCTION("""COMPUTED_VALUE"""),1.0)</f>
        <v>1</v>
      </c>
      <c r="D774" s="2">
        <f>IFERROR(__xludf.DUMMYFUNCTION("""COMPUTED_VALUE"""),34.55)</f>
        <v>34.55</v>
      </c>
    </row>
    <row r="775">
      <c r="A775" s="2" t="str">
        <f>IFERROR(__xludf.DUMMYFUNCTION("""COMPUTED_VALUE"""),"PR028")</f>
        <v>PR028</v>
      </c>
      <c r="B775" s="2" t="str">
        <f>IFERROR(__xludf.DUMMYFUNCTION("""COMPUTED_VALUE"""),"VD024")</f>
        <v>VD024</v>
      </c>
      <c r="C775" s="2">
        <f>IFERROR(__xludf.DUMMYFUNCTION("""COMPUTED_VALUE"""),9.0)</f>
        <v>9</v>
      </c>
      <c r="D775" s="2">
        <f>IFERROR(__xludf.DUMMYFUNCTION("""COMPUTED_VALUE"""),2474.01)</f>
        <v>2474.01</v>
      </c>
    </row>
    <row r="776">
      <c r="A776" s="2" t="str">
        <f>IFERROR(__xludf.DUMMYFUNCTION("""COMPUTED_VALUE"""),"PR034")</f>
        <v>PR034</v>
      </c>
      <c r="B776" s="2" t="str">
        <f>IFERROR(__xludf.DUMMYFUNCTION("""COMPUTED_VALUE"""),"VD029")</f>
        <v>VD029</v>
      </c>
      <c r="C776" s="2">
        <f>IFERROR(__xludf.DUMMYFUNCTION("""COMPUTED_VALUE"""),8.0)</f>
        <v>8</v>
      </c>
      <c r="D776" s="2">
        <f>IFERROR(__xludf.DUMMYFUNCTION("""COMPUTED_VALUE"""),769.54)</f>
        <v>769.54</v>
      </c>
    </row>
    <row r="777">
      <c r="A777" s="2" t="str">
        <f>IFERROR(__xludf.DUMMYFUNCTION("""COMPUTED_VALUE"""),"PR057")</f>
        <v>PR057</v>
      </c>
      <c r="B777" s="2" t="str">
        <f>IFERROR(__xludf.DUMMYFUNCTION("""COMPUTED_VALUE"""),"VD024")</f>
        <v>VD024</v>
      </c>
      <c r="C777" s="2">
        <f>IFERROR(__xludf.DUMMYFUNCTION("""COMPUTED_VALUE"""),8.0)</f>
        <v>8</v>
      </c>
      <c r="D777" s="2">
        <f>IFERROR(__xludf.DUMMYFUNCTION("""COMPUTED_VALUE"""),726.39)</f>
        <v>726.39</v>
      </c>
    </row>
    <row r="778">
      <c r="A778" s="2" t="str">
        <f>IFERROR(__xludf.DUMMYFUNCTION("""COMPUTED_VALUE"""),"PR007")</f>
        <v>PR007</v>
      </c>
      <c r="B778" s="2" t="str">
        <f>IFERROR(__xludf.DUMMYFUNCTION("""COMPUTED_VALUE"""),"VD048")</f>
        <v>VD048</v>
      </c>
      <c r="C778" s="2">
        <f>IFERROR(__xludf.DUMMYFUNCTION("""COMPUTED_VALUE"""),14.0)</f>
        <v>14</v>
      </c>
      <c r="D778" s="2">
        <f>IFERROR(__xludf.DUMMYFUNCTION("""COMPUTED_VALUE"""),1322.86)</f>
        <v>1322.86</v>
      </c>
    </row>
    <row r="779">
      <c r="A779" s="2" t="str">
        <f>IFERROR(__xludf.DUMMYFUNCTION("""COMPUTED_VALUE"""),"PR054")</f>
        <v>PR054</v>
      </c>
      <c r="B779" s="2" t="str">
        <f>IFERROR(__xludf.DUMMYFUNCTION("""COMPUTED_VALUE"""),"VD036")</f>
        <v>VD036</v>
      </c>
      <c r="C779" s="2">
        <f>IFERROR(__xludf.DUMMYFUNCTION("""COMPUTED_VALUE"""),6.0)</f>
        <v>6</v>
      </c>
      <c r="D779" s="2">
        <f>IFERROR(__xludf.DUMMYFUNCTION("""COMPUTED_VALUE"""),317.36)</f>
        <v>317.36</v>
      </c>
    </row>
    <row r="780">
      <c r="A780" s="2" t="str">
        <f>IFERROR(__xludf.DUMMYFUNCTION("""COMPUTED_VALUE"""),"PR026")</f>
        <v>PR026</v>
      </c>
      <c r="B780" s="2" t="str">
        <f>IFERROR(__xludf.DUMMYFUNCTION("""COMPUTED_VALUE"""),"VD016")</f>
        <v>VD016</v>
      </c>
      <c r="C780" s="2">
        <f>IFERROR(__xludf.DUMMYFUNCTION("""COMPUTED_VALUE"""),6.0)</f>
        <v>6</v>
      </c>
      <c r="D780" s="2">
        <f>IFERROR(__xludf.DUMMYFUNCTION("""COMPUTED_VALUE"""),2183.38)</f>
        <v>2183.38</v>
      </c>
    </row>
    <row r="781">
      <c r="A781" s="2" t="str">
        <f>IFERROR(__xludf.DUMMYFUNCTION("""COMPUTED_VALUE"""),"PR024")</f>
        <v>PR024</v>
      </c>
      <c r="B781" s="2" t="str">
        <f>IFERROR(__xludf.DUMMYFUNCTION("""COMPUTED_VALUE"""),"VD037")</f>
        <v>VD037</v>
      </c>
      <c r="C781" s="2">
        <f>IFERROR(__xludf.DUMMYFUNCTION("""COMPUTED_VALUE"""),5.0)</f>
        <v>5</v>
      </c>
      <c r="D781" s="2">
        <f>IFERROR(__xludf.DUMMYFUNCTION("""COMPUTED_VALUE"""),1429.45)</f>
        <v>1429.45</v>
      </c>
    </row>
    <row r="782">
      <c r="A782" s="2" t="str">
        <f>IFERROR(__xludf.DUMMYFUNCTION("""COMPUTED_VALUE"""),"PR044")</f>
        <v>PR044</v>
      </c>
      <c r="B782" s="2" t="str">
        <f>IFERROR(__xludf.DUMMYFUNCTION("""COMPUTED_VALUE"""),"VD045")</f>
        <v>VD045</v>
      </c>
      <c r="C782" s="2">
        <f>IFERROR(__xludf.DUMMYFUNCTION("""COMPUTED_VALUE"""),8.0)</f>
        <v>8</v>
      </c>
      <c r="D782" s="2">
        <f>IFERROR(__xludf.DUMMYFUNCTION("""COMPUTED_VALUE"""),620.6)</f>
        <v>620.6</v>
      </c>
    </row>
    <row r="783">
      <c r="A783" s="2" t="str">
        <f>IFERROR(__xludf.DUMMYFUNCTION("""COMPUTED_VALUE"""),"PR045")</f>
        <v>PR045</v>
      </c>
      <c r="B783" s="2" t="str">
        <f>IFERROR(__xludf.DUMMYFUNCTION("""COMPUTED_VALUE"""),"VD011")</f>
        <v>VD011</v>
      </c>
      <c r="C783" s="2">
        <f>IFERROR(__xludf.DUMMYFUNCTION("""COMPUTED_VALUE"""),12.0)</f>
        <v>12</v>
      </c>
      <c r="D783" s="2">
        <f>IFERROR(__xludf.DUMMYFUNCTION("""COMPUTED_VALUE"""),887.4)</f>
        <v>887.4</v>
      </c>
    </row>
    <row r="784">
      <c r="A784" s="2" t="str">
        <f>IFERROR(__xludf.DUMMYFUNCTION("""COMPUTED_VALUE"""),"PR060")</f>
        <v>PR060</v>
      </c>
      <c r="B784" s="2" t="str">
        <f>IFERROR(__xludf.DUMMYFUNCTION("""COMPUTED_VALUE"""),"VD037")</f>
        <v>VD037</v>
      </c>
      <c r="C784" s="2">
        <f>IFERROR(__xludf.DUMMYFUNCTION("""COMPUTED_VALUE"""),8.0)</f>
        <v>8</v>
      </c>
      <c r="D784" s="2">
        <f>IFERROR(__xludf.DUMMYFUNCTION("""COMPUTED_VALUE"""),1483.2)</f>
        <v>1483.2</v>
      </c>
    </row>
    <row r="785">
      <c r="A785" s="2" t="str">
        <f>IFERROR(__xludf.DUMMYFUNCTION("""COMPUTED_VALUE"""),"PR024")</f>
        <v>PR024</v>
      </c>
      <c r="B785" s="2" t="str">
        <f>IFERROR(__xludf.DUMMYFUNCTION("""COMPUTED_VALUE"""),"VD048")</f>
        <v>VD048</v>
      </c>
      <c r="C785" s="2">
        <f>IFERROR(__xludf.DUMMYFUNCTION("""COMPUTED_VALUE"""),2.0)</f>
        <v>2</v>
      </c>
      <c r="D785" s="2">
        <f>IFERROR(__xludf.DUMMYFUNCTION("""COMPUTED_VALUE"""),525.0)</f>
        <v>525</v>
      </c>
    </row>
    <row r="786">
      <c r="A786" s="2" t="str">
        <f>IFERROR(__xludf.DUMMYFUNCTION("""COMPUTED_VALUE"""),"PR056")</f>
        <v>PR056</v>
      </c>
      <c r="B786" s="2" t="str">
        <f>IFERROR(__xludf.DUMMYFUNCTION("""COMPUTED_VALUE"""),"VD038")</f>
        <v>VD038</v>
      </c>
      <c r="C786" s="2">
        <f>IFERROR(__xludf.DUMMYFUNCTION("""COMPUTED_VALUE"""),9.0)</f>
        <v>9</v>
      </c>
      <c r="D786" s="2">
        <f>IFERROR(__xludf.DUMMYFUNCTION("""COMPUTED_VALUE"""),825.28)</f>
        <v>825.28</v>
      </c>
    </row>
    <row r="787">
      <c r="A787" s="2" t="str">
        <f>IFERROR(__xludf.DUMMYFUNCTION("""COMPUTED_VALUE"""),"PR005")</f>
        <v>PR005</v>
      </c>
      <c r="B787" s="2" t="str">
        <f>IFERROR(__xludf.DUMMYFUNCTION("""COMPUTED_VALUE"""),"VD029")</f>
        <v>VD029</v>
      </c>
      <c r="C787" s="2">
        <f>IFERROR(__xludf.DUMMYFUNCTION("""COMPUTED_VALUE"""),2.0)</f>
        <v>2</v>
      </c>
      <c r="D787" s="2">
        <f>IFERROR(__xludf.DUMMYFUNCTION("""COMPUTED_VALUE"""),525.0)</f>
        <v>525</v>
      </c>
    </row>
    <row r="788">
      <c r="A788" s="2" t="str">
        <f>IFERROR(__xludf.DUMMYFUNCTION("""COMPUTED_VALUE"""),"PR042")</f>
        <v>PR042</v>
      </c>
      <c r="B788" s="2" t="str">
        <f>IFERROR(__xludf.DUMMYFUNCTION("""COMPUTED_VALUE"""),"VD036")</f>
        <v>VD036</v>
      </c>
      <c r="C788" s="2">
        <f>IFERROR(__xludf.DUMMYFUNCTION("""COMPUTED_VALUE"""),9.0)</f>
        <v>9</v>
      </c>
      <c r="D788" s="2">
        <f>IFERROR(__xludf.DUMMYFUNCTION("""COMPUTED_VALUE"""),533.63)</f>
        <v>533.63</v>
      </c>
    </row>
    <row r="789">
      <c r="A789" s="2" t="str">
        <f>IFERROR(__xludf.DUMMYFUNCTION("""COMPUTED_VALUE"""),"PR039")</f>
        <v>PR039</v>
      </c>
      <c r="B789" s="2" t="str">
        <f>IFERROR(__xludf.DUMMYFUNCTION("""COMPUTED_VALUE"""),"VD013")</f>
        <v>VD013</v>
      </c>
      <c r="C789" s="2">
        <f>IFERROR(__xludf.DUMMYFUNCTION("""COMPUTED_VALUE"""),9.0)</f>
        <v>9</v>
      </c>
      <c r="D789" s="2">
        <f>IFERROR(__xludf.DUMMYFUNCTION("""COMPUTED_VALUE"""),1379.7)</f>
        <v>1379.7</v>
      </c>
    </row>
    <row r="790">
      <c r="A790" s="2" t="str">
        <f>IFERROR(__xludf.DUMMYFUNCTION("""COMPUTED_VALUE"""),"PR021")</f>
        <v>PR021</v>
      </c>
      <c r="B790" s="2" t="str">
        <f>IFERROR(__xludf.DUMMYFUNCTION("""COMPUTED_VALUE"""),"VD027")</f>
        <v>VD027</v>
      </c>
      <c r="C790" s="2">
        <f>IFERROR(__xludf.DUMMYFUNCTION("""COMPUTED_VALUE"""),4.0)</f>
        <v>4</v>
      </c>
      <c r="D790" s="2">
        <f>IFERROR(__xludf.DUMMYFUNCTION("""COMPUTED_VALUE"""),1260.06)</f>
        <v>1260.06</v>
      </c>
    </row>
    <row r="791">
      <c r="A791" s="2" t="str">
        <f>IFERROR(__xludf.DUMMYFUNCTION("""COMPUTED_VALUE"""),"PR047")</f>
        <v>PR047</v>
      </c>
      <c r="B791" s="2" t="str">
        <f>IFERROR(__xludf.DUMMYFUNCTION("""COMPUTED_VALUE"""),"VD030")</f>
        <v>VD030</v>
      </c>
      <c r="C791" s="2">
        <f>IFERROR(__xludf.DUMMYFUNCTION("""COMPUTED_VALUE"""),10.0)</f>
        <v>10</v>
      </c>
      <c r="D791" s="2">
        <f>IFERROR(__xludf.DUMMYFUNCTION("""COMPUTED_VALUE"""),3043.95)</f>
        <v>3043.95</v>
      </c>
    </row>
    <row r="792">
      <c r="A792" s="2" t="str">
        <f>IFERROR(__xludf.DUMMYFUNCTION("""COMPUTED_VALUE"""),"PR056")</f>
        <v>PR056</v>
      </c>
      <c r="B792" s="2" t="str">
        <f>IFERROR(__xludf.DUMMYFUNCTION("""COMPUTED_VALUE"""),"VD015")</f>
        <v>VD015</v>
      </c>
      <c r="C792" s="2">
        <f>IFERROR(__xludf.DUMMYFUNCTION("""COMPUTED_VALUE"""),7.0)</f>
        <v>7</v>
      </c>
      <c r="D792" s="2">
        <f>IFERROR(__xludf.DUMMYFUNCTION("""COMPUTED_VALUE"""),635.59)</f>
        <v>635.59</v>
      </c>
    </row>
    <row r="793">
      <c r="A793" s="2" t="str">
        <f>IFERROR(__xludf.DUMMYFUNCTION("""COMPUTED_VALUE"""),"PR057")</f>
        <v>PR057</v>
      </c>
      <c r="B793" s="2" t="str">
        <f>IFERROR(__xludf.DUMMYFUNCTION("""COMPUTED_VALUE"""),"VD010")</f>
        <v>VD010</v>
      </c>
      <c r="C793" s="2">
        <f>IFERROR(__xludf.DUMMYFUNCTION("""COMPUTED_VALUE"""),4.0)</f>
        <v>4</v>
      </c>
      <c r="D793" s="2">
        <f>IFERROR(__xludf.DUMMYFUNCTION("""COMPUTED_VALUE"""),381.18)</f>
        <v>381.18</v>
      </c>
    </row>
    <row r="794">
      <c r="A794" s="2" t="str">
        <f>IFERROR(__xludf.DUMMYFUNCTION("""COMPUTED_VALUE"""),"PR023")</f>
        <v>PR023</v>
      </c>
      <c r="B794" s="2" t="str">
        <f>IFERROR(__xludf.DUMMYFUNCTION("""COMPUTED_VALUE"""),"VD021")</f>
        <v>VD021</v>
      </c>
      <c r="C794" s="2">
        <f>IFERROR(__xludf.DUMMYFUNCTION("""COMPUTED_VALUE"""),6.0)</f>
        <v>6</v>
      </c>
      <c r="D794" s="2">
        <f>IFERROR(__xludf.DUMMYFUNCTION("""COMPUTED_VALUE"""),1604.36)</f>
        <v>1604.36</v>
      </c>
    </row>
    <row r="795">
      <c r="A795" s="2" t="str">
        <f>IFERROR(__xludf.DUMMYFUNCTION("""COMPUTED_VALUE"""),"PR001")</f>
        <v>PR001</v>
      </c>
      <c r="B795" s="2" t="str">
        <f>IFERROR(__xludf.DUMMYFUNCTION("""COMPUTED_VALUE"""),"VD036")</f>
        <v>VD036</v>
      </c>
      <c r="C795" s="2">
        <f>IFERROR(__xludf.DUMMYFUNCTION("""COMPUTED_VALUE"""),8.0)</f>
        <v>8</v>
      </c>
      <c r="D795" s="2">
        <f>IFERROR(__xludf.DUMMYFUNCTION("""COMPUTED_VALUE"""),574.65)</f>
        <v>574.65</v>
      </c>
    </row>
    <row r="796">
      <c r="A796" s="2" t="str">
        <f>IFERROR(__xludf.DUMMYFUNCTION("""COMPUTED_VALUE"""),"PR043")</f>
        <v>PR043</v>
      </c>
      <c r="B796" s="2" t="str">
        <f>IFERROR(__xludf.DUMMYFUNCTION("""COMPUTED_VALUE"""),"VD040")</f>
        <v>VD040</v>
      </c>
      <c r="C796" s="2">
        <f>IFERROR(__xludf.DUMMYFUNCTION("""COMPUTED_VALUE"""),2.0)</f>
        <v>2</v>
      </c>
      <c r="D796" s="2">
        <f>IFERROR(__xludf.DUMMYFUNCTION("""COMPUTED_VALUE"""),155.15)</f>
        <v>155.15</v>
      </c>
    </row>
    <row r="797">
      <c r="A797" s="2" t="str">
        <f>IFERROR(__xludf.DUMMYFUNCTION("""COMPUTED_VALUE"""),"PR058")</f>
        <v>PR058</v>
      </c>
      <c r="B797" s="2" t="str">
        <f>IFERROR(__xludf.DUMMYFUNCTION("""COMPUTED_VALUE"""),"VD030")</f>
        <v>VD030</v>
      </c>
      <c r="C797" s="2">
        <f>IFERROR(__xludf.DUMMYFUNCTION("""COMPUTED_VALUE"""),4.0)</f>
        <v>4</v>
      </c>
      <c r="D797" s="2">
        <f>IFERROR(__xludf.DUMMYFUNCTION("""COMPUTED_VALUE"""),720.0)</f>
        <v>720</v>
      </c>
    </row>
    <row r="798">
      <c r="A798" s="2" t="str">
        <f>IFERROR(__xludf.DUMMYFUNCTION("""COMPUTED_VALUE"""),"PR023")</f>
        <v>PR023</v>
      </c>
      <c r="B798" s="2" t="str">
        <f>IFERROR(__xludf.DUMMYFUNCTION("""COMPUTED_VALUE"""),"VD039")</f>
        <v>VD039</v>
      </c>
      <c r="C798" s="2">
        <f>IFERROR(__xludf.DUMMYFUNCTION("""COMPUTED_VALUE"""),9.0)</f>
        <v>9</v>
      </c>
      <c r="D798" s="2">
        <f>IFERROR(__xludf.DUMMYFUNCTION("""COMPUTED_VALUE"""),2474.01)</f>
        <v>2474.01</v>
      </c>
    </row>
    <row r="799">
      <c r="A799" s="2" t="str">
        <f>IFERROR(__xludf.DUMMYFUNCTION("""COMPUTED_VALUE"""),"PR012")</f>
        <v>PR012</v>
      </c>
      <c r="B799" s="2" t="str">
        <f>IFERROR(__xludf.DUMMYFUNCTION("""COMPUTED_VALUE"""),"VD032")</f>
        <v>VD032</v>
      </c>
      <c r="C799" s="2">
        <f>IFERROR(__xludf.DUMMYFUNCTION("""COMPUTED_VALUE"""),12.0)</f>
        <v>12</v>
      </c>
      <c r="D799" s="2">
        <f>IFERROR(__xludf.DUMMYFUNCTION("""COMPUTED_VALUE"""),610.27)</f>
        <v>610.27</v>
      </c>
    </row>
    <row r="800">
      <c r="A800" s="2" t="str">
        <f>IFERROR(__xludf.DUMMYFUNCTION("""COMPUTED_VALUE"""),"PR026")</f>
        <v>PR026</v>
      </c>
      <c r="B800" s="2" t="str">
        <f>IFERROR(__xludf.DUMMYFUNCTION("""COMPUTED_VALUE"""),"VD043")</f>
        <v>VD043</v>
      </c>
      <c r="C800" s="2">
        <f>IFERROR(__xludf.DUMMYFUNCTION("""COMPUTED_VALUE"""),2.0)</f>
        <v>2</v>
      </c>
      <c r="D800" s="2">
        <f>IFERROR(__xludf.DUMMYFUNCTION("""COMPUTED_VALUE"""),769.78)</f>
        <v>769.78</v>
      </c>
    </row>
    <row r="801">
      <c r="A801" s="2" t="str">
        <f>IFERROR(__xludf.DUMMYFUNCTION("""COMPUTED_VALUE"""),"PR002")</f>
        <v>PR002</v>
      </c>
      <c r="B801" s="2" t="str">
        <f>IFERROR(__xludf.DUMMYFUNCTION("""COMPUTED_VALUE"""),"VD036")</f>
        <v>VD036</v>
      </c>
      <c r="C801" s="2">
        <f>IFERROR(__xludf.DUMMYFUNCTION("""COMPUTED_VALUE"""),8.0)</f>
        <v>8</v>
      </c>
      <c r="D801" s="2">
        <f>IFERROR(__xludf.DUMMYFUNCTION("""COMPUTED_VALUE"""),587.16)</f>
        <v>587.16</v>
      </c>
    </row>
    <row r="802">
      <c r="A802" s="2" t="str">
        <f>IFERROR(__xludf.DUMMYFUNCTION("""COMPUTED_VALUE"""),"PR028")</f>
        <v>PR028</v>
      </c>
      <c r="B802" s="2" t="str">
        <f>IFERROR(__xludf.DUMMYFUNCTION("""COMPUTED_VALUE"""),"VD043")</f>
        <v>VD043</v>
      </c>
      <c r="C802" s="2">
        <f>IFERROR(__xludf.DUMMYFUNCTION("""COMPUTED_VALUE"""),4.0)</f>
        <v>4</v>
      </c>
      <c r="D802" s="2">
        <f>IFERROR(__xludf.DUMMYFUNCTION("""COMPUTED_VALUE"""),1049.58)</f>
        <v>1049.58</v>
      </c>
    </row>
    <row r="803">
      <c r="A803" s="2" t="str">
        <f>IFERROR(__xludf.DUMMYFUNCTION("""COMPUTED_VALUE"""),"PR044")</f>
        <v>PR044</v>
      </c>
      <c r="B803" s="2" t="str">
        <f>IFERROR(__xludf.DUMMYFUNCTION("""COMPUTED_VALUE"""),"VD021")</f>
        <v>VD021</v>
      </c>
      <c r="C803" s="2">
        <f>IFERROR(__xludf.DUMMYFUNCTION("""COMPUTED_VALUE"""),6.0)</f>
        <v>6</v>
      </c>
      <c r="D803" s="2">
        <f>IFERROR(__xludf.DUMMYFUNCTION("""COMPUTED_VALUE"""),439.35)</f>
        <v>439.35</v>
      </c>
    </row>
    <row r="804">
      <c r="A804" s="2" t="str">
        <f>IFERROR(__xludf.DUMMYFUNCTION("""COMPUTED_VALUE"""),"PR017")</f>
        <v>PR017</v>
      </c>
      <c r="B804" s="2" t="str">
        <f>IFERROR(__xludf.DUMMYFUNCTION("""COMPUTED_VALUE"""),"VD026")</f>
        <v>VD026</v>
      </c>
      <c r="C804" s="2">
        <f>IFERROR(__xludf.DUMMYFUNCTION("""COMPUTED_VALUE"""),2.0)</f>
        <v>2</v>
      </c>
      <c r="D804" s="2">
        <f>IFERROR(__xludf.DUMMYFUNCTION("""COMPUTED_VALUE"""),65.18)</f>
        <v>65.18</v>
      </c>
    </row>
    <row r="805">
      <c r="A805" s="2" t="str">
        <f>IFERROR(__xludf.DUMMYFUNCTION("""COMPUTED_VALUE"""),"PR008")</f>
        <v>PR008</v>
      </c>
      <c r="B805" s="2" t="str">
        <f>IFERROR(__xludf.DUMMYFUNCTION("""COMPUTED_VALUE"""),"VD027")</f>
        <v>VD027</v>
      </c>
      <c r="C805" s="2">
        <f>IFERROR(__xludf.DUMMYFUNCTION("""COMPUTED_VALUE"""),6.0)</f>
        <v>6</v>
      </c>
      <c r="D805" s="2">
        <f>IFERROR(__xludf.DUMMYFUNCTION("""COMPUTED_VALUE"""),593.34)</f>
        <v>593.34</v>
      </c>
    </row>
    <row r="806">
      <c r="A806" s="2" t="str">
        <f>IFERROR(__xludf.DUMMYFUNCTION("""COMPUTED_VALUE"""),"PR041")</f>
        <v>PR041</v>
      </c>
      <c r="B806" s="2" t="str">
        <f>IFERROR(__xludf.DUMMYFUNCTION("""COMPUTED_VALUE"""),"VD018")</f>
        <v>VD018</v>
      </c>
      <c r="C806" s="2">
        <f>IFERROR(__xludf.DUMMYFUNCTION("""COMPUTED_VALUE"""),3.0)</f>
        <v>3</v>
      </c>
      <c r="D806" s="2">
        <f>IFERROR(__xludf.DUMMYFUNCTION("""COMPUTED_VALUE"""),176.23)</f>
        <v>176.23</v>
      </c>
    </row>
    <row r="807">
      <c r="A807" s="2" t="str">
        <f>IFERROR(__xludf.DUMMYFUNCTION("""COMPUTED_VALUE"""),"PR012")</f>
        <v>PR012</v>
      </c>
      <c r="B807" s="2" t="str">
        <f>IFERROR(__xludf.DUMMYFUNCTION("""COMPUTED_VALUE"""),"VD013")</f>
        <v>VD013</v>
      </c>
      <c r="C807" s="2">
        <f>IFERROR(__xludf.DUMMYFUNCTION("""COMPUTED_VALUE"""),8.0)</f>
        <v>8</v>
      </c>
      <c r="D807" s="2">
        <f>IFERROR(__xludf.DUMMYFUNCTION("""COMPUTED_VALUE"""),402.94)</f>
        <v>402.94</v>
      </c>
    </row>
    <row r="808">
      <c r="A808" s="2" t="str">
        <f>IFERROR(__xludf.DUMMYFUNCTION("""COMPUTED_VALUE"""),"PR039")</f>
        <v>PR039</v>
      </c>
      <c r="B808" s="2" t="str">
        <f>IFERROR(__xludf.DUMMYFUNCTION("""COMPUTED_VALUE"""),"VD027")</f>
        <v>VD027</v>
      </c>
      <c r="C808" s="2">
        <f>IFERROR(__xludf.DUMMYFUNCTION("""COMPUTED_VALUE"""),2.0)</f>
        <v>2</v>
      </c>
      <c r="D808" s="2">
        <f>IFERROR(__xludf.DUMMYFUNCTION("""COMPUTED_VALUE"""),312.44)</f>
        <v>312.44</v>
      </c>
    </row>
    <row r="809">
      <c r="A809" s="2" t="str">
        <f>IFERROR(__xludf.DUMMYFUNCTION("""COMPUTED_VALUE"""),"PR054")</f>
        <v>PR054</v>
      </c>
      <c r="B809" s="2" t="str">
        <f>IFERROR(__xludf.DUMMYFUNCTION("""COMPUTED_VALUE"""),"VD036")</f>
        <v>VD036</v>
      </c>
      <c r="C809" s="2">
        <f>IFERROR(__xludf.DUMMYFUNCTION("""COMPUTED_VALUE"""),4.0)</f>
        <v>4</v>
      </c>
      <c r="D809" s="2">
        <f>IFERROR(__xludf.DUMMYFUNCTION("""COMPUTED_VALUE"""),205.59)</f>
        <v>205.59</v>
      </c>
    </row>
    <row r="810">
      <c r="A810" s="2" t="str">
        <f>IFERROR(__xludf.DUMMYFUNCTION("""COMPUTED_VALUE"""),"PR057")</f>
        <v>PR057</v>
      </c>
      <c r="B810" s="2" t="str">
        <f>IFERROR(__xludf.DUMMYFUNCTION("""COMPUTED_VALUE"""),"VD021")</f>
        <v>VD021</v>
      </c>
      <c r="C810" s="2">
        <f>IFERROR(__xludf.DUMMYFUNCTION("""COMPUTED_VALUE"""),6.0)</f>
        <v>6</v>
      </c>
      <c r="D810" s="2">
        <f>IFERROR(__xludf.DUMMYFUNCTION("""COMPUTED_VALUE"""),539.4)</f>
        <v>539.4</v>
      </c>
    </row>
    <row r="811">
      <c r="A811" s="2" t="str">
        <f>IFERROR(__xludf.DUMMYFUNCTION("""COMPUTED_VALUE"""),"PR013")</f>
        <v>PR013</v>
      </c>
      <c r="B811" s="2" t="str">
        <f>IFERROR(__xludf.DUMMYFUNCTION("""COMPUTED_VALUE"""),"VD010")</f>
        <v>VD010</v>
      </c>
      <c r="C811" s="2">
        <f>IFERROR(__xludf.DUMMYFUNCTION("""COMPUTED_VALUE"""),14.0)</f>
        <v>14</v>
      </c>
      <c r="D811" s="2">
        <f>IFERROR(__xludf.DUMMYFUNCTION("""COMPUTED_VALUE"""),558.6)</f>
        <v>558.6</v>
      </c>
    </row>
    <row r="812">
      <c r="A812" s="2" t="str">
        <f>IFERROR(__xludf.DUMMYFUNCTION("""COMPUTED_VALUE"""),"PR033")</f>
        <v>PR033</v>
      </c>
      <c r="B812" s="2" t="str">
        <f>IFERROR(__xludf.DUMMYFUNCTION("""COMPUTED_VALUE"""),"VD038")</f>
        <v>VD038</v>
      </c>
      <c r="C812" s="2">
        <f>IFERROR(__xludf.DUMMYFUNCTION("""COMPUTED_VALUE"""),4.0)</f>
        <v>4</v>
      </c>
      <c r="D812" s="2">
        <f>IFERROR(__xludf.DUMMYFUNCTION("""COMPUTED_VALUE"""),1050.0)</f>
        <v>1050</v>
      </c>
    </row>
    <row r="813">
      <c r="A813" s="2" t="str">
        <f>IFERROR(__xludf.DUMMYFUNCTION("""COMPUTED_VALUE"""),"PR009")</f>
        <v>PR009</v>
      </c>
      <c r="B813" s="2" t="str">
        <f>IFERROR(__xludf.DUMMYFUNCTION("""COMPUTED_VALUE"""),"VD012")</f>
        <v>VD012</v>
      </c>
      <c r="C813" s="2">
        <f>IFERROR(__xludf.DUMMYFUNCTION("""COMPUTED_VALUE"""),2.0)</f>
        <v>2</v>
      </c>
      <c r="D813" s="2">
        <f>IFERROR(__xludf.DUMMYFUNCTION("""COMPUTED_VALUE"""),187.66)</f>
        <v>187.66</v>
      </c>
    </row>
    <row r="814">
      <c r="A814" s="2" t="str">
        <f>IFERROR(__xludf.DUMMYFUNCTION("""COMPUTED_VALUE"""),"PR016")</f>
        <v>PR016</v>
      </c>
      <c r="B814" s="2" t="str">
        <f>IFERROR(__xludf.DUMMYFUNCTION("""COMPUTED_VALUE"""),"VD010")</f>
        <v>VD010</v>
      </c>
      <c r="C814" s="2">
        <f>IFERROR(__xludf.DUMMYFUNCTION("""COMPUTED_VALUE"""),4.0)</f>
        <v>4</v>
      </c>
      <c r="D814" s="2">
        <f>IFERROR(__xludf.DUMMYFUNCTION("""COMPUTED_VALUE"""),106.71)</f>
        <v>106.71</v>
      </c>
    </row>
    <row r="815">
      <c r="A815" s="2" t="str">
        <f>IFERROR(__xludf.DUMMYFUNCTION("""COMPUTED_VALUE"""),"PR023")</f>
        <v>PR023</v>
      </c>
      <c r="B815" s="2" t="str">
        <f>IFERROR(__xludf.DUMMYFUNCTION("""COMPUTED_VALUE"""),"VD018")</f>
        <v>VD018</v>
      </c>
      <c r="C815" s="2">
        <f>IFERROR(__xludf.DUMMYFUNCTION("""COMPUTED_VALUE"""),10.0)</f>
        <v>10</v>
      </c>
      <c r="D815" s="2">
        <f>IFERROR(__xludf.DUMMYFUNCTION("""COMPUTED_VALUE"""),2623.95)</f>
        <v>2623.95</v>
      </c>
    </row>
    <row r="816">
      <c r="A816" s="2" t="str">
        <f>IFERROR(__xludf.DUMMYFUNCTION("""COMPUTED_VALUE"""),"PR031")</f>
        <v>PR031</v>
      </c>
      <c r="B816" s="2" t="str">
        <f>IFERROR(__xludf.DUMMYFUNCTION("""COMPUTED_VALUE"""),"VD035")</f>
        <v>VD035</v>
      </c>
      <c r="C816" s="2">
        <f>IFERROR(__xludf.DUMMYFUNCTION("""COMPUTED_VALUE"""),10.0)</f>
        <v>10</v>
      </c>
      <c r="D816" s="2">
        <f>IFERROR(__xludf.DUMMYFUNCTION("""COMPUTED_VALUE"""),2646.0)</f>
        <v>2646</v>
      </c>
    </row>
    <row r="817">
      <c r="A817" s="2" t="str">
        <f>IFERROR(__xludf.DUMMYFUNCTION("""COMPUTED_VALUE"""),"PR024")</f>
        <v>PR024</v>
      </c>
      <c r="B817" s="2" t="str">
        <f>IFERROR(__xludf.DUMMYFUNCTION("""COMPUTED_VALUE"""),"VD031")</f>
        <v>VD031</v>
      </c>
      <c r="C817" s="2">
        <f>IFERROR(__xludf.DUMMYFUNCTION("""COMPUTED_VALUE"""),4.0)</f>
        <v>4</v>
      </c>
      <c r="D817" s="2">
        <f>IFERROR(__xludf.DUMMYFUNCTION("""COMPUTED_VALUE"""),1060.39)</f>
        <v>1060.39</v>
      </c>
    </row>
    <row r="818">
      <c r="A818" s="2" t="str">
        <f>IFERROR(__xludf.DUMMYFUNCTION("""COMPUTED_VALUE"""),"PR014")</f>
        <v>PR014</v>
      </c>
      <c r="B818" s="2" t="str">
        <f>IFERROR(__xludf.DUMMYFUNCTION("""COMPUTED_VALUE"""),"VD023")</f>
        <v>VD023</v>
      </c>
      <c r="C818" s="2">
        <f>IFERROR(__xludf.DUMMYFUNCTION("""COMPUTED_VALUE"""),4.0)</f>
        <v>4</v>
      </c>
      <c r="D818" s="2">
        <f>IFERROR(__xludf.DUMMYFUNCTION("""COMPUTED_VALUE"""),172.37)</f>
        <v>172.37</v>
      </c>
    </row>
    <row r="819">
      <c r="A819" s="2" t="str">
        <f>IFERROR(__xludf.DUMMYFUNCTION("""COMPUTED_VALUE"""),"PR055")</f>
        <v>PR055</v>
      </c>
      <c r="B819" s="2" t="str">
        <f>IFERROR(__xludf.DUMMYFUNCTION("""COMPUTED_VALUE"""),"VD018")</f>
        <v>VD018</v>
      </c>
      <c r="C819" s="2">
        <f>IFERROR(__xludf.DUMMYFUNCTION("""COMPUTED_VALUE"""),4.0)</f>
        <v>4</v>
      </c>
      <c r="D819" s="2">
        <f>IFERROR(__xludf.DUMMYFUNCTION("""COMPUTED_VALUE"""),366.79)</f>
        <v>366.79</v>
      </c>
    </row>
    <row r="820">
      <c r="A820" s="2" t="str">
        <f>IFERROR(__xludf.DUMMYFUNCTION("""COMPUTED_VALUE"""),"PR007")</f>
        <v>PR007</v>
      </c>
      <c r="B820" s="2" t="str">
        <f>IFERROR(__xludf.DUMMYFUNCTION("""COMPUTED_VALUE"""),"VD010")</f>
        <v>VD010</v>
      </c>
      <c r="C820" s="2">
        <f>IFERROR(__xludf.DUMMYFUNCTION("""COMPUTED_VALUE"""),10.0)</f>
        <v>10</v>
      </c>
      <c r="D820" s="2">
        <f>IFERROR(__xludf.DUMMYFUNCTION("""COMPUTED_VALUE"""),910.54)</f>
        <v>910.54</v>
      </c>
    </row>
    <row r="821">
      <c r="A821" s="2" t="str">
        <f>IFERROR(__xludf.DUMMYFUNCTION("""COMPUTED_VALUE"""),"PR043")</f>
        <v>PR043</v>
      </c>
      <c r="B821" s="2" t="str">
        <f>IFERROR(__xludf.DUMMYFUNCTION("""COMPUTED_VALUE"""),"VD035")</f>
        <v>VD035</v>
      </c>
      <c r="C821" s="2">
        <f>IFERROR(__xludf.DUMMYFUNCTION("""COMPUTED_VALUE"""),2.0)</f>
        <v>2</v>
      </c>
      <c r="D821" s="2">
        <f>IFERROR(__xludf.DUMMYFUNCTION("""COMPUTED_VALUE"""),150.8)</f>
        <v>150.8</v>
      </c>
    </row>
    <row r="822">
      <c r="A822" s="2" t="str">
        <f>IFERROR(__xludf.DUMMYFUNCTION("""COMPUTED_VALUE"""),"PR005")</f>
        <v>PR005</v>
      </c>
      <c r="B822" s="2" t="str">
        <f>IFERROR(__xludf.DUMMYFUNCTION("""COMPUTED_VALUE"""),"VD049")</f>
        <v>VD049</v>
      </c>
      <c r="C822" s="2">
        <f>IFERROR(__xludf.DUMMYFUNCTION("""COMPUTED_VALUE"""),8.0)</f>
        <v>8</v>
      </c>
      <c r="D822" s="2">
        <f>IFERROR(__xludf.DUMMYFUNCTION("""COMPUTED_VALUE"""),2287.12)</f>
        <v>2287.12</v>
      </c>
    </row>
    <row r="823">
      <c r="A823" s="2" t="str">
        <f>IFERROR(__xludf.DUMMYFUNCTION("""COMPUTED_VALUE"""),"PR006")</f>
        <v>PR006</v>
      </c>
      <c r="B823" s="2" t="str">
        <f>IFERROR(__xludf.DUMMYFUNCTION("""COMPUTED_VALUE"""),"VD011")</f>
        <v>VD011</v>
      </c>
      <c r="C823" s="2">
        <f>IFERROR(__xludf.DUMMYFUNCTION("""COMPUTED_VALUE"""),2.0)</f>
        <v>2</v>
      </c>
      <c r="D823" s="2">
        <f>IFERROR(__xludf.DUMMYFUNCTION("""COMPUTED_VALUE"""),87.78)</f>
        <v>87.78</v>
      </c>
    </row>
    <row r="824">
      <c r="A824" s="2" t="str">
        <f>IFERROR(__xludf.DUMMYFUNCTION("""COMPUTED_VALUE"""),"PR053")</f>
        <v>PR053</v>
      </c>
      <c r="B824" s="2" t="str">
        <f>IFERROR(__xludf.DUMMYFUNCTION("""COMPUTED_VALUE"""),"VD012")</f>
        <v>VD012</v>
      </c>
      <c r="C824" s="2">
        <f>IFERROR(__xludf.DUMMYFUNCTION("""COMPUTED_VALUE"""),2.0)</f>
        <v>2</v>
      </c>
      <c r="D824" s="2">
        <f>IFERROR(__xludf.DUMMYFUNCTION("""COMPUTED_VALUE"""),99.8)</f>
        <v>99.8</v>
      </c>
    </row>
    <row r="825">
      <c r="A825" s="2" t="str">
        <f>IFERROR(__xludf.DUMMYFUNCTION("""COMPUTED_VALUE"""),"PR042")</f>
        <v>PR042</v>
      </c>
      <c r="B825" s="2" t="str">
        <f>IFERROR(__xludf.DUMMYFUNCTION("""COMPUTED_VALUE"""),"VD018")</f>
        <v>VD018</v>
      </c>
      <c r="C825" s="2">
        <f>IFERROR(__xludf.DUMMYFUNCTION("""COMPUTED_VALUE"""),10.0)</f>
        <v>10</v>
      </c>
      <c r="D825" s="2">
        <f>IFERROR(__xludf.DUMMYFUNCTION("""COMPUTED_VALUE"""),587.43)</f>
        <v>587.43</v>
      </c>
    </row>
    <row r="826">
      <c r="A826" s="2" t="str">
        <f>IFERROR(__xludf.DUMMYFUNCTION("""COMPUTED_VALUE"""),"PR060")</f>
        <v>PR060</v>
      </c>
      <c r="B826" s="2" t="str">
        <f>IFERROR(__xludf.DUMMYFUNCTION("""COMPUTED_VALUE"""),"VD047")</f>
        <v>VD047</v>
      </c>
      <c r="C826" s="2">
        <f>IFERROR(__xludf.DUMMYFUNCTION("""COMPUTED_VALUE"""),16.0)</f>
        <v>16</v>
      </c>
      <c r="D826" s="2">
        <f>IFERROR(__xludf.DUMMYFUNCTION("""COMPUTED_VALUE"""),2937.6)</f>
        <v>2937.6</v>
      </c>
    </row>
    <row r="827">
      <c r="A827" s="2" t="str">
        <f>IFERROR(__xludf.DUMMYFUNCTION("""COMPUTED_VALUE"""),"PR054")</f>
        <v>PR054</v>
      </c>
      <c r="B827" s="2" t="str">
        <f>IFERROR(__xludf.DUMMYFUNCTION("""COMPUTED_VALUE"""),"VD019")</f>
        <v>VD019</v>
      </c>
      <c r="C827" s="2">
        <f>IFERROR(__xludf.DUMMYFUNCTION("""COMPUTED_VALUE"""),3.0)</f>
        <v>3</v>
      </c>
      <c r="D827" s="2">
        <f>IFERROR(__xludf.DUMMYFUNCTION("""COMPUTED_VALUE"""),157.19)</f>
        <v>157.19</v>
      </c>
    </row>
    <row r="828">
      <c r="A828" s="2" t="str">
        <f>IFERROR(__xludf.DUMMYFUNCTION("""COMPUTED_VALUE"""),"PR026")</f>
        <v>PR026</v>
      </c>
      <c r="B828" s="2" t="str">
        <f>IFERROR(__xludf.DUMMYFUNCTION("""COMPUTED_VALUE"""),"VD036")</f>
        <v>VD036</v>
      </c>
      <c r="C828" s="2">
        <f>IFERROR(__xludf.DUMMYFUNCTION("""COMPUTED_VALUE"""),7.0)</f>
        <v>7</v>
      </c>
      <c r="D828" s="2">
        <f>IFERROR(__xludf.DUMMYFUNCTION("""COMPUTED_VALUE"""),2694.23)</f>
        <v>2694.23</v>
      </c>
    </row>
    <row r="829">
      <c r="A829" s="2" t="str">
        <f>IFERROR(__xludf.DUMMYFUNCTION("""COMPUTED_VALUE"""),"PR002")</f>
        <v>PR002</v>
      </c>
      <c r="B829" s="2" t="str">
        <f>IFERROR(__xludf.DUMMYFUNCTION("""COMPUTED_VALUE"""),"VD046")</f>
        <v>VD046</v>
      </c>
      <c r="C829" s="2">
        <f>IFERROR(__xludf.DUMMYFUNCTION("""COMPUTED_VALUE"""),5.0)</f>
        <v>5</v>
      </c>
      <c r="D829" s="2">
        <f>IFERROR(__xludf.DUMMYFUNCTION("""COMPUTED_VALUE"""),356.49)</f>
        <v>356.49</v>
      </c>
    </row>
    <row r="830">
      <c r="A830" s="2" t="str">
        <f>IFERROR(__xludf.DUMMYFUNCTION("""COMPUTED_VALUE"""),"PR001")</f>
        <v>PR001</v>
      </c>
      <c r="B830" s="2" t="str">
        <f>IFERROR(__xludf.DUMMYFUNCTION("""COMPUTED_VALUE"""),"VD021")</f>
        <v>VD021</v>
      </c>
      <c r="C830" s="2">
        <f>IFERROR(__xludf.DUMMYFUNCTION("""COMPUTED_VALUE"""),3.0)</f>
        <v>3</v>
      </c>
      <c r="D830" s="2">
        <f>IFERROR(__xludf.DUMMYFUNCTION("""COMPUTED_VALUE"""),213.52)</f>
        <v>213.52</v>
      </c>
    </row>
    <row r="831">
      <c r="A831" s="2" t="str">
        <f>IFERROR(__xludf.DUMMYFUNCTION("""COMPUTED_VALUE"""),"PR044")</f>
        <v>PR044</v>
      </c>
      <c r="B831" s="2" t="str">
        <f>IFERROR(__xludf.DUMMYFUNCTION("""COMPUTED_VALUE"""),"VD030")</f>
        <v>VD030</v>
      </c>
      <c r="C831" s="2">
        <f>IFERROR(__xludf.DUMMYFUNCTION("""COMPUTED_VALUE"""),3.0)</f>
        <v>3</v>
      </c>
      <c r="D831" s="2">
        <f>IFERROR(__xludf.DUMMYFUNCTION("""COMPUTED_VALUE"""),232.73)</f>
        <v>232.73</v>
      </c>
    </row>
    <row r="832">
      <c r="A832" s="2" t="str">
        <f>IFERROR(__xludf.DUMMYFUNCTION("""COMPUTED_VALUE"""),"PR028")</f>
        <v>PR028</v>
      </c>
      <c r="B832" s="2" t="str">
        <f>IFERROR(__xludf.DUMMYFUNCTION("""COMPUTED_VALUE"""),"VD021")</f>
        <v>VD021</v>
      </c>
      <c r="C832" s="2">
        <f>IFERROR(__xludf.DUMMYFUNCTION("""COMPUTED_VALUE"""),2.0)</f>
        <v>2</v>
      </c>
      <c r="D832" s="2">
        <f>IFERROR(__xludf.DUMMYFUNCTION("""COMPUTED_VALUE"""),529.79)</f>
        <v>529.79</v>
      </c>
    </row>
    <row r="833">
      <c r="A833" s="2" t="str">
        <f>IFERROR(__xludf.DUMMYFUNCTION("""COMPUTED_VALUE"""),"PR045")</f>
        <v>PR045</v>
      </c>
      <c r="B833" s="2" t="str">
        <f>IFERROR(__xludf.DUMMYFUNCTION("""COMPUTED_VALUE"""),"VD024")</f>
        <v>VD024</v>
      </c>
      <c r="C833" s="2">
        <f>IFERROR(__xludf.DUMMYFUNCTION("""COMPUTED_VALUE"""),18.0)</f>
        <v>18</v>
      </c>
      <c r="D833" s="2">
        <f>IFERROR(__xludf.DUMMYFUNCTION("""COMPUTED_VALUE"""),1435.5)</f>
        <v>1435.5</v>
      </c>
    </row>
    <row r="834">
      <c r="A834" s="2" t="str">
        <f>IFERROR(__xludf.DUMMYFUNCTION("""COMPUTED_VALUE"""),"PR052")</f>
        <v>PR052</v>
      </c>
      <c r="B834" s="2" t="str">
        <f>IFERROR(__xludf.DUMMYFUNCTION("""COMPUTED_VALUE"""),"VD038")</f>
        <v>VD038</v>
      </c>
      <c r="C834" s="2">
        <f>IFERROR(__xludf.DUMMYFUNCTION("""COMPUTED_VALUE"""),8.0)</f>
        <v>8</v>
      </c>
      <c r="D834" s="2">
        <f>IFERROR(__xludf.DUMMYFUNCTION("""COMPUTED_VALUE"""),415.17)</f>
        <v>415.17</v>
      </c>
    </row>
    <row r="835">
      <c r="A835" s="2" t="str">
        <f>IFERROR(__xludf.DUMMYFUNCTION("""COMPUTED_VALUE"""),"PR024")</f>
        <v>PR024</v>
      </c>
      <c r="B835" s="2" t="str">
        <f>IFERROR(__xludf.DUMMYFUNCTION("""COMPUTED_VALUE"""),"VD026")</f>
        <v>VD026</v>
      </c>
      <c r="C835" s="2">
        <f>IFERROR(__xludf.DUMMYFUNCTION("""COMPUTED_VALUE"""),4.0)</f>
        <v>4</v>
      </c>
      <c r="D835" s="2">
        <f>IFERROR(__xludf.DUMMYFUNCTION("""COMPUTED_VALUE"""),1122.77)</f>
        <v>1122.77</v>
      </c>
    </row>
    <row r="836">
      <c r="A836" s="2" t="str">
        <f>IFERROR(__xludf.DUMMYFUNCTION("""COMPUTED_VALUE"""),"PR013")</f>
        <v>PR013</v>
      </c>
      <c r="B836" s="2" t="str">
        <f>IFERROR(__xludf.DUMMYFUNCTION("""COMPUTED_VALUE"""),"VD028")</f>
        <v>VD028</v>
      </c>
      <c r="C836" s="2">
        <f>IFERROR(__xludf.DUMMYFUNCTION("""COMPUTED_VALUE"""),20.0)</f>
        <v>20</v>
      </c>
      <c r="D836" s="2">
        <f>IFERROR(__xludf.DUMMYFUNCTION("""COMPUTED_VALUE"""),821.94)</f>
        <v>821.94</v>
      </c>
    </row>
    <row r="837">
      <c r="A837" s="2" t="str">
        <f>IFERROR(__xludf.DUMMYFUNCTION("""COMPUTED_VALUE"""),"PR053")</f>
        <v>PR053</v>
      </c>
      <c r="B837" s="2" t="str">
        <f>IFERROR(__xludf.DUMMYFUNCTION("""COMPUTED_VALUE"""),"VD049")</f>
        <v>VD049</v>
      </c>
      <c r="C837" s="2">
        <f>IFERROR(__xludf.DUMMYFUNCTION("""COMPUTED_VALUE"""),6.0)</f>
        <v>6</v>
      </c>
      <c r="D837" s="2">
        <f>IFERROR(__xludf.DUMMYFUNCTION("""COMPUTED_VALUE"""),302.39)</f>
        <v>302.39</v>
      </c>
    </row>
    <row r="838">
      <c r="A838" s="2" t="str">
        <f>IFERROR(__xludf.DUMMYFUNCTION("""COMPUTED_VALUE"""),"PR029")</f>
        <v>PR029</v>
      </c>
      <c r="B838" s="2" t="str">
        <f>IFERROR(__xludf.DUMMYFUNCTION("""COMPUTED_VALUE"""),"VD029")</f>
        <v>VD029</v>
      </c>
      <c r="C838" s="2">
        <f>IFERROR(__xludf.DUMMYFUNCTION("""COMPUTED_VALUE"""),8.0)</f>
        <v>8</v>
      </c>
      <c r="D838" s="2">
        <f>IFERROR(__xludf.DUMMYFUNCTION("""COMPUTED_VALUE"""),2182.8)</f>
        <v>2182.8</v>
      </c>
    </row>
    <row r="839">
      <c r="A839" s="2" t="str">
        <f>IFERROR(__xludf.DUMMYFUNCTION("""COMPUTED_VALUE"""),"PR001")</f>
        <v>PR001</v>
      </c>
      <c r="B839" s="2" t="str">
        <f>IFERROR(__xludf.DUMMYFUNCTION("""COMPUTED_VALUE"""),"VD014")</f>
        <v>VD014</v>
      </c>
      <c r="C839" s="2">
        <f>IFERROR(__xludf.DUMMYFUNCTION("""COMPUTED_VALUE"""),6.0)</f>
        <v>6</v>
      </c>
      <c r="D839" s="2">
        <f>IFERROR(__xludf.DUMMYFUNCTION("""COMPUTED_VALUE"""),423.08)</f>
        <v>423.08</v>
      </c>
    </row>
    <row r="840">
      <c r="A840" s="2" t="str">
        <f>IFERROR(__xludf.DUMMYFUNCTION("""COMPUTED_VALUE"""),"PR059")</f>
        <v>PR059</v>
      </c>
      <c r="B840" s="2" t="str">
        <f>IFERROR(__xludf.DUMMYFUNCTION("""COMPUTED_VALUE"""),"VD025")</f>
        <v>VD025</v>
      </c>
      <c r="C840" s="2">
        <f>IFERROR(__xludf.DUMMYFUNCTION("""COMPUTED_VALUE"""),12.0)</f>
        <v>12</v>
      </c>
      <c r="D840" s="2">
        <f>IFERROR(__xludf.DUMMYFUNCTION("""COMPUTED_VALUE"""),2289.6)</f>
        <v>2289.6</v>
      </c>
    </row>
    <row r="841">
      <c r="A841" s="2" t="str">
        <f>IFERROR(__xludf.DUMMYFUNCTION("""COMPUTED_VALUE"""),"PR039")</f>
        <v>PR039</v>
      </c>
      <c r="B841" s="2" t="str">
        <f>IFERROR(__xludf.DUMMYFUNCTION("""COMPUTED_VALUE"""),"VD036")</f>
        <v>VD036</v>
      </c>
      <c r="C841" s="2">
        <f>IFERROR(__xludf.DUMMYFUNCTION("""COMPUTED_VALUE"""),8.0)</f>
        <v>8</v>
      </c>
      <c r="D841" s="2">
        <f>IFERROR(__xludf.DUMMYFUNCTION("""COMPUTED_VALUE"""),1203.04)</f>
        <v>1203.04</v>
      </c>
    </row>
    <row r="842">
      <c r="A842" s="2" t="str">
        <f>IFERROR(__xludf.DUMMYFUNCTION("""COMPUTED_VALUE"""),"PR026")</f>
        <v>PR026</v>
      </c>
      <c r="B842" s="2" t="str">
        <f>IFERROR(__xludf.DUMMYFUNCTION("""COMPUTED_VALUE"""),"VD026")</f>
        <v>VD026</v>
      </c>
      <c r="C842" s="2">
        <f>IFERROR(__xludf.DUMMYFUNCTION("""COMPUTED_VALUE"""),9.0)</f>
        <v>9</v>
      </c>
      <c r="D842" s="2">
        <f>IFERROR(__xludf.DUMMYFUNCTION("""COMPUTED_VALUE"""),3212.08)</f>
        <v>3212.08</v>
      </c>
    </row>
    <row r="843">
      <c r="A843" s="2" t="str">
        <f>IFERROR(__xludf.DUMMYFUNCTION("""COMPUTED_VALUE"""),"PR057")</f>
        <v>PR057</v>
      </c>
      <c r="B843" s="2" t="str">
        <f>IFERROR(__xludf.DUMMYFUNCTION("""COMPUTED_VALUE"""),"VD032")</f>
        <v>VD032</v>
      </c>
      <c r="C843" s="2">
        <f>IFERROR(__xludf.DUMMYFUNCTION("""COMPUTED_VALUE"""),8.0)</f>
        <v>8</v>
      </c>
      <c r="D843" s="2">
        <f>IFERROR(__xludf.DUMMYFUNCTION("""COMPUTED_VALUE"""),726.39)</f>
        <v>726.39</v>
      </c>
    </row>
    <row r="844">
      <c r="A844" s="2" t="str">
        <f>IFERROR(__xludf.DUMMYFUNCTION("""COMPUTED_VALUE"""),"PR003")</f>
        <v>PR003</v>
      </c>
      <c r="B844" s="2" t="str">
        <f>IFERROR(__xludf.DUMMYFUNCTION("""COMPUTED_VALUE"""),"VD037")</f>
        <v>VD037</v>
      </c>
      <c r="C844" s="2">
        <f>IFERROR(__xludf.DUMMYFUNCTION("""COMPUTED_VALUE"""),20.0)</f>
        <v>20</v>
      </c>
      <c r="D844" s="2">
        <f>IFERROR(__xludf.DUMMYFUNCTION("""COMPUTED_VALUE"""),1418.0)</f>
        <v>1418</v>
      </c>
    </row>
    <row r="845">
      <c r="A845" s="2" t="str">
        <f>IFERROR(__xludf.DUMMYFUNCTION("""COMPUTED_VALUE"""),"PR050")</f>
        <v>PR050</v>
      </c>
      <c r="B845" s="2" t="str">
        <f>IFERROR(__xludf.DUMMYFUNCTION("""COMPUTED_VALUE"""),"VD032")</f>
        <v>VD032</v>
      </c>
      <c r="C845" s="2">
        <f>IFERROR(__xludf.DUMMYFUNCTION("""COMPUTED_VALUE"""),2.0)</f>
        <v>2</v>
      </c>
      <c r="D845" s="2">
        <f>IFERROR(__xludf.DUMMYFUNCTION("""COMPUTED_VALUE"""),71.06)</f>
        <v>71.06</v>
      </c>
    </row>
    <row r="846">
      <c r="A846" s="2" t="str">
        <f>IFERROR(__xludf.DUMMYFUNCTION("""COMPUTED_VALUE"""),"PR027")</f>
        <v>PR027</v>
      </c>
      <c r="B846" s="2" t="str">
        <f>IFERROR(__xludf.DUMMYFUNCTION("""COMPUTED_VALUE"""),"VD022")</f>
        <v>VD022</v>
      </c>
      <c r="C846" s="2">
        <f>IFERROR(__xludf.DUMMYFUNCTION("""COMPUTED_VALUE"""),6.0)</f>
        <v>6</v>
      </c>
      <c r="D846" s="2">
        <f>IFERROR(__xludf.DUMMYFUNCTION("""COMPUTED_VALUE"""),727.2)</f>
        <v>727.2</v>
      </c>
    </row>
    <row r="847">
      <c r="A847" s="2" t="str">
        <f>IFERROR(__xludf.DUMMYFUNCTION("""COMPUTED_VALUE"""),"PR018")</f>
        <v>PR018</v>
      </c>
      <c r="B847" s="2" t="str">
        <f>IFERROR(__xludf.DUMMYFUNCTION("""COMPUTED_VALUE"""),"VD018")</f>
        <v>VD018</v>
      </c>
      <c r="C847" s="2">
        <f>IFERROR(__xludf.DUMMYFUNCTION("""COMPUTED_VALUE"""),8.0)</f>
        <v>8</v>
      </c>
      <c r="D847" s="2">
        <f>IFERROR(__xludf.DUMMYFUNCTION("""COMPUTED_VALUE"""),271.1)</f>
        <v>271.1</v>
      </c>
    </row>
    <row r="848">
      <c r="A848" s="2" t="str">
        <f>IFERROR(__xludf.DUMMYFUNCTION("""COMPUTED_VALUE"""),"PR038")</f>
        <v>PR038</v>
      </c>
      <c r="B848" s="2" t="str">
        <f>IFERROR(__xludf.DUMMYFUNCTION("""COMPUTED_VALUE"""),"VD024")</f>
        <v>VD024</v>
      </c>
      <c r="C848" s="2">
        <f>IFERROR(__xludf.DUMMYFUNCTION("""COMPUTED_VALUE"""),3.0)</f>
        <v>3</v>
      </c>
      <c r="D848" s="2">
        <f>IFERROR(__xludf.DUMMYFUNCTION("""COMPUTED_VALUE"""),437.27)</f>
        <v>437.27</v>
      </c>
    </row>
    <row r="849">
      <c r="A849" s="2" t="str">
        <f>IFERROR(__xludf.DUMMYFUNCTION("""COMPUTED_VALUE"""),"PR046")</f>
        <v>PR046</v>
      </c>
      <c r="B849" s="2" t="str">
        <f>IFERROR(__xludf.DUMMYFUNCTION("""COMPUTED_VALUE"""),"VD012")</f>
        <v>VD012</v>
      </c>
      <c r="C849" s="2">
        <f>IFERROR(__xludf.DUMMYFUNCTION("""COMPUTED_VALUE"""),12.0)</f>
        <v>12</v>
      </c>
      <c r="D849" s="2">
        <f>IFERROR(__xludf.DUMMYFUNCTION("""COMPUTED_VALUE"""),3617.95)</f>
        <v>3617.95</v>
      </c>
    </row>
    <row r="850">
      <c r="A850" s="2" t="str">
        <f>IFERROR(__xludf.DUMMYFUNCTION("""COMPUTED_VALUE"""),"PR008")</f>
        <v>PR008</v>
      </c>
      <c r="B850" s="2" t="str">
        <f>IFERROR(__xludf.DUMMYFUNCTION("""COMPUTED_VALUE"""),"VD023")</f>
        <v>VD023</v>
      </c>
      <c r="C850" s="2">
        <f>IFERROR(__xludf.DUMMYFUNCTION("""COMPUTED_VALUE"""),4.0)</f>
        <v>4</v>
      </c>
      <c r="D850" s="2">
        <f>IFERROR(__xludf.DUMMYFUNCTION("""COMPUTED_VALUE"""),391.96)</f>
        <v>391.96</v>
      </c>
    </row>
    <row r="851">
      <c r="A851" s="2" t="str">
        <f>IFERROR(__xludf.DUMMYFUNCTION("""COMPUTED_VALUE"""),"PR022")</f>
        <v>PR022</v>
      </c>
      <c r="B851" s="2" t="str">
        <f>IFERROR(__xludf.DUMMYFUNCTION("""COMPUTED_VALUE"""),"VD018")</f>
        <v>VD018</v>
      </c>
      <c r="C851" s="2">
        <f>IFERROR(__xludf.DUMMYFUNCTION("""COMPUTED_VALUE"""),18.0)</f>
        <v>18</v>
      </c>
      <c r="D851" s="2">
        <f>IFERROR(__xludf.DUMMYFUNCTION("""COMPUTED_VALUE"""),5778.0)</f>
        <v>5778</v>
      </c>
    </row>
    <row r="852">
      <c r="A852" s="2" t="str">
        <f>IFERROR(__xludf.DUMMYFUNCTION("""COMPUTED_VALUE"""),"PR038")</f>
        <v>PR038</v>
      </c>
      <c r="B852" s="2" t="str">
        <f>IFERROR(__xludf.DUMMYFUNCTION("""COMPUTED_VALUE"""),"VD020")</f>
        <v>VD020</v>
      </c>
      <c r="C852" s="2">
        <f>IFERROR(__xludf.DUMMYFUNCTION("""COMPUTED_VALUE"""),18.0)</f>
        <v>18</v>
      </c>
      <c r="D852" s="2">
        <f>IFERROR(__xludf.DUMMYFUNCTION("""COMPUTED_VALUE"""),2726.53)</f>
        <v>2726.53</v>
      </c>
    </row>
    <row r="853">
      <c r="A853" s="2" t="str">
        <f>IFERROR(__xludf.DUMMYFUNCTION("""COMPUTED_VALUE"""),"PR045")</f>
        <v>PR045</v>
      </c>
      <c r="B853" s="2" t="str">
        <f>IFERROR(__xludf.DUMMYFUNCTION("""COMPUTED_VALUE"""),"VD039")</f>
        <v>VD039</v>
      </c>
      <c r="C853" s="2">
        <f>IFERROR(__xludf.DUMMYFUNCTION("""COMPUTED_VALUE"""),6.0)</f>
        <v>6</v>
      </c>
      <c r="D853" s="2">
        <f>IFERROR(__xludf.DUMMYFUNCTION("""COMPUTED_VALUE"""),465.45)</f>
        <v>465.45</v>
      </c>
    </row>
    <row r="854">
      <c r="A854" s="2" t="str">
        <f>IFERROR(__xludf.DUMMYFUNCTION("""COMPUTED_VALUE"""),"PR005")</f>
        <v>PR005</v>
      </c>
      <c r="B854" s="2" t="str">
        <f>IFERROR(__xludf.DUMMYFUNCTION("""COMPUTED_VALUE"""),"VD048")</f>
        <v>VD048</v>
      </c>
      <c r="C854" s="2">
        <f>IFERROR(__xludf.DUMMYFUNCTION("""COMPUTED_VALUE"""),9.0)</f>
        <v>9</v>
      </c>
      <c r="D854" s="2">
        <f>IFERROR(__xludf.DUMMYFUNCTION("""COMPUTED_VALUE"""),2456.06)</f>
        <v>2456.06</v>
      </c>
    </row>
    <row r="855">
      <c r="A855" s="2" t="str">
        <f>IFERROR(__xludf.DUMMYFUNCTION("""COMPUTED_VALUE"""),"PR009")</f>
        <v>PR009</v>
      </c>
      <c r="B855" s="2" t="str">
        <f>IFERROR(__xludf.DUMMYFUNCTION("""COMPUTED_VALUE"""),"VD048")</f>
        <v>VD048</v>
      </c>
      <c r="C855" s="2">
        <f>IFERROR(__xludf.DUMMYFUNCTION("""COMPUTED_VALUE"""),5.0)</f>
        <v>5</v>
      </c>
      <c r="D855" s="2">
        <f>IFERROR(__xludf.DUMMYFUNCTION("""COMPUTED_VALUE"""),469.15)</f>
        <v>469.15</v>
      </c>
    </row>
    <row r="856">
      <c r="A856" s="2" t="str">
        <f>IFERROR(__xludf.DUMMYFUNCTION("""COMPUTED_VALUE"""),"PR025")</f>
        <v>PR025</v>
      </c>
      <c r="B856" s="2" t="str">
        <f>IFERROR(__xludf.DUMMYFUNCTION("""COMPUTED_VALUE"""),"VD016")</f>
        <v>VD016</v>
      </c>
      <c r="C856" s="2">
        <f>IFERROR(__xludf.DUMMYFUNCTION("""COMPUTED_VALUE"""),1.0)</f>
        <v>1</v>
      </c>
      <c r="D856" s="2">
        <f>IFERROR(__xludf.DUMMYFUNCTION("""COMPUTED_VALUE"""),311.9)</f>
        <v>311.9</v>
      </c>
    </row>
    <row r="857">
      <c r="A857" s="2" t="str">
        <f>IFERROR(__xludf.DUMMYFUNCTION("""COMPUTED_VALUE"""),"PR037")</f>
        <v>PR037</v>
      </c>
      <c r="B857" s="2" t="str">
        <f>IFERROR(__xludf.DUMMYFUNCTION("""COMPUTED_VALUE"""),"VD045")</f>
        <v>VD045</v>
      </c>
      <c r="C857" s="2">
        <f>IFERROR(__xludf.DUMMYFUNCTION("""COMPUTED_VALUE"""),7.0)</f>
        <v>7</v>
      </c>
      <c r="D857" s="2">
        <f>IFERROR(__xludf.DUMMYFUNCTION("""COMPUTED_VALUE"""),1078.0)</f>
        <v>1078</v>
      </c>
    </row>
    <row r="858">
      <c r="A858" s="2" t="str">
        <f>IFERROR(__xludf.DUMMYFUNCTION("""COMPUTED_VALUE"""),"PR035")</f>
        <v>PR035</v>
      </c>
      <c r="B858" s="2" t="str">
        <f>IFERROR(__xludf.DUMMYFUNCTION("""COMPUTED_VALUE"""),"VD040")</f>
        <v>VD040</v>
      </c>
      <c r="C858" s="2">
        <f>IFERROR(__xludf.DUMMYFUNCTION("""COMPUTED_VALUE"""),6.0)</f>
        <v>6</v>
      </c>
      <c r="D858" s="2">
        <f>IFERROR(__xludf.DUMMYFUNCTION("""COMPUTED_VALUE"""),559.37)</f>
        <v>559.37</v>
      </c>
    </row>
    <row r="859">
      <c r="A859" s="2" t="str">
        <f>IFERROR(__xludf.DUMMYFUNCTION("""COMPUTED_VALUE"""),"PR047")</f>
        <v>PR047</v>
      </c>
      <c r="B859" s="2" t="str">
        <f>IFERROR(__xludf.DUMMYFUNCTION("""COMPUTED_VALUE"""),"VD035")</f>
        <v>VD035</v>
      </c>
      <c r="C859" s="2">
        <f>IFERROR(__xludf.DUMMYFUNCTION("""COMPUTED_VALUE"""),6.0)</f>
        <v>6</v>
      </c>
      <c r="D859" s="2">
        <f>IFERROR(__xludf.DUMMYFUNCTION("""COMPUTED_VALUE"""),1913.34)</f>
        <v>1913.34</v>
      </c>
    </row>
    <row r="860">
      <c r="A860" s="2" t="str">
        <f>IFERROR(__xludf.DUMMYFUNCTION("""COMPUTED_VALUE"""),"PR021")</f>
        <v>PR021</v>
      </c>
      <c r="B860" s="2" t="str">
        <f>IFERROR(__xludf.DUMMYFUNCTION("""COMPUTED_VALUE"""),"VD046")</f>
        <v>VD046</v>
      </c>
      <c r="C860" s="2">
        <f>IFERROR(__xludf.DUMMYFUNCTION("""COMPUTED_VALUE"""),1.0)</f>
        <v>1</v>
      </c>
      <c r="D860" s="2">
        <f>IFERROR(__xludf.DUMMYFUNCTION("""COMPUTED_VALUE"""),318.05)</f>
        <v>318.05</v>
      </c>
    </row>
    <row r="861">
      <c r="A861" s="2" t="str">
        <f>IFERROR(__xludf.DUMMYFUNCTION("""COMPUTED_VALUE"""),"PR019")</f>
        <v>PR019</v>
      </c>
      <c r="B861" s="2" t="str">
        <f>IFERROR(__xludf.DUMMYFUNCTION("""COMPUTED_VALUE"""),"VD019")</f>
        <v>VD019</v>
      </c>
      <c r="C861" s="2">
        <f>IFERROR(__xludf.DUMMYFUNCTION("""COMPUTED_VALUE"""),12.0)</f>
        <v>12</v>
      </c>
      <c r="D861" s="2">
        <f>IFERROR(__xludf.DUMMYFUNCTION("""COMPUTED_VALUE"""),652.69)</f>
        <v>652.69</v>
      </c>
    </row>
    <row r="862">
      <c r="A862" s="2" t="str">
        <f>IFERROR(__xludf.DUMMYFUNCTION("""COMPUTED_VALUE"""),"PR053")</f>
        <v>PR053</v>
      </c>
      <c r="B862" s="2" t="str">
        <f>IFERROR(__xludf.DUMMYFUNCTION("""COMPUTED_VALUE"""),"VD041")</f>
        <v>VD041</v>
      </c>
      <c r="C862" s="2">
        <f>IFERROR(__xludf.DUMMYFUNCTION("""COMPUTED_VALUE"""),8.0)</f>
        <v>8</v>
      </c>
      <c r="D862" s="2">
        <f>IFERROR(__xludf.DUMMYFUNCTION("""COMPUTED_VALUE"""),411.18)</f>
        <v>411.18</v>
      </c>
    </row>
    <row r="863">
      <c r="A863" s="2" t="str">
        <f>IFERROR(__xludf.DUMMYFUNCTION("""COMPUTED_VALUE"""),"PR051")</f>
        <v>PR051</v>
      </c>
      <c r="B863" s="2" t="str">
        <f>IFERROR(__xludf.DUMMYFUNCTION("""COMPUTED_VALUE"""),"VD023")</f>
        <v>VD023</v>
      </c>
      <c r="C863" s="2">
        <f>IFERROR(__xludf.DUMMYFUNCTION("""COMPUTED_VALUE"""),7.0)</f>
        <v>7</v>
      </c>
      <c r="D863" s="2">
        <f>IFERROR(__xludf.DUMMYFUNCTION("""COMPUTED_VALUE"""),244.12)</f>
        <v>244.12</v>
      </c>
    </row>
    <row r="864">
      <c r="A864" s="2" t="str">
        <f>IFERROR(__xludf.DUMMYFUNCTION("""COMPUTED_VALUE"""),"PR047")</f>
        <v>PR047</v>
      </c>
      <c r="B864" s="2" t="str">
        <f>IFERROR(__xludf.DUMMYFUNCTION("""COMPUTED_VALUE"""),"VD021")</f>
        <v>VD021</v>
      </c>
      <c r="C864" s="2">
        <f>IFERROR(__xludf.DUMMYFUNCTION("""COMPUTED_VALUE"""),2.0)</f>
        <v>2</v>
      </c>
      <c r="D864" s="2">
        <f>IFERROR(__xludf.DUMMYFUNCTION("""COMPUTED_VALUE"""),597.19)</f>
        <v>597.19</v>
      </c>
    </row>
    <row r="865">
      <c r="A865" s="2" t="str">
        <f>IFERROR(__xludf.DUMMYFUNCTION("""COMPUTED_VALUE"""),"PR048")</f>
        <v>PR048</v>
      </c>
      <c r="B865" s="2" t="str">
        <f>IFERROR(__xludf.DUMMYFUNCTION("""COMPUTED_VALUE"""),"VD045")</f>
        <v>VD045</v>
      </c>
      <c r="C865" s="2">
        <f>IFERROR(__xludf.DUMMYFUNCTION("""COMPUTED_VALUE"""),4.0)</f>
        <v>4</v>
      </c>
      <c r="D865" s="2">
        <f>IFERROR(__xludf.DUMMYFUNCTION("""COMPUTED_VALUE"""),1275.56)</f>
        <v>1275.56</v>
      </c>
    </row>
    <row r="866">
      <c r="A866" s="2" t="str">
        <f>IFERROR(__xludf.DUMMYFUNCTION("""COMPUTED_VALUE"""),"PR014")</f>
        <v>PR014</v>
      </c>
      <c r="B866" s="2" t="str">
        <f>IFERROR(__xludf.DUMMYFUNCTION("""COMPUTED_VALUE"""),"VD049")</f>
        <v>VD049</v>
      </c>
      <c r="C866" s="2">
        <f>IFERROR(__xludf.DUMMYFUNCTION("""COMPUTED_VALUE"""),6.0)</f>
        <v>6</v>
      </c>
      <c r="D866" s="2">
        <f>IFERROR(__xludf.DUMMYFUNCTION("""COMPUTED_VALUE"""),246.58)</f>
        <v>246.58</v>
      </c>
    </row>
    <row r="867">
      <c r="A867" s="2" t="str">
        <f>IFERROR(__xludf.DUMMYFUNCTION("""COMPUTED_VALUE"""),"PR050")</f>
        <v>PR050</v>
      </c>
      <c r="B867" s="2" t="str">
        <f>IFERROR(__xludf.DUMMYFUNCTION("""COMPUTED_VALUE"""),"VD019")</f>
        <v>VD019</v>
      </c>
      <c r="C867" s="2">
        <f>IFERROR(__xludf.DUMMYFUNCTION("""COMPUTED_VALUE"""),2.0)</f>
        <v>2</v>
      </c>
      <c r="D867" s="2">
        <f>IFERROR(__xludf.DUMMYFUNCTION("""COMPUTED_VALUE"""),68.43)</f>
        <v>68.43</v>
      </c>
    </row>
    <row r="868">
      <c r="A868" s="2" t="str">
        <f>IFERROR(__xludf.DUMMYFUNCTION("""COMPUTED_VALUE"""),"PR008")</f>
        <v>PR008</v>
      </c>
      <c r="B868" s="2" t="str">
        <f>IFERROR(__xludf.DUMMYFUNCTION("""COMPUTED_VALUE"""),"VD038")</f>
        <v>VD038</v>
      </c>
      <c r="C868" s="2">
        <f>IFERROR(__xludf.DUMMYFUNCTION("""COMPUTED_VALUE"""),8.0)</f>
        <v>8</v>
      </c>
      <c r="D868" s="2">
        <f>IFERROR(__xludf.DUMMYFUNCTION("""COMPUTED_VALUE"""),733.58)</f>
        <v>733.58</v>
      </c>
    </row>
    <row r="869">
      <c r="A869" s="2" t="str">
        <f>IFERROR(__xludf.DUMMYFUNCTION("""COMPUTED_VALUE"""),"PR018")</f>
        <v>PR018</v>
      </c>
      <c r="B869" s="2" t="str">
        <f>IFERROR(__xludf.DUMMYFUNCTION("""COMPUTED_VALUE"""),"VD022")</f>
        <v>VD022</v>
      </c>
      <c r="C869" s="2">
        <f>IFERROR(__xludf.DUMMYFUNCTION("""COMPUTED_VALUE"""),20.0)</f>
        <v>20</v>
      </c>
      <c r="D869" s="2">
        <f>IFERROR(__xludf.DUMMYFUNCTION("""COMPUTED_VALUE"""),677.74)</f>
        <v>677.74</v>
      </c>
    </row>
    <row r="870">
      <c r="A870" s="2" t="str">
        <f>IFERROR(__xludf.DUMMYFUNCTION("""COMPUTED_VALUE"""),"PR043")</f>
        <v>PR043</v>
      </c>
      <c r="B870" s="2" t="str">
        <f>IFERROR(__xludf.DUMMYFUNCTION("""COMPUTED_VALUE"""),"VD025")</f>
        <v>VD025</v>
      </c>
      <c r="C870" s="2">
        <f>IFERROR(__xludf.DUMMYFUNCTION("""COMPUTED_VALUE"""),4.0)</f>
        <v>4</v>
      </c>
      <c r="D870" s="2">
        <f>IFERROR(__xludf.DUMMYFUNCTION("""COMPUTED_VALUE"""),307.4)</f>
        <v>307.4</v>
      </c>
    </row>
    <row r="871">
      <c r="A871" s="2" t="str">
        <f>IFERROR(__xludf.DUMMYFUNCTION("""COMPUTED_VALUE"""),"PR010")</f>
        <v>PR010</v>
      </c>
      <c r="B871" s="2" t="str">
        <f>IFERROR(__xludf.DUMMYFUNCTION("""COMPUTED_VALUE"""),"VD026")</f>
        <v>VD026</v>
      </c>
      <c r="C871" s="2">
        <f>IFERROR(__xludf.DUMMYFUNCTION("""COMPUTED_VALUE"""),5.0)</f>
        <v>5</v>
      </c>
      <c r="D871" s="2">
        <f>IFERROR(__xludf.DUMMYFUNCTION("""COMPUTED_VALUE"""),244.71)</f>
        <v>244.71</v>
      </c>
    </row>
    <row r="872">
      <c r="A872" s="2" t="str">
        <f>IFERROR(__xludf.DUMMYFUNCTION("""COMPUTED_VALUE"""),"PR032")</f>
        <v>PR032</v>
      </c>
      <c r="B872" s="2" t="str">
        <f>IFERROR(__xludf.DUMMYFUNCTION("""COMPUTED_VALUE"""),"VD015")</f>
        <v>VD015</v>
      </c>
      <c r="C872" s="2">
        <f>IFERROR(__xludf.DUMMYFUNCTION("""COMPUTED_VALUE"""),20.0)</f>
        <v>20</v>
      </c>
      <c r="D872" s="2">
        <f>IFERROR(__xludf.DUMMYFUNCTION("""COMPUTED_VALUE"""),5300.0)</f>
        <v>5300</v>
      </c>
    </row>
    <row r="873">
      <c r="A873" s="2" t="str">
        <f>IFERROR(__xludf.DUMMYFUNCTION("""COMPUTED_VALUE"""),"PR003")</f>
        <v>PR003</v>
      </c>
      <c r="B873" s="2" t="str">
        <f>IFERROR(__xludf.DUMMYFUNCTION("""COMPUTED_VALUE"""),"VD049")</f>
        <v>VD049</v>
      </c>
      <c r="C873" s="2">
        <f>IFERROR(__xludf.DUMMYFUNCTION("""COMPUTED_VALUE"""),3.0)</f>
        <v>3</v>
      </c>
      <c r="D873" s="2">
        <f>IFERROR(__xludf.DUMMYFUNCTION("""COMPUTED_VALUE"""),223.34)</f>
        <v>223.34</v>
      </c>
    </row>
    <row r="874">
      <c r="A874" s="2" t="str">
        <f>IFERROR(__xludf.DUMMYFUNCTION("""COMPUTED_VALUE"""),"PR019")</f>
        <v>PR019</v>
      </c>
      <c r="B874" s="2" t="str">
        <f>IFERROR(__xludf.DUMMYFUNCTION("""COMPUTED_VALUE"""),"VD022")</f>
        <v>VD022</v>
      </c>
      <c r="C874" s="2">
        <f>IFERROR(__xludf.DUMMYFUNCTION("""COMPUTED_VALUE"""),14.0)</f>
        <v>14</v>
      </c>
      <c r="D874" s="2">
        <f>IFERROR(__xludf.DUMMYFUNCTION("""COMPUTED_VALUE"""),705.59)</f>
        <v>705.59</v>
      </c>
    </row>
    <row r="875">
      <c r="A875" s="2" t="str">
        <f>IFERROR(__xludf.DUMMYFUNCTION("""COMPUTED_VALUE"""),"PR048")</f>
        <v>PR048</v>
      </c>
      <c r="B875" s="2" t="str">
        <f>IFERROR(__xludf.DUMMYFUNCTION("""COMPUTED_VALUE"""),"VD026")</f>
        <v>VD026</v>
      </c>
      <c r="C875" s="2">
        <f>IFERROR(__xludf.DUMMYFUNCTION("""COMPUTED_VALUE"""),8.0)</f>
        <v>8</v>
      </c>
      <c r="D875" s="2">
        <f>IFERROR(__xludf.DUMMYFUNCTION("""COMPUTED_VALUE"""),2342.39)</f>
        <v>2342.39</v>
      </c>
    </row>
    <row r="876">
      <c r="A876" s="2" t="str">
        <f>IFERROR(__xludf.DUMMYFUNCTION("""COMPUTED_VALUE"""),"PR032")</f>
        <v>PR032</v>
      </c>
      <c r="B876" s="2" t="str">
        <f>IFERROR(__xludf.DUMMYFUNCTION("""COMPUTED_VALUE"""),"VD013")</f>
        <v>VD013</v>
      </c>
      <c r="C876" s="2">
        <f>IFERROR(__xludf.DUMMYFUNCTION("""COMPUTED_VALUE"""),10.0)</f>
        <v>10</v>
      </c>
      <c r="D876" s="2">
        <f>IFERROR(__xludf.DUMMYFUNCTION("""COMPUTED_VALUE"""),2575.0)</f>
        <v>2575</v>
      </c>
    </row>
    <row r="877">
      <c r="A877" s="2" t="str">
        <f>IFERROR(__xludf.DUMMYFUNCTION("""COMPUTED_VALUE"""),"PR058")</f>
        <v>PR058</v>
      </c>
      <c r="B877" s="2" t="str">
        <f>IFERROR(__xludf.DUMMYFUNCTION("""COMPUTED_VALUE"""),"VD041")</f>
        <v>VD041</v>
      </c>
      <c r="C877" s="2">
        <f>IFERROR(__xludf.DUMMYFUNCTION("""COMPUTED_VALUE"""),10.0)</f>
        <v>10</v>
      </c>
      <c r="D877" s="2">
        <f>IFERROR(__xludf.DUMMYFUNCTION("""COMPUTED_VALUE"""),1926.0)</f>
        <v>1926</v>
      </c>
    </row>
    <row r="878">
      <c r="A878" s="2" t="str">
        <f>IFERROR(__xludf.DUMMYFUNCTION("""COMPUTED_VALUE"""),"PR019")</f>
        <v>PR019</v>
      </c>
      <c r="B878" s="2" t="str">
        <f>IFERROR(__xludf.DUMMYFUNCTION("""COMPUTED_VALUE"""),"VD027")</f>
        <v>VD027</v>
      </c>
      <c r="C878" s="2">
        <f>IFERROR(__xludf.DUMMYFUNCTION("""COMPUTED_VALUE"""),8.0)</f>
        <v>8</v>
      </c>
      <c r="D878" s="2">
        <f>IFERROR(__xludf.DUMMYFUNCTION("""COMPUTED_VALUE"""),411.18)</f>
        <v>411.18</v>
      </c>
    </row>
    <row r="879">
      <c r="A879" s="2" t="str">
        <f>IFERROR(__xludf.DUMMYFUNCTION("""COMPUTED_VALUE"""),"PR004")</f>
        <v>PR004</v>
      </c>
      <c r="B879" s="2" t="str">
        <f>IFERROR(__xludf.DUMMYFUNCTION("""COMPUTED_VALUE"""),"VD020")</f>
        <v>VD020</v>
      </c>
      <c r="C879" s="2">
        <f>IFERROR(__xludf.DUMMYFUNCTION("""COMPUTED_VALUE"""),10.0)</f>
        <v>10</v>
      </c>
      <c r="D879" s="2">
        <f>IFERROR(__xludf.DUMMYFUNCTION("""COMPUTED_VALUE"""),1479.0)</f>
        <v>1479</v>
      </c>
    </row>
    <row r="880">
      <c r="A880" s="2" t="str">
        <f>IFERROR(__xludf.DUMMYFUNCTION("""COMPUTED_VALUE"""),"PR043")</f>
        <v>PR043</v>
      </c>
      <c r="B880" s="2" t="str">
        <f>IFERROR(__xludf.DUMMYFUNCTION("""COMPUTED_VALUE"""),"VD030")</f>
        <v>VD030</v>
      </c>
      <c r="C880" s="2">
        <f>IFERROR(__xludf.DUMMYFUNCTION("""COMPUTED_VALUE"""),4.0)</f>
        <v>4</v>
      </c>
      <c r="D880" s="2">
        <f>IFERROR(__xludf.DUMMYFUNCTION("""COMPUTED_VALUE"""),310.3)</f>
        <v>310.3</v>
      </c>
    </row>
    <row r="881">
      <c r="A881" s="2" t="str">
        <f>IFERROR(__xludf.DUMMYFUNCTION("""COMPUTED_VALUE"""),"PR031")</f>
        <v>PR031</v>
      </c>
      <c r="B881" s="2" t="str">
        <f>IFERROR(__xludf.DUMMYFUNCTION("""COMPUTED_VALUE"""),"VD020")</f>
        <v>VD020</v>
      </c>
      <c r="C881" s="2">
        <f>IFERROR(__xludf.DUMMYFUNCTION("""COMPUTED_VALUE"""),10.0)</f>
        <v>10</v>
      </c>
      <c r="D881" s="2">
        <f>IFERROR(__xludf.DUMMYFUNCTION("""COMPUTED_VALUE"""),2548.0)</f>
        <v>2548</v>
      </c>
    </row>
    <row r="882">
      <c r="A882" s="2" t="str">
        <f>IFERROR(__xludf.DUMMYFUNCTION("""COMPUTED_VALUE"""),"PR026")</f>
        <v>PR026</v>
      </c>
      <c r="B882" s="2" t="str">
        <f>IFERROR(__xludf.DUMMYFUNCTION("""COMPUTED_VALUE"""),"VD023")</f>
        <v>VD023</v>
      </c>
      <c r="C882" s="2">
        <f>IFERROR(__xludf.DUMMYFUNCTION("""COMPUTED_VALUE"""),2.0)</f>
        <v>2</v>
      </c>
      <c r="D882" s="2">
        <f>IFERROR(__xludf.DUMMYFUNCTION("""COMPUTED_VALUE"""),741.79)</f>
        <v>741.79</v>
      </c>
    </row>
    <row r="883">
      <c r="A883" s="2" t="str">
        <f>IFERROR(__xludf.DUMMYFUNCTION("""COMPUTED_VALUE"""),"PR041")</f>
        <v>PR041</v>
      </c>
      <c r="B883" s="2" t="str">
        <f>IFERROR(__xludf.DUMMYFUNCTION("""COMPUTED_VALUE"""),"VD032")</f>
        <v>VD032</v>
      </c>
      <c r="C883" s="2">
        <f>IFERROR(__xludf.DUMMYFUNCTION("""COMPUTED_VALUE"""),18.0)</f>
        <v>18</v>
      </c>
      <c r="D883" s="2">
        <f>IFERROR(__xludf.DUMMYFUNCTION("""COMPUTED_VALUE"""),1067.26)</f>
        <v>1067.26</v>
      </c>
    </row>
    <row r="884">
      <c r="A884" s="2" t="str">
        <f>IFERROR(__xludf.DUMMYFUNCTION("""COMPUTED_VALUE"""),"PR047")</f>
        <v>PR047</v>
      </c>
      <c r="B884" s="2" t="str">
        <f>IFERROR(__xludf.DUMMYFUNCTION("""COMPUTED_VALUE"""),"VD026")</f>
        <v>VD026</v>
      </c>
      <c r="C884" s="2">
        <f>IFERROR(__xludf.DUMMYFUNCTION("""COMPUTED_VALUE"""),6.0)</f>
        <v>6</v>
      </c>
      <c r="D884" s="2">
        <f>IFERROR(__xludf.DUMMYFUNCTION("""COMPUTED_VALUE"""),1843.76)</f>
        <v>1843.76</v>
      </c>
    </row>
    <row r="885">
      <c r="A885" s="2" t="str">
        <f>IFERROR(__xludf.DUMMYFUNCTION("""COMPUTED_VALUE"""),"PR029")</f>
        <v>PR029</v>
      </c>
      <c r="B885" s="2" t="str">
        <f>IFERROR(__xludf.DUMMYFUNCTION("""COMPUTED_VALUE"""),"VD023")</f>
        <v>VD023</v>
      </c>
      <c r="C885" s="2">
        <f>IFERROR(__xludf.DUMMYFUNCTION("""COMPUTED_VALUE"""),2.0)</f>
        <v>2</v>
      </c>
      <c r="D885" s="2">
        <f>IFERROR(__xludf.DUMMYFUNCTION("""COMPUTED_VALUE"""),545.7)</f>
        <v>545.7</v>
      </c>
    </row>
    <row r="886">
      <c r="A886" s="2" t="str">
        <f>IFERROR(__xludf.DUMMYFUNCTION("""COMPUTED_VALUE"""),"PR018")</f>
        <v>PR018</v>
      </c>
      <c r="B886" s="2" t="str">
        <f>IFERROR(__xludf.DUMMYFUNCTION("""COMPUTED_VALUE"""),"VD040")</f>
        <v>VD040</v>
      </c>
      <c r="C886" s="2">
        <f>IFERROR(__xludf.DUMMYFUNCTION("""COMPUTED_VALUE"""),18.0)</f>
        <v>18</v>
      </c>
      <c r="D886" s="2">
        <f>IFERROR(__xludf.DUMMYFUNCTION("""COMPUTED_VALUE"""),639.58)</f>
        <v>639.58</v>
      </c>
    </row>
    <row r="887">
      <c r="A887" s="2" t="str">
        <f>IFERROR(__xludf.DUMMYFUNCTION("""COMPUTED_VALUE"""),"PR025")</f>
        <v>PR025</v>
      </c>
      <c r="B887" s="2" t="str">
        <f>IFERROR(__xludf.DUMMYFUNCTION("""COMPUTED_VALUE"""),"VD038")</f>
        <v>VD038</v>
      </c>
      <c r="C887" s="2">
        <f>IFERROR(__xludf.DUMMYFUNCTION("""COMPUTED_VALUE"""),8.0)</f>
        <v>8</v>
      </c>
      <c r="D887" s="2">
        <f>IFERROR(__xludf.DUMMYFUNCTION("""COMPUTED_VALUE"""),2399.2)</f>
        <v>2399.2</v>
      </c>
    </row>
    <row r="888">
      <c r="A888" s="2" t="str">
        <f>IFERROR(__xludf.DUMMYFUNCTION("""COMPUTED_VALUE"""),"PR012")</f>
        <v>PR012</v>
      </c>
      <c r="B888" s="2" t="str">
        <f>IFERROR(__xludf.DUMMYFUNCTION("""COMPUTED_VALUE"""),"VD035")</f>
        <v>VD035</v>
      </c>
      <c r="C888" s="2">
        <f>IFERROR(__xludf.DUMMYFUNCTION("""COMPUTED_VALUE"""),9.0)</f>
        <v>9</v>
      </c>
      <c r="D888" s="2">
        <f>IFERROR(__xludf.DUMMYFUNCTION("""COMPUTED_VALUE"""),479.71)</f>
        <v>479.71</v>
      </c>
    </row>
    <row r="889">
      <c r="A889" s="2" t="str">
        <f>IFERROR(__xludf.DUMMYFUNCTION("""COMPUTED_VALUE"""),"PR059")</f>
        <v>PR059</v>
      </c>
      <c r="B889" s="2" t="str">
        <f>IFERROR(__xludf.DUMMYFUNCTION("""COMPUTED_VALUE"""),"VD019")</f>
        <v>VD019</v>
      </c>
      <c r="C889" s="2">
        <f>IFERROR(__xludf.DUMMYFUNCTION("""COMPUTED_VALUE"""),3.0)</f>
        <v>3</v>
      </c>
      <c r="D889" s="2">
        <f>IFERROR(__xludf.DUMMYFUNCTION("""COMPUTED_VALUE"""),561.6)</f>
        <v>561.6</v>
      </c>
    </row>
    <row r="890">
      <c r="A890" s="2" t="str">
        <f>IFERROR(__xludf.DUMMYFUNCTION("""COMPUTED_VALUE"""),"PR021")</f>
        <v>PR021</v>
      </c>
      <c r="B890" s="2" t="str">
        <f>IFERROR(__xludf.DUMMYFUNCTION("""COMPUTED_VALUE"""),"VD014")</f>
        <v>VD014</v>
      </c>
      <c r="C890" s="2">
        <f>IFERROR(__xludf.DUMMYFUNCTION("""COMPUTED_VALUE"""),1.0)</f>
        <v>1</v>
      </c>
      <c r="D890" s="2">
        <f>IFERROR(__xludf.DUMMYFUNCTION("""COMPUTED_VALUE"""),330.16)</f>
        <v>330.16</v>
      </c>
    </row>
    <row r="891">
      <c r="A891" s="2" t="str">
        <f>IFERROR(__xludf.DUMMYFUNCTION("""COMPUTED_VALUE"""),"PR045")</f>
        <v>PR045</v>
      </c>
      <c r="B891" s="2" t="str">
        <f>IFERROR(__xludf.DUMMYFUNCTION("""COMPUTED_VALUE"""),"VD043")</f>
        <v>VD043</v>
      </c>
      <c r="C891" s="2">
        <f>IFERROR(__xludf.DUMMYFUNCTION("""COMPUTED_VALUE"""),10.0)</f>
        <v>10</v>
      </c>
      <c r="D891" s="2">
        <f>IFERROR(__xludf.DUMMYFUNCTION("""COMPUTED_VALUE"""),732.25)</f>
        <v>732.25</v>
      </c>
    </row>
    <row r="892">
      <c r="A892" s="2" t="str">
        <f>IFERROR(__xludf.DUMMYFUNCTION("""COMPUTED_VALUE"""),"PR045")</f>
        <v>PR045</v>
      </c>
      <c r="B892" s="2" t="str">
        <f>IFERROR(__xludf.DUMMYFUNCTION("""COMPUTED_VALUE"""),"VD044")</f>
        <v>VD044</v>
      </c>
      <c r="C892" s="2">
        <f>IFERROR(__xludf.DUMMYFUNCTION("""COMPUTED_VALUE"""),5.0)</f>
        <v>5</v>
      </c>
      <c r="D892" s="2">
        <f>IFERROR(__xludf.DUMMYFUNCTION("""COMPUTED_VALUE"""),373.38)</f>
        <v>373.38</v>
      </c>
    </row>
    <row r="893">
      <c r="A893" s="2" t="str">
        <f>IFERROR(__xludf.DUMMYFUNCTION("""COMPUTED_VALUE"""),"PR048")</f>
        <v>PR048</v>
      </c>
      <c r="B893" s="2" t="str">
        <f>IFERROR(__xludf.DUMMYFUNCTION("""COMPUTED_VALUE"""),"VD018")</f>
        <v>VD018</v>
      </c>
      <c r="C893" s="2">
        <f>IFERROR(__xludf.DUMMYFUNCTION("""COMPUTED_VALUE"""),7.0)</f>
        <v>7</v>
      </c>
      <c r="D893" s="2">
        <f>IFERROR(__xludf.DUMMYFUNCTION("""COMPUTED_VALUE"""),2211.94)</f>
        <v>2211.94</v>
      </c>
    </row>
    <row r="894">
      <c r="A894" s="2" t="str">
        <f>IFERROR(__xludf.DUMMYFUNCTION("""COMPUTED_VALUE"""),"PR052")</f>
        <v>PR052</v>
      </c>
      <c r="B894" s="2" t="str">
        <f>IFERROR(__xludf.DUMMYFUNCTION("""COMPUTED_VALUE"""),"VD043")</f>
        <v>VD043</v>
      </c>
      <c r="C894" s="2">
        <f>IFERROR(__xludf.DUMMYFUNCTION("""COMPUTED_VALUE"""),5.0)</f>
        <v>5</v>
      </c>
      <c r="D894" s="2">
        <f>IFERROR(__xludf.DUMMYFUNCTION("""COMPUTED_VALUE"""),259.48)</f>
        <v>259.48</v>
      </c>
    </row>
    <row r="895">
      <c r="A895" s="2" t="str">
        <f>IFERROR(__xludf.DUMMYFUNCTION("""COMPUTED_VALUE"""),"PR038")</f>
        <v>PR038</v>
      </c>
      <c r="B895" s="2" t="str">
        <f>IFERROR(__xludf.DUMMYFUNCTION("""COMPUTED_VALUE"""),"VD042")</f>
        <v>VD042</v>
      </c>
      <c r="C895" s="2">
        <f>IFERROR(__xludf.DUMMYFUNCTION("""COMPUTED_VALUE"""),20.0)</f>
        <v>20</v>
      </c>
      <c r="D895" s="2">
        <f>IFERROR(__xludf.DUMMYFUNCTION("""COMPUTED_VALUE"""),3143.8)</f>
        <v>3143.8</v>
      </c>
    </row>
    <row r="896">
      <c r="A896" s="2" t="str">
        <f>IFERROR(__xludf.DUMMYFUNCTION("""COMPUTED_VALUE"""),"PR032")</f>
        <v>PR032</v>
      </c>
      <c r="B896" s="2" t="str">
        <f>IFERROR(__xludf.DUMMYFUNCTION("""COMPUTED_VALUE"""),"VD046")</f>
        <v>VD046</v>
      </c>
      <c r="C896" s="2">
        <f>IFERROR(__xludf.DUMMYFUNCTION("""COMPUTED_VALUE"""),5.0)</f>
        <v>5</v>
      </c>
      <c r="D896" s="2">
        <f>IFERROR(__xludf.DUMMYFUNCTION("""COMPUTED_VALUE"""),1375.0)</f>
        <v>1375</v>
      </c>
    </row>
    <row r="897">
      <c r="A897" s="2" t="str">
        <f>IFERROR(__xludf.DUMMYFUNCTION("""COMPUTED_VALUE"""),"PR046")</f>
        <v>PR046</v>
      </c>
      <c r="B897" s="2" t="str">
        <f>IFERROR(__xludf.DUMMYFUNCTION("""COMPUTED_VALUE"""),"VD018")</f>
        <v>VD018</v>
      </c>
      <c r="C897" s="2">
        <f>IFERROR(__xludf.DUMMYFUNCTION("""COMPUTED_VALUE"""),5.0)</f>
        <v>5</v>
      </c>
      <c r="D897" s="2">
        <f>IFERROR(__xludf.DUMMYFUNCTION("""COMPUTED_VALUE"""),1449.5)</f>
        <v>1449.5</v>
      </c>
    </row>
    <row r="898">
      <c r="A898" s="2" t="str">
        <f>IFERROR(__xludf.DUMMYFUNCTION("""COMPUTED_VALUE"""),"PR056")</f>
        <v>PR056</v>
      </c>
      <c r="B898" s="2" t="str">
        <f>IFERROR(__xludf.DUMMYFUNCTION("""COMPUTED_VALUE"""),"VD029")</f>
        <v>VD029</v>
      </c>
      <c r="C898" s="2">
        <f>IFERROR(__xludf.DUMMYFUNCTION("""COMPUTED_VALUE"""),1.0)</f>
        <v>1</v>
      </c>
      <c r="D898" s="2">
        <f>IFERROR(__xludf.DUMMYFUNCTION("""COMPUTED_VALUE"""),96.19)</f>
        <v>96.19</v>
      </c>
    </row>
    <row r="899">
      <c r="A899" s="2" t="str">
        <f>IFERROR(__xludf.DUMMYFUNCTION("""COMPUTED_VALUE"""),"PR018")</f>
        <v>PR018</v>
      </c>
      <c r="B899" s="2" t="str">
        <f>IFERROR(__xludf.DUMMYFUNCTION("""COMPUTED_VALUE"""),"VD042")</f>
        <v>VD042</v>
      </c>
      <c r="C899" s="2">
        <f>IFERROR(__xludf.DUMMYFUNCTION("""COMPUTED_VALUE"""),8.0)</f>
        <v>8</v>
      </c>
      <c r="D899" s="2">
        <f>IFERROR(__xludf.DUMMYFUNCTION("""COMPUTED_VALUE"""),289.52)</f>
        <v>289.52</v>
      </c>
    </row>
    <row r="900">
      <c r="A900" s="2" t="str">
        <f>IFERROR(__xludf.DUMMYFUNCTION("""COMPUTED_VALUE"""),"PR020")</f>
        <v>PR020</v>
      </c>
      <c r="B900" s="2" t="str">
        <f>IFERROR(__xludf.DUMMYFUNCTION("""COMPUTED_VALUE"""),"VD024")</f>
        <v>VD024</v>
      </c>
      <c r="C900" s="2">
        <f>IFERROR(__xludf.DUMMYFUNCTION("""COMPUTED_VALUE"""),18.0)</f>
        <v>18</v>
      </c>
      <c r="D900" s="2">
        <f>IFERROR(__xludf.DUMMYFUNCTION("""COMPUTED_VALUE"""),5452.18)</f>
        <v>5452.18</v>
      </c>
    </row>
    <row r="901">
      <c r="A901" s="2" t="str">
        <f>IFERROR(__xludf.DUMMYFUNCTION("""COMPUTED_VALUE"""),"PR011")</f>
        <v>PR011</v>
      </c>
      <c r="B901" s="2" t="str">
        <f>IFERROR(__xludf.DUMMYFUNCTION("""COMPUTED_VALUE"""),"VD013")</f>
        <v>VD013</v>
      </c>
      <c r="C901" s="2">
        <f>IFERROR(__xludf.DUMMYFUNCTION("""COMPUTED_VALUE"""),2.0)</f>
        <v>2</v>
      </c>
      <c r="D901" s="2">
        <f>IFERROR(__xludf.DUMMYFUNCTION("""COMPUTED_VALUE"""),96.61)</f>
        <v>96.61</v>
      </c>
    </row>
    <row r="902">
      <c r="A902" s="2" t="str">
        <f>IFERROR(__xludf.DUMMYFUNCTION("""COMPUTED_VALUE"""),"PR025")</f>
        <v>PR025</v>
      </c>
      <c r="B902" s="2" t="str">
        <f>IFERROR(__xludf.DUMMYFUNCTION("""COMPUTED_VALUE"""),"VD047")</f>
        <v>VD047</v>
      </c>
      <c r="C902" s="2">
        <f>IFERROR(__xludf.DUMMYFUNCTION("""COMPUTED_VALUE"""),2.0)</f>
        <v>2</v>
      </c>
      <c r="D902" s="2">
        <f>IFERROR(__xludf.DUMMYFUNCTION("""COMPUTED_VALUE"""),635.79)</f>
        <v>635.79</v>
      </c>
    </row>
    <row r="903">
      <c r="A903" s="2" t="str">
        <f>IFERROR(__xludf.DUMMYFUNCTION("""COMPUTED_VALUE"""),"PR044")</f>
        <v>PR044</v>
      </c>
      <c r="B903" s="2" t="str">
        <f>IFERROR(__xludf.DUMMYFUNCTION("""COMPUTED_VALUE"""),"VD020")</f>
        <v>VD020</v>
      </c>
      <c r="C903" s="2">
        <f>IFERROR(__xludf.DUMMYFUNCTION("""COMPUTED_VALUE"""),9.0)</f>
        <v>9</v>
      </c>
      <c r="D903" s="2">
        <f>IFERROR(__xludf.DUMMYFUNCTION("""COMPUTED_VALUE"""),652.5)</f>
        <v>652.5</v>
      </c>
    </row>
    <row r="904">
      <c r="A904" s="2" t="str">
        <f>IFERROR(__xludf.DUMMYFUNCTION("""COMPUTED_VALUE"""),"PR054")</f>
        <v>PR054</v>
      </c>
      <c r="B904" s="2" t="str">
        <f>IFERROR(__xludf.DUMMYFUNCTION("""COMPUTED_VALUE"""),"VD011")</f>
        <v>VD011</v>
      </c>
      <c r="C904" s="2">
        <f>IFERROR(__xludf.DUMMYFUNCTION("""COMPUTED_VALUE"""),2.0)</f>
        <v>2</v>
      </c>
      <c r="D904" s="2">
        <f>IFERROR(__xludf.DUMMYFUNCTION("""COMPUTED_VALUE"""),100.8)</f>
        <v>100.8</v>
      </c>
    </row>
    <row r="905">
      <c r="A905" s="2" t="str">
        <f>IFERROR(__xludf.DUMMYFUNCTION("""COMPUTED_VALUE"""),"PR004")</f>
        <v>PR004</v>
      </c>
      <c r="B905" s="2" t="str">
        <f>IFERROR(__xludf.DUMMYFUNCTION("""COMPUTED_VALUE"""),"VD039")</f>
        <v>VD039</v>
      </c>
      <c r="C905" s="2">
        <f>IFERROR(__xludf.DUMMYFUNCTION("""COMPUTED_VALUE"""),14.0)</f>
        <v>14</v>
      </c>
      <c r="D905" s="2">
        <f>IFERROR(__xludf.DUMMYFUNCTION("""COMPUTED_VALUE"""),2212.7)</f>
        <v>2212.7</v>
      </c>
    </row>
    <row r="906">
      <c r="A906" s="2" t="str">
        <f>IFERROR(__xludf.DUMMYFUNCTION("""COMPUTED_VALUE"""),"PR032")</f>
        <v>PR032</v>
      </c>
      <c r="B906" s="2" t="str">
        <f>IFERROR(__xludf.DUMMYFUNCTION("""COMPUTED_VALUE"""),"VD017")</f>
        <v>VD017</v>
      </c>
      <c r="C906" s="2">
        <f>IFERROR(__xludf.DUMMYFUNCTION("""COMPUTED_VALUE"""),12.0)</f>
        <v>12</v>
      </c>
      <c r="D906" s="2">
        <f>IFERROR(__xludf.DUMMYFUNCTION("""COMPUTED_VALUE"""),3030.0)</f>
        <v>3030</v>
      </c>
    </row>
    <row r="907">
      <c r="A907" s="2" t="str">
        <f>IFERROR(__xludf.DUMMYFUNCTION("""COMPUTED_VALUE"""),"PR060")</f>
        <v>PR060</v>
      </c>
      <c r="B907" s="2" t="str">
        <f>IFERROR(__xludf.DUMMYFUNCTION("""COMPUTED_VALUE"""),"VD040")</f>
        <v>VD040</v>
      </c>
      <c r="C907" s="2">
        <f>IFERROR(__xludf.DUMMYFUNCTION("""COMPUTED_VALUE"""),18.0)</f>
        <v>18</v>
      </c>
      <c r="D907" s="2">
        <f>IFERROR(__xludf.DUMMYFUNCTION("""COMPUTED_VALUE"""),3434.4)</f>
        <v>3434.4</v>
      </c>
    </row>
    <row r="908">
      <c r="A908" s="2" t="str">
        <f>IFERROR(__xludf.DUMMYFUNCTION("""COMPUTED_VALUE"""),"PR041")</f>
        <v>PR041</v>
      </c>
      <c r="B908" s="2" t="str">
        <f>IFERROR(__xludf.DUMMYFUNCTION("""COMPUTED_VALUE"""),"VD018")</f>
        <v>VD018</v>
      </c>
      <c r="C908" s="2">
        <f>IFERROR(__xludf.DUMMYFUNCTION("""COMPUTED_VALUE"""),1.0)</f>
        <v>1</v>
      </c>
      <c r="D908" s="2">
        <f>IFERROR(__xludf.DUMMYFUNCTION("""COMPUTED_VALUE"""),59.29)</f>
        <v>59.29</v>
      </c>
    </row>
    <row r="909">
      <c r="A909" s="2" t="str">
        <f>IFERROR(__xludf.DUMMYFUNCTION("""COMPUTED_VALUE"""),"PR029")</f>
        <v>PR029</v>
      </c>
      <c r="B909" s="2" t="str">
        <f>IFERROR(__xludf.DUMMYFUNCTION("""COMPUTED_VALUE"""),"VD029")</f>
        <v>VD029</v>
      </c>
      <c r="C909" s="2">
        <f>IFERROR(__xludf.DUMMYFUNCTION("""COMPUTED_VALUE"""),6.0)</f>
        <v>6</v>
      </c>
      <c r="D909" s="2">
        <f>IFERROR(__xludf.DUMMYFUNCTION("""COMPUTED_VALUE"""),1575.9)</f>
        <v>1575.9</v>
      </c>
    </row>
    <row r="910">
      <c r="A910" s="2" t="str">
        <f>IFERROR(__xludf.DUMMYFUNCTION("""COMPUTED_VALUE"""),"PR039")</f>
        <v>PR039</v>
      </c>
      <c r="B910" s="2" t="str">
        <f>IFERROR(__xludf.DUMMYFUNCTION("""COMPUTED_VALUE"""),"VD034")</f>
        <v>VD034</v>
      </c>
      <c r="C910" s="2">
        <f>IFERROR(__xludf.DUMMYFUNCTION("""COMPUTED_VALUE"""),16.0)</f>
        <v>16</v>
      </c>
      <c r="D910" s="2">
        <f>IFERROR(__xludf.DUMMYFUNCTION("""COMPUTED_VALUE"""),2336.0)</f>
        <v>2336</v>
      </c>
    </row>
    <row r="911">
      <c r="A911" s="2" t="str">
        <f>IFERROR(__xludf.DUMMYFUNCTION("""COMPUTED_VALUE"""),"PR048")</f>
        <v>PR048</v>
      </c>
      <c r="B911" s="2" t="str">
        <f>IFERROR(__xludf.DUMMYFUNCTION("""COMPUTED_VALUE"""),"VD026")</f>
        <v>VD026</v>
      </c>
      <c r="C911" s="2">
        <f>IFERROR(__xludf.DUMMYFUNCTION("""COMPUTED_VALUE"""),6.0)</f>
        <v>6</v>
      </c>
      <c r="D911" s="2">
        <f>IFERROR(__xludf.DUMMYFUNCTION("""COMPUTED_VALUE"""),1774.19)</f>
        <v>1774.19</v>
      </c>
    </row>
    <row r="912">
      <c r="A912" s="2" t="str">
        <f>IFERROR(__xludf.DUMMYFUNCTION("""COMPUTED_VALUE"""),"PR015")</f>
        <v>PR015</v>
      </c>
      <c r="B912" s="2" t="str">
        <f>IFERROR(__xludf.DUMMYFUNCTION("""COMPUTED_VALUE"""),"VD012")</f>
        <v>VD012</v>
      </c>
      <c r="C912" s="2">
        <f>IFERROR(__xludf.DUMMYFUNCTION("""COMPUTED_VALUE"""),2.0)</f>
        <v>2</v>
      </c>
      <c r="D912" s="2">
        <f>IFERROR(__xludf.DUMMYFUNCTION("""COMPUTED_VALUE"""),85.85)</f>
        <v>85.85</v>
      </c>
    </row>
    <row r="913">
      <c r="A913" s="2" t="str">
        <f>IFERROR(__xludf.DUMMYFUNCTION("""COMPUTED_VALUE"""),"PR051")</f>
        <v>PR051</v>
      </c>
      <c r="B913" s="2" t="str">
        <f>IFERROR(__xludf.DUMMYFUNCTION("""COMPUTED_VALUE"""),"VD036")</f>
        <v>VD036</v>
      </c>
      <c r="C913" s="2">
        <f>IFERROR(__xludf.DUMMYFUNCTION("""COMPUTED_VALUE"""),10.0)</f>
        <v>10</v>
      </c>
      <c r="D913" s="2">
        <f>IFERROR(__xludf.DUMMYFUNCTION("""COMPUTED_VALUE"""),348.74)</f>
        <v>348.74</v>
      </c>
    </row>
    <row r="914">
      <c r="A914" s="2" t="str">
        <f>IFERROR(__xludf.DUMMYFUNCTION("""COMPUTED_VALUE"""),"PR060")</f>
        <v>PR060</v>
      </c>
      <c r="B914" s="2" t="str">
        <f>IFERROR(__xludf.DUMMYFUNCTION("""COMPUTED_VALUE"""),"VD021")</f>
        <v>VD021</v>
      </c>
      <c r="C914" s="2">
        <f>IFERROR(__xludf.DUMMYFUNCTION("""COMPUTED_VALUE"""),12.0)</f>
        <v>12</v>
      </c>
      <c r="D914" s="2">
        <f>IFERROR(__xludf.DUMMYFUNCTION("""COMPUTED_VALUE"""),2246.4)</f>
        <v>2246.4</v>
      </c>
    </row>
    <row r="915">
      <c r="A915" s="2" t="str">
        <f>IFERROR(__xludf.DUMMYFUNCTION("""COMPUTED_VALUE"""),"PR053")</f>
        <v>PR053</v>
      </c>
      <c r="B915" s="2" t="str">
        <f>IFERROR(__xludf.DUMMYFUNCTION("""COMPUTED_VALUE"""),"VD047")</f>
        <v>VD047</v>
      </c>
      <c r="C915" s="2">
        <f>IFERROR(__xludf.DUMMYFUNCTION("""COMPUTED_VALUE"""),6.0)</f>
        <v>6</v>
      </c>
      <c r="D915" s="2">
        <f>IFERROR(__xludf.DUMMYFUNCTION("""COMPUTED_VALUE"""),317.36)</f>
        <v>317.36</v>
      </c>
    </row>
    <row r="916">
      <c r="A916" s="2" t="str">
        <f>IFERROR(__xludf.DUMMYFUNCTION("""COMPUTED_VALUE"""),"PR051")</f>
        <v>PR051</v>
      </c>
      <c r="B916" s="2" t="str">
        <f>IFERROR(__xludf.DUMMYFUNCTION("""COMPUTED_VALUE"""),"VD016")</f>
        <v>VD016</v>
      </c>
      <c r="C916" s="2">
        <f>IFERROR(__xludf.DUMMYFUNCTION("""COMPUTED_VALUE"""),8.0)</f>
        <v>8</v>
      </c>
      <c r="D916" s="2">
        <f>IFERROR(__xludf.DUMMYFUNCTION("""COMPUTED_VALUE"""),263.2)</f>
        <v>263.2</v>
      </c>
    </row>
    <row r="917">
      <c r="A917" s="2" t="str">
        <f>IFERROR(__xludf.DUMMYFUNCTION("""COMPUTED_VALUE"""),"PR035")</f>
        <v>PR035</v>
      </c>
      <c r="B917" s="2" t="str">
        <f>IFERROR(__xludf.DUMMYFUNCTION("""COMPUTED_VALUE"""),"VD016")</f>
        <v>VD016</v>
      </c>
      <c r="C917" s="2">
        <f>IFERROR(__xludf.DUMMYFUNCTION("""COMPUTED_VALUE"""),12.0)</f>
        <v>12</v>
      </c>
      <c r="D917" s="2">
        <f>IFERROR(__xludf.DUMMYFUNCTION("""COMPUTED_VALUE"""),1107.77)</f>
        <v>1107.77</v>
      </c>
    </row>
    <row r="918">
      <c r="A918" s="2" t="str">
        <f>IFERROR(__xludf.DUMMYFUNCTION("""COMPUTED_VALUE"""),"PR046")</f>
        <v>PR046</v>
      </c>
      <c r="B918" s="2" t="str">
        <f>IFERROR(__xludf.DUMMYFUNCTION("""COMPUTED_VALUE"""),"VD031")</f>
        <v>VD031</v>
      </c>
      <c r="C918" s="2">
        <f>IFERROR(__xludf.DUMMYFUNCTION("""COMPUTED_VALUE"""),14.0)</f>
        <v>14</v>
      </c>
      <c r="D918" s="2">
        <f>IFERROR(__xludf.DUMMYFUNCTION("""COMPUTED_VALUE"""),4099.19)</f>
        <v>4099.19</v>
      </c>
    </row>
    <row r="919">
      <c r="A919" s="2" t="str">
        <f>IFERROR(__xludf.DUMMYFUNCTION("""COMPUTED_VALUE"""),"PR057")</f>
        <v>PR057</v>
      </c>
      <c r="B919" s="2" t="str">
        <f>IFERROR(__xludf.DUMMYFUNCTION("""COMPUTED_VALUE"""),"VD047")</f>
        <v>VD047</v>
      </c>
      <c r="C919" s="2">
        <f>IFERROR(__xludf.DUMMYFUNCTION("""COMPUTED_VALUE"""),12.0)</f>
        <v>12</v>
      </c>
      <c r="D919" s="2">
        <f>IFERROR(__xludf.DUMMYFUNCTION("""COMPUTED_VALUE"""),1121.95)</f>
        <v>1121.95</v>
      </c>
    </row>
    <row r="920">
      <c r="A920" s="2" t="str">
        <f>IFERROR(__xludf.DUMMYFUNCTION("""COMPUTED_VALUE"""),"PR050")</f>
        <v>PR050</v>
      </c>
      <c r="B920" s="2" t="str">
        <f>IFERROR(__xludf.DUMMYFUNCTION("""COMPUTED_VALUE"""),"VD031")</f>
        <v>VD031</v>
      </c>
      <c r="C920" s="2">
        <f>IFERROR(__xludf.DUMMYFUNCTION("""COMPUTED_VALUE"""),20.0)</f>
        <v>20</v>
      </c>
      <c r="D920" s="2">
        <f>IFERROR(__xludf.DUMMYFUNCTION("""COMPUTED_VALUE"""),697.48)</f>
        <v>697.48</v>
      </c>
    </row>
    <row r="921">
      <c r="A921" s="2" t="str">
        <f>IFERROR(__xludf.DUMMYFUNCTION("""COMPUTED_VALUE"""),"PR012")</f>
        <v>PR012</v>
      </c>
      <c r="B921" s="2" t="str">
        <f>IFERROR(__xludf.DUMMYFUNCTION("""COMPUTED_VALUE"""),"VD020")</f>
        <v>VD020</v>
      </c>
      <c r="C921" s="2">
        <f>IFERROR(__xludf.DUMMYFUNCTION("""COMPUTED_VALUE"""),14.0)</f>
        <v>14</v>
      </c>
      <c r="D921" s="2">
        <f>IFERROR(__xludf.DUMMYFUNCTION("""COMPUTED_VALUE"""),711.98)</f>
        <v>711.98</v>
      </c>
    </row>
    <row r="922">
      <c r="A922" s="2" t="str">
        <f>IFERROR(__xludf.DUMMYFUNCTION("""COMPUTED_VALUE"""),"PR011")</f>
        <v>PR011</v>
      </c>
      <c r="B922" s="2" t="str">
        <f>IFERROR(__xludf.DUMMYFUNCTION("""COMPUTED_VALUE"""),"VD038")</f>
        <v>VD038</v>
      </c>
      <c r="C922" s="2">
        <f>IFERROR(__xludf.DUMMYFUNCTION("""COMPUTED_VALUE"""),10.0)</f>
        <v>10</v>
      </c>
      <c r="D922" s="2">
        <f>IFERROR(__xludf.DUMMYFUNCTION("""COMPUTED_VALUE"""),492.45)</f>
        <v>492.45</v>
      </c>
    </row>
    <row r="923">
      <c r="A923" s="2" t="str">
        <f>IFERROR(__xludf.DUMMYFUNCTION("""COMPUTED_VALUE"""),"PR024")</f>
        <v>PR024</v>
      </c>
      <c r="B923" s="2" t="str">
        <f>IFERROR(__xludf.DUMMYFUNCTION("""COMPUTED_VALUE"""),"VD041")</f>
        <v>VD041</v>
      </c>
      <c r="C923" s="2">
        <f>IFERROR(__xludf.DUMMYFUNCTION("""COMPUTED_VALUE"""),2.0)</f>
        <v>2</v>
      </c>
      <c r="D923" s="2">
        <f>IFERROR(__xludf.DUMMYFUNCTION("""COMPUTED_VALUE"""),550.99)</f>
        <v>550.99</v>
      </c>
    </row>
    <row r="924">
      <c r="A924" s="2" t="str">
        <f>IFERROR(__xludf.DUMMYFUNCTION("""COMPUTED_VALUE"""),"PR049")</f>
        <v>PR049</v>
      </c>
      <c r="B924" s="2" t="str">
        <f>IFERROR(__xludf.DUMMYFUNCTION("""COMPUTED_VALUE"""),"VD017")</f>
        <v>VD017</v>
      </c>
      <c r="C924" s="2">
        <f>IFERROR(__xludf.DUMMYFUNCTION("""COMPUTED_VALUE"""),20.0)</f>
        <v>20</v>
      </c>
      <c r="D924" s="2">
        <f>IFERROR(__xludf.DUMMYFUNCTION("""COMPUTED_VALUE"""),671.16)</f>
        <v>671.16</v>
      </c>
    </row>
    <row r="925">
      <c r="A925" s="2" t="str">
        <f>IFERROR(__xludf.DUMMYFUNCTION("""COMPUTED_VALUE"""),"PR050")</f>
        <v>PR050</v>
      </c>
      <c r="B925" s="2" t="str">
        <f>IFERROR(__xludf.DUMMYFUNCTION("""COMPUTED_VALUE"""),"VD011")</f>
        <v>VD011</v>
      </c>
      <c r="C925" s="2">
        <f>IFERROR(__xludf.DUMMYFUNCTION("""COMPUTED_VALUE"""),2.0)</f>
        <v>2</v>
      </c>
      <c r="D925" s="2">
        <f>IFERROR(__xludf.DUMMYFUNCTION("""COMPUTED_VALUE"""),71.06)</f>
        <v>71.06</v>
      </c>
    </row>
    <row r="926">
      <c r="A926" s="2" t="str">
        <f>IFERROR(__xludf.DUMMYFUNCTION("""COMPUTED_VALUE"""),"PR008")</f>
        <v>PR008</v>
      </c>
      <c r="B926" s="2" t="str">
        <f>IFERROR(__xludf.DUMMYFUNCTION("""COMPUTED_VALUE"""),"VD046")</f>
        <v>VD046</v>
      </c>
      <c r="C926" s="2">
        <f>IFERROR(__xludf.DUMMYFUNCTION("""COMPUTED_VALUE"""),2.0)</f>
        <v>2</v>
      </c>
      <c r="D926" s="2">
        <f>IFERROR(__xludf.DUMMYFUNCTION("""COMPUTED_VALUE"""),186.99)</f>
        <v>186.99</v>
      </c>
    </row>
    <row r="927">
      <c r="A927" s="2" t="str">
        <f>IFERROR(__xludf.DUMMYFUNCTION("""COMPUTED_VALUE"""),"PR024")</f>
        <v>PR024</v>
      </c>
      <c r="B927" s="2" t="str">
        <f>IFERROR(__xludf.DUMMYFUNCTION("""COMPUTED_VALUE"""),"VD039")</f>
        <v>VD039</v>
      </c>
      <c r="C927" s="2">
        <f>IFERROR(__xludf.DUMMYFUNCTION("""COMPUTED_VALUE"""),2.0)</f>
        <v>2</v>
      </c>
      <c r="D927" s="2">
        <f>IFERROR(__xludf.DUMMYFUNCTION("""COMPUTED_VALUE"""),561.38)</f>
        <v>561.38</v>
      </c>
    </row>
    <row r="928">
      <c r="A928" s="2" t="str">
        <f>IFERROR(__xludf.DUMMYFUNCTION("""COMPUTED_VALUE"""),"PR016")</f>
        <v>PR016</v>
      </c>
      <c r="B928" s="2" t="str">
        <f>IFERROR(__xludf.DUMMYFUNCTION("""COMPUTED_VALUE"""),"VD028")</f>
        <v>VD028</v>
      </c>
      <c r="C928" s="2">
        <f>IFERROR(__xludf.DUMMYFUNCTION("""COMPUTED_VALUE"""),5.0)</f>
        <v>5</v>
      </c>
      <c r="D928" s="2">
        <f>IFERROR(__xludf.DUMMYFUNCTION("""COMPUTED_VALUE"""),132.09)</f>
        <v>132.09</v>
      </c>
    </row>
    <row r="929">
      <c r="A929" s="2" t="str">
        <f>IFERROR(__xludf.DUMMYFUNCTION("""COMPUTED_VALUE"""),"PR025")</f>
        <v>PR025</v>
      </c>
      <c r="B929" s="2" t="str">
        <f>IFERROR(__xludf.DUMMYFUNCTION("""COMPUTED_VALUE"""),"VD047")</f>
        <v>VD047</v>
      </c>
      <c r="C929" s="2">
        <f>IFERROR(__xludf.DUMMYFUNCTION("""COMPUTED_VALUE"""),20.0)</f>
        <v>20</v>
      </c>
      <c r="D929" s="2">
        <f>IFERROR(__xludf.DUMMYFUNCTION("""COMPUTED_VALUE"""),6297.9)</f>
        <v>6297.9</v>
      </c>
    </row>
    <row r="930">
      <c r="A930" s="2" t="str">
        <f>IFERROR(__xludf.DUMMYFUNCTION("""COMPUTED_VALUE"""),"PR055")</f>
        <v>PR055</v>
      </c>
      <c r="B930" s="2" t="str">
        <f>IFERROR(__xludf.DUMMYFUNCTION("""COMPUTED_VALUE"""),"VD047")</f>
        <v>VD047</v>
      </c>
      <c r="C930" s="2">
        <f>IFERROR(__xludf.DUMMYFUNCTION("""COMPUTED_VALUE"""),8.0)</f>
        <v>8</v>
      </c>
      <c r="D930" s="2">
        <f>IFERROR(__xludf.DUMMYFUNCTION("""COMPUTED_VALUE"""),783.93)</f>
        <v>783.93</v>
      </c>
    </row>
    <row r="931">
      <c r="A931" s="2" t="str">
        <f>IFERROR(__xludf.DUMMYFUNCTION("""COMPUTED_VALUE"""),"PR047")</f>
        <v>PR047</v>
      </c>
      <c r="B931" s="2" t="str">
        <f>IFERROR(__xludf.DUMMYFUNCTION("""COMPUTED_VALUE"""),"VD025")</f>
        <v>VD025</v>
      </c>
      <c r="C931" s="2">
        <f>IFERROR(__xludf.DUMMYFUNCTION("""COMPUTED_VALUE"""),7.0)</f>
        <v>7</v>
      </c>
      <c r="D931" s="2">
        <f>IFERROR(__xludf.DUMMYFUNCTION("""COMPUTED_VALUE"""),2110.47)</f>
        <v>2110.47</v>
      </c>
    </row>
    <row r="932">
      <c r="A932" s="2" t="str">
        <f>IFERROR(__xludf.DUMMYFUNCTION("""COMPUTED_VALUE"""),"PR001")</f>
        <v>PR001</v>
      </c>
      <c r="B932" s="2" t="str">
        <f>IFERROR(__xludf.DUMMYFUNCTION("""COMPUTED_VALUE"""),"VD012")</f>
        <v>VD012</v>
      </c>
      <c r="C932" s="2">
        <f>IFERROR(__xludf.DUMMYFUNCTION("""COMPUTED_VALUE"""),12.0)</f>
        <v>12</v>
      </c>
      <c r="D932" s="2">
        <f>IFERROR(__xludf.DUMMYFUNCTION("""COMPUTED_VALUE"""),846.16)</f>
        <v>846.16</v>
      </c>
    </row>
    <row r="933">
      <c r="A933" s="2" t="str">
        <f>IFERROR(__xludf.DUMMYFUNCTION("""COMPUTED_VALUE"""),"PR017")</f>
        <v>PR017</v>
      </c>
      <c r="B933" s="2" t="str">
        <f>IFERROR(__xludf.DUMMYFUNCTION("""COMPUTED_VALUE"""),"VD032")</f>
        <v>VD032</v>
      </c>
      <c r="C933" s="2">
        <f>IFERROR(__xludf.DUMMYFUNCTION("""COMPUTED_VALUE"""),18.0)</f>
        <v>18</v>
      </c>
      <c r="D933" s="2">
        <f>IFERROR(__xludf.DUMMYFUNCTION("""COMPUTED_VALUE"""),559.73)</f>
        <v>559.73</v>
      </c>
    </row>
    <row r="934">
      <c r="A934" s="2" t="str">
        <f>IFERROR(__xludf.DUMMYFUNCTION("""COMPUTED_VALUE"""),"PR031")</f>
        <v>PR031</v>
      </c>
      <c r="B934" s="2" t="str">
        <f>IFERROR(__xludf.DUMMYFUNCTION("""COMPUTED_VALUE"""),"VD039")</f>
        <v>VD039</v>
      </c>
      <c r="C934" s="2">
        <f>IFERROR(__xludf.DUMMYFUNCTION("""COMPUTED_VALUE"""),2.0)</f>
        <v>2</v>
      </c>
      <c r="D934" s="2">
        <f>IFERROR(__xludf.DUMMYFUNCTION("""COMPUTED_VALUE"""),529.2)</f>
        <v>529.2</v>
      </c>
    </row>
    <row r="935">
      <c r="A935" s="2" t="str">
        <f>IFERROR(__xludf.DUMMYFUNCTION("""COMPUTED_VALUE"""),"PR059")</f>
        <v>PR059</v>
      </c>
      <c r="B935" s="2" t="str">
        <f>IFERROR(__xludf.DUMMYFUNCTION("""COMPUTED_VALUE"""),"VD024")</f>
        <v>VD024</v>
      </c>
      <c r="C935" s="2">
        <f>IFERROR(__xludf.DUMMYFUNCTION("""COMPUTED_VALUE"""),14.0)</f>
        <v>14</v>
      </c>
      <c r="D935" s="2">
        <f>IFERROR(__xludf.DUMMYFUNCTION("""COMPUTED_VALUE"""),2570.4)</f>
        <v>2570.4</v>
      </c>
    </row>
    <row r="936">
      <c r="A936" s="2" t="str">
        <f>IFERROR(__xludf.DUMMYFUNCTION("""COMPUTED_VALUE"""),"PR008")</f>
        <v>PR008</v>
      </c>
      <c r="B936" s="2" t="str">
        <f>IFERROR(__xludf.DUMMYFUNCTION("""COMPUTED_VALUE"""),"VD046")</f>
        <v>VD046</v>
      </c>
      <c r="C936" s="2">
        <f>IFERROR(__xludf.DUMMYFUNCTION("""COMPUTED_VALUE"""),8.0)</f>
        <v>8</v>
      </c>
      <c r="D936" s="2">
        <f>IFERROR(__xludf.DUMMYFUNCTION("""COMPUTED_VALUE"""),776.74)</f>
        <v>776.74</v>
      </c>
    </row>
    <row r="937">
      <c r="A937" s="2" t="str">
        <f>IFERROR(__xludf.DUMMYFUNCTION("""COMPUTED_VALUE"""),"PR044")</f>
        <v>PR044</v>
      </c>
      <c r="B937" s="2" t="str">
        <f>IFERROR(__xludf.DUMMYFUNCTION("""COMPUTED_VALUE"""),"VD037")</f>
        <v>VD037</v>
      </c>
      <c r="C937" s="2">
        <f>IFERROR(__xludf.DUMMYFUNCTION("""COMPUTED_VALUE"""),8.0)</f>
        <v>8</v>
      </c>
      <c r="D937" s="2">
        <f>IFERROR(__xludf.DUMMYFUNCTION("""COMPUTED_VALUE"""),585.8)</f>
        <v>585.8</v>
      </c>
    </row>
    <row r="938">
      <c r="A938" s="2" t="str">
        <f>IFERROR(__xludf.DUMMYFUNCTION("""COMPUTED_VALUE"""),"PR034")</f>
        <v>PR034</v>
      </c>
      <c r="B938" s="2" t="str">
        <f>IFERROR(__xludf.DUMMYFUNCTION("""COMPUTED_VALUE"""),"VD020")</f>
        <v>VD020</v>
      </c>
      <c r="C938" s="2">
        <f>IFERROR(__xludf.DUMMYFUNCTION("""COMPUTED_VALUE"""),2.0)</f>
        <v>2</v>
      </c>
      <c r="D938" s="2">
        <f>IFERROR(__xludf.DUMMYFUNCTION("""COMPUTED_VALUE"""),183.4)</f>
        <v>183.4</v>
      </c>
    </row>
    <row r="939">
      <c r="A939" s="2" t="str">
        <f>IFERROR(__xludf.DUMMYFUNCTION("""COMPUTED_VALUE"""),"PR020")</f>
        <v>PR020</v>
      </c>
      <c r="B939" s="2" t="str">
        <f>IFERROR(__xludf.DUMMYFUNCTION("""COMPUTED_VALUE"""),"VD014")</f>
        <v>VD014</v>
      </c>
      <c r="C939" s="2">
        <f>IFERROR(__xludf.DUMMYFUNCTION("""COMPUTED_VALUE"""),8.0)</f>
        <v>8</v>
      </c>
      <c r="D939" s="2">
        <f>IFERROR(__xludf.DUMMYFUNCTION("""COMPUTED_VALUE"""),2639.12)</f>
        <v>2639.12</v>
      </c>
    </row>
    <row r="940">
      <c r="A940" s="2" t="str">
        <f>IFERROR(__xludf.DUMMYFUNCTION("""COMPUTED_VALUE"""),"PR056")</f>
        <v>PR056</v>
      </c>
      <c r="B940" s="2" t="str">
        <f>IFERROR(__xludf.DUMMYFUNCTION("""COMPUTED_VALUE"""),"VD013")</f>
        <v>VD013</v>
      </c>
      <c r="C940" s="2">
        <f>IFERROR(__xludf.DUMMYFUNCTION("""COMPUTED_VALUE"""),16.0)</f>
        <v>16</v>
      </c>
      <c r="D940" s="2">
        <f>IFERROR(__xludf.DUMMYFUNCTION("""COMPUTED_VALUE"""),1438.4)</f>
        <v>1438.4</v>
      </c>
    </row>
    <row r="941">
      <c r="A941" s="2" t="str">
        <f>IFERROR(__xludf.DUMMYFUNCTION("""COMPUTED_VALUE"""),"PR057")</f>
        <v>PR057</v>
      </c>
      <c r="B941" s="2" t="str">
        <f>IFERROR(__xludf.DUMMYFUNCTION("""COMPUTED_VALUE"""),"VD018")</f>
        <v>VD018</v>
      </c>
      <c r="C941" s="2">
        <f>IFERROR(__xludf.DUMMYFUNCTION("""COMPUTED_VALUE"""),14.0)</f>
        <v>14</v>
      </c>
      <c r="D941" s="2">
        <f>IFERROR(__xludf.DUMMYFUNCTION("""COMPUTED_VALUE"""),1346.7)</f>
        <v>1346.7</v>
      </c>
    </row>
    <row r="942">
      <c r="A942" s="2" t="str">
        <f>IFERROR(__xludf.DUMMYFUNCTION("""COMPUTED_VALUE"""),"PR038")</f>
        <v>PR038</v>
      </c>
      <c r="B942" s="2" t="str">
        <f>IFERROR(__xludf.DUMMYFUNCTION("""COMPUTED_VALUE"""),"VD031")</f>
        <v>VD031</v>
      </c>
      <c r="C942" s="2">
        <f>IFERROR(__xludf.DUMMYFUNCTION("""COMPUTED_VALUE"""),14.0)</f>
        <v>14</v>
      </c>
      <c r="D942" s="2">
        <f>IFERROR(__xludf.DUMMYFUNCTION("""COMPUTED_VALUE"""),2180.65)</f>
        <v>2180.65</v>
      </c>
    </row>
    <row r="943">
      <c r="A943" s="2" t="str">
        <f>IFERROR(__xludf.DUMMYFUNCTION("""COMPUTED_VALUE"""),"PR033")</f>
        <v>PR033</v>
      </c>
      <c r="B943" s="2" t="str">
        <f>IFERROR(__xludf.DUMMYFUNCTION("""COMPUTED_VALUE"""),"VD041")</f>
        <v>VD041</v>
      </c>
      <c r="C943" s="2">
        <f>IFERROR(__xludf.DUMMYFUNCTION("""COMPUTED_VALUE"""),2.0)</f>
        <v>2</v>
      </c>
      <c r="D943" s="2">
        <f>IFERROR(__xludf.DUMMYFUNCTION("""COMPUTED_VALUE"""),535.39)</f>
        <v>535.39</v>
      </c>
    </row>
    <row r="944">
      <c r="A944" s="2" t="str">
        <f>IFERROR(__xludf.DUMMYFUNCTION("""COMPUTED_VALUE"""),"PR008")</f>
        <v>PR008</v>
      </c>
      <c r="B944" s="2" t="str">
        <f>IFERROR(__xludf.DUMMYFUNCTION("""COMPUTED_VALUE"""),"VD019")</f>
        <v>VD019</v>
      </c>
      <c r="C944" s="2">
        <f>IFERROR(__xludf.DUMMYFUNCTION("""COMPUTED_VALUE"""),10.0)</f>
        <v>10</v>
      </c>
      <c r="D944" s="2">
        <f>IFERROR(__xludf.DUMMYFUNCTION("""COMPUTED_VALUE"""),934.96)</f>
        <v>934.96</v>
      </c>
    </row>
    <row r="945">
      <c r="A945" s="2" t="str">
        <f>IFERROR(__xludf.DUMMYFUNCTION("""COMPUTED_VALUE"""),"PR051")</f>
        <v>PR051</v>
      </c>
      <c r="B945" s="2" t="str">
        <f>IFERROR(__xludf.DUMMYFUNCTION("""COMPUTED_VALUE"""),"VD037")</f>
        <v>VD037</v>
      </c>
      <c r="C945" s="2">
        <f>IFERROR(__xludf.DUMMYFUNCTION("""COMPUTED_VALUE"""),4.0)</f>
        <v>4</v>
      </c>
      <c r="D945" s="2">
        <f>IFERROR(__xludf.DUMMYFUNCTION("""COMPUTED_VALUE"""),135.55)</f>
        <v>135.55</v>
      </c>
    </row>
    <row r="946">
      <c r="A946" s="2" t="str">
        <f>IFERROR(__xludf.DUMMYFUNCTION("""COMPUTED_VALUE"""),"PR038")</f>
        <v>PR038</v>
      </c>
      <c r="B946" s="2" t="str">
        <f>IFERROR(__xludf.DUMMYFUNCTION("""COMPUTED_VALUE"""),"VD022")</f>
        <v>VD022</v>
      </c>
      <c r="C946" s="2">
        <f>IFERROR(__xludf.DUMMYFUNCTION("""COMPUTED_VALUE"""),7.0)</f>
        <v>7</v>
      </c>
      <c r="D946" s="2">
        <f>IFERROR(__xludf.DUMMYFUNCTION("""COMPUTED_VALUE"""),1100.33)</f>
        <v>1100.33</v>
      </c>
    </row>
    <row r="947">
      <c r="A947" s="2" t="str">
        <f>IFERROR(__xludf.DUMMYFUNCTION("""COMPUTED_VALUE"""),"PR009")</f>
        <v>PR009</v>
      </c>
      <c r="B947" s="2" t="str">
        <f>IFERROR(__xludf.DUMMYFUNCTION("""COMPUTED_VALUE"""),"VD013")</f>
        <v>VD013</v>
      </c>
      <c r="C947" s="2">
        <f>IFERROR(__xludf.DUMMYFUNCTION("""COMPUTED_VALUE"""),2.0)</f>
        <v>2</v>
      </c>
      <c r="D947" s="2">
        <f>IFERROR(__xludf.DUMMYFUNCTION("""COMPUTED_VALUE"""),195.09)</f>
        <v>195.09</v>
      </c>
    </row>
    <row r="948">
      <c r="A948" s="2" t="str">
        <f>IFERROR(__xludf.DUMMYFUNCTION("""COMPUTED_VALUE"""),"PR017")</f>
        <v>PR017</v>
      </c>
      <c r="B948" s="2" t="str">
        <f>IFERROR(__xludf.DUMMYFUNCTION("""COMPUTED_VALUE"""),"VD022")</f>
        <v>VD022</v>
      </c>
      <c r="C948" s="2">
        <f>IFERROR(__xludf.DUMMYFUNCTION("""COMPUTED_VALUE"""),8.0)</f>
        <v>8</v>
      </c>
      <c r="D948" s="2">
        <f>IFERROR(__xludf.DUMMYFUNCTION("""COMPUTED_VALUE"""),263.12)</f>
        <v>263.12</v>
      </c>
    </row>
    <row r="949">
      <c r="A949" s="2" t="str">
        <f>IFERROR(__xludf.DUMMYFUNCTION("""COMPUTED_VALUE"""),"PR036")</f>
        <v>PR036</v>
      </c>
      <c r="B949" s="2" t="str">
        <f>IFERROR(__xludf.DUMMYFUNCTION("""COMPUTED_VALUE"""),"VD048")</f>
        <v>VD048</v>
      </c>
      <c r="C949" s="2">
        <f>IFERROR(__xludf.DUMMYFUNCTION("""COMPUTED_VALUE"""),14.0)</f>
        <v>14</v>
      </c>
      <c r="D949" s="2">
        <f>IFERROR(__xludf.DUMMYFUNCTION("""COMPUTED_VALUE"""),1374.45)</f>
        <v>1374.45</v>
      </c>
    </row>
    <row r="950">
      <c r="A950" s="2" t="str">
        <f>IFERROR(__xludf.DUMMYFUNCTION("""COMPUTED_VALUE"""),"PR008")</f>
        <v>PR008</v>
      </c>
      <c r="B950" s="2" t="str">
        <f>IFERROR(__xludf.DUMMYFUNCTION("""COMPUTED_VALUE"""),"VD014")</f>
        <v>VD014</v>
      </c>
      <c r="C950" s="2">
        <f>IFERROR(__xludf.DUMMYFUNCTION("""COMPUTED_VALUE"""),8.0)</f>
        <v>8</v>
      </c>
      <c r="D950" s="2">
        <f>IFERROR(__xludf.DUMMYFUNCTION("""COMPUTED_VALUE"""),783.93)</f>
        <v>783.93</v>
      </c>
    </row>
    <row r="951">
      <c r="A951" s="2" t="str">
        <f>IFERROR(__xludf.DUMMYFUNCTION("""COMPUTED_VALUE"""),"PR047")</f>
        <v>PR047</v>
      </c>
      <c r="B951" s="2" t="str">
        <f>IFERROR(__xludf.DUMMYFUNCTION("""COMPUTED_VALUE"""),"VD019")</f>
        <v>VD019</v>
      </c>
      <c r="C951" s="2">
        <f>IFERROR(__xludf.DUMMYFUNCTION("""COMPUTED_VALUE"""),5.0)</f>
        <v>5</v>
      </c>
      <c r="D951" s="2">
        <f>IFERROR(__xludf.DUMMYFUNCTION("""COMPUTED_VALUE"""),1550.97)</f>
        <v>1550.97</v>
      </c>
    </row>
    <row r="952">
      <c r="A952" s="2" t="str">
        <f>IFERROR(__xludf.DUMMYFUNCTION("""COMPUTED_VALUE"""),"PR046")</f>
        <v>PR046</v>
      </c>
      <c r="B952" s="2" t="str">
        <f>IFERROR(__xludf.DUMMYFUNCTION("""COMPUTED_VALUE"""),"VD021")</f>
        <v>VD021</v>
      </c>
      <c r="C952" s="2">
        <f>IFERROR(__xludf.DUMMYFUNCTION("""COMPUTED_VALUE"""),3.0)</f>
        <v>3</v>
      </c>
      <c r="D952" s="2">
        <f>IFERROR(__xludf.DUMMYFUNCTION("""COMPUTED_VALUE"""),930.58)</f>
        <v>930.58</v>
      </c>
    </row>
    <row r="953">
      <c r="A953" s="2" t="str">
        <f>IFERROR(__xludf.DUMMYFUNCTION("""COMPUTED_VALUE"""),"PR050")</f>
        <v>PR050</v>
      </c>
      <c r="B953" s="2" t="str">
        <f>IFERROR(__xludf.DUMMYFUNCTION("""COMPUTED_VALUE"""),"VD018")</f>
        <v>VD018</v>
      </c>
      <c r="C953" s="2">
        <f>IFERROR(__xludf.DUMMYFUNCTION("""COMPUTED_VALUE"""),4.0)</f>
        <v>4</v>
      </c>
      <c r="D953" s="2">
        <f>IFERROR(__xludf.DUMMYFUNCTION("""COMPUTED_VALUE"""),144.76)</f>
        <v>144.76</v>
      </c>
    </row>
    <row r="954">
      <c r="A954" s="2" t="str">
        <f>IFERROR(__xludf.DUMMYFUNCTION("""COMPUTED_VALUE"""),"PR038")</f>
        <v>PR038</v>
      </c>
      <c r="B954" s="2" t="str">
        <f>IFERROR(__xludf.DUMMYFUNCTION("""COMPUTED_VALUE"""),"VD034")</f>
        <v>VD034</v>
      </c>
      <c r="C954" s="2">
        <f>IFERROR(__xludf.DUMMYFUNCTION("""COMPUTED_VALUE"""),1.0)</f>
        <v>1</v>
      </c>
      <c r="D954" s="2">
        <f>IFERROR(__xludf.DUMMYFUNCTION("""COMPUTED_VALUE"""),148.62)</f>
        <v>148.62</v>
      </c>
    </row>
    <row r="955">
      <c r="A955" s="2" t="str">
        <f>IFERROR(__xludf.DUMMYFUNCTION("""COMPUTED_VALUE"""),"PR046")</f>
        <v>PR046</v>
      </c>
      <c r="B955" s="2" t="str">
        <f>IFERROR(__xludf.DUMMYFUNCTION("""COMPUTED_VALUE"""),"VD018")</f>
        <v>VD018</v>
      </c>
      <c r="C955" s="2">
        <f>IFERROR(__xludf.DUMMYFUNCTION("""COMPUTED_VALUE"""),3.0)</f>
        <v>3</v>
      </c>
      <c r="D955" s="2">
        <f>IFERROR(__xludf.DUMMYFUNCTION("""COMPUTED_VALUE"""),947.97)</f>
        <v>947.97</v>
      </c>
    </row>
    <row r="956">
      <c r="A956" s="2" t="str">
        <f>IFERROR(__xludf.DUMMYFUNCTION("""COMPUTED_VALUE"""),"PR004")</f>
        <v>PR004</v>
      </c>
      <c r="B956" s="2" t="str">
        <f>IFERROR(__xludf.DUMMYFUNCTION("""COMPUTED_VALUE"""),"VD026")</f>
        <v>VD026</v>
      </c>
      <c r="C956" s="2">
        <f>IFERROR(__xludf.DUMMYFUNCTION("""COMPUTED_VALUE"""),2.0)</f>
        <v>2</v>
      </c>
      <c r="D956" s="2">
        <f>IFERROR(__xludf.DUMMYFUNCTION("""COMPUTED_VALUE"""),301.6)</f>
        <v>301.6</v>
      </c>
    </row>
    <row r="957">
      <c r="A957" s="2" t="str">
        <f>IFERROR(__xludf.DUMMYFUNCTION("""COMPUTED_VALUE"""),"PR030")</f>
        <v>PR030</v>
      </c>
      <c r="B957" s="2" t="str">
        <f>IFERROR(__xludf.DUMMYFUNCTION("""COMPUTED_VALUE"""),"VD012")</f>
        <v>VD012</v>
      </c>
      <c r="C957" s="2">
        <f>IFERROR(__xludf.DUMMYFUNCTION("""COMPUTED_VALUE"""),9.0)</f>
        <v>9</v>
      </c>
      <c r="D957" s="2">
        <f>IFERROR(__xludf.DUMMYFUNCTION("""COMPUTED_VALUE"""),2339.1)</f>
        <v>2339.1</v>
      </c>
    </row>
    <row r="958">
      <c r="A958" s="2" t="str">
        <f>IFERROR(__xludf.DUMMYFUNCTION("""COMPUTED_VALUE"""),"PR019")</f>
        <v>PR019</v>
      </c>
      <c r="B958" s="2" t="str">
        <f>IFERROR(__xludf.DUMMYFUNCTION("""COMPUTED_VALUE"""),"VD027")</f>
        <v>VD027</v>
      </c>
      <c r="C958" s="2">
        <f>IFERROR(__xludf.DUMMYFUNCTION("""COMPUTED_VALUE"""),1.0)</f>
        <v>1</v>
      </c>
      <c r="D958" s="2">
        <f>IFERROR(__xludf.DUMMYFUNCTION("""COMPUTED_VALUE"""),49.9)</f>
        <v>49.9</v>
      </c>
    </row>
    <row r="959">
      <c r="A959" s="2" t="str">
        <f>IFERROR(__xludf.DUMMYFUNCTION("""COMPUTED_VALUE"""),"PR019")</f>
        <v>PR019</v>
      </c>
      <c r="B959" s="2" t="str">
        <f>IFERROR(__xludf.DUMMYFUNCTION("""COMPUTED_VALUE"""),"VD019")</f>
        <v>VD019</v>
      </c>
      <c r="C959" s="2">
        <f>IFERROR(__xludf.DUMMYFUNCTION("""COMPUTED_VALUE"""),20.0)</f>
        <v>20</v>
      </c>
      <c r="D959" s="2">
        <f>IFERROR(__xludf.DUMMYFUNCTION("""COMPUTED_VALUE"""),1027.94)</f>
        <v>1027.94</v>
      </c>
    </row>
    <row r="960">
      <c r="A960" s="2" t="str">
        <f>IFERROR(__xludf.DUMMYFUNCTION("""COMPUTED_VALUE"""),"PR020")</f>
        <v>PR020</v>
      </c>
      <c r="B960" s="2" t="str">
        <f>IFERROR(__xludf.DUMMYFUNCTION("""COMPUTED_VALUE"""),"VD038")</f>
        <v>VD038</v>
      </c>
      <c r="C960" s="2">
        <f>IFERROR(__xludf.DUMMYFUNCTION("""COMPUTED_VALUE"""),7.0)</f>
        <v>7</v>
      </c>
      <c r="D960" s="2">
        <f>IFERROR(__xludf.DUMMYFUNCTION("""COMPUTED_VALUE"""),2225.26)</f>
        <v>2225.26</v>
      </c>
    </row>
    <row r="961">
      <c r="A961" s="2" t="str">
        <f>IFERROR(__xludf.DUMMYFUNCTION("""COMPUTED_VALUE"""),"PR041")</f>
        <v>PR041</v>
      </c>
      <c r="B961" s="2" t="str">
        <f>IFERROR(__xludf.DUMMYFUNCTION("""COMPUTED_VALUE"""),"VD023")</f>
        <v>VD023</v>
      </c>
      <c r="C961" s="2">
        <f>IFERROR(__xludf.DUMMYFUNCTION("""COMPUTED_VALUE"""),16.0)</f>
        <v>16</v>
      </c>
      <c r="D961" s="2">
        <f>IFERROR(__xludf.DUMMYFUNCTION("""COMPUTED_VALUE"""),887.18)</f>
        <v>887.18</v>
      </c>
    </row>
    <row r="962">
      <c r="A962" s="2" t="str">
        <f>IFERROR(__xludf.DUMMYFUNCTION("""COMPUTED_VALUE"""),"PR004")</f>
        <v>PR004</v>
      </c>
      <c r="B962" s="2" t="str">
        <f>IFERROR(__xludf.DUMMYFUNCTION("""COMPUTED_VALUE"""),"VD039")</f>
        <v>VD039</v>
      </c>
      <c r="C962" s="2">
        <f>IFERROR(__xludf.DUMMYFUNCTION("""COMPUTED_VALUE"""),8.0)</f>
        <v>8</v>
      </c>
      <c r="D962" s="2">
        <f>IFERROR(__xludf.DUMMYFUNCTION("""COMPUTED_VALUE"""),1160.0)</f>
        <v>1160</v>
      </c>
    </row>
    <row r="963">
      <c r="A963" s="2" t="str">
        <f>IFERROR(__xludf.DUMMYFUNCTION("""COMPUTED_VALUE"""),"PR028")</f>
        <v>PR028</v>
      </c>
      <c r="B963" s="2" t="str">
        <f>IFERROR(__xludf.DUMMYFUNCTION("""COMPUTED_VALUE"""),"VD038")</f>
        <v>VD038</v>
      </c>
      <c r="C963" s="2">
        <f>IFERROR(__xludf.DUMMYFUNCTION("""COMPUTED_VALUE"""),6.0)</f>
        <v>6</v>
      </c>
      <c r="D963" s="2">
        <f>IFERROR(__xludf.DUMMYFUNCTION("""COMPUTED_VALUE"""),1544.38)</f>
        <v>1544.38</v>
      </c>
    </row>
    <row r="964">
      <c r="A964" s="2" t="str">
        <f>IFERROR(__xludf.DUMMYFUNCTION("""COMPUTED_VALUE"""),"PR023")</f>
        <v>PR023</v>
      </c>
      <c r="B964" s="2" t="str">
        <f>IFERROR(__xludf.DUMMYFUNCTION("""COMPUTED_VALUE"""),"VD012")</f>
        <v>VD012</v>
      </c>
      <c r="C964" s="2">
        <f>IFERROR(__xludf.DUMMYFUNCTION("""COMPUTED_VALUE"""),10.0)</f>
        <v>10</v>
      </c>
      <c r="D964" s="2">
        <f>IFERROR(__xludf.DUMMYFUNCTION("""COMPUTED_VALUE"""),2673.93)</f>
        <v>2673.93</v>
      </c>
    </row>
    <row r="965">
      <c r="A965" s="2" t="str">
        <f>IFERROR(__xludf.DUMMYFUNCTION("""COMPUTED_VALUE"""),"PR033")</f>
        <v>PR033</v>
      </c>
      <c r="B965" s="2" t="str">
        <f>IFERROR(__xludf.DUMMYFUNCTION("""COMPUTED_VALUE"""),"VD015")</f>
        <v>VD015</v>
      </c>
      <c r="C965" s="2">
        <f>IFERROR(__xludf.DUMMYFUNCTION("""COMPUTED_VALUE"""),7.0)</f>
        <v>7</v>
      </c>
      <c r="D965" s="2">
        <f>IFERROR(__xludf.DUMMYFUNCTION("""COMPUTED_VALUE"""),1910.27)</f>
        <v>1910.27</v>
      </c>
    </row>
    <row r="966">
      <c r="A966" s="2" t="str">
        <f>IFERROR(__xludf.DUMMYFUNCTION("""COMPUTED_VALUE"""),"PR014")</f>
        <v>PR014</v>
      </c>
      <c r="B966" s="2" t="str">
        <f>IFERROR(__xludf.DUMMYFUNCTION("""COMPUTED_VALUE"""),"VD028")</f>
        <v>VD028</v>
      </c>
      <c r="C966" s="2">
        <f>IFERROR(__xludf.DUMMYFUNCTION("""COMPUTED_VALUE"""),10.0)</f>
        <v>10</v>
      </c>
      <c r="D966" s="2">
        <f>IFERROR(__xludf.DUMMYFUNCTION("""COMPUTED_VALUE"""),430.92)</f>
        <v>430.92</v>
      </c>
    </row>
    <row r="967">
      <c r="A967" s="2" t="str">
        <f>IFERROR(__xludf.DUMMYFUNCTION("""COMPUTED_VALUE"""),"PR003")</f>
        <v>PR003</v>
      </c>
      <c r="B967" s="2" t="str">
        <f>IFERROR(__xludf.DUMMYFUNCTION("""COMPUTED_VALUE"""),"VD043")</f>
        <v>VD043</v>
      </c>
      <c r="C967" s="2">
        <f>IFERROR(__xludf.DUMMYFUNCTION("""COMPUTED_VALUE"""),12.0)</f>
        <v>12</v>
      </c>
      <c r="D967" s="2">
        <f>IFERROR(__xludf.DUMMYFUNCTION("""COMPUTED_VALUE"""),893.34)</f>
        <v>893.34</v>
      </c>
    </row>
    <row r="968">
      <c r="A968" s="2" t="str">
        <f>IFERROR(__xludf.DUMMYFUNCTION("""COMPUTED_VALUE"""),"PR037")</f>
        <v>PR037</v>
      </c>
      <c r="B968" s="2" t="str">
        <f>IFERROR(__xludf.DUMMYFUNCTION("""COMPUTED_VALUE"""),"VD047")</f>
        <v>VD047</v>
      </c>
      <c r="C968" s="2">
        <f>IFERROR(__xludf.DUMMYFUNCTION("""COMPUTED_VALUE"""),16.0)</f>
        <v>16</v>
      </c>
      <c r="D968" s="2">
        <f>IFERROR(__xludf.DUMMYFUNCTION("""COMPUTED_VALUE"""),2307.2)</f>
        <v>2307.2</v>
      </c>
    </row>
    <row r="969">
      <c r="A969" s="2" t="str">
        <f>IFERROR(__xludf.DUMMYFUNCTION("""COMPUTED_VALUE"""),"PR010")</f>
        <v>PR010</v>
      </c>
      <c r="B969" s="2" t="str">
        <f>IFERROR(__xludf.DUMMYFUNCTION("""COMPUTED_VALUE"""),"VD048")</f>
        <v>VD048</v>
      </c>
      <c r="C969" s="2">
        <f>IFERROR(__xludf.DUMMYFUNCTION("""COMPUTED_VALUE"""),20.0)</f>
        <v>20</v>
      </c>
      <c r="D969" s="2">
        <f>IFERROR(__xludf.DUMMYFUNCTION("""COMPUTED_VALUE"""),915.96)</f>
        <v>915.96</v>
      </c>
    </row>
    <row r="970">
      <c r="A970" s="2" t="str">
        <f>IFERROR(__xludf.DUMMYFUNCTION("""COMPUTED_VALUE"""),"PR023")</f>
        <v>PR023</v>
      </c>
      <c r="B970" s="2" t="str">
        <f>IFERROR(__xludf.DUMMYFUNCTION("""COMPUTED_VALUE"""),"VD034")</f>
        <v>VD034</v>
      </c>
      <c r="C970" s="2">
        <f>IFERROR(__xludf.DUMMYFUNCTION("""COMPUTED_VALUE"""),4.0)</f>
        <v>4</v>
      </c>
      <c r="D970" s="2">
        <f>IFERROR(__xludf.DUMMYFUNCTION("""COMPUTED_VALUE"""),1059.58)</f>
        <v>1059.58</v>
      </c>
    </row>
    <row r="971">
      <c r="A971" s="2" t="str">
        <f>IFERROR(__xludf.DUMMYFUNCTION("""COMPUTED_VALUE"""),"PR038")</f>
        <v>PR038</v>
      </c>
      <c r="B971" s="2" t="str">
        <f>IFERROR(__xludf.DUMMYFUNCTION("""COMPUTED_VALUE"""),"VD024")</f>
        <v>VD024</v>
      </c>
      <c r="C971" s="2">
        <f>IFERROR(__xludf.DUMMYFUNCTION("""COMPUTED_VALUE"""),1.0)</f>
        <v>1</v>
      </c>
      <c r="D971" s="2">
        <f>IFERROR(__xludf.DUMMYFUNCTION("""COMPUTED_VALUE"""),142.9)</f>
        <v>142.9</v>
      </c>
    </row>
    <row r="972">
      <c r="A972" s="2" t="str">
        <f>IFERROR(__xludf.DUMMYFUNCTION("""COMPUTED_VALUE"""),"PR021")</f>
        <v>PR021</v>
      </c>
      <c r="B972" s="2" t="str">
        <f>IFERROR(__xludf.DUMMYFUNCTION("""COMPUTED_VALUE"""),"VD018")</f>
        <v>VD018</v>
      </c>
      <c r="C972" s="2">
        <f>IFERROR(__xludf.DUMMYFUNCTION("""COMPUTED_VALUE"""),4.0)</f>
        <v>4</v>
      </c>
      <c r="D972" s="2">
        <f>IFERROR(__xludf.DUMMYFUNCTION("""COMPUTED_VALUE"""),1211.6)</f>
        <v>1211.6</v>
      </c>
    </row>
    <row r="973">
      <c r="A973" s="2" t="str">
        <f>IFERROR(__xludf.DUMMYFUNCTION("""COMPUTED_VALUE"""),"PR022")</f>
        <v>PR022</v>
      </c>
      <c r="B973" s="2" t="str">
        <f>IFERROR(__xludf.DUMMYFUNCTION("""COMPUTED_VALUE"""),"VD045")</f>
        <v>VD045</v>
      </c>
      <c r="C973" s="2">
        <f>IFERROR(__xludf.DUMMYFUNCTION("""COMPUTED_VALUE"""),20.0)</f>
        <v>20</v>
      </c>
      <c r="D973" s="2">
        <f>IFERROR(__xludf.DUMMYFUNCTION("""COMPUTED_VALUE"""),6000.0)</f>
        <v>6000</v>
      </c>
    </row>
    <row r="974">
      <c r="A974" s="2" t="str">
        <f>IFERROR(__xludf.DUMMYFUNCTION("""COMPUTED_VALUE"""),"PR002")</f>
        <v>PR002</v>
      </c>
      <c r="B974" s="2" t="str">
        <f>IFERROR(__xludf.DUMMYFUNCTION("""COMPUTED_VALUE"""),"VD023")</f>
        <v>VD023</v>
      </c>
      <c r="C974" s="2">
        <f>IFERROR(__xludf.DUMMYFUNCTION("""COMPUTED_VALUE"""),3.0)</f>
        <v>3</v>
      </c>
      <c r="D974" s="2">
        <f>IFERROR(__xludf.DUMMYFUNCTION("""COMPUTED_VALUE"""),220.19)</f>
        <v>220.19</v>
      </c>
    </row>
    <row r="975">
      <c r="A975" s="2" t="str">
        <f>IFERROR(__xludf.DUMMYFUNCTION("""COMPUTED_VALUE"""),"PR035")</f>
        <v>PR035</v>
      </c>
      <c r="B975" s="2" t="str">
        <f>IFERROR(__xludf.DUMMYFUNCTION("""COMPUTED_VALUE"""),"VD010")</f>
        <v>VD010</v>
      </c>
      <c r="C975" s="2">
        <f>IFERROR(__xludf.DUMMYFUNCTION("""COMPUTED_VALUE"""),6.0)</f>
        <v>6</v>
      </c>
      <c r="D975" s="2">
        <f>IFERROR(__xludf.DUMMYFUNCTION("""COMPUTED_VALUE"""),559.37)</f>
        <v>559.37</v>
      </c>
    </row>
    <row r="976">
      <c r="A976" s="2" t="str">
        <f>IFERROR(__xludf.DUMMYFUNCTION("""COMPUTED_VALUE"""),"PR045")</f>
        <v>PR045</v>
      </c>
      <c r="B976" s="2" t="str">
        <f>IFERROR(__xludf.DUMMYFUNCTION("""COMPUTED_VALUE"""),"VD031")</f>
        <v>VD031</v>
      </c>
      <c r="C976" s="2">
        <f>IFERROR(__xludf.DUMMYFUNCTION("""COMPUTED_VALUE"""),2.0)</f>
        <v>2</v>
      </c>
      <c r="D976" s="2">
        <f>IFERROR(__xludf.DUMMYFUNCTION("""COMPUTED_VALUE"""),146.45)</f>
        <v>146.45</v>
      </c>
    </row>
    <row r="977">
      <c r="A977" s="2" t="str">
        <f>IFERROR(__xludf.DUMMYFUNCTION("""COMPUTED_VALUE"""),"PR011")</f>
        <v>PR011</v>
      </c>
      <c r="B977" s="2" t="str">
        <f>IFERROR(__xludf.DUMMYFUNCTION("""COMPUTED_VALUE"""),"VD040")</f>
        <v>VD040</v>
      </c>
      <c r="C977" s="2">
        <f>IFERROR(__xludf.DUMMYFUNCTION("""COMPUTED_VALUE"""),4.0)</f>
        <v>4</v>
      </c>
      <c r="D977" s="2">
        <f>IFERROR(__xludf.DUMMYFUNCTION("""COMPUTED_VALUE"""),202.61)</f>
        <v>202.61</v>
      </c>
    </row>
    <row r="978">
      <c r="A978" s="2" t="str">
        <f>IFERROR(__xludf.DUMMYFUNCTION("""COMPUTED_VALUE"""),"PR028")</f>
        <v>PR028</v>
      </c>
      <c r="B978" s="2" t="str">
        <f>IFERROR(__xludf.DUMMYFUNCTION("""COMPUTED_VALUE"""),"VD010")</f>
        <v>VD010</v>
      </c>
      <c r="C978" s="2">
        <f>IFERROR(__xludf.DUMMYFUNCTION("""COMPUTED_VALUE"""),10.0)</f>
        <v>10</v>
      </c>
      <c r="D978" s="2">
        <f>IFERROR(__xludf.DUMMYFUNCTION("""COMPUTED_VALUE"""),2673.93)</f>
        <v>2673.93</v>
      </c>
    </row>
    <row r="979">
      <c r="A979" s="2" t="str">
        <f>IFERROR(__xludf.DUMMYFUNCTION("""COMPUTED_VALUE"""),"PR007")</f>
        <v>PR007</v>
      </c>
      <c r="B979" s="2" t="str">
        <f>IFERROR(__xludf.DUMMYFUNCTION("""COMPUTED_VALUE"""),"VD017")</f>
        <v>VD017</v>
      </c>
      <c r="C979" s="2">
        <f>IFERROR(__xludf.DUMMYFUNCTION("""COMPUTED_VALUE"""),14.0)</f>
        <v>14</v>
      </c>
      <c r="D979" s="2">
        <f>IFERROR(__xludf.DUMMYFUNCTION("""COMPUTED_VALUE"""),1274.76)</f>
        <v>1274.76</v>
      </c>
    </row>
    <row r="980">
      <c r="A980" s="2" t="str">
        <f>IFERROR(__xludf.DUMMYFUNCTION("""COMPUTED_VALUE"""),"PR052")</f>
        <v>PR052</v>
      </c>
      <c r="B980" s="2" t="str">
        <f>IFERROR(__xludf.DUMMYFUNCTION("""COMPUTED_VALUE"""),"VD029")</f>
        <v>VD029</v>
      </c>
      <c r="C980" s="2">
        <f>IFERROR(__xludf.DUMMYFUNCTION("""COMPUTED_VALUE"""),6.0)</f>
        <v>6</v>
      </c>
      <c r="D980" s="2">
        <f>IFERROR(__xludf.DUMMYFUNCTION("""COMPUTED_VALUE"""),326.35)</f>
        <v>326.35</v>
      </c>
    </row>
    <row r="981">
      <c r="A981" s="2" t="str">
        <f>IFERROR(__xludf.DUMMYFUNCTION("""COMPUTED_VALUE"""),"PR046")</f>
        <v>PR046</v>
      </c>
      <c r="B981" s="2" t="str">
        <f>IFERROR(__xludf.DUMMYFUNCTION("""COMPUTED_VALUE"""),"VD022")</f>
        <v>VD022</v>
      </c>
      <c r="C981" s="2">
        <f>IFERROR(__xludf.DUMMYFUNCTION("""COMPUTED_VALUE"""),4.0)</f>
        <v>4</v>
      </c>
      <c r="D981" s="2">
        <f>IFERROR(__xludf.DUMMYFUNCTION("""COMPUTED_VALUE"""),1263.96)</f>
        <v>1263.96</v>
      </c>
    </row>
    <row r="982">
      <c r="A982" s="2" t="str">
        <f>IFERROR(__xludf.DUMMYFUNCTION("""COMPUTED_VALUE"""),"PR008")</f>
        <v>PR008</v>
      </c>
      <c r="B982" s="2" t="str">
        <f>IFERROR(__xludf.DUMMYFUNCTION("""COMPUTED_VALUE"""),"VD038")</f>
        <v>VD038</v>
      </c>
      <c r="C982" s="2">
        <f>IFERROR(__xludf.DUMMYFUNCTION("""COMPUTED_VALUE"""),8.0)</f>
        <v>8</v>
      </c>
      <c r="D982" s="2">
        <f>IFERROR(__xludf.DUMMYFUNCTION("""COMPUTED_VALUE"""),769.54)</f>
        <v>769.54</v>
      </c>
    </row>
    <row r="983">
      <c r="A983" s="2" t="str">
        <f>IFERROR(__xludf.DUMMYFUNCTION("""COMPUTED_VALUE"""),"PR039")</f>
        <v>PR039</v>
      </c>
      <c r="B983" s="2" t="str">
        <f>IFERROR(__xludf.DUMMYFUNCTION("""COMPUTED_VALUE"""),"VD038")</f>
        <v>VD038</v>
      </c>
      <c r="C983" s="2">
        <f>IFERROR(__xludf.DUMMYFUNCTION("""COMPUTED_VALUE"""),1.0)</f>
        <v>1</v>
      </c>
      <c r="D983" s="2">
        <f>IFERROR(__xludf.DUMMYFUNCTION("""COMPUTED_VALUE"""),146.0)</f>
        <v>146</v>
      </c>
    </row>
    <row r="984">
      <c r="A984" s="2" t="str">
        <f>IFERROR(__xludf.DUMMYFUNCTION("""COMPUTED_VALUE"""),"PR038")</f>
        <v>PR038</v>
      </c>
      <c r="B984" s="2" t="str">
        <f>IFERROR(__xludf.DUMMYFUNCTION("""COMPUTED_VALUE"""),"VD012")</f>
        <v>VD012</v>
      </c>
      <c r="C984" s="2">
        <f>IFERROR(__xludf.DUMMYFUNCTION("""COMPUTED_VALUE"""),4.0)</f>
        <v>4</v>
      </c>
      <c r="D984" s="2">
        <f>IFERROR(__xludf.DUMMYFUNCTION("""COMPUTED_VALUE"""),577.32)</f>
        <v>577.32</v>
      </c>
    </row>
    <row r="985">
      <c r="A985" s="2" t="str">
        <f>IFERROR(__xludf.DUMMYFUNCTION("""COMPUTED_VALUE"""),"PR030")</f>
        <v>PR030</v>
      </c>
      <c r="B985" s="2" t="str">
        <f>IFERROR(__xludf.DUMMYFUNCTION("""COMPUTED_VALUE"""),"VD035")</f>
        <v>VD035</v>
      </c>
      <c r="C985" s="2">
        <f>IFERROR(__xludf.DUMMYFUNCTION("""COMPUTED_VALUE"""),2.0)</f>
        <v>2</v>
      </c>
      <c r="D985" s="2">
        <f>IFERROR(__xludf.DUMMYFUNCTION("""COMPUTED_VALUE"""),571.78)</f>
        <v>571.78</v>
      </c>
    </row>
    <row r="986">
      <c r="A986" s="2" t="str">
        <f>IFERROR(__xludf.DUMMYFUNCTION("""COMPUTED_VALUE"""),"PR015")</f>
        <v>PR015</v>
      </c>
      <c r="B986" s="2" t="str">
        <f>IFERROR(__xludf.DUMMYFUNCTION("""COMPUTED_VALUE"""),"VD013")</f>
        <v>VD013</v>
      </c>
      <c r="C986" s="2">
        <f>IFERROR(__xludf.DUMMYFUNCTION("""COMPUTED_VALUE"""),20.0)</f>
        <v>20</v>
      </c>
      <c r="D986" s="2">
        <f>IFERROR(__xludf.DUMMYFUNCTION("""COMPUTED_VALUE"""),901.0)</f>
        <v>901</v>
      </c>
    </row>
    <row r="987">
      <c r="A987" s="2" t="str">
        <f>IFERROR(__xludf.DUMMYFUNCTION("""COMPUTED_VALUE"""),"PR025")</f>
        <v>PR025</v>
      </c>
      <c r="B987" s="2" t="str">
        <f>IFERROR(__xludf.DUMMYFUNCTION("""COMPUTED_VALUE"""),"VD021")</f>
        <v>VD021</v>
      </c>
      <c r="C987" s="2">
        <f>IFERROR(__xludf.DUMMYFUNCTION("""COMPUTED_VALUE"""),12.0)</f>
        <v>12</v>
      </c>
      <c r="D987" s="2">
        <f>IFERROR(__xludf.DUMMYFUNCTION("""COMPUTED_VALUE"""),3850.72)</f>
        <v>3850.72</v>
      </c>
    </row>
    <row r="988">
      <c r="A988" s="2" t="str">
        <f>IFERROR(__xludf.DUMMYFUNCTION("""COMPUTED_VALUE"""),"PR016")</f>
        <v>PR016</v>
      </c>
      <c r="B988" s="2" t="str">
        <f>IFERROR(__xludf.DUMMYFUNCTION("""COMPUTED_VALUE"""),"VD023")</f>
        <v>VD023</v>
      </c>
      <c r="C988" s="2">
        <f>IFERROR(__xludf.DUMMYFUNCTION("""COMPUTED_VALUE"""),14.0)</f>
        <v>14</v>
      </c>
      <c r="D988" s="2">
        <f>IFERROR(__xludf.DUMMYFUNCTION("""COMPUTED_VALUE"""),398.86)</f>
        <v>398.86</v>
      </c>
    </row>
    <row r="989">
      <c r="A989" s="2" t="str">
        <f>IFERROR(__xludf.DUMMYFUNCTION("""COMPUTED_VALUE"""),"PR048")</f>
        <v>PR048</v>
      </c>
      <c r="B989" s="2" t="str">
        <f>IFERROR(__xludf.DUMMYFUNCTION("""COMPUTED_VALUE"""),"VD038")</f>
        <v>VD038</v>
      </c>
      <c r="C989" s="2">
        <f>IFERROR(__xludf.DUMMYFUNCTION("""COMPUTED_VALUE"""),2.0)</f>
        <v>2</v>
      </c>
      <c r="D989" s="2">
        <f>IFERROR(__xludf.DUMMYFUNCTION("""COMPUTED_VALUE"""),620.39)</f>
        <v>620.39</v>
      </c>
    </row>
    <row r="990">
      <c r="A990" s="2" t="str">
        <f>IFERROR(__xludf.DUMMYFUNCTION("""COMPUTED_VALUE"""),"PR051")</f>
        <v>PR051</v>
      </c>
      <c r="B990" s="2" t="str">
        <f>IFERROR(__xludf.DUMMYFUNCTION("""COMPUTED_VALUE"""),"VD010")</f>
        <v>VD010</v>
      </c>
      <c r="C990" s="2">
        <f>IFERROR(__xludf.DUMMYFUNCTION("""COMPUTED_VALUE"""),10.0)</f>
        <v>10</v>
      </c>
      <c r="D990" s="2">
        <f>IFERROR(__xludf.DUMMYFUNCTION("""COMPUTED_VALUE"""),342.16)</f>
        <v>342.16</v>
      </c>
    </row>
    <row r="991">
      <c r="A991" s="2" t="str">
        <f>IFERROR(__xludf.DUMMYFUNCTION("""COMPUTED_VALUE"""),"PR060")</f>
        <v>PR060</v>
      </c>
      <c r="B991" s="2" t="str">
        <f>IFERROR(__xludf.DUMMYFUNCTION("""COMPUTED_VALUE"""),"VD025")</f>
        <v>VD025</v>
      </c>
      <c r="C991" s="2">
        <f>IFERROR(__xludf.DUMMYFUNCTION("""COMPUTED_VALUE"""),7.0)</f>
        <v>7</v>
      </c>
      <c r="D991" s="2">
        <f>IFERROR(__xludf.DUMMYFUNCTION("""COMPUTED_VALUE"""),1335.6)</f>
        <v>1335.6</v>
      </c>
    </row>
    <row r="992">
      <c r="A992" s="2" t="str">
        <f>IFERROR(__xludf.DUMMYFUNCTION("""COMPUTED_VALUE"""),"PR056")</f>
        <v>PR056</v>
      </c>
      <c r="B992" s="2" t="str">
        <f>IFERROR(__xludf.DUMMYFUNCTION("""COMPUTED_VALUE"""),"VD035")</f>
        <v>VD035</v>
      </c>
      <c r="C992" s="2">
        <f>IFERROR(__xludf.DUMMYFUNCTION("""COMPUTED_VALUE"""),4.0)</f>
        <v>4</v>
      </c>
      <c r="D992" s="2">
        <f>IFERROR(__xludf.DUMMYFUNCTION("""COMPUTED_VALUE"""),370.39)</f>
        <v>370.39</v>
      </c>
    </row>
    <row r="993">
      <c r="A993" s="2" t="str">
        <f>IFERROR(__xludf.DUMMYFUNCTION("""COMPUTED_VALUE"""),"PR033")</f>
        <v>PR033</v>
      </c>
      <c r="B993" s="2" t="str">
        <f>IFERROR(__xludf.DUMMYFUNCTION("""COMPUTED_VALUE"""),"VD036")</f>
        <v>VD036</v>
      </c>
      <c r="C993" s="2">
        <f>IFERROR(__xludf.DUMMYFUNCTION("""COMPUTED_VALUE"""),1.0)</f>
        <v>1</v>
      </c>
      <c r="D993" s="2">
        <f>IFERROR(__xludf.DUMMYFUNCTION("""COMPUTED_VALUE"""),262.5)</f>
        <v>262.5</v>
      </c>
    </row>
    <row r="994">
      <c r="A994" s="2" t="str">
        <f>IFERROR(__xludf.DUMMYFUNCTION("""COMPUTED_VALUE"""),"PR040")</f>
        <v>PR040</v>
      </c>
      <c r="B994" s="2" t="str">
        <f>IFERROR(__xludf.DUMMYFUNCTION("""COMPUTED_VALUE"""),"VD036")</f>
        <v>VD036</v>
      </c>
      <c r="C994" s="2">
        <f>IFERROR(__xludf.DUMMYFUNCTION("""COMPUTED_VALUE"""),8.0)</f>
        <v>8</v>
      </c>
      <c r="D994" s="2">
        <f>IFERROR(__xludf.DUMMYFUNCTION("""COMPUTED_VALUE"""),576.8)</f>
        <v>576.8</v>
      </c>
    </row>
    <row r="995">
      <c r="A995" s="2" t="str">
        <f>IFERROR(__xludf.DUMMYFUNCTION("""COMPUTED_VALUE"""),"PR045")</f>
        <v>PR045</v>
      </c>
      <c r="B995" s="2" t="str">
        <f>IFERROR(__xludf.DUMMYFUNCTION("""COMPUTED_VALUE"""),"VD020")</f>
        <v>VD020</v>
      </c>
      <c r="C995" s="2">
        <f>IFERROR(__xludf.DUMMYFUNCTION("""COMPUTED_VALUE"""),6.0)</f>
        <v>6</v>
      </c>
      <c r="D995" s="2">
        <f>IFERROR(__xludf.DUMMYFUNCTION("""COMPUTED_VALUE"""),435.0)</f>
        <v>435</v>
      </c>
    </row>
    <row r="996">
      <c r="A996" s="2" t="str">
        <f>IFERROR(__xludf.DUMMYFUNCTION("""COMPUTED_VALUE"""),"PR017")</f>
        <v>PR017</v>
      </c>
      <c r="B996" s="2" t="str">
        <f>IFERROR(__xludf.DUMMYFUNCTION("""COMPUTED_VALUE"""),"VD022")</f>
        <v>VD022</v>
      </c>
      <c r="C996" s="2">
        <f>IFERROR(__xludf.DUMMYFUNCTION("""COMPUTED_VALUE"""),10.0)</f>
        <v>10</v>
      </c>
      <c r="D996" s="2">
        <f>IFERROR(__xludf.DUMMYFUNCTION("""COMPUTED_VALUE"""),325.91)</f>
        <v>325.91</v>
      </c>
    </row>
    <row r="997">
      <c r="A997" s="2" t="str">
        <f>IFERROR(__xludf.DUMMYFUNCTION("""COMPUTED_VALUE"""),"PR033")</f>
        <v>PR033</v>
      </c>
      <c r="B997" s="2" t="str">
        <f>IFERROR(__xludf.DUMMYFUNCTION("""COMPUTED_VALUE"""),"VD036")</f>
        <v>VD036</v>
      </c>
      <c r="C997" s="2">
        <f>IFERROR(__xludf.DUMMYFUNCTION("""COMPUTED_VALUE"""),10.0)</f>
        <v>10</v>
      </c>
      <c r="D997" s="2">
        <f>IFERROR(__xludf.DUMMYFUNCTION("""COMPUTED_VALUE"""),2780.93)</f>
        <v>2780.93</v>
      </c>
    </row>
    <row r="998">
      <c r="A998" s="2" t="str">
        <f>IFERROR(__xludf.DUMMYFUNCTION("""COMPUTED_VALUE"""),"PR017")</f>
        <v>PR017</v>
      </c>
      <c r="B998" s="2" t="str">
        <f>IFERROR(__xludf.DUMMYFUNCTION("""COMPUTED_VALUE"""),"VD025")</f>
        <v>VD025</v>
      </c>
      <c r="C998" s="2">
        <f>IFERROR(__xludf.DUMMYFUNCTION("""COMPUTED_VALUE"""),1.0)</f>
        <v>1</v>
      </c>
      <c r="D998" s="2">
        <f>IFERROR(__xludf.DUMMYFUNCTION("""COMPUTED_VALUE"""),30.2)</f>
        <v>30.2</v>
      </c>
    </row>
    <row r="999">
      <c r="A999" s="2" t="str">
        <f>IFERROR(__xludf.DUMMYFUNCTION("""COMPUTED_VALUE"""),"PR055")</f>
        <v>PR055</v>
      </c>
      <c r="B999" s="2" t="str">
        <f>IFERROR(__xludf.DUMMYFUNCTION("""COMPUTED_VALUE"""),"VD037")</f>
        <v>VD037</v>
      </c>
      <c r="C999" s="2">
        <f>IFERROR(__xludf.DUMMYFUNCTION("""COMPUTED_VALUE"""),3.0)</f>
        <v>3</v>
      </c>
      <c r="D999" s="2">
        <f>IFERROR(__xludf.DUMMYFUNCTION("""COMPUTED_VALUE"""),296.67)</f>
        <v>296.67</v>
      </c>
    </row>
    <row r="1000">
      <c r="A1000" s="2" t="str">
        <f>IFERROR(__xludf.DUMMYFUNCTION("""COMPUTED_VALUE"""),"PR019")</f>
        <v>PR019</v>
      </c>
      <c r="B1000" s="2" t="str">
        <f>IFERROR(__xludf.DUMMYFUNCTION("""COMPUTED_VALUE"""),"VD027")</f>
        <v>VD027</v>
      </c>
      <c r="C1000" s="2">
        <f>IFERROR(__xludf.DUMMYFUNCTION("""COMPUTED_VALUE"""),4.0)</f>
        <v>4</v>
      </c>
      <c r="D1000" s="2">
        <f>IFERROR(__xludf.DUMMYFUNCTION("""COMPUTED_VALUE"""),217.56)</f>
        <v>217.56</v>
      </c>
    </row>
    <row r="1001">
      <c r="A1001" s="2" t="str">
        <f>IFERROR(__xludf.DUMMYFUNCTION("""COMPUTED_VALUE"""),"PR014")</f>
        <v>PR014</v>
      </c>
      <c r="B1001" s="2" t="str">
        <f>IFERROR(__xludf.DUMMYFUNCTION("""COMPUTED_VALUE"""),"VD018")</f>
        <v>VD018</v>
      </c>
      <c r="C1001" s="2">
        <f>IFERROR(__xludf.DUMMYFUNCTION("""COMPUTED_VALUE"""),18.0)</f>
        <v>18</v>
      </c>
      <c r="D1001" s="2">
        <f>IFERROR(__xludf.DUMMYFUNCTION("""COMPUTED_VALUE"""),775.66)</f>
        <v>775.66</v>
      </c>
    </row>
    <row r="1002">
      <c r="A1002" s="2" t="str">
        <f>IFERROR(__xludf.DUMMYFUNCTION("""COMPUTED_VALUE"""),"PR045")</f>
        <v>PR045</v>
      </c>
      <c r="B1002" s="2" t="str">
        <f>IFERROR(__xludf.DUMMYFUNCTION("""COMPUTED_VALUE"""),"VD036")</f>
        <v>VD036</v>
      </c>
      <c r="C1002" s="2">
        <f>IFERROR(__xludf.DUMMYFUNCTION("""COMPUTED_VALUE"""),14.0)</f>
        <v>14</v>
      </c>
      <c r="D1002" s="2">
        <f>IFERROR(__xludf.DUMMYFUNCTION("""COMPUTED_VALUE"""),1025.15)</f>
        <v>1025.15</v>
      </c>
    </row>
    <row r="1003">
      <c r="A1003" s="2" t="str">
        <f>IFERROR(__xludf.DUMMYFUNCTION("""COMPUTED_VALUE"""),"PR036")</f>
        <v>PR036</v>
      </c>
      <c r="B1003" s="2" t="str">
        <f>IFERROR(__xludf.DUMMYFUNCTION("""COMPUTED_VALUE"""),"VD034")</f>
        <v>VD034</v>
      </c>
      <c r="C1003" s="2">
        <f>IFERROR(__xludf.DUMMYFUNCTION("""COMPUTED_VALUE"""),8.0)</f>
        <v>8</v>
      </c>
      <c r="D1003" s="2">
        <f>IFERROR(__xludf.DUMMYFUNCTION("""COMPUTED_VALUE"""),770.44)</f>
        <v>770.44</v>
      </c>
    </row>
    <row r="1004">
      <c r="A1004" s="2" t="str">
        <f>IFERROR(__xludf.DUMMYFUNCTION("""COMPUTED_VALUE"""),"PR007")</f>
        <v>PR007</v>
      </c>
      <c r="B1004" s="2" t="str">
        <f>IFERROR(__xludf.DUMMYFUNCTION("""COMPUTED_VALUE"""),"VD013")</f>
        <v>VD013</v>
      </c>
      <c r="C1004" s="2">
        <f>IFERROR(__xludf.DUMMYFUNCTION("""COMPUTED_VALUE"""),3.0)</f>
        <v>3</v>
      </c>
      <c r="D1004" s="2">
        <f>IFERROR(__xludf.DUMMYFUNCTION("""COMPUTED_VALUE"""),278.32)</f>
        <v>278.32</v>
      </c>
    </row>
    <row r="1005">
      <c r="A1005" s="2" t="str">
        <f>IFERROR(__xludf.DUMMYFUNCTION("""COMPUTED_VALUE"""),"PR051")</f>
        <v>PR051</v>
      </c>
      <c r="B1005" s="2" t="str">
        <f>IFERROR(__xludf.DUMMYFUNCTION("""COMPUTED_VALUE"""),"VD028")</f>
        <v>VD028</v>
      </c>
      <c r="C1005" s="2">
        <f>IFERROR(__xludf.DUMMYFUNCTION("""COMPUTED_VALUE"""),7.0)</f>
        <v>7</v>
      </c>
      <c r="D1005" s="2">
        <f>IFERROR(__xludf.DUMMYFUNCTION("""COMPUTED_VALUE"""),230.3)</f>
        <v>230.3</v>
      </c>
    </row>
    <row r="1006">
      <c r="A1006" s="2" t="str">
        <f>IFERROR(__xludf.DUMMYFUNCTION("""COMPUTED_VALUE"""),"PR020")</f>
        <v>PR020</v>
      </c>
      <c r="B1006" s="2" t="str">
        <f>IFERROR(__xludf.DUMMYFUNCTION("""COMPUTED_VALUE"""),"VD013")</f>
        <v>VD013</v>
      </c>
      <c r="C1006" s="2">
        <f>IFERROR(__xludf.DUMMYFUNCTION("""COMPUTED_VALUE"""),20.0)</f>
        <v>20</v>
      </c>
      <c r="D1006" s="2">
        <f>IFERROR(__xludf.DUMMYFUNCTION("""COMPUTED_VALUE"""),6597.8)</f>
        <v>6597.8</v>
      </c>
    </row>
    <row r="1007">
      <c r="A1007" s="2" t="str">
        <f>IFERROR(__xludf.DUMMYFUNCTION("""COMPUTED_VALUE"""),"PR021")</f>
        <v>PR021</v>
      </c>
      <c r="B1007" s="2" t="str">
        <f>IFERROR(__xludf.DUMMYFUNCTION("""COMPUTED_VALUE"""),"VD033")</f>
        <v>VD033</v>
      </c>
      <c r="C1007" s="2">
        <f>IFERROR(__xludf.DUMMYFUNCTION("""COMPUTED_VALUE"""),6.0)</f>
        <v>6</v>
      </c>
      <c r="D1007" s="2">
        <f>IFERROR(__xludf.DUMMYFUNCTION("""COMPUTED_VALUE"""),1999.14)</f>
        <v>1999.14</v>
      </c>
    </row>
    <row r="1008">
      <c r="A1008" s="2" t="str">
        <f>IFERROR(__xludf.DUMMYFUNCTION("""COMPUTED_VALUE"""),"PR034")</f>
        <v>PR034</v>
      </c>
      <c r="B1008" s="2" t="str">
        <f>IFERROR(__xludf.DUMMYFUNCTION("""COMPUTED_VALUE"""),"VD017")</f>
        <v>VD017</v>
      </c>
      <c r="C1008" s="2">
        <f>IFERROR(__xludf.DUMMYFUNCTION("""COMPUTED_VALUE"""),8.0)</f>
        <v>8</v>
      </c>
      <c r="D1008" s="2">
        <f>IFERROR(__xludf.DUMMYFUNCTION("""COMPUTED_VALUE"""),726.39)</f>
        <v>726.39</v>
      </c>
    </row>
    <row r="1009">
      <c r="A1009" s="2" t="str">
        <f>IFERROR(__xludf.DUMMYFUNCTION("""COMPUTED_VALUE"""),"PR032")</f>
        <v>PR032</v>
      </c>
      <c r="B1009" s="2" t="str">
        <f>IFERROR(__xludf.DUMMYFUNCTION("""COMPUTED_VALUE"""),"VD016")</f>
        <v>VD016</v>
      </c>
      <c r="C1009" s="2">
        <f>IFERROR(__xludf.DUMMYFUNCTION("""COMPUTED_VALUE"""),12.0)</f>
        <v>12</v>
      </c>
      <c r="D1009" s="2">
        <f>IFERROR(__xludf.DUMMYFUNCTION("""COMPUTED_VALUE"""),3150.0)</f>
        <v>3150</v>
      </c>
    </row>
    <row r="1010">
      <c r="A1010" s="2" t="str">
        <f>IFERROR(__xludf.DUMMYFUNCTION("""COMPUTED_VALUE"""),"PR032")</f>
        <v>PR032</v>
      </c>
      <c r="B1010" s="2" t="str">
        <f>IFERROR(__xludf.DUMMYFUNCTION("""COMPUTED_VALUE"""),"VD014")</f>
        <v>VD014</v>
      </c>
      <c r="C1010" s="2">
        <f>IFERROR(__xludf.DUMMYFUNCTION("""COMPUTED_VALUE"""),5.0)</f>
        <v>5</v>
      </c>
      <c r="D1010" s="2">
        <f>IFERROR(__xludf.DUMMYFUNCTION("""COMPUTED_VALUE"""),1325.0)</f>
        <v>1325</v>
      </c>
    </row>
    <row r="1011">
      <c r="A1011" s="2" t="str">
        <f>IFERROR(__xludf.DUMMYFUNCTION("""COMPUTED_VALUE"""),"PR053")</f>
        <v>PR053</v>
      </c>
      <c r="B1011" s="2" t="str">
        <f>IFERROR(__xludf.DUMMYFUNCTION("""COMPUTED_VALUE"""),"VD029")</f>
        <v>VD029</v>
      </c>
      <c r="C1011" s="2">
        <f>IFERROR(__xludf.DUMMYFUNCTION("""COMPUTED_VALUE"""),8.0)</f>
        <v>8</v>
      </c>
      <c r="D1011" s="2">
        <f>IFERROR(__xludf.DUMMYFUNCTION("""COMPUTED_VALUE"""),431.14)</f>
        <v>431.14</v>
      </c>
    </row>
    <row r="1012">
      <c r="A1012" s="2" t="str">
        <f>IFERROR(__xludf.DUMMYFUNCTION("""COMPUTED_VALUE"""),"PR014")</f>
        <v>PR014</v>
      </c>
      <c r="B1012" s="2" t="str">
        <f>IFERROR(__xludf.DUMMYFUNCTION("""COMPUTED_VALUE"""),"VD029")</f>
        <v>VD029</v>
      </c>
      <c r="C1012" s="2">
        <f>IFERROR(__xludf.DUMMYFUNCTION("""COMPUTED_VALUE"""),20.0)</f>
        <v>20</v>
      </c>
      <c r="D1012" s="2">
        <f>IFERROR(__xludf.DUMMYFUNCTION("""COMPUTED_VALUE"""),805.98)</f>
        <v>805.98</v>
      </c>
    </row>
    <row r="1013">
      <c r="A1013" s="2" t="str">
        <f>IFERROR(__xludf.DUMMYFUNCTION("""COMPUTED_VALUE"""),"PR005")</f>
        <v>PR005</v>
      </c>
      <c r="B1013" s="2" t="str">
        <f>IFERROR(__xludf.DUMMYFUNCTION("""COMPUTED_VALUE"""),"VD047")</f>
        <v>VD047</v>
      </c>
      <c r="C1013" s="2">
        <f>IFERROR(__xludf.DUMMYFUNCTION("""COMPUTED_VALUE"""),2.0)</f>
        <v>2</v>
      </c>
      <c r="D1013" s="2">
        <f>IFERROR(__xludf.DUMMYFUNCTION("""COMPUTED_VALUE"""),566.58)</f>
        <v>566.58</v>
      </c>
    </row>
    <row r="1014">
      <c r="A1014" s="2" t="str">
        <f>IFERROR(__xludf.DUMMYFUNCTION("""COMPUTED_VALUE"""),"PR008")</f>
        <v>PR008</v>
      </c>
      <c r="B1014" s="2" t="str">
        <f>IFERROR(__xludf.DUMMYFUNCTION("""COMPUTED_VALUE"""),"VD032")</f>
        <v>VD032</v>
      </c>
      <c r="C1014" s="2">
        <f>IFERROR(__xludf.DUMMYFUNCTION("""COMPUTED_VALUE"""),18.0)</f>
        <v>18</v>
      </c>
      <c r="D1014" s="2">
        <f>IFERROR(__xludf.DUMMYFUNCTION("""COMPUTED_VALUE"""),1715.29)</f>
        <v>1715.29</v>
      </c>
    </row>
    <row r="1015">
      <c r="A1015" s="2" t="str">
        <f>IFERROR(__xludf.DUMMYFUNCTION("""COMPUTED_VALUE"""),"PR048")</f>
        <v>PR048</v>
      </c>
      <c r="B1015" s="2" t="str">
        <f>IFERROR(__xludf.DUMMYFUNCTION("""COMPUTED_VALUE"""),"VD044")</f>
        <v>VD044</v>
      </c>
      <c r="C1015" s="2">
        <f>IFERROR(__xludf.DUMMYFUNCTION("""COMPUTED_VALUE"""),18.0)</f>
        <v>18</v>
      </c>
      <c r="D1015" s="2">
        <f>IFERROR(__xludf.DUMMYFUNCTION("""COMPUTED_VALUE"""),5740.02)</f>
        <v>5740.02</v>
      </c>
    </row>
    <row r="1016">
      <c r="A1016" s="2" t="str">
        <f>IFERROR(__xludf.DUMMYFUNCTION("""COMPUTED_VALUE"""),"PR011")</f>
        <v>PR011</v>
      </c>
      <c r="B1016" s="2" t="str">
        <f>IFERROR(__xludf.DUMMYFUNCTION("""COMPUTED_VALUE"""),"VD030")</f>
        <v>VD030</v>
      </c>
      <c r="C1016" s="2">
        <f>IFERROR(__xludf.DUMMYFUNCTION("""COMPUTED_VALUE"""),8.0)</f>
        <v>8</v>
      </c>
      <c r="D1016" s="2">
        <f>IFERROR(__xludf.DUMMYFUNCTION("""COMPUTED_VALUE"""),390.21)</f>
        <v>390.21</v>
      </c>
    </row>
    <row r="1017">
      <c r="A1017" s="2" t="str">
        <f>IFERROR(__xludf.DUMMYFUNCTION("""COMPUTED_VALUE"""),"PR057")</f>
        <v>PR057</v>
      </c>
      <c r="B1017" s="2" t="str">
        <f>IFERROR(__xludf.DUMMYFUNCTION("""COMPUTED_VALUE"""),"VD025")</f>
        <v>VD025</v>
      </c>
      <c r="C1017" s="2">
        <f>IFERROR(__xludf.DUMMYFUNCTION("""COMPUTED_VALUE"""),14.0)</f>
        <v>14</v>
      </c>
      <c r="D1017" s="2">
        <f>IFERROR(__xludf.DUMMYFUNCTION("""COMPUTED_VALUE"""),1346.7)</f>
        <v>1346.7</v>
      </c>
    </row>
    <row r="1018">
      <c r="A1018" s="2" t="str">
        <f>IFERROR(__xludf.DUMMYFUNCTION("""COMPUTED_VALUE"""),"PR029")</f>
        <v>PR029</v>
      </c>
      <c r="B1018" s="2" t="str">
        <f>IFERROR(__xludf.DUMMYFUNCTION("""COMPUTED_VALUE"""),"VD033")</f>
        <v>VD033</v>
      </c>
      <c r="C1018" s="2">
        <f>IFERROR(__xludf.DUMMYFUNCTION("""COMPUTED_VALUE"""),3.0)</f>
        <v>3</v>
      </c>
      <c r="D1018" s="2">
        <f>IFERROR(__xludf.DUMMYFUNCTION("""COMPUTED_VALUE"""),787.95)</f>
        <v>787.95</v>
      </c>
    </row>
    <row r="1019">
      <c r="A1019" s="2" t="str">
        <f>IFERROR(__xludf.DUMMYFUNCTION("""COMPUTED_VALUE"""),"PR053")</f>
        <v>PR053</v>
      </c>
      <c r="B1019" s="2" t="str">
        <f>IFERROR(__xludf.DUMMYFUNCTION("""COMPUTED_VALUE"""),"VD031")</f>
        <v>VD031</v>
      </c>
      <c r="C1019" s="2">
        <f>IFERROR(__xludf.DUMMYFUNCTION("""COMPUTED_VALUE"""),7.0)</f>
        <v>7</v>
      </c>
      <c r="D1019" s="2">
        <f>IFERROR(__xludf.DUMMYFUNCTION("""COMPUTED_VALUE"""),349.3)</f>
        <v>349.3</v>
      </c>
    </row>
    <row r="1020">
      <c r="A1020" s="2" t="str">
        <f>IFERROR(__xludf.DUMMYFUNCTION("""COMPUTED_VALUE"""),"PR018")</f>
        <v>PR018</v>
      </c>
      <c r="B1020" s="2" t="str">
        <f>IFERROR(__xludf.DUMMYFUNCTION("""COMPUTED_VALUE"""),"VD027")</f>
        <v>VD027</v>
      </c>
      <c r="C1020" s="2">
        <f>IFERROR(__xludf.DUMMYFUNCTION("""COMPUTED_VALUE"""),10.0)</f>
        <v>10</v>
      </c>
      <c r="D1020" s="2">
        <f>IFERROR(__xludf.DUMMYFUNCTION("""COMPUTED_VALUE"""),335.58)</f>
        <v>335.58</v>
      </c>
    </row>
    <row r="1021">
      <c r="A1021" s="2" t="str">
        <f>IFERROR(__xludf.DUMMYFUNCTION("""COMPUTED_VALUE"""),"PR048")</f>
        <v>PR048</v>
      </c>
      <c r="B1021" s="2" t="str">
        <f>IFERROR(__xludf.DUMMYFUNCTION("""COMPUTED_VALUE"""),"VD046")</f>
        <v>VD046</v>
      </c>
      <c r="C1021" s="2">
        <f>IFERROR(__xludf.DUMMYFUNCTION("""COMPUTED_VALUE"""),12.0)</f>
        <v>12</v>
      </c>
      <c r="D1021" s="2">
        <f>IFERROR(__xludf.DUMMYFUNCTION("""COMPUTED_VALUE"""),3757.1)</f>
        <v>3757.1</v>
      </c>
    </row>
    <row r="1022">
      <c r="A1022" s="2" t="str">
        <f>IFERROR(__xludf.DUMMYFUNCTION("""COMPUTED_VALUE"""),"PR031")</f>
        <v>PR031</v>
      </c>
      <c r="B1022" s="2" t="str">
        <f>IFERROR(__xludf.DUMMYFUNCTION("""COMPUTED_VALUE"""),"VD011")</f>
        <v>VD011</v>
      </c>
      <c r="C1022" s="2">
        <f>IFERROR(__xludf.DUMMYFUNCTION("""COMPUTED_VALUE"""),10.0)</f>
        <v>10</v>
      </c>
      <c r="D1022" s="2">
        <f>IFERROR(__xludf.DUMMYFUNCTION("""COMPUTED_VALUE"""),2474.5)</f>
        <v>2474.5</v>
      </c>
    </row>
    <row r="1023">
      <c r="A1023" s="2" t="str">
        <f>IFERROR(__xludf.DUMMYFUNCTION("""COMPUTED_VALUE"""),"PR042")</f>
        <v>PR042</v>
      </c>
      <c r="B1023" s="2" t="str">
        <f>IFERROR(__xludf.DUMMYFUNCTION("""COMPUTED_VALUE"""),"VD020")</f>
        <v>VD020</v>
      </c>
      <c r="C1023" s="2">
        <f>IFERROR(__xludf.DUMMYFUNCTION("""COMPUTED_VALUE"""),3.0)</f>
        <v>3</v>
      </c>
      <c r="D1023" s="2">
        <f>IFERROR(__xludf.DUMMYFUNCTION("""COMPUTED_VALUE"""),169.64)</f>
        <v>169.64</v>
      </c>
    </row>
    <row r="1024">
      <c r="A1024" s="2" t="str">
        <f>IFERROR(__xludf.DUMMYFUNCTION("""COMPUTED_VALUE"""),"PR053")</f>
        <v>PR053</v>
      </c>
      <c r="B1024" s="2" t="str">
        <f>IFERROR(__xludf.DUMMYFUNCTION("""COMPUTED_VALUE"""),"VD027")</f>
        <v>VD027</v>
      </c>
      <c r="C1024" s="2">
        <f>IFERROR(__xludf.DUMMYFUNCTION("""COMPUTED_VALUE"""),12.0)</f>
        <v>12</v>
      </c>
      <c r="D1024" s="2">
        <f>IFERROR(__xludf.DUMMYFUNCTION("""COMPUTED_VALUE"""),604.79)</f>
        <v>604.79</v>
      </c>
    </row>
    <row r="1025">
      <c r="A1025" s="2" t="str">
        <f>IFERROR(__xludf.DUMMYFUNCTION("""COMPUTED_VALUE"""),"PR032")</f>
        <v>PR032</v>
      </c>
      <c r="B1025" s="2" t="str">
        <f>IFERROR(__xludf.DUMMYFUNCTION("""COMPUTED_VALUE"""),"VD047")</f>
        <v>VD047</v>
      </c>
      <c r="C1025" s="2">
        <f>IFERROR(__xludf.DUMMYFUNCTION("""COMPUTED_VALUE"""),18.0)</f>
        <v>18</v>
      </c>
      <c r="D1025" s="2">
        <f>IFERROR(__xludf.DUMMYFUNCTION("""COMPUTED_VALUE"""),4860.0)</f>
        <v>4860</v>
      </c>
    </row>
    <row r="1026">
      <c r="A1026" s="2" t="str">
        <f>IFERROR(__xludf.DUMMYFUNCTION("""COMPUTED_VALUE"""),"PR015")</f>
        <v>PR015</v>
      </c>
      <c r="B1026" s="2" t="str">
        <f>IFERROR(__xludf.DUMMYFUNCTION("""COMPUTED_VALUE"""),"VD038")</f>
        <v>VD038</v>
      </c>
      <c r="C1026" s="2">
        <f>IFERROR(__xludf.DUMMYFUNCTION("""COMPUTED_VALUE"""),12.0)</f>
        <v>12</v>
      </c>
      <c r="D1026" s="2">
        <f>IFERROR(__xludf.DUMMYFUNCTION("""COMPUTED_VALUE"""),535.5)</f>
        <v>535.5</v>
      </c>
    </row>
    <row r="1027">
      <c r="A1027" s="2" t="str">
        <f>IFERROR(__xludf.DUMMYFUNCTION("""COMPUTED_VALUE"""),"PR059")</f>
        <v>PR059</v>
      </c>
      <c r="B1027" s="2" t="str">
        <f>IFERROR(__xludf.DUMMYFUNCTION("""COMPUTED_VALUE"""),"VD047")</f>
        <v>VD047</v>
      </c>
      <c r="C1027" s="2">
        <f>IFERROR(__xludf.DUMMYFUNCTION("""COMPUTED_VALUE"""),14.0)</f>
        <v>14</v>
      </c>
      <c r="D1027" s="2">
        <f>IFERROR(__xludf.DUMMYFUNCTION("""COMPUTED_VALUE"""),2671.2)</f>
        <v>2671.2</v>
      </c>
    </row>
    <row r="1028">
      <c r="A1028" s="2" t="str">
        <f>IFERROR(__xludf.DUMMYFUNCTION("""COMPUTED_VALUE"""),"PR004")</f>
        <v>PR004</v>
      </c>
      <c r="B1028" s="2" t="str">
        <f>IFERROR(__xludf.DUMMYFUNCTION("""COMPUTED_VALUE"""),"VD022")</f>
        <v>VD022</v>
      </c>
      <c r="C1028" s="2">
        <f>IFERROR(__xludf.DUMMYFUNCTION("""COMPUTED_VALUE"""),6.0)</f>
        <v>6</v>
      </c>
      <c r="D1028" s="2">
        <f>IFERROR(__xludf.DUMMYFUNCTION("""COMPUTED_VALUE"""),887.4)</f>
        <v>887.4</v>
      </c>
    </row>
    <row r="1029">
      <c r="A1029" s="2" t="str">
        <f>IFERROR(__xludf.DUMMYFUNCTION("""COMPUTED_VALUE"""),"PR028")</f>
        <v>PR028</v>
      </c>
      <c r="B1029" s="2" t="str">
        <f>IFERROR(__xludf.DUMMYFUNCTION("""COMPUTED_VALUE"""),"VD026")</f>
        <v>VD026</v>
      </c>
      <c r="C1029" s="2">
        <f>IFERROR(__xludf.DUMMYFUNCTION("""COMPUTED_VALUE"""),5.0)</f>
        <v>5</v>
      </c>
      <c r="D1029" s="2">
        <f>IFERROR(__xludf.DUMMYFUNCTION("""COMPUTED_VALUE"""),1361.96)</f>
        <v>1361.96</v>
      </c>
    </row>
    <row r="1030">
      <c r="A1030" s="2" t="str">
        <f>IFERROR(__xludf.DUMMYFUNCTION("""COMPUTED_VALUE"""),"PR037")</f>
        <v>PR037</v>
      </c>
      <c r="B1030" s="2" t="str">
        <f>IFERROR(__xludf.DUMMYFUNCTION("""COMPUTED_VALUE"""),"VD019")</f>
        <v>VD019</v>
      </c>
      <c r="C1030" s="2">
        <f>IFERROR(__xludf.DUMMYFUNCTION("""COMPUTED_VALUE"""),12.0)</f>
        <v>12</v>
      </c>
      <c r="D1030" s="2">
        <f>IFERROR(__xludf.DUMMYFUNCTION("""COMPUTED_VALUE"""),1747.2)</f>
        <v>1747.2</v>
      </c>
    </row>
    <row r="1031">
      <c r="A1031" s="2" t="str">
        <f>IFERROR(__xludf.DUMMYFUNCTION("""COMPUTED_VALUE"""),"PR031")</f>
        <v>PR031</v>
      </c>
      <c r="B1031" s="2" t="str">
        <f>IFERROR(__xludf.DUMMYFUNCTION("""COMPUTED_VALUE"""),"VD036")</f>
        <v>VD036</v>
      </c>
      <c r="C1031" s="2">
        <f>IFERROR(__xludf.DUMMYFUNCTION("""COMPUTED_VALUE"""),6.0)</f>
        <v>6</v>
      </c>
      <c r="D1031" s="2">
        <f>IFERROR(__xludf.DUMMYFUNCTION("""COMPUTED_VALUE"""),1499.4)</f>
        <v>1499.4</v>
      </c>
    </row>
    <row r="1032">
      <c r="A1032" s="2" t="str">
        <f>IFERROR(__xludf.DUMMYFUNCTION("""COMPUTED_VALUE"""),"PR038")</f>
        <v>PR038</v>
      </c>
      <c r="B1032" s="2" t="str">
        <f>IFERROR(__xludf.DUMMYFUNCTION("""COMPUTED_VALUE"""),"VD033")</f>
        <v>VD033</v>
      </c>
      <c r="C1032" s="2">
        <f>IFERROR(__xludf.DUMMYFUNCTION("""COMPUTED_VALUE"""),10.0)</f>
        <v>10</v>
      </c>
      <c r="D1032" s="2">
        <f>IFERROR(__xludf.DUMMYFUNCTION("""COMPUTED_VALUE"""),1443.29)</f>
        <v>1443.29</v>
      </c>
    </row>
    <row r="1033">
      <c r="A1033" s="2" t="str">
        <f>IFERROR(__xludf.DUMMYFUNCTION("""COMPUTED_VALUE"""),"PR009")</f>
        <v>PR009</v>
      </c>
      <c r="B1033" s="2" t="str">
        <f>IFERROR(__xludf.DUMMYFUNCTION("""COMPUTED_VALUE"""),"VD035")</f>
        <v>VD035</v>
      </c>
      <c r="C1033" s="2">
        <f>IFERROR(__xludf.DUMMYFUNCTION("""COMPUTED_VALUE"""),16.0)</f>
        <v>16</v>
      </c>
      <c r="D1033" s="2">
        <f>IFERROR(__xludf.DUMMYFUNCTION("""COMPUTED_VALUE"""),1545.86)</f>
        <v>1545.86</v>
      </c>
    </row>
    <row r="1034">
      <c r="A1034" s="2" t="str">
        <f>IFERROR(__xludf.DUMMYFUNCTION("""COMPUTED_VALUE"""),"PR041")</f>
        <v>PR041</v>
      </c>
      <c r="B1034" s="2" t="str">
        <f>IFERROR(__xludf.DUMMYFUNCTION("""COMPUTED_VALUE"""),"VD019")</f>
        <v>VD019</v>
      </c>
      <c r="C1034" s="2">
        <f>IFERROR(__xludf.DUMMYFUNCTION("""COMPUTED_VALUE"""),3.0)</f>
        <v>3</v>
      </c>
      <c r="D1034" s="2">
        <f>IFERROR(__xludf.DUMMYFUNCTION("""COMPUTED_VALUE"""),171.29)</f>
        <v>171.29</v>
      </c>
    </row>
    <row r="1035">
      <c r="A1035" s="2" t="str">
        <f>IFERROR(__xludf.DUMMYFUNCTION("""COMPUTED_VALUE"""),"PR026")</f>
        <v>PR026</v>
      </c>
      <c r="B1035" s="2" t="str">
        <f>IFERROR(__xludf.DUMMYFUNCTION("""COMPUTED_VALUE"""),"VD027")</f>
        <v>VD027</v>
      </c>
      <c r="C1035" s="2">
        <f>IFERROR(__xludf.DUMMYFUNCTION("""COMPUTED_VALUE"""),12.0)</f>
        <v>12</v>
      </c>
      <c r="D1035" s="2">
        <f>IFERROR(__xludf.DUMMYFUNCTION("""COMPUTED_VALUE"""),4618.68)</f>
        <v>4618.68</v>
      </c>
    </row>
    <row r="1036">
      <c r="A1036" s="2" t="str">
        <f>IFERROR(__xludf.DUMMYFUNCTION("""COMPUTED_VALUE"""),"PR026")</f>
        <v>PR026</v>
      </c>
      <c r="B1036" s="2" t="str">
        <f>IFERROR(__xludf.DUMMYFUNCTION("""COMPUTED_VALUE"""),"VD030")</f>
        <v>VD030</v>
      </c>
      <c r="C1036" s="2">
        <f>IFERROR(__xludf.DUMMYFUNCTION("""COMPUTED_VALUE"""),2.0)</f>
        <v>2</v>
      </c>
      <c r="D1036" s="2">
        <f>IFERROR(__xludf.DUMMYFUNCTION("""COMPUTED_VALUE"""),713.8)</f>
        <v>713.8</v>
      </c>
    </row>
    <row r="1037">
      <c r="A1037" s="2" t="str">
        <f>IFERROR(__xludf.DUMMYFUNCTION("""COMPUTED_VALUE"""),"PR012")</f>
        <v>PR012</v>
      </c>
      <c r="B1037" s="2" t="str">
        <f>IFERROR(__xludf.DUMMYFUNCTION("""COMPUTED_VALUE"""),"VD027")</f>
        <v>VD027</v>
      </c>
      <c r="C1037" s="2">
        <f>IFERROR(__xludf.DUMMYFUNCTION("""COMPUTED_VALUE"""),18.0)</f>
        <v>18</v>
      </c>
      <c r="D1037" s="2">
        <f>IFERROR(__xludf.DUMMYFUNCTION("""COMPUTED_VALUE"""),933.01)</f>
        <v>933.01</v>
      </c>
    </row>
    <row r="1038">
      <c r="A1038" s="2" t="str">
        <f>IFERROR(__xludf.DUMMYFUNCTION("""COMPUTED_VALUE"""),"PR010")</f>
        <v>PR010</v>
      </c>
      <c r="B1038" s="2" t="str">
        <f>IFERROR(__xludf.DUMMYFUNCTION("""COMPUTED_VALUE"""),"VD025")</f>
        <v>VD025</v>
      </c>
      <c r="C1038" s="2">
        <f>IFERROR(__xludf.DUMMYFUNCTION("""COMPUTED_VALUE"""),14.0)</f>
        <v>14</v>
      </c>
      <c r="D1038" s="2">
        <f>IFERROR(__xludf.DUMMYFUNCTION("""COMPUTED_VALUE"""),672.6)</f>
        <v>672.6</v>
      </c>
    </row>
    <row r="1039">
      <c r="A1039" s="2" t="str">
        <f>IFERROR(__xludf.DUMMYFUNCTION("""COMPUTED_VALUE"""),"PR060")</f>
        <v>PR060</v>
      </c>
      <c r="B1039" s="2" t="str">
        <f>IFERROR(__xludf.DUMMYFUNCTION("""COMPUTED_VALUE"""),"VD033")</f>
        <v>VD033</v>
      </c>
      <c r="C1039" s="2">
        <f>IFERROR(__xludf.DUMMYFUNCTION("""COMPUTED_VALUE"""),10.0)</f>
        <v>10</v>
      </c>
      <c r="D1039" s="2">
        <f>IFERROR(__xludf.DUMMYFUNCTION("""COMPUTED_VALUE"""),1962.0)</f>
        <v>1962</v>
      </c>
    </row>
    <row r="1040">
      <c r="A1040" s="2" t="str">
        <f>IFERROR(__xludf.DUMMYFUNCTION("""COMPUTED_VALUE"""),"PR016")</f>
        <v>PR016</v>
      </c>
      <c r="B1040" s="2" t="str">
        <f>IFERROR(__xludf.DUMMYFUNCTION("""COMPUTED_VALUE"""),"VD011")</f>
        <v>VD011</v>
      </c>
      <c r="C1040" s="2">
        <f>IFERROR(__xludf.DUMMYFUNCTION("""COMPUTED_VALUE"""),2.0)</f>
        <v>2</v>
      </c>
      <c r="D1040" s="2">
        <f>IFERROR(__xludf.DUMMYFUNCTION("""COMPUTED_VALUE"""),51.8)</f>
        <v>51.8</v>
      </c>
    </row>
    <row r="1041">
      <c r="A1041" s="2" t="str">
        <f>IFERROR(__xludf.DUMMYFUNCTION("""COMPUTED_VALUE"""),"PR044")</f>
        <v>PR044</v>
      </c>
      <c r="B1041" s="2" t="str">
        <f>IFERROR(__xludf.DUMMYFUNCTION("""COMPUTED_VALUE"""),"VD044")</f>
        <v>VD044</v>
      </c>
      <c r="C1041" s="2">
        <f>IFERROR(__xludf.DUMMYFUNCTION("""COMPUTED_VALUE"""),8.0)</f>
        <v>8</v>
      </c>
      <c r="D1041" s="2">
        <f>IFERROR(__xludf.DUMMYFUNCTION("""COMPUTED_VALUE"""),580.0)</f>
        <v>580</v>
      </c>
    </row>
    <row r="1042">
      <c r="A1042" s="2" t="str">
        <f>IFERROR(__xludf.DUMMYFUNCTION("""COMPUTED_VALUE"""),"PR001")</f>
        <v>PR001</v>
      </c>
      <c r="B1042" s="2" t="str">
        <f>IFERROR(__xludf.DUMMYFUNCTION("""COMPUTED_VALUE"""),"VD027")</f>
        <v>VD027</v>
      </c>
      <c r="C1042" s="2">
        <f>IFERROR(__xludf.DUMMYFUNCTION("""COMPUTED_VALUE"""),2.0)</f>
        <v>2</v>
      </c>
      <c r="D1042" s="2">
        <f>IFERROR(__xludf.DUMMYFUNCTION("""COMPUTED_VALUE"""),133.12)</f>
        <v>133.12</v>
      </c>
    </row>
    <row r="1043">
      <c r="A1043" s="2" t="str">
        <f>IFERROR(__xludf.DUMMYFUNCTION("""COMPUTED_VALUE"""),"PR013")</f>
        <v>PR013</v>
      </c>
      <c r="B1043" s="2" t="str">
        <f>IFERROR(__xludf.DUMMYFUNCTION("""COMPUTED_VALUE"""),"VD044")</f>
        <v>VD044</v>
      </c>
      <c r="C1043" s="2">
        <f>IFERROR(__xludf.DUMMYFUNCTION("""COMPUTED_VALUE"""),5.0)</f>
        <v>5</v>
      </c>
      <c r="D1043" s="2">
        <f>IFERROR(__xludf.DUMMYFUNCTION("""COMPUTED_VALUE"""),215.46)</f>
        <v>215.46</v>
      </c>
    </row>
    <row r="1044">
      <c r="A1044" s="2" t="str">
        <f>IFERROR(__xludf.DUMMYFUNCTION("""COMPUTED_VALUE"""),"PR017")</f>
        <v>PR017</v>
      </c>
      <c r="B1044" s="2" t="str">
        <f>IFERROR(__xludf.DUMMYFUNCTION("""COMPUTED_VALUE"""),"VD020")</f>
        <v>VD020</v>
      </c>
      <c r="C1044" s="2">
        <f>IFERROR(__xludf.DUMMYFUNCTION("""COMPUTED_VALUE"""),2.0)</f>
        <v>2</v>
      </c>
      <c r="D1044" s="2">
        <f>IFERROR(__xludf.DUMMYFUNCTION("""COMPUTED_VALUE"""),61.59)</f>
        <v>61.59</v>
      </c>
    </row>
    <row r="1045">
      <c r="A1045" s="2" t="str">
        <f>IFERROR(__xludf.DUMMYFUNCTION("""COMPUTED_VALUE"""),"PR036")</f>
        <v>PR036</v>
      </c>
      <c r="B1045" s="2" t="str">
        <f>IFERROR(__xludf.DUMMYFUNCTION("""COMPUTED_VALUE"""),"VD010")</f>
        <v>VD010</v>
      </c>
      <c r="C1045" s="2">
        <f>IFERROR(__xludf.DUMMYFUNCTION("""COMPUTED_VALUE"""),10.0)</f>
        <v>10</v>
      </c>
      <c r="D1045" s="2">
        <f>IFERROR(__xludf.DUMMYFUNCTION("""COMPUTED_VALUE"""),935.0)</f>
        <v>935</v>
      </c>
    </row>
    <row r="1046">
      <c r="A1046" s="2" t="str">
        <f>IFERROR(__xludf.DUMMYFUNCTION("""COMPUTED_VALUE"""),"PR009")</f>
        <v>PR009</v>
      </c>
      <c r="B1046" s="2" t="str">
        <f>IFERROR(__xludf.DUMMYFUNCTION("""COMPUTED_VALUE"""),"VD048")</f>
        <v>VD048</v>
      </c>
      <c r="C1046" s="2">
        <f>IFERROR(__xludf.DUMMYFUNCTION("""COMPUTED_VALUE"""),16.0)</f>
        <v>16</v>
      </c>
      <c r="D1046" s="2">
        <f>IFERROR(__xludf.DUMMYFUNCTION("""COMPUTED_VALUE"""),1560.72)</f>
        <v>1560.72</v>
      </c>
    </row>
    <row r="1047">
      <c r="A1047" s="2" t="str">
        <f>IFERROR(__xludf.DUMMYFUNCTION("""COMPUTED_VALUE"""),"PR009")</f>
        <v>PR009</v>
      </c>
      <c r="B1047" s="2" t="str">
        <f>IFERROR(__xludf.DUMMYFUNCTION("""COMPUTED_VALUE"""),"VD043")</f>
        <v>VD043</v>
      </c>
      <c r="C1047" s="2">
        <f>IFERROR(__xludf.DUMMYFUNCTION("""COMPUTED_VALUE"""),2.0)</f>
        <v>2</v>
      </c>
      <c r="D1047" s="2">
        <f>IFERROR(__xludf.DUMMYFUNCTION("""COMPUTED_VALUE"""),198.81)</f>
        <v>198.81</v>
      </c>
    </row>
    <row r="1048">
      <c r="A1048" s="2" t="str">
        <f>IFERROR(__xludf.DUMMYFUNCTION("""COMPUTED_VALUE"""),"PR001")</f>
        <v>PR001</v>
      </c>
      <c r="B1048" s="2" t="str">
        <f>IFERROR(__xludf.DUMMYFUNCTION("""COMPUTED_VALUE"""),"VD044")</f>
        <v>VD044</v>
      </c>
      <c r="C1048" s="2">
        <f>IFERROR(__xludf.DUMMYFUNCTION("""COMPUTED_VALUE"""),1.0)</f>
        <v>1</v>
      </c>
      <c r="D1048" s="2">
        <f>IFERROR(__xludf.DUMMYFUNCTION("""COMPUTED_VALUE"""),66.56)</f>
        <v>66.56</v>
      </c>
    </row>
    <row r="1049">
      <c r="A1049" s="2" t="str">
        <f>IFERROR(__xludf.DUMMYFUNCTION("""COMPUTED_VALUE"""),"PR056")</f>
        <v>PR056</v>
      </c>
      <c r="B1049" s="2" t="str">
        <f>IFERROR(__xludf.DUMMYFUNCTION("""COMPUTED_VALUE"""),"VD020")</f>
        <v>VD020</v>
      </c>
      <c r="C1049" s="2">
        <f>IFERROR(__xludf.DUMMYFUNCTION("""COMPUTED_VALUE"""),10.0)</f>
        <v>10</v>
      </c>
      <c r="D1049" s="2">
        <f>IFERROR(__xludf.DUMMYFUNCTION("""COMPUTED_VALUE"""),916.98)</f>
        <v>916.98</v>
      </c>
    </row>
    <row r="1050">
      <c r="A1050" s="2" t="str">
        <f>IFERROR(__xludf.DUMMYFUNCTION("""COMPUTED_VALUE"""),"PR008")</f>
        <v>PR008</v>
      </c>
      <c r="B1050" s="2" t="str">
        <f>IFERROR(__xludf.DUMMYFUNCTION("""COMPUTED_VALUE"""),"VD023")</f>
        <v>VD023</v>
      </c>
      <c r="C1050" s="2">
        <f>IFERROR(__xludf.DUMMYFUNCTION("""COMPUTED_VALUE"""),2.0)</f>
        <v>2</v>
      </c>
      <c r="D1050" s="2">
        <f>IFERROR(__xludf.DUMMYFUNCTION("""COMPUTED_VALUE"""),194.18)</f>
        <v>194.18</v>
      </c>
    </row>
    <row r="1051">
      <c r="A1051" s="2" t="str">
        <f>IFERROR(__xludf.DUMMYFUNCTION("""COMPUTED_VALUE"""),"PR051")</f>
        <v>PR051</v>
      </c>
      <c r="B1051" s="2" t="str">
        <f>IFERROR(__xludf.DUMMYFUNCTION("""COMPUTED_VALUE"""),"VD011")</f>
        <v>VD011</v>
      </c>
      <c r="C1051" s="2">
        <f>IFERROR(__xludf.DUMMYFUNCTION("""COMPUTED_VALUE"""),10.0)</f>
        <v>10</v>
      </c>
      <c r="D1051" s="2">
        <f>IFERROR(__xludf.DUMMYFUNCTION("""COMPUTED_VALUE"""),338.87)</f>
        <v>338.87</v>
      </c>
    </row>
    <row r="1052">
      <c r="A1052" s="2" t="str">
        <f>IFERROR(__xludf.DUMMYFUNCTION("""COMPUTED_VALUE"""),"PR037")</f>
        <v>PR037</v>
      </c>
      <c r="B1052" s="2" t="str">
        <f>IFERROR(__xludf.DUMMYFUNCTION("""COMPUTED_VALUE"""),"VD019")</f>
        <v>VD019</v>
      </c>
      <c r="C1052" s="2">
        <f>IFERROR(__xludf.DUMMYFUNCTION("""COMPUTED_VALUE"""),4.0)</f>
        <v>4</v>
      </c>
      <c r="D1052" s="2">
        <f>IFERROR(__xludf.DUMMYFUNCTION("""COMPUTED_VALUE"""),616.0)</f>
        <v>616</v>
      </c>
    </row>
    <row r="1053">
      <c r="A1053" s="2" t="str">
        <f>IFERROR(__xludf.DUMMYFUNCTION("""COMPUTED_VALUE"""),"PR055")</f>
        <v>PR055</v>
      </c>
      <c r="B1053" s="2" t="str">
        <f>IFERROR(__xludf.DUMMYFUNCTION("""COMPUTED_VALUE"""),"VD038")</f>
        <v>VD038</v>
      </c>
      <c r="C1053" s="2">
        <f>IFERROR(__xludf.DUMMYFUNCTION("""COMPUTED_VALUE"""),20.0)</f>
        <v>20</v>
      </c>
      <c r="D1053" s="2">
        <f>IFERROR(__xludf.DUMMYFUNCTION("""COMPUTED_VALUE"""),1923.86)</f>
        <v>1923.86</v>
      </c>
    </row>
    <row r="1054">
      <c r="A1054" s="2" t="str">
        <f>IFERROR(__xludf.DUMMYFUNCTION("""COMPUTED_VALUE"""),"PR005")</f>
        <v>PR005</v>
      </c>
      <c r="B1054" s="2" t="str">
        <f>IFERROR(__xludf.DUMMYFUNCTION("""COMPUTED_VALUE"""),"VD049")</f>
        <v>VD049</v>
      </c>
      <c r="C1054" s="2">
        <f>IFERROR(__xludf.DUMMYFUNCTION("""COMPUTED_VALUE"""),5.0)</f>
        <v>5</v>
      </c>
      <c r="D1054" s="2">
        <f>IFERROR(__xludf.DUMMYFUNCTION("""COMPUTED_VALUE"""),1364.48)</f>
        <v>1364.48</v>
      </c>
    </row>
    <row r="1055">
      <c r="A1055" s="2" t="str">
        <f>IFERROR(__xludf.DUMMYFUNCTION("""COMPUTED_VALUE"""),"PR025")</f>
        <v>PR025</v>
      </c>
      <c r="B1055" s="2" t="str">
        <f>IFERROR(__xludf.DUMMYFUNCTION("""COMPUTED_VALUE"""),"VD018")</f>
        <v>VD018</v>
      </c>
      <c r="C1055" s="2">
        <f>IFERROR(__xludf.DUMMYFUNCTION("""COMPUTED_VALUE"""),8.0)</f>
        <v>8</v>
      </c>
      <c r="D1055" s="2">
        <f>IFERROR(__xludf.DUMMYFUNCTION("""COMPUTED_VALUE"""),2519.16)</f>
        <v>2519.16</v>
      </c>
    </row>
    <row r="1056">
      <c r="A1056" s="2" t="str">
        <f>IFERROR(__xludf.DUMMYFUNCTION("""COMPUTED_VALUE"""),"PR034")</f>
        <v>PR034</v>
      </c>
      <c r="B1056" s="2" t="str">
        <f>IFERROR(__xludf.DUMMYFUNCTION("""COMPUTED_VALUE"""),"VD015")</f>
        <v>VD015</v>
      </c>
      <c r="C1056" s="2">
        <f>IFERROR(__xludf.DUMMYFUNCTION("""COMPUTED_VALUE"""),2.0)</f>
        <v>2</v>
      </c>
      <c r="D1056" s="2">
        <f>IFERROR(__xludf.DUMMYFUNCTION("""COMPUTED_VALUE"""),192.39)</f>
        <v>192.39</v>
      </c>
    </row>
    <row r="1057">
      <c r="A1057" s="2" t="str">
        <f>IFERROR(__xludf.DUMMYFUNCTION("""COMPUTED_VALUE"""),"PR048")</f>
        <v>PR048</v>
      </c>
      <c r="B1057" s="2" t="str">
        <f>IFERROR(__xludf.DUMMYFUNCTION("""COMPUTED_VALUE"""),"VD034")</f>
        <v>VD034</v>
      </c>
      <c r="C1057" s="2">
        <f>IFERROR(__xludf.DUMMYFUNCTION("""COMPUTED_VALUE"""),20.0)</f>
        <v>20</v>
      </c>
      <c r="D1057" s="2">
        <f>IFERROR(__xludf.DUMMYFUNCTION("""COMPUTED_VALUE"""),5855.98)</f>
        <v>5855.98</v>
      </c>
    </row>
    <row r="1058">
      <c r="A1058" s="2" t="str">
        <f>IFERROR(__xludf.DUMMYFUNCTION("""COMPUTED_VALUE"""),"PR024")</f>
        <v>PR024</v>
      </c>
      <c r="B1058" s="2" t="str">
        <f>IFERROR(__xludf.DUMMYFUNCTION("""COMPUTED_VALUE"""),"VD046")</f>
        <v>VD046</v>
      </c>
      <c r="C1058" s="2">
        <f>IFERROR(__xludf.DUMMYFUNCTION("""COMPUTED_VALUE"""),2.0)</f>
        <v>2</v>
      </c>
      <c r="D1058" s="2">
        <f>IFERROR(__xludf.DUMMYFUNCTION("""COMPUTED_VALUE"""),530.2)</f>
        <v>530.2</v>
      </c>
    </row>
    <row r="1059">
      <c r="A1059" s="2" t="str">
        <f>IFERROR(__xludf.DUMMYFUNCTION("""COMPUTED_VALUE"""),"PR028")</f>
        <v>PR028</v>
      </c>
      <c r="B1059" s="2" t="str">
        <f>IFERROR(__xludf.DUMMYFUNCTION("""COMPUTED_VALUE"""),"VD014")</f>
        <v>VD014</v>
      </c>
      <c r="C1059" s="2">
        <f>IFERROR(__xludf.DUMMYFUNCTION("""COMPUTED_VALUE"""),4.0)</f>
        <v>4</v>
      </c>
      <c r="D1059" s="2">
        <f>IFERROR(__xludf.DUMMYFUNCTION("""COMPUTED_VALUE"""),1069.57)</f>
        <v>1069.57</v>
      </c>
    </row>
    <row r="1060">
      <c r="A1060" s="2" t="str">
        <f>IFERROR(__xludf.DUMMYFUNCTION("""COMPUTED_VALUE"""),"PR018")</f>
        <v>PR018</v>
      </c>
      <c r="B1060" s="2" t="str">
        <f>IFERROR(__xludf.DUMMYFUNCTION("""COMPUTED_VALUE"""),"VD041")</f>
        <v>VD041</v>
      </c>
      <c r="C1060" s="2">
        <f>IFERROR(__xludf.DUMMYFUNCTION("""COMPUTED_VALUE"""),3.0)</f>
        <v>3</v>
      </c>
      <c r="D1060" s="2">
        <f>IFERROR(__xludf.DUMMYFUNCTION("""COMPUTED_VALUE"""),102.65)</f>
        <v>102.65</v>
      </c>
    </row>
    <row r="1061">
      <c r="A1061" s="2" t="str">
        <f>IFERROR(__xludf.DUMMYFUNCTION("""COMPUTED_VALUE"""),"PR001")</f>
        <v>PR001</v>
      </c>
      <c r="B1061" s="2" t="str">
        <f>IFERROR(__xludf.DUMMYFUNCTION("""COMPUTED_VALUE"""),"VD027")</f>
        <v>VD027</v>
      </c>
      <c r="C1061" s="2">
        <f>IFERROR(__xludf.DUMMYFUNCTION("""COMPUTED_VALUE"""),18.0)</f>
        <v>18</v>
      </c>
      <c r="D1061" s="2">
        <f>IFERROR(__xludf.DUMMYFUNCTION("""COMPUTED_VALUE"""),1221.79)</f>
        <v>1221.79</v>
      </c>
    </row>
    <row r="1062">
      <c r="A1062" s="2" t="str">
        <f>IFERROR(__xludf.DUMMYFUNCTION("""COMPUTED_VALUE"""),"PR021")</f>
        <v>PR021</v>
      </c>
      <c r="B1062" s="2" t="str">
        <f>IFERROR(__xludf.DUMMYFUNCTION("""COMPUTED_VALUE"""),"VD048")</f>
        <v>VD048</v>
      </c>
      <c r="C1062" s="2">
        <f>IFERROR(__xludf.DUMMYFUNCTION("""COMPUTED_VALUE"""),2.0)</f>
        <v>2</v>
      </c>
      <c r="D1062" s="2">
        <f>IFERROR(__xludf.DUMMYFUNCTION("""COMPUTED_VALUE"""),617.92)</f>
        <v>617.92</v>
      </c>
    </row>
    <row r="1063">
      <c r="A1063" s="2" t="str">
        <f>IFERROR(__xludf.DUMMYFUNCTION("""COMPUTED_VALUE"""),"PR012")</f>
        <v>PR012</v>
      </c>
      <c r="B1063" s="2" t="str">
        <f>IFERROR(__xludf.DUMMYFUNCTION("""COMPUTED_VALUE"""),"VD012")</f>
        <v>VD012</v>
      </c>
      <c r="C1063" s="2">
        <f>IFERROR(__xludf.DUMMYFUNCTION("""COMPUTED_VALUE"""),3.0)</f>
        <v>3</v>
      </c>
      <c r="D1063" s="2">
        <f>IFERROR(__xludf.DUMMYFUNCTION("""COMPUTED_VALUE"""),152.57)</f>
        <v>152.57</v>
      </c>
    </row>
    <row r="1064">
      <c r="A1064" s="2" t="str">
        <f>IFERROR(__xludf.DUMMYFUNCTION("""COMPUTED_VALUE"""),"PR035")</f>
        <v>PR035</v>
      </c>
      <c r="B1064" s="2" t="str">
        <f>IFERROR(__xludf.DUMMYFUNCTION("""COMPUTED_VALUE"""),"VD023")</f>
        <v>VD023</v>
      </c>
      <c r="C1064" s="2">
        <f>IFERROR(__xludf.DUMMYFUNCTION("""COMPUTED_VALUE"""),1.0)</f>
        <v>1</v>
      </c>
      <c r="D1064" s="2">
        <f>IFERROR(__xludf.DUMMYFUNCTION("""COMPUTED_VALUE"""),99.63)</f>
        <v>99.63</v>
      </c>
    </row>
    <row r="1065">
      <c r="A1065" s="2" t="str">
        <f>IFERROR(__xludf.DUMMYFUNCTION("""COMPUTED_VALUE"""),"PR006")</f>
        <v>PR006</v>
      </c>
      <c r="B1065" s="2" t="str">
        <f>IFERROR(__xludf.DUMMYFUNCTION("""COMPUTED_VALUE"""),"VD030")</f>
        <v>VD030</v>
      </c>
      <c r="C1065" s="2">
        <f>IFERROR(__xludf.DUMMYFUNCTION("""COMPUTED_VALUE"""),16.0)</f>
        <v>16</v>
      </c>
      <c r="D1065" s="2">
        <f>IFERROR(__xludf.DUMMYFUNCTION("""COMPUTED_VALUE"""),689.47)</f>
        <v>689.47</v>
      </c>
    </row>
    <row r="1066">
      <c r="A1066" s="2" t="str">
        <f>IFERROR(__xludf.DUMMYFUNCTION("""COMPUTED_VALUE"""),"PR053")</f>
        <v>PR053</v>
      </c>
      <c r="B1066" s="2" t="str">
        <f>IFERROR(__xludf.DUMMYFUNCTION("""COMPUTED_VALUE"""),"VD011")</f>
        <v>VD011</v>
      </c>
      <c r="C1066" s="2">
        <f>IFERROR(__xludf.DUMMYFUNCTION("""COMPUTED_VALUE"""),8.0)</f>
        <v>8</v>
      </c>
      <c r="D1066" s="2">
        <f>IFERROR(__xludf.DUMMYFUNCTION("""COMPUTED_VALUE"""),415.17)</f>
        <v>415.17</v>
      </c>
    </row>
    <row r="1067">
      <c r="A1067" s="2" t="str">
        <f>IFERROR(__xludf.DUMMYFUNCTION("""COMPUTED_VALUE"""),"PR009")</f>
        <v>PR009</v>
      </c>
      <c r="B1067" s="2" t="str">
        <f>IFERROR(__xludf.DUMMYFUNCTION("""COMPUTED_VALUE"""),"VD028")</f>
        <v>VD028</v>
      </c>
      <c r="C1067" s="2">
        <f>IFERROR(__xludf.DUMMYFUNCTION("""COMPUTED_VALUE"""),8.0)</f>
        <v>8</v>
      </c>
      <c r="D1067" s="2">
        <f>IFERROR(__xludf.DUMMYFUNCTION("""COMPUTED_VALUE"""),765.5)</f>
        <v>765.5</v>
      </c>
    </row>
    <row r="1068">
      <c r="A1068" s="2" t="str">
        <f>IFERROR(__xludf.DUMMYFUNCTION("""COMPUTED_VALUE"""),"PR004")</f>
        <v>PR004</v>
      </c>
      <c r="B1068" s="2" t="str">
        <f>IFERROR(__xludf.DUMMYFUNCTION("""COMPUTED_VALUE"""),"VD043")</f>
        <v>VD043</v>
      </c>
      <c r="C1068" s="2">
        <f>IFERROR(__xludf.DUMMYFUNCTION("""COMPUTED_VALUE"""),8.0)</f>
        <v>8</v>
      </c>
      <c r="D1068" s="2">
        <f>IFERROR(__xludf.DUMMYFUNCTION("""COMPUTED_VALUE"""),1194.8)</f>
        <v>1194.8</v>
      </c>
    </row>
    <row r="1069">
      <c r="A1069" s="2" t="str">
        <f>IFERROR(__xludf.DUMMYFUNCTION("""COMPUTED_VALUE"""),"PR024")</f>
        <v>PR024</v>
      </c>
      <c r="B1069" s="2" t="str">
        <f>IFERROR(__xludf.DUMMYFUNCTION("""COMPUTED_VALUE"""),"VD027")</f>
        <v>VD027</v>
      </c>
      <c r="C1069" s="2">
        <f>IFERROR(__xludf.DUMMYFUNCTION("""COMPUTED_VALUE"""),4.0)</f>
        <v>4</v>
      </c>
      <c r="D1069" s="2">
        <f>IFERROR(__xludf.DUMMYFUNCTION("""COMPUTED_VALUE"""),1070.79)</f>
        <v>1070.79</v>
      </c>
    </row>
    <row r="1070">
      <c r="A1070" s="2" t="str">
        <f>IFERROR(__xludf.DUMMYFUNCTION("""COMPUTED_VALUE"""),"PR035")</f>
        <v>PR035</v>
      </c>
      <c r="B1070" s="2" t="str">
        <f>IFERROR(__xludf.DUMMYFUNCTION("""COMPUTED_VALUE"""),"VD046")</f>
        <v>VD046</v>
      </c>
      <c r="C1070" s="2">
        <f>IFERROR(__xludf.DUMMYFUNCTION("""COMPUTED_VALUE"""),2.0)</f>
        <v>2</v>
      </c>
      <c r="D1070" s="2">
        <f>IFERROR(__xludf.DUMMYFUNCTION("""COMPUTED_VALUE"""),190.11)</f>
        <v>190.11</v>
      </c>
    </row>
    <row r="1071">
      <c r="A1071" s="2" t="str">
        <f>IFERROR(__xludf.DUMMYFUNCTION("""COMPUTED_VALUE"""),"PR031")</f>
        <v>PR031</v>
      </c>
      <c r="B1071" s="2" t="str">
        <f>IFERROR(__xludf.DUMMYFUNCTION("""COMPUTED_VALUE"""),"VD029")</f>
        <v>VD029</v>
      </c>
      <c r="C1071" s="2">
        <f>IFERROR(__xludf.DUMMYFUNCTION("""COMPUTED_VALUE"""),16.0)</f>
        <v>16</v>
      </c>
      <c r="D1071" s="2">
        <f>IFERROR(__xludf.DUMMYFUNCTION("""COMPUTED_VALUE"""),3998.4)</f>
        <v>3998.4</v>
      </c>
    </row>
    <row r="1072">
      <c r="A1072" s="2" t="str">
        <f>IFERROR(__xludf.DUMMYFUNCTION("""COMPUTED_VALUE"""),"PR052")</f>
        <v>PR052</v>
      </c>
      <c r="B1072" s="2" t="str">
        <f>IFERROR(__xludf.DUMMYFUNCTION("""COMPUTED_VALUE"""),"VD043")</f>
        <v>VD043</v>
      </c>
      <c r="C1072" s="2">
        <f>IFERROR(__xludf.DUMMYFUNCTION("""COMPUTED_VALUE"""),10.0)</f>
        <v>10</v>
      </c>
      <c r="D1072" s="2">
        <f>IFERROR(__xludf.DUMMYFUNCTION("""COMPUTED_VALUE"""),528.94)</f>
        <v>528.94</v>
      </c>
    </row>
    <row r="1073">
      <c r="A1073" s="2" t="str">
        <f>IFERROR(__xludf.DUMMYFUNCTION("""COMPUTED_VALUE"""),"PR044")</f>
        <v>PR044</v>
      </c>
      <c r="B1073" s="2" t="str">
        <f>IFERROR(__xludf.DUMMYFUNCTION("""COMPUTED_VALUE"""),"VD023")</f>
        <v>VD023</v>
      </c>
      <c r="C1073" s="2">
        <f>IFERROR(__xludf.DUMMYFUNCTION("""COMPUTED_VALUE"""),1.0)</f>
        <v>1</v>
      </c>
      <c r="D1073" s="2">
        <f>IFERROR(__xludf.DUMMYFUNCTION("""COMPUTED_VALUE"""),77.58)</f>
        <v>77.58</v>
      </c>
    </row>
    <row r="1074">
      <c r="A1074" s="2" t="str">
        <f>IFERROR(__xludf.DUMMYFUNCTION("""COMPUTED_VALUE"""),"PR047")</f>
        <v>PR047</v>
      </c>
      <c r="B1074" s="2" t="str">
        <f>IFERROR(__xludf.DUMMYFUNCTION("""COMPUTED_VALUE"""),"VD041")</f>
        <v>VD041</v>
      </c>
      <c r="C1074" s="2">
        <f>IFERROR(__xludf.DUMMYFUNCTION("""COMPUTED_VALUE"""),9.0)</f>
        <v>9</v>
      </c>
      <c r="D1074" s="2">
        <f>IFERROR(__xludf.DUMMYFUNCTION("""COMPUTED_VALUE"""),2870.01)</f>
        <v>2870.01</v>
      </c>
    </row>
    <row r="1075">
      <c r="A1075" s="2" t="str">
        <f>IFERROR(__xludf.DUMMYFUNCTION("""COMPUTED_VALUE"""),"PR023")</f>
        <v>PR023</v>
      </c>
      <c r="B1075" s="2" t="str">
        <f>IFERROR(__xludf.DUMMYFUNCTION("""COMPUTED_VALUE"""),"VD021")</f>
        <v>VD021</v>
      </c>
      <c r="C1075" s="2">
        <f>IFERROR(__xludf.DUMMYFUNCTION("""COMPUTED_VALUE"""),3.0)</f>
        <v>3</v>
      </c>
      <c r="D1075" s="2">
        <f>IFERROR(__xludf.DUMMYFUNCTION("""COMPUTED_VALUE"""),764.69)</f>
        <v>764.69</v>
      </c>
    </row>
    <row r="1076">
      <c r="A1076" s="2" t="str">
        <f>IFERROR(__xludf.DUMMYFUNCTION("""COMPUTED_VALUE"""),"PR036")</f>
        <v>PR036</v>
      </c>
      <c r="B1076" s="2" t="str">
        <f>IFERROR(__xludf.DUMMYFUNCTION("""COMPUTED_VALUE"""),"VD022")</f>
        <v>VD022</v>
      </c>
      <c r="C1076" s="2">
        <f>IFERROR(__xludf.DUMMYFUNCTION("""COMPUTED_VALUE"""),20.0)</f>
        <v>20</v>
      </c>
      <c r="D1076" s="2">
        <f>IFERROR(__xludf.DUMMYFUNCTION("""COMPUTED_VALUE"""),1926.1)</f>
        <v>1926.1</v>
      </c>
    </row>
    <row r="1077">
      <c r="A1077" s="2" t="str">
        <f>IFERROR(__xludf.DUMMYFUNCTION("""COMPUTED_VALUE"""),"PR048")</f>
        <v>PR048</v>
      </c>
      <c r="B1077" s="2" t="str">
        <f>IFERROR(__xludf.DUMMYFUNCTION("""COMPUTED_VALUE"""),"VD013")</f>
        <v>VD013</v>
      </c>
      <c r="C1077" s="2">
        <f>IFERROR(__xludf.DUMMYFUNCTION("""COMPUTED_VALUE"""),10.0)</f>
        <v>10</v>
      </c>
      <c r="D1077" s="2">
        <f>IFERROR(__xludf.DUMMYFUNCTION("""COMPUTED_VALUE"""),3043.95)</f>
        <v>3043.95</v>
      </c>
    </row>
    <row r="1078">
      <c r="A1078" s="2" t="str">
        <f>IFERROR(__xludf.DUMMYFUNCTION("""COMPUTED_VALUE"""),"PR056")</f>
        <v>PR056</v>
      </c>
      <c r="B1078" s="2" t="str">
        <f>IFERROR(__xludf.DUMMYFUNCTION("""COMPUTED_VALUE"""),"VD036")</f>
        <v>VD036</v>
      </c>
      <c r="C1078" s="2">
        <f>IFERROR(__xludf.DUMMYFUNCTION("""COMPUTED_VALUE"""),10.0)</f>
        <v>10</v>
      </c>
      <c r="D1078" s="2">
        <f>IFERROR(__xludf.DUMMYFUNCTION("""COMPUTED_VALUE"""),943.95)</f>
        <v>943.95</v>
      </c>
    </row>
    <row r="1079">
      <c r="A1079" s="2" t="str">
        <f>IFERROR(__xludf.DUMMYFUNCTION("""COMPUTED_VALUE"""),"PR018")</f>
        <v>PR018</v>
      </c>
      <c r="B1079" s="2" t="str">
        <f>IFERROR(__xludf.DUMMYFUNCTION("""COMPUTED_VALUE"""),"VD011")</f>
        <v>VD011</v>
      </c>
      <c r="C1079" s="2">
        <f>IFERROR(__xludf.DUMMYFUNCTION("""COMPUTED_VALUE"""),9.0)</f>
        <v>9</v>
      </c>
      <c r="D1079" s="2">
        <f>IFERROR(__xludf.DUMMYFUNCTION("""COMPUTED_VALUE"""),319.79)</f>
        <v>319.79</v>
      </c>
    </row>
    <row r="1080">
      <c r="A1080" s="2" t="str">
        <f>IFERROR(__xludf.DUMMYFUNCTION("""COMPUTED_VALUE"""),"PR017")</f>
        <v>PR017</v>
      </c>
      <c r="B1080" s="2" t="str">
        <f>IFERROR(__xludf.DUMMYFUNCTION("""COMPUTED_VALUE"""),"VD020")</f>
        <v>VD020</v>
      </c>
      <c r="C1080" s="2">
        <f>IFERROR(__xludf.DUMMYFUNCTION("""COMPUTED_VALUE"""),8.0)</f>
        <v>8</v>
      </c>
      <c r="D1080" s="2">
        <f>IFERROR(__xludf.DUMMYFUNCTION("""COMPUTED_VALUE"""),241.59)</f>
        <v>241.59</v>
      </c>
    </row>
    <row r="1081">
      <c r="A1081" s="2" t="str">
        <f>IFERROR(__xludf.DUMMYFUNCTION("""COMPUTED_VALUE"""),"PR048")</f>
        <v>PR048</v>
      </c>
      <c r="B1081" s="2" t="str">
        <f>IFERROR(__xludf.DUMMYFUNCTION("""COMPUTED_VALUE"""),"VD046")</f>
        <v>VD046</v>
      </c>
      <c r="C1081" s="2">
        <f>IFERROR(__xludf.DUMMYFUNCTION("""COMPUTED_VALUE"""),10.0)</f>
        <v>10</v>
      </c>
      <c r="D1081" s="2">
        <f>IFERROR(__xludf.DUMMYFUNCTION("""COMPUTED_VALUE"""),3101.93)</f>
        <v>3101.93</v>
      </c>
    </row>
    <row r="1082">
      <c r="A1082" s="2" t="str">
        <f>IFERROR(__xludf.DUMMYFUNCTION("""COMPUTED_VALUE"""),"PR014")</f>
        <v>PR014</v>
      </c>
      <c r="B1082" s="2" t="str">
        <f>IFERROR(__xludf.DUMMYFUNCTION("""COMPUTED_VALUE"""),"VD029")</f>
        <v>VD029</v>
      </c>
      <c r="C1082" s="2">
        <f>IFERROR(__xludf.DUMMYFUNCTION("""COMPUTED_VALUE"""),18.0)</f>
        <v>18</v>
      </c>
      <c r="D1082" s="2">
        <f>IFERROR(__xludf.DUMMYFUNCTION("""COMPUTED_VALUE"""),718.2)</f>
        <v>718.2</v>
      </c>
    </row>
    <row r="1083">
      <c r="A1083" s="2" t="str">
        <f>IFERROR(__xludf.DUMMYFUNCTION("""COMPUTED_VALUE"""),"PR008")</f>
        <v>PR008</v>
      </c>
      <c r="B1083" s="2" t="str">
        <f>IFERROR(__xludf.DUMMYFUNCTION("""COMPUTED_VALUE"""),"VD020")</f>
        <v>VD020</v>
      </c>
      <c r="C1083" s="2">
        <f>IFERROR(__xludf.DUMMYFUNCTION("""COMPUTED_VALUE"""),1.0)</f>
        <v>1</v>
      </c>
      <c r="D1083" s="2">
        <f>IFERROR(__xludf.DUMMYFUNCTION("""COMPUTED_VALUE"""),90.8)</f>
        <v>90.8</v>
      </c>
    </row>
    <row r="1084">
      <c r="A1084" s="2" t="str">
        <f>IFERROR(__xludf.DUMMYFUNCTION("""COMPUTED_VALUE"""),"PR032")</f>
        <v>PR032</v>
      </c>
      <c r="B1084" s="2" t="str">
        <f>IFERROR(__xludf.DUMMYFUNCTION("""COMPUTED_VALUE"""),"VD042")</f>
        <v>VD042</v>
      </c>
      <c r="C1084" s="2">
        <f>IFERROR(__xludf.DUMMYFUNCTION("""COMPUTED_VALUE"""),7.0)</f>
        <v>7</v>
      </c>
      <c r="D1084" s="2">
        <f>IFERROR(__xludf.DUMMYFUNCTION("""COMPUTED_VALUE"""),1872.5)</f>
        <v>1872.5</v>
      </c>
    </row>
    <row r="1085">
      <c r="A1085" s="2" t="str">
        <f>IFERROR(__xludf.DUMMYFUNCTION("""COMPUTED_VALUE"""),"PR024")</f>
        <v>PR024</v>
      </c>
      <c r="B1085" s="2" t="str">
        <f>IFERROR(__xludf.DUMMYFUNCTION("""COMPUTED_VALUE"""),"VD028")</f>
        <v>VD028</v>
      </c>
      <c r="C1085" s="2">
        <f>IFERROR(__xludf.DUMMYFUNCTION("""COMPUTED_VALUE"""),20.0)</f>
        <v>20</v>
      </c>
      <c r="D1085" s="2">
        <f>IFERROR(__xludf.DUMMYFUNCTION("""COMPUTED_VALUE"""),5561.86)</f>
        <v>5561.86</v>
      </c>
    </row>
    <row r="1086">
      <c r="A1086" s="2" t="str">
        <f>IFERROR(__xludf.DUMMYFUNCTION("""COMPUTED_VALUE"""),"PR047")</f>
        <v>PR047</v>
      </c>
      <c r="B1086" s="2" t="str">
        <f>IFERROR(__xludf.DUMMYFUNCTION("""COMPUTED_VALUE"""),"VD020")</f>
        <v>VD020</v>
      </c>
      <c r="C1086" s="2">
        <f>IFERROR(__xludf.DUMMYFUNCTION("""COMPUTED_VALUE"""),12.0)</f>
        <v>12</v>
      </c>
      <c r="D1086" s="2">
        <f>IFERROR(__xludf.DUMMYFUNCTION("""COMPUTED_VALUE"""),3722.32)</f>
        <v>3722.32</v>
      </c>
    </row>
    <row r="1087">
      <c r="A1087" s="2" t="str">
        <f>IFERROR(__xludf.DUMMYFUNCTION("""COMPUTED_VALUE"""),"PR033")</f>
        <v>PR033</v>
      </c>
      <c r="B1087" s="2" t="str">
        <f>IFERROR(__xludf.DUMMYFUNCTION("""COMPUTED_VALUE"""),"VD031")</f>
        <v>VD031</v>
      </c>
      <c r="C1087" s="2">
        <f>IFERROR(__xludf.DUMMYFUNCTION("""COMPUTED_VALUE"""),4.0)</f>
        <v>4</v>
      </c>
      <c r="D1087" s="2">
        <f>IFERROR(__xludf.DUMMYFUNCTION("""COMPUTED_VALUE"""),1091.58)</f>
        <v>1091.58</v>
      </c>
    </row>
    <row r="1088">
      <c r="A1088" s="2" t="str">
        <f>IFERROR(__xludf.DUMMYFUNCTION("""COMPUTED_VALUE"""),"PR017")</f>
        <v>PR017</v>
      </c>
      <c r="B1088" s="2" t="str">
        <f>IFERROR(__xludf.DUMMYFUNCTION("""COMPUTED_VALUE"""),"VD024")</f>
        <v>VD024</v>
      </c>
      <c r="C1088" s="2">
        <f>IFERROR(__xludf.DUMMYFUNCTION("""COMPUTED_VALUE"""),2.0)</f>
        <v>2</v>
      </c>
      <c r="D1088" s="2">
        <f>IFERROR(__xludf.DUMMYFUNCTION("""COMPUTED_VALUE"""),65.18)</f>
        <v>65.18</v>
      </c>
    </row>
    <row r="1089">
      <c r="A1089" s="2" t="str">
        <f>IFERROR(__xludf.DUMMYFUNCTION("""COMPUTED_VALUE"""),"PR022")</f>
        <v>PR022</v>
      </c>
      <c r="B1089" s="2" t="str">
        <f>IFERROR(__xludf.DUMMYFUNCTION("""COMPUTED_VALUE"""),"VD029")</f>
        <v>VD029</v>
      </c>
      <c r="C1089" s="2">
        <f>IFERROR(__xludf.DUMMYFUNCTION("""COMPUTED_VALUE"""),18.0)</f>
        <v>18</v>
      </c>
      <c r="D1089" s="2">
        <f>IFERROR(__xludf.DUMMYFUNCTION("""COMPUTED_VALUE"""),5832.0)</f>
        <v>5832</v>
      </c>
    </row>
    <row r="1090">
      <c r="A1090" s="2" t="str">
        <f>IFERROR(__xludf.DUMMYFUNCTION("""COMPUTED_VALUE"""),"PR022")</f>
        <v>PR022</v>
      </c>
      <c r="B1090" s="2" t="str">
        <f>IFERROR(__xludf.DUMMYFUNCTION("""COMPUTED_VALUE"""),"VD011")</f>
        <v>VD011</v>
      </c>
      <c r="C1090" s="2">
        <f>IFERROR(__xludf.DUMMYFUNCTION("""COMPUTED_VALUE"""),2.0)</f>
        <v>2</v>
      </c>
      <c r="D1090" s="2">
        <f>IFERROR(__xludf.DUMMYFUNCTION("""COMPUTED_VALUE"""),624.0)</f>
        <v>624</v>
      </c>
    </row>
    <row r="1091">
      <c r="A1091" s="2" t="str">
        <f>IFERROR(__xludf.DUMMYFUNCTION("""COMPUTED_VALUE"""),"PR038")</f>
        <v>PR038</v>
      </c>
      <c r="B1091" s="2" t="str">
        <f>IFERROR(__xludf.DUMMYFUNCTION("""COMPUTED_VALUE"""),"VD032")</f>
        <v>VD032</v>
      </c>
      <c r="C1091" s="2">
        <f>IFERROR(__xludf.DUMMYFUNCTION("""COMPUTED_VALUE"""),8.0)</f>
        <v>8</v>
      </c>
      <c r="D1091" s="2">
        <f>IFERROR(__xludf.DUMMYFUNCTION("""COMPUTED_VALUE"""),1188.93)</f>
        <v>1188.93</v>
      </c>
    </row>
    <row r="1092">
      <c r="A1092" s="2" t="str">
        <f>IFERROR(__xludf.DUMMYFUNCTION("""COMPUTED_VALUE"""),"PR060")</f>
        <v>PR060</v>
      </c>
      <c r="B1092" s="2" t="str">
        <f>IFERROR(__xludf.DUMMYFUNCTION("""COMPUTED_VALUE"""),"VD047")</f>
        <v>VD047</v>
      </c>
      <c r="C1092" s="2">
        <f>IFERROR(__xludf.DUMMYFUNCTION("""COMPUTED_VALUE"""),16.0)</f>
        <v>16</v>
      </c>
      <c r="D1092" s="2">
        <f>IFERROR(__xludf.DUMMYFUNCTION("""COMPUTED_VALUE"""),3139.2)</f>
        <v>3139.2</v>
      </c>
    </row>
    <row r="1093">
      <c r="A1093" s="2" t="str">
        <f>IFERROR(__xludf.DUMMYFUNCTION("""COMPUTED_VALUE"""),"PR049")</f>
        <v>PR049</v>
      </c>
      <c r="B1093" s="2" t="str">
        <f>IFERROR(__xludf.DUMMYFUNCTION("""COMPUTED_VALUE"""),"VD035")</f>
        <v>VD035</v>
      </c>
      <c r="C1093" s="2">
        <f>IFERROR(__xludf.DUMMYFUNCTION("""COMPUTED_VALUE"""),3.0)</f>
        <v>3</v>
      </c>
      <c r="D1093" s="2">
        <f>IFERROR(__xludf.DUMMYFUNCTION("""COMPUTED_VALUE"""),102.65)</f>
        <v>102.65</v>
      </c>
    </row>
    <row r="1094">
      <c r="A1094" s="2" t="str">
        <f>IFERROR(__xludf.DUMMYFUNCTION("""COMPUTED_VALUE"""),"PR035")</f>
        <v>PR035</v>
      </c>
      <c r="B1094" s="2" t="str">
        <f>IFERROR(__xludf.DUMMYFUNCTION("""COMPUTED_VALUE"""),"VD045")</f>
        <v>VD045</v>
      </c>
      <c r="C1094" s="2">
        <f>IFERROR(__xludf.DUMMYFUNCTION("""COMPUTED_VALUE"""),5.0)</f>
        <v>5</v>
      </c>
      <c r="D1094" s="2">
        <f>IFERROR(__xludf.DUMMYFUNCTION("""COMPUTED_VALUE"""),466.14)</f>
        <v>466.14</v>
      </c>
    </row>
    <row r="1095">
      <c r="A1095" s="2" t="str">
        <f>IFERROR(__xludf.DUMMYFUNCTION("""COMPUTED_VALUE"""),"PR017")</f>
        <v>PR017</v>
      </c>
      <c r="B1095" s="2" t="str">
        <f>IFERROR(__xludf.DUMMYFUNCTION("""COMPUTED_VALUE"""),"VD032")</f>
        <v>VD032</v>
      </c>
      <c r="C1095" s="2">
        <f>IFERROR(__xludf.DUMMYFUNCTION("""COMPUTED_VALUE"""),18.0)</f>
        <v>18</v>
      </c>
      <c r="D1095" s="2">
        <f>IFERROR(__xludf.DUMMYFUNCTION("""COMPUTED_VALUE"""),559.73)</f>
        <v>559.73</v>
      </c>
    </row>
    <row r="1096">
      <c r="A1096" s="2" t="str">
        <f>IFERROR(__xludf.DUMMYFUNCTION("""COMPUTED_VALUE"""),"PR060")</f>
        <v>PR060</v>
      </c>
      <c r="B1096" s="2" t="str">
        <f>IFERROR(__xludf.DUMMYFUNCTION("""COMPUTED_VALUE"""),"VD020")</f>
        <v>VD020</v>
      </c>
      <c r="C1096" s="2">
        <f>IFERROR(__xludf.DUMMYFUNCTION("""COMPUTED_VALUE"""),9.0)</f>
        <v>9</v>
      </c>
      <c r="D1096" s="2">
        <f>IFERROR(__xludf.DUMMYFUNCTION("""COMPUTED_VALUE"""),1684.8)</f>
        <v>1684.8</v>
      </c>
    </row>
    <row r="1097">
      <c r="A1097" s="2" t="str">
        <f>IFERROR(__xludf.DUMMYFUNCTION("""COMPUTED_VALUE"""),"PR036")</f>
        <v>PR036</v>
      </c>
      <c r="B1097" s="2" t="str">
        <f>IFERROR(__xludf.DUMMYFUNCTION("""COMPUTED_VALUE"""),"VD046")</f>
        <v>VD046</v>
      </c>
      <c r="C1097" s="2">
        <f>IFERROR(__xludf.DUMMYFUNCTION("""COMPUTED_VALUE"""),10.0)</f>
        <v>10</v>
      </c>
      <c r="D1097" s="2">
        <f>IFERROR(__xludf.DUMMYFUNCTION("""COMPUTED_VALUE"""),1028.5)</f>
        <v>1028.5</v>
      </c>
    </row>
    <row r="1098">
      <c r="A1098" s="2" t="str">
        <f>IFERROR(__xludf.DUMMYFUNCTION("""COMPUTED_VALUE"""),"PR043")</f>
        <v>PR043</v>
      </c>
      <c r="B1098" s="2" t="str">
        <f>IFERROR(__xludf.DUMMYFUNCTION("""COMPUTED_VALUE"""),"VD022")</f>
        <v>VD022</v>
      </c>
      <c r="C1098" s="2">
        <f>IFERROR(__xludf.DUMMYFUNCTION("""COMPUTED_VALUE"""),2.0)</f>
        <v>2</v>
      </c>
      <c r="D1098" s="2">
        <f>IFERROR(__xludf.DUMMYFUNCTION("""COMPUTED_VALUE"""),153.7)</f>
        <v>153.7</v>
      </c>
    </row>
    <row r="1099">
      <c r="A1099" s="2" t="str">
        <f>IFERROR(__xludf.DUMMYFUNCTION("""COMPUTED_VALUE"""),"PR007")</f>
        <v>PR007</v>
      </c>
      <c r="B1099" s="2" t="str">
        <f>IFERROR(__xludf.DUMMYFUNCTION("""COMPUTED_VALUE"""),"VD041")</f>
        <v>VD041</v>
      </c>
      <c r="C1099" s="2">
        <f>IFERROR(__xludf.DUMMYFUNCTION("""COMPUTED_VALUE"""),2.0)</f>
        <v>2</v>
      </c>
      <c r="D1099" s="2">
        <f>IFERROR(__xludf.DUMMYFUNCTION("""COMPUTED_VALUE"""),187.26)</f>
        <v>187.26</v>
      </c>
    </row>
    <row r="1100">
      <c r="A1100" s="2" t="str">
        <f>IFERROR(__xludf.DUMMYFUNCTION("""COMPUTED_VALUE"""),"PR037")</f>
        <v>PR037</v>
      </c>
      <c r="B1100" s="2" t="str">
        <f>IFERROR(__xludf.DUMMYFUNCTION("""COMPUTED_VALUE"""),"VD043")</f>
        <v>VD043</v>
      </c>
      <c r="C1100" s="2">
        <f>IFERROR(__xludf.DUMMYFUNCTION("""COMPUTED_VALUE"""),9.0)</f>
        <v>9</v>
      </c>
      <c r="D1100" s="2">
        <f>IFERROR(__xludf.DUMMYFUNCTION("""COMPUTED_VALUE"""),1297.8)</f>
        <v>1297.8</v>
      </c>
    </row>
    <row r="1101">
      <c r="A1101" s="2" t="str">
        <f>IFERROR(__xludf.DUMMYFUNCTION("""COMPUTED_VALUE"""),"PR030")</f>
        <v>PR030</v>
      </c>
      <c r="B1101" s="2" t="str">
        <f>IFERROR(__xludf.DUMMYFUNCTION("""COMPUTED_VALUE"""),"VD010")</f>
        <v>VD010</v>
      </c>
      <c r="C1101" s="2">
        <f>IFERROR(__xludf.DUMMYFUNCTION("""COMPUTED_VALUE"""),18.0)</f>
        <v>18</v>
      </c>
      <c r="D1101" s="2">
        <f>IFERROR(__xludf.DUMMYFUNCTION("""COMPUTED_VALUE"""),5146.02)</f>
        <v>5146.02</v>
      </c>
    </row>
    <row r="1102">
      <c r="A1102" s="2" t="str">
        <f>IFERROR(__xludf.DUMMYFUNCTION("""COMPUTED_VALUE"""),"PR049")</f>
        <v>PR049</v>
      </c>
      <c r="B1102" s="2" t="str">
        <f>IFERROR(__xludf.DUMMYFUNCTION("""COMPUTED_VALUE"""),"VD049")</f>
        <v>VD049</v>
      </c>
      <c r="C1102" s="2">
        <f>IFERROR(__xludf.DUMMYFUNCTION("""COMPUTED_VALUE"""),4.0)</f>
        <v>4</v>
      </c>
      <c r="D1102" s="2">
        <f>IFERROR(__xludf.DUMMYFUNCTION("""COMPUTED_VALUE"""),142.13)</f>
        <v>142.13</v>
      </c>
    </row>
    <row r="1103">
      <c r="A1103" s="2" t="str">
        <f>IFERROR(__xludf.DUMMYFUNCTION("""COMPUTED_VALUE"""),"PR024")</f>
        <v>PR024</v>
      </c>
      <c r="B1103" s="2" t="str">
        <f>IFERROR(__xludf.DUMMYFUNCTION("""COMPUTED_VALUE"""),"VD033")</f>
        <v>VD033</v>
      </c>
      <c r="C1103" s="2">
        <f>IFERROR(__xludf.DUMMYFUNCTION("""COMPUTED_VALUE"""),5.0)</f>
        <v>5</v>
      </c>
      <c r="D1103" s="2">
        <f>IFERROR(__xludf.DUMMYFUNCTION("""COMPUTED_VALUE"""),1312.5)</f>
        <v>1312.5</v>
      </c>
    </row>
    <row r="1104">
      <c r="A1104" s="2" t="str">
        <f>IFERROR(__xludf.DUMMYFUNCTION("""COMPUTED_VALUE"""),"PR025")</f>
        <v>PR025</v>
      </c>
      <c r="B1104" s="2" t="str">
        <f>IFERROR(__xludf.DUMMYFUNCTION("""COMPUTED_VALUE"""),"VD027")</f>
        <v>VD027</v>
      </c>
      <c r="C1104" s="2">
        <f>IFERROR(__xludf.DUMMYFUNCTION("""COMPUTED_VALUE"""),16.0)</f>
        <v>16</v>
      </c>
      <c r="D1104" s="2">
        <f>IFERROR(__xludf.DUMMYFUNCTION("""COMPUTED_VALUE"""),5278.24)</f>
        <v>5278.24</v>
      </c>
    </row>
    <row r="1105">
      <c r="A1105" s="2" t="str">
        <f>IFERROR(__xludf.DUMMYFUNCTION("""COMPUTED_VALUE"""),"PR040")</f>
        <v>PR040</v>
      </c>
      <c r="B1105" s="2" t="str">
        <f>IFERROR(__xludf.DUMMYFUNCTION("""COMPUTED_VALUE"""),"VD020")</f>
        <v>VD020</v>
      </c>
      <c r="C1105" s="2">
        <f>IFERROR(__xludf.DUMMYFUNCTION("""COMPUTED_VALUE"""),5.0)</f>
        <v>5</v>
      </c>
      <c r="D1105" s="2">
        <f>IFERROR(__xludf.DUMMYFUNCTION("""COMPUTED_VALUE"""),385.0)</f>
        <v>385</v>
      </c>
    </row>
    <row r="1106">
      <c r="A1106" s="2" t="str">
        <f>IFERROR(__xludf.DUMMYFUNCTION("""COMPUTED_VALUE"""),"PR012")</f>
        <v>PR012</v>
      </c>
      <c r="B1106" s="2" t="str">
        <f>IFERROR(__xludf.DUMMYFUNCTION("""COMPUTED_VALUE"""),"VD042")</f>
        <v>VD042</v>
      </c>
      <c r="C1106" s="2">
        <f>IFERROR(__xludf.DUMMYFUNCTION("""COMPUTED_VALUE"""),6.0)</f>
        <v>6</v>
      </c>
      <c r="D1106" s="2">
        <f>IFERROR(__xludf.DUMMYFUNCTION("""COMPUTED_VALUE"""),316.87)</f>
        <v>316.87</v>
      </c>
    </row>
    <row r="1107">
      <c r="A1107" s="2" t="str">
        <f>IFERROR(__xludf.DUMMYFUNCTION("""COMPUTED_VALUE"""),"PR050")</f>
        <v>PR050</v>
      </c>
      <c r="B1107" s="2" t="str">
        <f>IFERROR(__xludf.DUMMYFUNCTION("""COMPUTED_VALUE"""),"VD039")</f>
        <v>VD039</v>
      </c>
      <c r="C1107" s="2">
        <f>IFERROR(__xludf.DUMMYFUNCTION("""COMPUTED_VALUE"""),2.0)</f>
        <v>2</v>
      </c>
      <c r="D1107" s="2">
        <f>IFERROR(__xludf.DUMMYFUNCTION("""COMPUTED_VALUE"""),65.8)</f>
        <v>65.8</v>
      </c>
    </row>
    <row r="1108">
      <c r="A1108" s="2" t="str">
        <f>IFERROR(__xludf.DUMMYFUNCTION("""COMPUTED_VALUE"""),"PR036")</f>
        <v>PR036</v>
      </c>
      <c r="B1108" s="2" t="str">
        <f>IFERROR(__xludf.DUMMYFUNCTION("""COMPUTED_VALUE"""),"VD010")</f>
        <v>VD010</v>
      </c>
      <c r="C1108" s="2">
        <f>IFERROR(__xludf.DUMMYFUNCTION("""COMPUTED_VALUE"""),8.0)</f>
        <v>8</v>
      </c>
      <c r="D1108" s="2">
        <f>IFERROR(__xludf.DUMMYFUNCTION("""COMPUTED_VALUE"""),755.48)</f>
        <v>755.48</v>
      </c>
    </row>
    <row r="1109">
      <c r="A1109" s="2" t="str">
        <f>IFERROR(__xludf.DUMMYFUNCTION("""COMPUTED_VALUE"""),"PR031")</f>
        <v>PR031</v>
      </c>
      <c r="B1109" s="2" t="str">
        <f>IFERROR(__xludf.DUMMYFUNCTION("""COMPUTED_VALUE"""),"VD030")</f>
        <v>VD030</v>
      </c>
      <c r="C1109" s="2">
        <f>IFERROR(__xludf.DUMMYFUNCTION("""COMPUTED_VALUE"""),9.0)</f>
        <v>9</v>
      </c>
      <c r="D1109" s="2">
        <f>IFERROR(__xludf.DUMMYFUNCTION("""COMPUTED_VALUE"""),2227.05)</f>
        <v>2227.05</v>
      </c>
    </row>
    <row r="1110">
      <c r="A1110" s="2" t="str">
        <f>IFERROR(__xludf.DUMMYFUNCTION("""COMPUTED_VALUE"""),"PR060")</f>
        <v>PR060</v>
      </c>
      <c r="B1110" s="2" t="str">
        <f>IFERROR(__xludf.DUMMYFUNCTION("""COMPUTED_VALUE"""),"VD045")</f>
        <v>VD045</v>
      </c>
      <c r="C1110" s="2">
        <f>IFERROR(__xludf.DUMMYFUNCTION("""COMPUTED_VALUE"""),3.0)</f>
        <v>3</v>
      </c>
      <c r="D1110" s="2">
        <f>IFERROR(__xludf.DUMMYFUNCTION("""COMPUTED_VALUE"""),556.2)</f>
        <v>556.2</v>
      </c>
    </row>
    <row r="1111">
      <c r="A1111" s="2" t="str">
        <f>IFERROR(__xludf.DUMMYFUNCTION("""COMPUTED_VALUE"""),"PR028")</f>
        <v>PR028</v>
      </c>
      <c r="B1111" s="2" t="str">
        <f>IFERROR(__xludf.DUMMYFUNCTION("""COMPUTED_VALUE"""),"VD038")</f>
        <v>VD038</v>
      </c>
      <c r="C1111" s="2">
        <f>IFERROR(__xludf.DUMMYFUNCTION("""COMPUTED_VALUE"""),1.0)</f>
        <v>1</v>
      </c>
      <c r="D1111" s="2">
        <f>IFERROR(__xludf.DUMMYFUNCTION("""COMPUTED_VALUE"""),249.9)</f>
        <v>249.9</v>
      </c>
    </row>
    <row r="1112">
      <c r="A1112" s="2" t="str">
        <f>IFERROR(__xludf.DUMMYFUNCTION("""COMPUTED_VALUE"""),"PR056")</f>
        <v>PR056</v>
      </c>
      <c r="B1112" s="2" t="str">
        <f>IFERROR(__xludf.DUMMYFUNCTION("""COMPUTED_VALUE"""),"VD031")</f>
        <v>VD031</v>
      </c>
      <c r="C1112" s="2">
        <f>IFERROR(__xludf.DUMMYFUNCTION("""COMPUTED_VALUE"""),18.0)</f>
        <v>18</v>
      </c>
      <c r="D1112" s="2">
        <f>IFERROR(__xludf.DUMMYFUNCTION("""COMPUTED_VALUE"""),1747.66)</f>
        <v>1747.66</v>
      </c>
    </row>
    <row r="1113">
      <c r="A1113" s="2" t="str">
        <f>IFERROR(__xludf.DUMMYFUNCTION("""COMPUTED_VALUE"""),"PR055")</f>
        <v>PR055</v>
      </c>
      <c r="B1113" s="2" t="str">
        <f>IFERROR(__xludf.DUMMYFUNCTION("""COMPUTED_VALUE"""),"VD041")</f>
        <v>VD041</v>
      </c>
      <c r="C1113" s="2">
        <f>IFERROR(__xludf.DUMMYFUNCTION("""COMPUTED_VALUE"""),6.0)</f>
        <v>6</v>
      </c>
      <c r="D1113" s="2">
        <f>IFERROR(__xludf.DUMMYFUNCTION("""COMPUTED_VALUE"""),550.19)</f>
        <v>550.19</v>
      </c>
    </row>
    <row r="1114">
      <c r="A1114" s="2" t="str">
        <f>IFERROR(__xludf.DUMMYFUNCTION("""COMPUTED_VALUE"""),"PR058")</f>
        <v>PR058</v>
      </c>
      <c r="B1114" s="2" t="str">
        <f>IFERROR(__xludf.DUMMYFUNCTION("""COMPUTED_VALUE"""),"VD027")</f>
        <v>VD027</v>
      </c>
      <c r="C1114" s="2">
        <f>IFERROR(__xludf.DUMMYFUNCTION("""COMPUTED_VALUE"""),18.0)</f>
        <v>18</v>
      </c>
      <c r="D1114" s="2">
        <f>IFERROR(__xludf.DUMMYFUNCTION("""COMPUTED_VALUE"""),3531.6)</f>
        <v>3531.6</v>
      </c>
    </row>
    <row r="1115">
      <c r="A1115" s="2" t="str">
        <f>IFERROR(__xludf.DUMMYFUNCTION("""COMPUTED_VALUE"""),"PR021")</f>
        <v>PR021</v>
      </c>
      <c r="B1115" s="2" t="str">
        <f>IFERROR(__xludf.DUMMYFUNCTION("""COMPUTED_VALUE"""),"VD025")</f>
        <v>VD025</v>
      </c>
      <c r="C1115" s="2">
        <f>IFERROR(__xludf.DUMMYFUNCTION("""COMPUTED_VALUE"""),10.0)</f>
        <v>10</v>
      </c>
      <c r="D1115" s="2">
        <f>IFERROR(__xludf.DUMMYFUNCTION("""COMPUTED_VALUE"""),3271.32)</f>
        <v>3271.32</v>
      </c>
    </row>
    <row r="1116">
      <c r="A1116" s="2" t="str">
        <f>IFERROR(__xludf.DUMMYFUNCTION("""COMPUTED_VALUE"""),"PR019")</f>
        <v>PR019</v>
      </c>
      <c r="B1116" s="2" t="str">
        <f>IFERROR(__xludf.DUMMYFUNCTION("""COMPUTED_VALUE"""),"VD033")</f>
        <v>VD033</v>
      </c>
      <c r="C1116" s="2">
        <f>IFERROR(__xludf.DUMMYFUNCTION("""COMPUTED_VALUE"""),6.0)</f>
        <v>6</v>
      </c>
      <c r="D1116" s="2">
        <f>IFERROR(__xludf.DUMMYFUNCTION("""COMPUTED_VALUE"""),314.37)</f>
        <v>314.37</v>
      </c>
    </row>
    <row r="1117">
      <c r="A1117" s="2" t="str">
        <f>IFERROR(__xludf.DUMMYFUNCTION("""COMPUTED_VALUE"""),"PR024")</f>
        <v>PR024</v>
      </c>
      <c r="B1117" s="2" t="str">
        <f>IFERROR(__xludf.DUMMYFUNCTION("""COMPUTED_VALUE"""),"VD014")</f>
        <v>VD014</v>
      </c>
      <c r="C1117" s="2">
        <f>IFERROR(__xludf.DUMMYFUNCTION("""COMPUTED_VALUE"""),20.0)</f>
        <v>20</v>
      </c>
      <c r="D1117" s="2">
        <f>IFERROR(__xludf.DUMMYFUNCTION("""COMPUTED_VALUE"""),5613.84)</f>
        <v>5613.84</v>
      </c>
    </row>
    <row r="1118">
      <c r="A1118" s="2" t="str">
        <f>IFERROR(__xludf.DUMMYFUNCTION("""COMPUTED_VALUE"""),"PR042")</f>
        <v>PR042</v>
      </c>
      <c r="B1118" s="2" t="str">
        <f>IFERROR(__xludf.DUMMYFUNCTION("""COMPUTED_VALUE"""),"VD042")</f>
        <v>VD042</v>
      </c>
      <c r="C1118" s="2">
        <f>IFERROR(__xludf.DUMMYFUNCTION("""COMPUTED_VALUE"""),3.0)</f>
        <v>3</v>
      </c>
      <c r="D1118" s="2">
        <f>IFERROR(__xludf.DUMMYFUNCTION("""COMPUTED_VALUE"""),171.29)</f>
        <v>171.29</v>
      </c>
    </row>
    <row r="1119">
      <c r="A1119" s="2" t="str">
        <f>IFERROR(__xludf.DUMMYFUNCTION("""COMPUTED_VALUE"""),"PR041")</f>
        <v>PR041</v>
      </c>
      <c r="B1119" s="2" t="str">
        <f>IFERROR(__xludf.DUMMYFUNCTION("""COMPUTED_VALUE"""),"VD012")</f>
        <v>VD012</v>
      </c>
      <c r="C1119" s="2">
        <f>IFERROR(__xludf.DUMMYFUNCTION("""COMPUTED_VALUE"""),1.0)</f>
        <v>1</v>
      </c>
      <c r="D1119" s="2">
        <f>IFERROR(__xludf.DUMMYFUNCTION("""COMPUTED_VALUE"""),55.45)</f>
        <v>55.45</v>
      </c>
    </row>
    <row r="1120">
      <c r="A1120" s="2" t="str">
        <f>IFERROR(__xludf.DUMMYFUNCTION("""COMPUTED_VALUE"""),"PR055")</f>
        <v>PR055</v>
      </c>
      <c r="B1120" s="2" t="str">
        <f>IFERROR(__xludf.DUMMYFUNCTION("""COMPUTED_VALUE"""),"VD040")</f>
        <v>VD040</v>
      </c>
      <c r="C1120" s="2">
        <f>IFERROR(__xludf.DUMMYFUNCTION("""COMPUTED_VALUE"""),4.0)</f>
        <v>4</v>
      </c>
      <c r="D1120" s="2">
        <f>IFERROR(__xludf.DUMMYFUNCTION("""COMPUTED_VALUE"""),373.98)</f>
        <v>373.98</v>
      </c>
    </row>
    <row r="1121">
      <c r="A1121" s="2" t="str">
        <f>IFERROR(__xludf.DUMMYFUNCTION("""COMPUTED_VALUE"""),"PR011")</f>
        <v>PR011</v>
      </c>
      <c r="B1121" s="2" t="str">
        <f>IFERROR(__xludf.DUMMYFUNCTION("""COMPUTED_VALUE"""),"VD018")</f>
        <v>VD018</v>
      </c>
      <c r="C1121" s="2">
        <f>IFERROR(__xludf.DUMMYFUNCTION("""COMPUTED_VALUE"""),8.0)</f>
        <v>8</v>
      </c>
      <c r="D1121" s="2">
        <f>IFERROR(__xludf.DUMMYFUNCTION("""COMPUTED_VALUE"""),378.95)</f>
        <v>378.95</v>
      </c>
    </row>
    <row r="1122">
      <c r="A1122" s="2" t="str">
        <f>IFERROR(__xludf.DUMMYFUNCTION("""COMPUTED_VALUE"""),"PR053")</f>
        <v>PR053</v>
      </c>
      <c r="B1122" s="2" t="str">
        <f>IFERROR(__xludf.DUMMYFUNCTION("""COMPUTED_VALUE"""),"VD016")</f>
        <v>VD016</v>
      </c>
      <c r="C1122" s="2">
        <f>IFERROR(__xludf.DUMMYFUNCTION("""COMPUTED_VALUE"""),16.0)</f>
        <v>16</v>
      </c>
      <c r="D1122" s="2">
        <f>IFERROR(__xludf.DUMMYFUNCTION("""COMPUTED_VALUE"""),830.34)</f>
        <v>830.34</v>
      </c>
    </row>
    <row r="1123">
      <c r="A1123" s="2" t="str">
        <f>IFERROR(__xludf.DUMMYFUNCTION("""COMPUTED_VALUE"""),"PR044")</f>
        <v>PR044</v>
      </c>
      <c r="B1123" s="2" t="str">
        <f>IFERROR(__xludf.DUMMYFUNCTION("""COMPUTED_VALUE"""),"VD012")</f>
        <v>VD012</v>
      </c>
      <c r="C1123" s="2">
        <f>IFERROR(__xludf.DUMMYFUNCTION("""COMPUTED_VALUE"""),8.0)</f>
        <v>8</v>
      </c>
      <c r="D1123" s="2">
        <f>IFERROR(__xludf.DUMMYFUNCTION("""COMPUTED_VALUE"""),614.8)</f>
        <v>614.8</v>
      </c>
    </row>
    <row r="1124">
      <c r="A1124" s="2" t="str">
        <f>IFERROR(__xludf.DUMMYFUNCTION("""COMPUTED_VALUE"""),"PR024")</f>
        <v>PR024</v>
      </c>
      <c r="B1124" s="2" t="str">
        <f>IFERROR(__xludf.DUMMYFUNCTION("""COMPUTED_VALUE"""),"VD036")</f>
        <v>VD036</v>
      </c>
      <c r="C1124" s="2">
        <f>IFERROR(__xludf.DUMMYFUNCTION("""COMPUTED_VALUE"""),16.0)</f>
        <v>16</v>
      </c>
      <c r="D1124" s="2">
        <f>IFERROR(__xludf.DUMMYFUNCTION("""COMPUTED_VALUE"""),4283.15)</f>
        <v>4283.15</v>
      </c>
    </row>
    <row r="1125">
      <c r="A1125" s="2" t="str">
        <f>IFERROR(__xludf.DUMMYFUNCTION("""COMPUTED_VALUE"""),"PR029")</f>
        <v>PR029</v>
      </c>
      <c r="B1125" s="2" t="str">
        <f>IFERROR(__xludf.DUMMYFUNCTION("""COMPUTED_VALUE"""),"VD017")</f>
        <v>VD017</v>
      </c>
      <c r="C1125" s="2">
        <f>IFERROR(__xludf.DUMMYFUNCTION("""COMPUTED_VALUE"""),8.0)</f>
        <v>8</v>
      </c>
      <c r="D1125" s="2">
        <f>IFERROR(__xludf.DUMMYFUNCTION("""COMPUTED_VALUE"""),2182.8)</f>
        <v>2182.8</v>
      </c>
    </row>
    <row r="1126">
      <c r="A1126" s="2" t="str">
        <f>IFERROR(__xludf.DUMMYFUNCTION("""COMPUTED_VALUE"""),"PR039")</f>
        <v>PR039</v>
      </c>
      <c r="B1126" s="2" t="str">
        <f>IFERROR(__xludf.DUMMYFUNCTION("""COMPUTED_VALUE"""),"VD037")</f>
        <v>VD037</v>
      </c>
      <c r="C1126" s="2">
        <f>IFERROR(__xludf.DUMMYFUNCTION("""COMPUTED_VALUE"""),16.0)</f>
        <v>16</v>
      </c>
      <c r="D1126" s="2">
        <f>IFERROR(__xludf.DUMMYFUNCTION("""COMPUTED_VALUE"""),2429.44)</f>
        <v>2429.44</v>
      </c>
    </row>
    <row r="1127">
      <c r="A1127" s="2" t="str">
        <f>IFERROR(__xludf.DUMMYFUNCTION("""COMPUTED_VALUE"""),"PR002")</f>
        <v>PR002</v>
      </c>
      <c r="B1127" s="2" t="str">
        <f>IFERROR(__xludf.DUMMYFUNCTION("""COMPUTED_VALUE"""),"VD015")</f>
        <v>VD015</v>
      </c>
      <c r="C1127" s="2">
        <f>IFERROR(__xludf.DUMMYFUNCTION("""COMPUTED_VALUE"""),1.0)</f>
        <v>1</v>
      </c>
      <c r="D1127" s="2">
        <f>IFERROR(__xludf.DUMMYFUNCTION("""COMPUTED_VALUE"""),72.0)</f>
        <v>72</v>
      </c>
    </row>
    <row r="1128">
      <c r="A1128" s="2" t="str">
        <f>IFERROR(__xludf.DUMMYFUNCTION("""COMPUTED_VALUE"""),"PR007")</f>
        <v>PR007</v>
      </c>
      <c r="B1128" s="2" t="str">
        <f>IFERROR(__xludf.DUMMYFUNCTION("""COMPUTED_VALUE"""),"VD035")</f>
        <v>VD035</v>
      </c>
      <c r="C1128" s="2">
        <f>IFERROR(__xludf.DUMMYFUNCTION("""COMPUTED_VALUE"""),2.0)</f>
        <v>2</v>
      </c>
      <c r="D1128" s="2">
        <f>IFERROR(__xludf.DUMMYFUNCTION("""COMPUTED_VALUE"""),185.54)</f>
        <v>185.54</v>
      </c>
    </row>
    <row r="1129">
      <c r="A1129" s="2" t="str">
        <f>IFERROR(__xludf.DUMMYFUNCTION("""COMPUTED_VALUE"""),"PR012")</f>
        <v>PR012</v>
      </c>
      <c r="B1129" s="2" t="str">
        <f>IFERROR(__xludf.DUMMYFUNCTION("""COMPUTED_VALUE"""),"VD027")</f>
        <v>VD027</v>
      </c>
      <c r="C1129" s="2">
        <f>IFERROR(__xludf.DUMMYFUNCTION("""COMPUTED_VALUE"""),6.0)</f>
        <v>6</v>
      </c>
      <c r="D1129" s="2">
        <f>IFERROR(__xludf.DUMMYFUNCTION("""COMPUTED_VALUE"""),296.33)</f>
        <v>296.33</v>
      </c>
    </row>
    <row r="1130">
      <c r="A1130" s="2" t="str">
        <f>IFERROR(__xludf.DUMMYFUNCTION("""COMPUTED_VALUE"""),"PR034")</f>
        <v>PR034</v>
      </c>
      <c r="B1130" s="2" t="str">
        <f>IFERROR(__xludf.DUMMYFUNCTION("""COMPUTED_VALUE"""),"VD017")</f>
        <v>VD017</v>
      </c>
      <c r="C1130" s="2">
        <f>IFERROR(__xludf.DUMMYFUNCTION("""COMPUTED_VALUE"""),3.0)</f>
        <v>3</v>
      </c>
      <c r="D1130" s="2">
        <f>IFERROR(__xludf.DUMMYFUNCTION("""COMPUTED_VALUE"""),275.09)</f>
        <v>275.09</v>
      </c>
    </row>
    <row r="1131">
      <c r="A1131" s="2" t="str">
        <f>IFERROR(__xludf.DUMMYFUNCTION("""COMPUTED_VALUE"""),"PR039")</f>
        <v>PR039</v>
      </c>
      <c r="B1131" s="2" t="str">
        <f>IFERROR(__xludf.DUMMYFUNCTION("""COMPUTED_VALUE"""),"VD020")</f>
        <v>VD020</v>
      </c>
      <c r="C1131" s="2">
        <f>IFERROR(__xludf.DUMMYFUNCTION("""COMPUTED_VALUE"""),14.0)</f>
        <v>14</v>
      </c>
      <c r="D1131" s="2">
        <f>IFERROR(__xludf.DUMMYFUNCTION("""COMPUTED_VALUE"""),2125.76)</f>
        <v>2125.76</v>
      </c>
    </row>
    <row r="1132">
      <c r="A1132" s="2" t="str">
        <f>IFERROR(__xludf.DUMMYFUNCTION("""COMPUTED_VALUE"""),"PR015")</f>
        <v>PR015</v>
      </c>
      <c r="B1132" s="2" t="str">
        <f>IFERROR(__xludf.DUMMYFUNCTION("""COMPUTED_VALUE"""),"VD048")</f>
        <v>VD048</v>
      </c>
      <c r="C1132" s="2">
        <f>IFERROR(__xludf.DUMMYFUNCTION("""COMPUTED_VALUE"""),6.0)</f>
        <v>6</v>
      </c>
      <c r="D1132" s="2">
        <f>IFERROR(__xludf.DUMMYFUNCTION("""COMPUTED_VALUE"""),267.75)</f>
        <v>267.75</v>
      </c>
    </row>
    <row r="1133">
      <c r="A1133" s="2" t="str">
        <f>IFERROR(__xludf.DUMMYFUNCTION("""COMPUTED_VALUE"""),"PR029")</f>
        <v>PR029</v>
      </c>
      <c r="B1133" s="2" t="str">
        <f>IFERROR(__xludf.DUMMYFUNCTION("""COMPUTED_VALUE"""),"VD043")</f>
        <v>VD043</v>
      </c>
      <c r="C1133" s="2">
        <f>IFERROR(__xludf.DUMMYFUNCTION("""COMPUTED_VALUE"""),5.0)</f>
        <v>5</v>
      </c>
      <c r="D1133" s="2">
        <f>IFERROR(__xludf.DUMMYFUNCTION("""COMPUTED_VALUE"""),1300.5)</f>
        <v>1300.5</v>
      </c>
    </row>
    <row r="1134">
      <c r="A1134" s="2" t="str">
        <f>IFERROR(__xludf.DUMMYFUNCTION("""COMPUTED_VALUE"""),"PR016")</f>
        <v>PR016</v>
      </c>
      <c r="B1134" s="2" t="str">
        <f>IFERROR(__xludf.DUMMYFUNCTION("""COMPUTED_VALUE"""),"VD039")</f>
        <v>VD039</v>
      </c>
      <c r="C1134" s="2">
        <f>IFERROR(__xludf.DUMMYFUNCTION("""COMPUTED_VALUE"""),4.0)</f>
        <v>4</v>
      </c>
      <c r="D1134" s="2">
        <f>IFERROR(__xludf.DUMMYFUNCTION("""COMPUTED_VALUE"""),111.89)</f>
        <v>111.89</v>
      </c>
    </row>
    <row r="1135">
      <c r="A1135" s="2" t="str">
        <f>IFERROR(__xludf.DUMMYFUNCTION("""COMPUTED_VALUE"""),"PR012")</f>
        <v>PR012</v>
      </c>
      <c r="B1135" s="2" t="str">
        <f>IFERROR(__xludf.DUMMYFUNCTION("""COMPUTED_VALUE"""),"VD037")</f>
        <v>VD037</v>
      </c>
      <c r="C1135" s="2">
        <f>IFERROR(__xludf.DUMMYFUNCTION("""COMPUTED_VALUE"""),2.0)</f>
        <v>2</v>
      </c>
      <c r="D1135" s="2">
        <f>IFERROR(__xludf.DUMMYFUNCTION("""COMPUTED_VALUE"""),99.76)</f>
        <v>99.76</v>
      </c>
    </row>
    <row r="1136">
      <c r="A1136" s="2" t="str">
        <f>IFERROR(__xludf.DUMMYFUNCTION("""COMPUTED_VALUE"""),"PR020")</f>
        <v>PR020</v>
      </c>
      <c r="B1136" s="2" t="str">
        <f>IFERROR(__xludf.DUMMYFUNCTION("""COMPUTED_VALUE"""),"VD014")</f>
        <v>VD014</v>
      </c>
      <c r="C1136" s="2">
        <f>IFERROR(__xludf.DUMMYFUNCTION("""COMPUTED_VALUE"""),2.0)</f>
        <v>2</v>
      </c>
      <c r="D1136" s="2">
        <f>IFERROR(__xludf.DUMMYFUNCTION("""COMPUTED_VALUE"""),659.78)</f>
        <v>659.78</v>
      </c>
    </row>
    <row r="1137">
      <c r="A1137" s="2" t="str">
        <f>IFERROR(__xludf.DUMMYFUNCTION("""COMPUTED_VALUE"""),"PR043")</f>
        <v>PR043</v>
      </c>
      <c r="B1137" s="2" t="str">
        <f>IFERROR(__xludf.DUMMYFUNCTION("""COMPUTED_VALUE"""),"VD039")</f>
        <v>VD039</v>
      </c>
      <c r="C1137" s="2">
        <f>IFERROR(__xludf.DUMMYFUNCTION("""COMPUTED_VALUE"""),8.0)</f>
        <v>8</v>
      </c>
      <c r="D1137" s="2">
        <f>IFERROR(__xludf.DUMMYFUNCTION("""COMPUTED_VALUE"""),585.8)</f>
        <v>585.8</v>
      </c>
    </row>
    <row r="1138">
      <c r="A1138" s="2" t="str">
        <f>IFERROR(__xludf.DUMMYFUNCTION("""COMPUTED_VALUE"""),"PR059")</f>
        <v>PR059</v>
      </c>
      <c r="B1138" s="2" t="str">
        <f>IFERROR(__xludf.DUMMYFUNCTION("""COMPUTED_VALUE"""),"VD039")</f>
        <v>VD039</v>
      </c>
      <c r="C1138" s="2">
        <f>IFERROR(__xludf.DUMMYFUNCTION("""COMPUTED_VALUE"""),14.0)</f>
        <v>14</v>
      </c>
      <c r="D1138" s="2">
        <f>IFERROR(__xludf.DUMMYFUNCTION("""COMPUTED_VALUE"""),2620.8)</f>
        <v>2620.8</v>
      </c>
    </row>
    <row r="1139">
      <c r="A1139" s="2" t="str">
        <f>IFERROR(__xludf.DUMMYFUNCTION("""COMPUTED_VALUE"""),"PR053")</f>
        <v>PR053</v>
      </c>
      <c r="B1139" s="2" t="str">
        <f>IFERROR(__xludf.DUMMYFUNCTION("""COMPUTED_VALUE"""),"VD035")</f>
        <v>VD035</v>
      </c>
      <c r="C1139" s="2">
        <f>IFERROR(__xludf.DUMMYFUNCTION("""COMPUTED_VALUE"""),1.0)</f>
        <v>1</v>
      </c>
      <c r="D1139" s="2">
        <f>IFERROR(__xludf.DUMMYFUNCTION("""COMPUTED_VALUE"""),51.4)</f>
        <v>51.4</v>
      </c>
    </row>
    <row r="1140">
      <c r="A1140" s="2" t="str">
        <f>IFERROR(__xludf.DUMMYFUNCTION("""COMPUTED_VALUE"""),"PR016")</f>
        <v>PR016</v>
      </c>
      <c r="B1140" s="2" t="str">
        <f>IFERROR(__xludf.DUMMYFUNCTION("""COMPUTED_VALUE"""),"VD041")</f>
        <v>VD041</v>
      </c>
      <c r="C1140" s="2">
        <f>IFERROR(__xludf.DUMMYFUNCTION("""COMPUTED_VALUE"""),10.0)</f>
        <v>10</v>
      </c>
      <c r="D1140" s="2">
        <f>IFERROR(__xludf.DUMMYFUNCTION("""COMPUTED_VALUE"""),271.95)</f>
        <v>271.95</v>
      </c>
    </row>
    <row r="1141">
      <c r="A1141" s="2" t="str">
        <f>IFERROR(__xludf.DUMMYFUNCTION("""COMPUTED_VALUE"""),"PR038")</f>
        <v>PR038</v>
      </c>
      <c r="B1141" s="2" t="str">
        <f>IFERROR(__xludf.DUMMYFUNCTION("""COMPUTED_VALUE"""),"VD031")</f>
        <v>VD031</v>
      </c>
      <c r="C1141" s="2">
        <f>IFERROR(__xludf.DUMMYFUNCTION("""COMPUTED_VALUE"""),8.0)</f>
        <v>8</v>
      </c>
      <c r="D1141" s="2">
        <f>IFERROR(__xludf.DUMMYFUNCTION("""COMPUTED_VALUE"""),1177.5)</f>
        <v>1177.5</v>
      </c>
    </row>
    <row r="1142">
      <c r="A1142" s="2" t="str">
        <f>IFERROR(__xludf.DUMMYFUNCTION("""COMPUTED_VALUE"""),"PR059")</f>
        <v>PR059</v>
      </c>
      <c r="B1142" s="2" t="str">
        <f>IFERROR(__xludf.DUMMYFUNCTION("""COMPUTED_VALUE"""),"VD045")</f>
        <v>VD045</v>
      </c>
      <c r="C1142" s="2">
        <f>IFERROR(__xludf.DUMMYFUNCTION("""COMPUTED_VALUE"""),2.0)</f>
        <v>2</v>
      </c>
      <c r="D1142" s="2">
        <f>IFERROR(__xludf.DUMMYFUNCTION("""COMPUTED_VALUE"""),378.0)</f>
        <v>378</v>
      </c>
    </row>
    <row r="1143">
      <c r="A1143" s="2" t="str">
        <f>IFERROR(__xludf.DUMMYFUNCTION("""COMPUTED_VALUE"""),"PR047")</f>
        <v>PR047</v>
      </c>
      <c r="B1143" s="2" t="str">
        <f>IFERROR(__xludf.DUMMYFUNCTION("""COMPUTED_VALUE"""),"VD018")</f>
        <v>VD018</v>
      </c>
      <c r="C1143" s="2">
        <f>IFERROR(__xludf.DUMMYFUNCTION("""COMPUTED_VALUE"""),16.0)</f>
        <v>16</v>
      </c>
      <c r="D1143" s="2">
        <f>IFERROR(__xludf.DUMMYFUNCTION("""COMPUTED_VALUE"""),4731.17)</f>
        <v>4731.17</v>
      </c>
    </row>
    <row r="1144">
      <c r="A1144" s="2" t="str">
        <f>IFERROR(__xludf.DUMMYFUNCTION("""COMPUTED_VALUE"""),"PR011")</f>
        <v>PR011</v>
      </c>
      <c r="B1144" s="2" t="str">
        <f>IFERROR(__xludf.DUMMYFUNCTION("""COMPUTED_VALUE"""),"VD032")</f>
        <v>VD032</v>
      </c>
      <c r="C1144" s="2">
        <f>IFERROR(__xludf.DUMMYFUNCTION("""COMPUTED_VALUE"""),2.0)</f>
        <v>2</v>
      </c>
      <c r="D1144" s="2">
        <f>IFERROR(__xludf.DUMMYFUNCTION("""COMPUTED_VALUE"""),95.68)</f>
        <v>95.68</v>
      </c>
    </row>
    <row r="1145">
      <c r="A1145" s="2" t="str">
        <f>IFERROR(__xludf.DUMMYFUNCTION("""COMPUTED_VALUE"""),"PR054")</f>
        <v>PR054</v>
      </c>
      <c r="B1145" s="2" t="str">
        <f>IFERROR(__xludf.DUMMYFUNCTION("""COMPUTED_VALUE"""),"VD046")</f>
        <v>VD046</v>
      </c>
      <c r="C1145" s="2">
        <f>IFERROR(__xludf.DUMMYFUNCTION("""COMPUTED_VALUE"""),8.0)</f>
        <v>8</v>
      </c>
      <c r="D1145" s="2">
        <f>IFERROR(__xludf.DUMMYFUNCTION("""COMPUTED_VALUE"""),431.14)</f>
        <v>431.14</v>
      </c>
    </row>
    <row r="1146">
      <c r="A1146" s="2" t="str">
        <f>IFERROR(__xludf.DUMMYFUNCTION("""COMPUTED_VALUE"""),"PR058")</f>
        <v>PR058</v>
      </c>
      <c r="B1146" s="2" t="str">
        <f>IFERROR(__xludf.DUMMYFUNCTION("""COMPUTED_VALUE"""),"VD033")</f>
        <v>VD033</v>
      </c>
      <c r="C1146" s="2">
        <f>IFERROR(__xludf.DUMMYFUNCTION("""COMPUTED_VALUE"""),10.0)</f>
        <v>10</v>
      </c>
      <c r="D1146" s="2">
        <f>IFERROR(__xludf.DUMMYFUNCTION("""COMPUTED_VALUE"""),1980.0)</f>
        <v>1980</v>
      </c>
    </row>
    <row r="1147">
      <c r="A1147" s="2" t="str">
        <f>IFERROR(__xludf.DUMMYFUNCTION("""COMPUTED_VALUE"""),"PR002")</f>
        <v>PR002</v>
      </c>
      <c r="B1147" s="2" t="str">
        <f>IFERROR(__xludf.DUMMYFUNCTION("""COMPUTED_VALUE"""),"VD043")</f>
        <v>VD043</v>
      </c>
      <c r="C1147" s="2">
        <f>IFERROR(__xludf.DUMMYFUNCTION("""COMPUTED_VALUE"""),16.0)</f>
        <v>16</v>
      </c>
      <c r="D1147" s="2">
        <f>IFERROR(__xludf.DUMMYFUNCTION("""COMPUTED_VALUE"""),1118.4)</f>
        <v>1118.4</v>
      </c>
    </row>
    <row r="1148">
      <c r="A1148" s="2" t="str">
        <f>IFERROR(__xludf.DUMMYFUNCTION("""COMPUTED_VALUE"""),"PR052")</f>
        <v>PR052</v>
      </c>
      <c r="B1148" s="2" t="str">
        <f>IFERROR(__xludf.DUMMYFUNCTION("""COMPUTED_VALUE"""),"VD025")</f>
        <v>VD025</v>
      </c>
      <c r="C1148" s="2">
        <f>IFERROR(__xludf.DUMMYFUNCTION("""COMPUTED_VALUE"""),8.0)</f>
        <v>8</v>
      </c>
      <c r="D1148" s="2">
        <f>IFERROR(__xludf.DUMMYFUNCTION("""COMPUTED_VALUE"""),439.12)</f>
        <v>439.12</v>
      </c>
    </row>
    <row r="1149">
      <c r="A1149" s="2" t="str">
        <f>IFERROR(__xludf.DUMMYFUNCTION("""COMPUTED_VALUE"""),"PR002")</f>
        <v>PR002</v>
      </c>
      <c r="B1149" s="2" t="str">
        <f>IFERROR(__xludf.DUMMYFUNCTION("""COMPUTED_VALUE"""),"VD029")</f>
        <v>VD029</v>
      </c>
      <c r="C1149" s="2">
        <f>IFERROR(__xludf.DUMMYFUNCTION("""COMPUTED_VALUE"""),8.0)</f>
        <v>8</v>
      </c>
      <c r="D1149" s="2">
        <f>IFERROR(__xludf.DUMMYFUNCTION("""COMPUTED_VALUE"""),559.2)</f>
        <v>559.2</v>
      </c>
    </row>
    <row r="1150">
      <c r="A1150" s="2" t="str">
        <f>IFERROR(__xludf.DUMMYFUNCTION("""COMPUTED_VALUE"""),"PR050")</f>
        <v>PR050</v>
      </c>
      <c r="B1150" s="2" t="str">
        <f>IFERROR(__xludf.DUMMYFUNCTION("""COMPUTED_VALUE"""),"VD026")</f>
        <v>VD026</v>
      </c>
      <c r="C1150" s="2">
        <f>IFERROR(__xludf.DUMMYFUNCTION("""COMPUTED_VALUE"""),18.0)</f>
        <v>18</v>
      </c>
      <c r="D1150" s="2">
        <f>IFERROR(__xludf.DUMMYFUNCTION("""COMPUTED_VALUE"""),604.04)</f>
        <v>604.04</v>
      </c>
    </row>
    <row r="1151">
      <c r="A1151" s="2" t="str">
        <f>IFERROR(__xludf.DUMMYFUNCTION("""COMPUTED_VALUE"""),"PR040")</f>
        <v>PR040</v>
      </c>
      <c r="B1151" s="2" t="str">
        <f>IFERROR(__xludf.DUMMYFUNCTION("""COMPUTED_VALUE"""),"VD031")</f>
        <v>VD031</v>
      </c>
      <c r="C1151" s="2">
        <f>IFERROR(__xludf.DUMMYFUNCTION("""COMPUTED_VALUE"""),4.0)</f>
        <v>4</v>
      </c>
      <c r="D1151" s="2">
        <f>IFERROR(__xludf.DUMMYFUNCTION("""COMPUTED_VALUE"""),282.8)</f>
        <v>282.8</v>
      </c>
    </row>
    <row r="1152">
      <c r="A1152" s="2" t="str">
        <f>IFERROR(__xludf.DUMMYFUNCTION("""COMPUTED_VALUE"""),"PR021")</f>
        <v>PR021</v>
      </c>
      <c r="B1152" s="2" t="str">
        <f>IFERROR(__xludf.DUMMYFUNCTION("""COMPUTED_VALUE"""),"VD049")</f>
        <v>VD049</v>
      </c>
      <c r="C1152" s="2">
        <f>IFERROR(__xludf.DUMMYFUNCTION("""COMPUTED_VALUE"""),2.0)</f>
        <v>2</v>
      </c>
      <c r="D1152" s="2">
        <f>IFERROR(__xludf.DUMMYFUNCTION("""COMPUTED_VALUE"""),623.97)</f>
        <v>623.97</v>
      </c>
    </row>
    <row r="1153">
      <c r="A1153" s="2" t="str">
        <f>IFERROR(__xludf.DUMMYFUNCTION("""COMPUTED_VALUE"""),"PR028")</f>
        <v>PR028</v>
      </c>
      <c r="B1153" s="2" t="str">
        <f>IFERROR(__xludf.DUMMYFUNCTION("""COMPUTED_VALUE"""),"VD011")</f>
        <v>VD011</v>
      </c>
      <c r="C1153" s="2">
        <f>IFERROR(__xludf.DUMMYFUNCTION("""COMPUTED_VALUE"""),2.0)</f>
        <v>2</v>
      </c>
      <c r="D1153" s="2">
        <f>IFERROR(__xludf.DUMMYFUNCTION("""COMPUTED_VALUE"""),504.8)</f>
        <v>504.8</v>
      </c>
    </row>
    <row r="1154">
      <c r="A1154" s="2" t="str">
        <f>IFERROR(__xludf.DUMMYFUNCTION("""COMPUTED_VALUE"""),"PR020")</f>
        <v>PR020</v>
      </c>
      <c r="B1154" s="2" t="str">
        <f>IFERROR(__xludf.DUMMYFUNCTION("""COMPUTED_VALUE"""),"VD019")</f>
        <v>VD019</v>
      </c>
      <c r="C1154" s="2">
        <f>IFERROR(__xludf.DUMMYFUNCTION("""COMPUTED_VALUE"""),6.0)</f>
        <v>6</v>
      </c>
      <c r="D1154" s="2">
        <f>IFERROR(__xludf.DUMMYFUNCTION("""COMPUTED_VALUE"""),1907.36)</f>
        <v>1907.36</v>
      </c>
    </row>
    <row r="1155">
      <c r="A1155" s="2" t="str">
        <f>IFERROR(__xludf.DUMMYFUNCTION("""COMPUTED_VALUE"""),"PR052")</f>
        <v>PR052</v>
      </c>
      <c r="B1155" s="2" t="str">
        <f>IFERROR(__xludf.DUMMYFUNCTION("""COMPUTED_VALUE"""),"VD030")</f>
        <v>VD030</v>
      </c>
      <c r="C1155" s="2">
        <f>IFERROR(__xludf.DUMMYFUNCTION("""COMPUTED_VALUE"""),20.0)</f>
        <v>20</v>
      </c>
      <c r="D1155" s="2">
        <f>IFERROR(__xludf.DUMMYFUNCTION("""COMPUTED_VALUE"""),1097.8)</f>
        <v>1097.8</v>
      </c>
    </row>
    <row r="1156">
      <c r="A1156" s="2" t="str">
        <f>IFERROR(__xludf.DUMMYFUNCTION("""COMPUTED_VALUE"""),"PR033")</f>
        <v>PR033</v>
      </c>
      <c r="B1156" s="2" t="str">
        <f>IFERROR(__xludf.DUMMYFUNCTION("""COMPUTED_VALUE"""),"VD017")</f>
        <v>VD017</v>
      </c>
      <c r="C1156" s="2">
        <f>IFERROR(__xludf.DUMMYFUNCTION("""COMPUTED_VALUE"""),9.0)</f>
        <v>9</v>
      </c>
      <c r="D1156" s="2">
        <f>IFERROR(__xludf.DUMMYFUNCTION("""COMPUTED_VALUE"""),2479.45)</f>
        <v>2479.45</v>
      </c>
    </row>
    <row r="1157">
      <c r="A1157" s="2" t="str">
        <f>IFERROR(__xludf.DUMMYFUNCTION("""COMPUTED_VALUE"""),"PR016")</f>
        <v>PR016</v>
      </c>
      <c r="B1157" s="2" t="str">
        <f>IFERROR(__xludf.DUMMYFUNCTION("""COMPUTED_VALUE"""),"VD039")</f>
        <v>VD039</v>
      </c>
      <c r="C1157" s="2">
        <f>IFERROR(__xludf.DUMMYFUNCTION("""COMPUTED_VALUE"""),4.0)</f>
        <v>4</v>
      </c>
      <c r="D1157" s="2">
        <f>IFERROR(__xludf.DUMMYFUNCTION("""COMPUTED_VALUE"""),103.6)</f>
        <v>103.6</v>
      </c>
    </row>
    <row r="1158">
      <c r="A1158" s="2" t="str">
        <f>IFERROR(__xludf.DUMMYFUNCTION("""COMPUTED_VALUE"""),"PR034")</f>
        <v>PR034</v>
      </c>
      <c r="B1158" s="2" t="str">
        <f>IFERROR(__xludf.DUMMYFUNCTION("""COMPUTED_VALUE"""),"VD028")</f>
        <v>VD028</v>
      </c>
      <c r="C1158" s="2">
        <f>IFERROR(__xludf.DUMMYFUNCTION("""COMPUTED_VALUE"""),20.0)</f>
        <v>20</v>
      </c>
      <c r="D1158" s="2">
        <f>IFERROR(__xludf.DUMMYFUNCTION("""COMPUTED_VALUE"""),1905.88)</f>
        <v>1905.88</v>
      </c>
    </row>
    <row r="1159">
      <c r="A1159" s="2" t="str">
        <f>IFERROR(__xludf.DUMMYFUNCTION("""COMPUTED_VALUE"""),"PR014")</f>
        <v>PR014</v>
      </c>
      <c r="B1159" s="2" t="str">
        <f>IFERROR(__xludf.DUMMYFUNCTION("""COMPUTED_VALUE"""),"VD047")</f>
        <v>VD047</v>
      </c>
      <c r="C1159" s="2">
        <f>IFERROR(__xludf.DUMMYFUNCTION("""COMPUTED_VALUE"""),4.0)</f>
        <v>4</v>
      </c>
      <c r="D1159" s="2">
        <f>IFERROR(__xludf.DUMMYFUNCTION("""COMPUTED_VALUE"""),165.98)</f>
        <v>165.98</v>
      </c>
    </row>
    <row r="1160">
      <c r="A1160" s="2" t="str">
        <f>IFERROR(__xludf.DUMMYFUNCTION("""COMPUTED_VALUE"""),"PR048")</f>
        <v>PR048</v>
      </c>
      <c r="B1160" s="2" t="str">
        <f>IFERROR(__xludf.DUMMYFUNCTION("""COMPUTED_VALUE"""),"VD034")</f>
        <v>VD034</v>
      </c>
      <c r="C1160" s="2">
        <f>IFERROR(__xludf.DUMMYFUNCTION("""COMPUTED_VALUE"""),4.0)</f>
        <v>4</v>
      </c>
      <c r="D1160" s="2">
        <f>IFERROR(__xludf.DUMMYFUNCTION("""COMPUTED_VALUE"""),1171.2)</f>
        <v>1171.2</v>
      </c>
    </row>
    <row r="1161">
      <c r="A1161" s="2" t="str">
        <f>IFERROR(__xludf.DUMMYFUNCTION("""COMPUTED_VALUE"""),"PR040")</f>
        <v>PR040</v>
      </c>
      <c r="B1161" s="2" t="str">
        <f>IFERROR(__xludf.DUMMYFUNCTION("""COMPUTED_VALUE"""),"VD021")</f>
        <v>VD021</v>
      </c>
      <c r="C1161" s="2">
        <f>IFERROR(__xludf.DUMMYFUNCTION("""COMPUTED_VALUE"""),4.0)</f>
        <v>4</v>
      </c>
      <c r="D1161" s="2">
        <f>IFERROR(__xludf.DUMMYFUNCTION("""COMPUTED_VALUE"""),282.8)</f>
        <v>282.8</v>
      </c>
    </row>
    <row r="1162">
      <c r="A1162" s="2" t="str">
        <f>IFERROR(__xludf.DUMMYFUNCTION("""COMPUTED_VALUE"""),"PR055")</f>
        <v>PR055</v>
      </c>
      <c r="B1162" s="2" t="str">
        <f>IFERROR(__xludf.DUMMYFUNCTION("""COMPUTED_VALUE"""),"VD041")</f>
        <v>VD041</v>
      </c>
      <c r="C1162" s="2">
        <f>IFERROR(__xludf.DUMMYFUNCTION("""COMPUTED_VALUE"""),8.0)</f>
        <v>8</v>
      </c>
      <c r="D1162" s="2">
        <f>IFERROR(__xludf.DUMMYFUNCTION("""COMPUTED_VALUE"""),740.78)</f>
        <v>740.78</v>
      </c>
    </row>
    <row r="1163">
      <c r="A1163" s="2" t="str">
        <f>IFERROR(__xludf.DUMMYFUNCTION("""COMPUTED_VALUE"""),"PR035")</f>
        <v>PR035</v>
      </c>
      <c r="B1163" s="2" t="str">
        <f>IFERROR(__xludf.DUMMYFUNCTION("""COMPUTED_VALUE"""),"VD039")</f>
        <v>VD039</v>
      </c>
      <c r="C1163" s="2">
        <f>IFERROR(__xludf.DUMMYFUNCTION("""COMPUTED_VALUE"""),6.0)</f>
        <v>6</v>
      </c>
      <c r="D1163" s="2">
        <f>IFERROR(__xludf.DUMMYFUNCTION("""COMPUTED_VALUE"""),581.3)</f>
        <v>581.3</v>
      </c>
    </row>
    <row r="1164">
      <c r="A1164" s="2" t="str">
        <f>IFERROR(__xludf.DUMMYFUNCTION("""COMPUTED_VALUE"""),"PR007")</f>
        <v>PR007</v>
      </c>
      <c r="B1164" s="2" t="str">
        <f>IFERROR(__xludf.DUMMYFUNCTION("""COMPUTED_VALUE"""),"VD021")</f>
        <v>VD021</v>
      </c>
      <c r="C1164" s="2">
        <f>IFERROR(__xludf.DUMMYFUNCTION("""COMPUTED_VALUE"""),8.0)</f>
        <v>8</v>
      </c>
      <c r="D1164" s="2">
        <f>IFERROR(__xludf.DUMMYFUNCTION("""COMPUTED_VALUE"""),755.92)</f>
        <v>755.92</v>
      </c>
    </row>
    <row r="1165">
      <c r="A1165" s="2" t="str">
        <f>IFERROR(__xludf.DUMMYFUNCTION("""COMPUTED_VALUE"""),"PR020")</f>
        <v>PR020</v>
      </c>
      <c r="B1165" s="2" t="str">
        <f>IFERROR(__xludf.DUMMYFUNCTION("""COMPUTED_VALUE"""),"VD024")</f>
        <v>VD024</v>
      </c>
      <c r="C1165" s="2">
        <f>IFERROR(__xludf.DUMMYFUNCTION("""COMPUTED_VALUE"""),2.0)</f>
        <v>2</v>
      </c>
      <c r="D1165" s="2">
        <f>IFERROR(__xludf.DUMMYFUNCTION("""COMPUTED_VALUE"""),599.8)</f>
        <v>599.8</v>
      </c>
    </row>
    <row r="1166">
      <c r="A1166" s="2" t="str">
        <f>IFERROR(__xludf.DUMMYFUNCTION("""COMPUTED_VALUE"""),"PR052")</f>
        <v>PR052</v>
      </c>
      <c r="B1166" s="2" t="str">
        <f>IFERROR(__xludf.DUMMYFUNCTION("""COMPUTED_VALUE"""),"VD040")</f>
        <v>VD040</v>
      </c>
      <c r="C1166" s="2">
        <f>IFERROR(__xludf.DUMMYFUNCTION("""COMPUTED_VALUE"""),10.0)</f>
        <v>10</v>
      </c>
      <c r="D1166" s="2">
        <f>IFERROR(__xludf.DUMMYFUNCTION("""COMPUTED_VALUE"""),508.98)</f>
        <v>508.98</v>
      </c>
    </row>
    <row r="1167">
      <c r="A1167" s="2" t="str">
        <f>IFERROR(__xludf.DUMMYFUNCTION("""COMPUTED_VALUE"""),"PR003")</f>
        <v>PR003</v>
      </c>
      <c r="B1167" s="2" t="str">
        <f>IFERROR(__xludf.DUMMYFUNCTION("""COMPUTED_VALUE"""),"VD017")</f>
        <v>VD017</v>
      </c>
      <c r="C1167" s="2">
        <f>IFERROR(__xludf.DUMMYFUNCTION("""COMPUTED_VALUE"""),20.0)</f>
        <v>20</v>
      </c>
      <c r="D1167" s="2">
        <f>IFERROR(__xludf.DUMMYFUNCTION("""COMPUTED_VALUE"""),1559.8)</f>
        <v>1559.8</v>
      </c>
    </row>
    <row r="1168">
      <c r="A1168" s="2" t="str">
        <f>IFERROR(__xludf.DUMMYFUNCTION("""COMPUTED_VALUE"""),"PR018")</f>
        <v>PR018</v>
      </c>
      <c r="B1168" s="2" t="str">
        <f>IFERROR(__xludf.DUMMYFUNCTION("""COMPUTED_VALUE"""),"VD011")</f>
        <v>VD011</v>
      </c>
      <c r="C1168" s="2">
        <f>IFERROR(__xludf.DUMMYFUNCTION("""COMPUTED_VALUE"""),16.0)</f>
        <v>16</v>
      </c>
      <c r="D1168" s="2">
        <f>IFERROR(__xludf.DUMMYFUNCTION("""COMPUTED_VALUE"""),568.51)</f>
        <v>568.51</v>
      </c>
    </row>
    <row r="1169">
      <c r="A1169" s="2" t="str">
        <f>IFERROR(__xludf.DUMMYFUNCTION("""COMPUTED_VALUE"""),"PR012")</f>
        <v>PR012</v>
      </c>
      <c r="B1169" s="2" t="str">
        <f>IFERROR(__xludf.DUMMYFUNCTION("""COMPUTED_VALUE"""),"VD035")</f>
        <v>VD035</v>
      </c>
      <c r="C1169" s="2">
        <f>IFERROR(__xludf.DUMMYFUNCTION("""COMPUTED_VALUE"""),14.0)</f>
        <v>14</v>
      </c>
      <c r="D1169" s="2">
        <f>IFERROR(__xludf.DUMMYFUNCTION("""COMPUTED_VALUE"""),684.6)</f>
        <v>684.6</v>
      </c>
    </row>
    <row r="1170">
      <c r="A1170" s="2" t="str">
        <f>IFERROR(__xludf.DUMMYFUNCTION("""COMPUTED_VALUE"""),"PR019")</f>
        <v>PR019</v>
      </c>
      <c r="B1170" s="2" t="str">
        <f>IFERROR(__xludf.DUMMYFUNCTION("""COMPUTED_VALUE"""),"VD032")</f>
        <v>VD032</v>
      </c>
      <c r="C1170" s="2">
        <f>IFERROR(__xludf.DUMMYFUNCTION("""COMPUTED_VALUE"""),14.0)</f>
        <v>14</v>
      </c>
      <c r="D1170" s="2">
        <f>IFERROR(__xludf.DUMMYFUNCTION("""COMPUTED_VALUE"""),761.47)</f>
        <v>761.47</v>
      </c>
    </row>
    <row r="1171">
      <c r="A1171" s="2" t="str">
        <f>IFERROR(__xludf.DUMMYFUNCTION("""COMPUTED_VALUE"""),"PR026")</f>
        <v>PR026</v>
      </c>
      <c r="B1171" s="2" t="str">
        <f>IFERROR(__xludf.DUMMYFUNCTION("""COMPUTED_VALUE"""),"VD021")</f>
        <v>VD021</v>
      </c>
      <c r="C1171" s="2">
        <f>IFERROR(__xludf.DUMMYFUNCTION("""COMPUTED_VALUE"""),14.0)</f>
        <v>14</v>
      </c>
      <c r="D1171" s="2">
        <f>IFERROR(__xludf.DUMMYFUNCTION("""COMPUTED_VALUE"""),5339.47)</f>
        <v>5339.47</v>
      </c>
    </row>
    <row r="1172">
      <c r="A1172" s="2" t="str">
        <f>IFERROR(__xludf.DUMMYFUNCTION("""COMPUTED_VALUE"""),"PR049")</f>
        <v>PR049</v>
      </c>
      <c r="B1172" s="2" t="str">
        <f>IFERROR(__xludf.DUMMYFUNCTION("""COMPUTED_VALUE"""),"VD031")</f>
        <v>VD031</v>
      </c>
      <c r="C1172" s="2">
        <f>IFERROR(__xludf.DUMMYFUNCTION("""COMPUTED_VALUE"""),18.0)</f>
        <v>18</v>
      </c>
      <c r="D1172" s="2">
        <f>IFERROR(__xludf.DUMMYFUNCTION("""COMPUTED_VALUE"""),633.65)</f>
        <v>633.65</v>
      </c>
    </row>
    <row r="1173">
      <c r="A1173" s="2" t="str">
        <f>IFERROR(__xludf.DUMMYFUNCTION("""COMPUTED_VALUE"""),"PR012")</f>
        <v>PR012</v>
      </c>
      <c r="B1173" s="2" t="str">
        <f>IFERROR(__xludf.DUMMYFUNCTION("""COMPUTED_VALUE"""),"VD026")</f>
        <v>VD026</v>
      </c>
      <c r="C1173" s="2">
        <f>IFERROR(__xludf.DUMMYFUNCTION("""COMPUTED_VALUE"""),5.0)</f>
        <v>5</v>
      </c>
      <c r="D1173" s="2">
        <f>IFERROR(__xludf.DUMMYFUNCTION("""COMPUTED_VALUE"""),244.5)</f>
        <v>244.5</v>
      </c>
    </row>
    <row r="1174">
      <c r="A1174" s="2" t="str">
        <f>IFERROR(__xludf.DUMMYFUNCTION("""COMPUTED_VALUE"""),"PR015")</f>
        <v>PR015</v>
      </c>
      <c r="B1174" s="2" t="str">
        <f>IFERROR(__xludf.DUMMYFUNCTION("""COMPUTED_VALUE"""),"VD033")</f>
        <v>VD033</v>
      </c>
      <c r="C1174" s="2">
        <f>IFERROR(__xludf.DUMMYFUNCTION("""COMPUTED_VALUE"""),20.0)</f>
        <v>20</v>
      </c>
      <c r="D1174" s="2">
        <f>IFERROR(__xludf.DUMMYFUNCTION("""COMPUTED_VALUE"""),918.0)</f>
        <v>918</v>
      </c>
    </row>
    <row r="1175">
      <c r="A1175" s="2" t="str">
        <f>IFERROR(__xludf.DUMMYFUNCTION("""COMPUTED_VALUE"""),"PR036")</f>
        <v>PR036</v>
      </c>
      <c r="B1175" s="2" t="str">
        <f>IFERROR(__xludf.DUMMYFUNCTION("""COMPUTED_VALUE"""),"VD017")</f>
        <v>VD017</v>
      </c>
      <c r="C1175" s="2">
        <f>IFERROR(__xludf.DUMMYFUNCTION("""COMPUTED_VALUE"""),5.0)</f>
        <v>5</v>
      </c>
      <c r="D1175" s="2">
        <f>IFERROR(__xludf.DUMMYFUNCTION("""COMPUTED_VALUE"""),467.5)</f>
        <v>467.5</v>
      </c>
    </row>
    <row r="1176">
      <c r="A1176" s="2" t="str">
        <f>IFERROR(__xludf.DUMMYFUNCTION("""COMPUTED_VALUE"""),"PR013")</f>
        <v>PR013</v>
      </c>
      <c r="B1176" s="2" t="str">
        <f>IFERROR(__xludf.DUMMYFUNCTION("""COMPUTED_VALUE"""),"VD041")</f>
        <v>VD041</v>
      </c>
      <c r="C1176" s="2">
        <f>IFERROR(__xludf.DUMMYFUNCTION("""COMPUTED_VALUE"""),8.0)</f>
        <v>8</v>
      </c>
      <c r="D1176" s="2">
        <f>IFERROR(__xludf.DUMMYFUNCTION("""COMPUTED_VALUE"""),322.39)</f>
        <v>322.39</v>
      </c>
    </row>
    <row r="1177">
      <c r="A1177" s="2" t="str">
        <f>IFERROR(__xludf.DUMMYFUNCTION("""COMPUTED_VALUE"""),"PR015")</f>
        <v>PR015</v>
      </c>
      <c r="B1177" s="2" t="str">
        <f>IFERROR(__xludf.DUMMYFUNCTION("""COMPUTED_VALUE"""),"VD027")</f>
        <v>VD027</v>
      </c>
      <c r="C1177" s="2">
        <f>IFERROR(__xludf.DUMMYFUNCTION("""COMPUTED_VALUE"""),2.0)</f>
        <v>2</v>
      </c>
      <c r="D1177" s="2">
        <f>IFERROR(__xludf.DUMMYFUNCTION("""COMPUTED_VALUE"""),89.25)</f>
        <v>89.25</v>
      </c>
    </row>
    <row r="1178">
      <c r="A1178" s="2" t="str">
        <f>IFERROR(__xludf.DUMMYFUNCTION("""COMPUTED_VALUE"""),"PR024")</f>
        <v>PR024</v>
      </c>
      <c r="B1178" s="2" t="str">
        <f>IFERROR(__xludf.DUMMYFUNCTION("""COMPUTED_VALUE"""),"VD049")</f>
        <v>VD049</v>
      </c>
      <c r="C1178" s="2">
        <f>IFERROR(__xludf.DUMMYFUNCTION("""COMPUTED_VALUE"""),2.0)</f>
        <v>2</v>
      </c>
      <c r="D1178" s="2">
        <f>IFERROR(__xludf.DUMMYFUNCTION("""COMPUTED_VALUE"""),556.19)</f>
        <v>556.19</v>
      </c>
    </row>
    <row r="1179">
      <c r="A1179" s="2" t="str">
        <f>IFERROR(__xludf.DUMMYFUNCTION("""COMPUTED_VALUE"""),"PR042")</f>
        <v>PR042</v>
      </c>
      <c r="B1179" s="2" t="str">
        <f>IFERROR(__xludf.DUMMYFUNCTION("""COMPUTED_VALUE"""),"VD025")</f>
        <v>VD025</v>
      </c>
      <c r="C1179" s="2">
        <f>IFERROR(__xludf.DUMMYFUNCTION("""COMPUTED_VALUE"""),2.0)</f>
        <v>2</v>
      </c>
      <c r="D1179" s="2">
        <f>IFERROR(__xludf.DUMMYFUNCTION("""COMPUTED_VALUE"""),116.39)</f>
        <v>116.39</v>
      </c>
    </row>
    <row r="1180">
      <c r="A1180" s="2" t="str">
        <f>IFERROR(__xludf.DUMMYFUNCTION("""COMPUTED_VALUE"""),"PR047")</f>
        <v>PR047</v>
      </c>
      <c r="B1180" s="2" t="str">
        <f>IFERROR(__xludf.DUMMYFUNCTION("""COMPUTED_VALUE"""),"VD039")</f>
        <v>VD039</v>
      </c>
      <c r="C1180" s="2">
        <f>IFERROR(__xludf.DUMMYFUNCTION("""COMPUTED_VALUE"""),20.0)</f>
        <v>20</v>
      </c>
      <c r="D1180" s="2">
        <f>IFERROR(__xludf.DUMMYFUNCTION("""COMPUTED_VALUE"""),5913.96)</f>
        <v>5913.96</v>
      </c>
    </row>
    <row r="1181">
      <c r="A1181" s="2" t="str">
        <f>IFERROR(__xludf.DUMMYFUNCTION("""COMPUTED_VALUE"""),"PR010")</f>
        <v>PR010</v>
      </c>
      <c r="B1181" s="2" t="str">
        <f>IFERROR(__xludf.DUMMYFUNCTION("""COMPUTED_VALUE"""),"VD045")</f>
        <v>VD045</v>
      </c>
      <c r="C1181" s="2">
        <f>IFERROR(__xludf.DUMMYFUNCTION("""COMPUTED_VALUE"""),8.0)</f>
        <v>8</v>
      </c>
      <c r="D1181" s="2">
        <f>IFERROR(__xludf.DUMMYFUNCTION("""COMPUTED_VALUE"""),373.57)</f>
        <v>373.57</v>
      </c>
    </row>
    <row r="1182">
      <c r="A1182" s="2" t="str">
        <f>IFERROR(__xludf.DUMMYFUNCTION("""COMPUTED_VALUE"""),"PR004")</f>
        <v>PR004</v>
      </c>
      <c r="B1182" s="2" t="str">
        <f>IFERROR(__xludf.DUMMYFUNCTION("""COMPUTED_VALUE"""),"VD047")</f>
        <v>VD047</v>
      </c>
      <c r="C1182" s="2">
        <f>IFERROR(__xludf.DUMMYFUNCTION("""COMPUTED_VALUE"""),2.0)</f>
        <v>2</v>
      </c>
      <c r="D1182" s="2">
        <f>IFERROR(__xludf.DUMMYFUNCTION("""COMPUTED_VALUE"""),290.0)</f>
        <v>290</v>
      </c>
    </row>
    <row r="1183">
      <c r="A1183" s="2" t="str">
        <f>IFERROR(__xludf.DUMMYFUNCTION("""COMPUTED_VALUE"""),"PR028")</f>
        <v>PR028</v>
      </c>
      <c r="B1183" s="2" t="str">
        <f>IFERROR(__xludf.DUMMYFUNCTION("""COMPUTED_VALUE"""),"VD027")</f>
        <v>VD027</v>
      </c>
      <c r="C1183" s="2">
        <f>IFERROR(__xludf.DUMMYFUNCTION("""COMPUTED_VALUE"""),8.0)</f>
        <v>8</v>
      </c>
      <c r="D1183" s="2">
        <f>IFERROR(__xludf.DUMMYFUNCTION("""COMPUTED_VALUE"""),2159.14)</f>
        <v>2159.14</v>
      </c>
    </row>
    <row r="1184">
      <c r="A1184" s="2" t="str">
        <f>IFERROR(__xludf.DUMMYFUNCTION("""COMPUTED_VALUE"""),"PR029")</f>
        <v>PR029</v>
      </c>
      <c r="B1184" s="2" t="str">
        <f>IFERROR(__xludf.DUMMYFUNCTION("""COMPUTED_VALUE"""),"VD025")</f>
        <v>VD025</v>
      </c>
      <c r="C1184" s="2">
        <f>IFERROR(__xludf.DUMMYFUNCTION("""COMPUTED_VALUE"""),4.0)</f>
        <v>4</v>
      </c>
      <c r="D1184" s="2">
        <f>IFERROR(__xludf.DUMMYFUNCTION("""COMPUTED_VALUE"""),1050.6)</f>
        <v>1050.6</v>
      </c>
    </row>
    <row r="1185">
      <c r="A1185" s="2" t="str">
        <f>IFERROR(__xludf.DUMMYFUNCTION("""COMPUTED_VALUE"""),"PR046")</f>
        <v>PR046</v>
      </c>
      <c r="B1185" s="2" t="str">
        <f>IFERROR(__xludf.DUMMYFUNCTION("""COMPUTED_VALUE"""),"VD042")</f>
        <v>VD042</v>
      </c>
      <c r="C1185" s="2">
        <f>IFERROR(__xludf.DUMMYFUNCTION("""COMPUTED_VALUE"""),10.0)</f>
        <v>10</v>
      </c>
      <c r="D1185" s="2">
        <f>IFERROR(__xludf.DUMMYFUNCTION("""COMPUTED_VALUE"""),3014.96)</f>
        <v>3014.96</v>
      </c>
    </row>
    <row r="1186">
      <c r="A1186" s="2" t="str">
        <f>IFERROR(__xludf.DUMMYFUNCTION("""COMPUTED_VALUE"""),"PR043")</f>
        <v>PR043</v>
      </c>
      <c r="B1186" s="2" t="str">
        <f>IFERROR(__xludf.DUMMYFUNCTION("""COMPUTED_VALUE"""),"VD041")</f>
        <v>VD041</v>
      </c>
      <c r="C1186" s="2">
        <f>IFERROR(__xludf.DUMMYFUNCTION("""COMPUTED_VALUE"""),10.0)</f>
        <v>10</v>
      </c>
      <c r="D1186" s="2">
        <f>IFERROR(__xludf.DUMMYFUNCTION("""COMPUTED_VALUE"""),754.0)</f>
        <v>754</v>
      </c>
    </row>
    <row r="1187">
      <c r="A1187" s="2" t="str">
        <f>IFERROR(__xludf.DUMMYFUNCTION("""COMPUTED_VALUE"""),"PR034")</f>
        <v>PR034</v>
      </c>
      <c r="B1187" s="2" t="str">
        <f>IFERROR(__xludf.DUMMYFUNCTION("""COMPUTED_VALUE"""),"VD032")</f>
        <v>VD032</v>
      </c>
      <c r="C1187" s="2">
        <f>IFERROR(__xludf.DUMMYFUNCTION("""COMPUTED_VALUE"""),8.0)</f>
        <v>8</v>
      </c>
      <c r="D1187" s="2">
        <f>IFERROR(__xludf.DUMMYFUNCTION("""COMPUTED_VALUE"""),726.39)</f>
        <v>726.39</v>
      </c>
    </row>
    <row r="1188">
      <c r="A1188" s="2" t="str">
        <f>IFERROR(__xludf.DUMMYFUNCTION("""COMPUTED_VALUE"""),"PR041")</f>
        <v>PR041</v>
      </c>
      <c r="B1188" s="2" t="str">
        <f>IFERROR(__xludf.DUMMYFUNCTION("""COMPUTED_VALUE"""),"VD044")</f>
        <v>VD044</v>
      </c>
      <c r="C1188" s="2">
        <f>IFERROR(__xludf.DUMMYFUNCTION("""COMPUTED_VALUE"""),6.0)</f>
        <v>6</v>
      </c>
      <c r="D1188" s="2">
        <f>IFERROR(__xludf.DUMMYFUNCTION("""COMPUTED_VALUE"""),335.99)</f>
        <v>335.99</v>
      </c>
    </row>
    <row r="1189">
      <c r="A1189" s="2" t="str">
        <f>IFERROR(__xludf.DUMMYFUNCTION("""COMPUTED_VALUE"""),"PR004")</f>
        <v>PR004</v>
      </c>
      <c r="B1189" s="2" t="str">
        <f>IFERROR(__xludf.DUMMYFUNCTION("""COMPUTED_VALUE"""),"VD041")</f>
        <v>VD041</v>
      </c>
      <c r="C1189" s="2">
        <f>IFERROR(__xludf.DUMMYFUNCTION("""COMPUTED_VALUE"""),12.0)</f>
        <v>12</v>
      </c>
      <c r="D1189" s="2">
        <f>IFERROR(__xludf.DUMMYFUNCTION("""COMPUTED_VALUE"""),1879.2)</f>
        <v>1879.2</v>
      </c>
    </row>
    <row r="1190">
      <c r="A1190" s="2" t="str">
        <f>IFERROR(__xludf.DUMMYFUNCTION("""COMPUTED_VALUE"""),"PR041")</f>
        <v>PR041</v>
      </c>
      <c r="B1190" s="2" t="str">
        <f>IFERROR(__xludf.DUMMYFUNCTION("""COMPUTED_VALUE"""),"VD033")</f>
        <v>VD033</v>
      </c>
      <c r="C1190" s="2">
        <f>IFERROR(__xludf.DUMMYFUNCTION("""COMPUTED_VALUE"""),6.0)</f>
        <v>6</v>
      </c>
      <c r="D1190" s="2">
        <f>IFERROR(__xludf.DUMMYFUNCTION("""COMPUTED_VALUE"""),335.99)</f>
        <v>335.99</v>
      </c>
    </row>
    <row r="1191">
      <c r="A1191" s="2" t="str">
        <f>IFERROR(__xludf.DUMMYFUNCTION("""COMPUTED_VALUE"""),"PR048")</f>
        <v>PR048</v>
      </c>
      <c r="B1191" s="2" t="str">
        <f>IFERROR(__xludf.DUMMYFUNCTION("""COMPUTED_VALUE"""),"VD028")</f>
        <v>VD028</v>
      </c>
      <c r="C1191" s="2">
        <f>IFERROR(__xludf.DUMMYFUNCTION("""COMPUTED_VALUE"""),10.0)</f>
        <v>10</v>
      </c>
      <c r="D1191" s="2">
        <f>IFERROR(__xludf.DUMMYFUNCTION("""COMPUTED_VALUE"""),3101.93)</f>
        <v>3101.93</v>
      </c>
    </row>
    <row r="1192">
      <c r="A1192" s="2" t="str">
        <f>IFERROR(__xludf.DUMMYFUNCTION("""COMPUTED_VALUE"""),"PR051")</f>
        <v>PR051</v>
      </c>
      <c r="B1192" s="2" t="str">
        <f>IFERROR(__xludf.DUMMYFUNCTION("""COMPUTED_VALUE"""),"VD025")</f>
        <v>VD025</v>
      </c>
      <c r="C1192" s="2">
        <f>IFERROR(__xludf.DUMMYFUNCTION("""COMPUTED_VALUE"""),14.0)</f>
        <v>14</v>
      </c>
      <c r="D1192" s="2">
        <f>IFERROR(__xludf.DUMMYFUNCTION("""COMPUTED_VALUE"""),502.05)</f>
        <v>502.05</v>
      </c>
    </row>
    <row r="1193">
      <c r="A1193" s="2" t="str">
        <f>IFERROR(__xludf.DUMMYFUNCTION("""COMPUTED_VALUE"""),"PR025")</f>
        <v>PR025</v>
      </c>
      <c r="B1193" s="2" t="str">
        <f>IFERROR(__xludf.DUMMYFUNCTION("""COMPUTED_VALUE"""),"VD016")</f>
        <v>VD016</v>
      </c>
      <c r="C1193" s="2">
        <f>IFERROR(__xludf.DUMMYFUNCTION("""COMPUTED_VALUE"""),10.0)</f>
        <v>10</v>
      </c>
      <c r="D1193" s="2">
        <f>IFERROR(__xludf.DUMMYFUNCTION("""COMPUTED_VALUE"""),3058.98)</f>
        <v>3058.98</v>
      </c>
    </row>
    <row r="1194">
      <c r="A1194" s="2" t="str">
        <f>IFERROR(__xludf.DUMMYFUNCTION("""COMPUTED_VALUE"""),"PR055")</f>
        <v>PR055</v>
      </c>
      <c r="B1194" s="2" t="str">
        <f>IFERROR(__xludf.DUMMYFUNCTION("""COMPUTED_VALUE"""),"VD029")</f>
        <v>VD029</v>
      </c>
      <c r="C1194" s="2">
        <f>IFERROR(__xludf.DUMMYFUNCTION("""COMPUTED_VALUE"""),2.0)</f>
        <v>2</v>
      </c>
      <c r="D1194" s="2">
        <f>IFERROR(__xludf.DUMMYFUNCTION("""COMPUTED_VALUE"""),195.98)</f>
        <v>195.98</v>
      </c>
    </row>
    <row r="1195">
      <c r="A1195" s="2" t="str">
        <f>IFERROR(__xludf.DUMMYFUNCTION("""COMPUTED_VALUE"""),"PR043")</f>
        <v>PR043</v>
      </c>
      <c r="B1195" s="2" t="str">
        <f>IFERROR(__xludf.DUMMYFUNCTION("""COMPUTED_VALUE"""),"VD042")</f>
        <v>VD042</v>
      </c>
      <c r="C1195" s="2">
        <f>IFERROR(__xludf.DUMMYFUNCTION("""COMPUTED_VALUE"""),18.0)</f>
        <v>18</v>
      </c>
      <c r="D1195" s="2">
        <f>IFERROR(__xludf.DUMMYFUNCTION("""COMPUTED_VALUE"""),1318.05)</f>
        <v>1318.05</v>
      </c>
    </row>
    <row r="1196">
      <c r="A1196" s="2" t="str">
        <f>IFERROR(__xludf.DUMMYFUNCTION("""COMPUTED_VALUE"""),"PR010")</f>
        <v>PR010</v>
      </c>
      <c r="B1196" s="2" t="str">
        <f>IFERROR(__xludf.DUMMYFUNCTION("""COMPUTED_VALUE"""),"VD015")</f>
        <v>VD015</v>
      </c>
      <c r="C1196" s="2">
        <f>IFERROR(__xludf.DUMMYFUNCTION("""COMPUTED_VALUE"""),12.0)</f>
        <v>12</v>
      </c>
      <c r="D1196" s="2">
        <f>IFERROR(__xludf.DUMMYFUNCTION("""COMPUTED_VALUE"""),538.8)</f>
        <v>538.8</v>
      </c>
    </row>
    <row r="1197">
      <c r="A1197" s="2" t="str">
        <f>IFERROR(__xludf.DUMMYFUNCTION("""COMPUTED_VALUE"""),"PR043")</f>
        <v>PR043</v>
      </c>
      <c r="B1197" s="2" t="str">
        <f>IFERROR(__xludf.DUMMYFUNCTION("""COMPUTED_VALUE"""),"VD025")</f>
        <v>VD025</v>
      </c>
      <c r="C1197" s="2">
        <f>IFERROR(__xludf.DUMMYFUNCTION("""COMPUTED_VALUE"""),8.0)</f>
        <v>8</v>
      </c>
      <c r="D1197" s="2">
        <f>IFERROR(__xludf.DUMMYFUNCTION("""COMPUTED_VALUE"""),591.6)</f>
        <v>591.6</v>
      </c>
    </row>
    <row r="1198">
      <c r="A1198" s="2" t="str">
        <f>IFERROR(__xludf.DUMMYFUNCTION("""COMPUTED_VALUE"""),"PR041")</f>
        <v>PR041</v>
      </c>
      <c r="B1198" s="2" t="str">
        <f>IFERROR(__xludf.DUMMYFUNCTION("""COMPUTED_VALUE"""),"VD028")</f>
        <v>VD028</v>
      </c>
      <c r="C1198" s="2">
        <f>IFERROR(__xludf.DUMMYFUNCTION("""COMPUTED_VALUE"""),6.0)</f>
        <v>6</v>
      </c>
      <c r="D1198" s="2">
        <f>IFERROR(__xludf.DUMMYFUNCTION("""COMPUTED_VALUE"""),335.99)</f>
        <v>335.99</v>
      </c>
    </row>
    <row r="1199">
      <c r="A1199" s="2" t="str">
        <f>IFERROR(__xludf.DUMMYFUNCTION("""COMPUTED_VALUE"""),"PR001")</f>
        <v>PR001</v>
      </c>
      <c r="B1199" s="2" t="str">
        <f>IFERROR(__xludf.DUMMYFUNCTION("""COMPUTED_VALUE"""),"VD031")</f>
        <v>VD031</v>
      </c>
      <c r="C1199" s="2">
        <f>IFERROR(__xludf.DUMMYFUNCTION("""COMPUTED_VALUE"""),8.0)</f>
        <v>8</v>
      </c>
      <c r="D1199" s="2">
        <f>IFERROR(__xludf.DUMMYFUNCTION("""COMPUTED_VALUE"""),574.65)</f>
        <v>574.65</v>
      </c>
    </row>
    <row r="1200">
      <c r="A1200" s="2" t="str">
        <f>IFERROR(__xludf.DUMMYFUNCTION("""COMPUTED_VALUE"""),"PR007")</f>
        <v>PR007</v>
      </c>
      <c r="B1200" s="2" t="str">
        <f>IFERROR(__xludf.DUMMYFUNCTION("""COMPUTED_VALUE"""),"VD044")</f>
        <v>VD044</v>
      </c>
      <c r="C1200" s="2">
        <f>IFERROR(__xludf.DUMMYFUNCTION("""COMPUTED_VALUE"""),3.0)</f>
        <v>3</v>
      </c>
      <c r="D1200" s="2">
        <f>IFERROR(__xludf.DUMMYFUNCTION("""COMPUTED_VALUE"""),257.7)</f>
        <v>257.7</v>
      </c>
    </row>
    <row r="1201">
      <c r="A1201" s="2" t="str">
        <f>IFERROR(__xludf.DUMMYFUNCTION("""COMPUTED_VALUE"""),"PR032")</f>
        <v>PR032</v>
      </c>
      <c r="B1201" s="2" t="str">
        <f>IFERROR(__xludf.DUMMYFUNCTION("""COMPUTED_VALUE"""),"VD019")</f>
        <v>VD019</v>
      </c>
      <c r="C1201" s="2">
        <f>IFERROR(__xludf.DUMMYFUNCTION("""COMPUTED_VALUE"""),6.0)</f>
        <v>6</v>
      </c>
      <c r="D1201" s="2">
        <f>IFERROR(__xludf.DUMMYFUNCTION("""COMPUTED_VALUE"""),1515.0)</f>
        <v>1515</v>
      </c>
    </row>
    <row r="1202">
      <c r="A1202" s="2" t="str">
        <f>IFERROR(__xludf.DUMMYFUNCTION("""COMPUTED_VALUE"""),"PR040")</f>
        <v>PR040</v>
      </c>
      <c r="B1202" s="2" t="str">
        <f>IFERROR(__xludf.DUMMYFUNCTION("""COMPUTED_VALUE"""),"VD035")</f>
        <v>VD035</v>
      </c>
      <c r="C1202" s="2">
        <f>IFERROR(__xludf.DUMMYFUNCTION("""COMPUTED_VALUE"""),2.0)</f>
        <v>2</v>
      </c>
      <c r="D1202" s="2">
        <f>IFERROR(__xludf.DUMMYFUNCTION("""COMPUTED_VALUE"""),142.8)</f>
        <v>142.8</v>
      </c>
    </row>
    <row r="1203">
      <c r="A1203" s="2" t="str">
        <f>IFERROR(__xludf.DUMMYFUNCTION("""COMPUTED_VALUE"""),"PR027")</f>
        <v>PR027</v>
      </c>
      <c r="B1203" s="2" t="str">
        <f>IFERROR(__xludf.DUMMYFUNCTION("""COMPUTED_VALUE"""),"VD020")</f>
        <v>VD020</v>
      </c>
      <c r="C1203" s="2">
        <f>IFERROR(__xludf.DUMMYFUNCTION("""COMPUTED_VALUE"""),12.0)</f>
        <v>12</v>
      </c>
      <c r="D1203" s="2">
        <f>IFERROR(__xludf.DUMMYFUNCTION("""COMPUTED_VALUE"""),1555.2)</f>
        <v>1555.2</v>
      </c>
    </row>
    <row r="1204">
      <c r="A1204" s="2" t="str">
        <f>IFERROR(__xludf.DUMMYFUNCTION("""COMPUTED_VALUE"""),"PR021")</f>
        <v>PR021</v>
      </c>
      <c r="B1204" s="2" t="str">
        <f>IFERROR(__xludf.DUMMYFUNCTION("""COMPUTED_VALUE"""),"VD025")</f>
        <v>VD025</v>
      </c>
      <c r="C1204" s="2">
        <f>IFERROR(__xludf.DUMMYFUNCTION("""COMPUTED_VALUE"""),8.0)</f>
        <v>8</v>
      </c>
      <c r="D1204" s="2">
        <f>IFERROR(__xludf.DUMMYFUNCTION("""COMPUTED_VALUE"""),2447.43)</f>
        <v>2447.43</v>
      </c>
    </row>
    <row r="1205">
      <c r="A1205" s="2" t="str">
        <f>IFERROR(__xludf.DUMMYFUNCTION("""COMPUTED_VALUE"""),"PR007")</f>
        <v>PR007</v>
      </c>
      <c r="B1205" s="2" t="str">
        <f>IFERROR(__xludf.DUMMYFUNCTION("""COMPUTED_VALUE"""),"VD010")</f>
        <v>VD010</v>
      </c>
      <c r="C1205" s="2">
        <f>IFERROR(__xludf.DUMMYFUNCTION("""COMPUTED_VALUE"""),14.0)</f>
        <v>14</v>
      </c>
      <c r="D1205" s="2">
        <f>IFERROR(__xludf.DUMMYFUNCTION("""COMPUTED_VALUE"""),1310.83)</f>
        <v>1310.83</v>
      </c>
    </row>
    <row r="1206">
      <c r="A1206" s="2" t="str">
        <f>IFERROR(__xludf.DUMMYFUNCTION("""COMPUTED_VALUE"""),"PR049")</f>
        <v>PR049</v>
      </c>
      <c r="B1206" s="2" t="str">
        <f>IFERROR(__xludf.DUMMYFUNCTION("""COMPUTED_VALUE"""),"VD023")</f>
        <v>VD023</v>
      </c>
      <c r="C1206" s="2">
        <f>IFERROR(__xludf.DUMMYFUNCTION("""COMPUTED_VALUE"""),4.0)</f>
        <v>4</v>
      </c>
      <c r="D1206" s="2">
        <f>IFERROR(__xludf.DUMMYFUNCTION("""COMPUTED_VALUE"""),138.18)</f>
        <v>138.18</v>
      </c>
    </row>
    <row r="1207">
      <c r="A1207" s="2" t="str">
        <f>IFERROR(__xludf.DUMMYFUNCTION("""COMPUTED_VALUE"""),"PR011")</f>
        <v>PR011</v>
      </c>
      <c r="B1207" s="2" t="str">
        <f>IFERROR(__xludf.DUMMYFUNCTION("""COMPUTED_VALUE"""),"VD045")</f>
        <v>VD045</v>
      </c>
      <c r="C1207" s="2">
        <f>IFERROR(__xludf.DUMMYFUNCTION("""COMPUTED_VALUE"""),7.0)</f>
        <v>7</v>
      </c>
      <c r="D1207" s="2">
        <f>IFERROR(__xludf.DUMMYFUNCTION("""COMPUTED_VALUE"""),341.43)</f>
        <v>341.43</v>
      </c>
    </row>
    <row r="1208">
      <c r="A1208" s="2" t="str">
        <f>IFERROR(__xludf.DUMMYFUNCTION("""COMPUTED_VALUE"""),"PR014")</f>
        <v>PR014</v>
      </c>
      <c r="B1208" s="2" t="str">
        <f>IFERROR(__xludf.DUMMYFUNCTION("""COMPUTED_VALUE"""),"VD015")</f>
        <v>VD015</v>
      </c>
      <c r="C1208" s="2">
        <f>IFERROR(__xludf.DUMMYFUNCTION("""COMPUTED_VALUE"""),16.0)</f>
        <v>16</v>
      </c>
      <c r="D1208" s="2">
        <f>IFERROR(__xludf.DUMMYFUNCTION("""COMPUTED_VALUE"""),644.78)</f>
        <v>644.78</v>
      </c>
    </row>
    <row r="1209">
      <c r="A1209" s="2" t="str">
        <f>IFERROR(__xludf.DUMMYFUNCTION("""COMPUTED_VALUE"""),"PR021")</f>
        <v>PR021</v>
      </c>
      <c r="B1209" s="2" t="str">
        <f>IFERROR(__xludf.DUMMYFUNCTION("""COMPUTED_VALUE"""),"VD040")</f>
        <v>VD040</v>
      </c>
      <c r="C1209" s="2">
        <f>IFERROR(__xludf.DUMMYFUNCTION("""COMPUTED_VALUE"""),18.0)</f>
        <v>18</v>
      </c>
      <c r="D1209" s="2">
        <f>IFERROR(__xludf.DUMMYFUNCTION("""COMPUTED_VALUE"""),5942.9)</f>
        <v>5942.9</v>
      </c>
    </row>
    <row r="1210">
      <c r="A1210" s="2" t="str">
        <f>IFERROR(__xludf.DUMMYFUNCTION("""COMPUTED_VALUE"""),"PR011")</f>
        <v>PR011</v>
      </c>
      <c r="B1210" s="2" t="str">
        <f>IFERROR(__xludf.DUMMYFUNCTION("""COMPUTED_VALUE"""),"VD027")</f>
        <v>VD027</v>
      </c>
      <c r="C1210" s="2">
        <f>IFERROR(__xludf.DUMMYFUNCTION("""COMPUTED_VALUE"""),8.0)</f>
        <v>8</v>
      </c>
      <c r="D1210" s="2">
        <f>IFERROR(__xludf.DUMMYFUNCTION("""COMPUTED_VALUE"""),408.97)</f>
        <v>408.97</v>
      </c>
    </row>
    <row r="1211">
      <c r="A1211" s="2" t="str">
        <f>IFERROR(__xludf.DUMMYFUNCTION("""COMPUTED_VALUE"""),"PR003")</f>
        <v>PR003</v>
      </c>
      <c r="B1211" s="2" t="str">
        <f>IFERROR(__xludf.DUMMYFUNCTION("""COMPUTED_VALUE"""),"VD019")</f>
        <v>VD019</v>
      </c>
      <c r="C1211" s="2">
        <f>IFERROR(__xludf.DUMMYFUNCTION("""COMPUTED_VALUE"""),3.0)</f>
        <v>3</v>
      </c>
      <c r="D1211" s="2">
        <f>IFERROR(__xludf.DUMMYFUNCTION("""COMPUTED_VALUE"""),212.7)</f>
        <v>212.7</v>
      </c>
    </row>
    <row r="1212">
      <c r="A1212" s="2" t="str">
        <f>IFERROR(__xludf.DUMMYFUNCTION("""COMPUTED_VALUE"""),"PR045")</f>
        <v>PR045</v>
      </c>
      <c r="B1212" s="2" t="str">
        <f>IFERROR(__xludf.DUMMYFUNCTION("""COMPUTED_VALUE"""),"VD016")</f>
        <v>VD016</v>
      </c>
      <c r="C1212" s="2">
        <f>IFERROR(__xludf.DUMMYFUNCTION("""COMPUTED_VALUE"""),5.0)</f>
        <v>5</v>
      </c>
      <c r="D1212" s="2">
        <f>IFERROR(__xludf.DUMMYFUNCTION("""COMPUTED_VALUE"""),380.63)</f>
        <v>380.63</v>
      </c>
    </row>
    <row r="1213">
      <c r="A1213" s="2" t="str">
        <f>IFERROR(__xludf.DUMMYFUNCTION("""COMPUTED_VALUE"""),"PR056")</f>
        <v>PR056</v>
      </c>
      <c r="B1213" s="2" t="str">
        <f>IFERROR(__xludf.DUMMYFUNCTION("""COMPUTED_VALUE"""),"VD013")</f>
        <v>VD013</v>
      </c>
      <c r="C1213" s="2">
        <f>IFERROR(__xludf.DUMMYFUNCTION("""COMPUTED_VALUE"""),3.0)</f>
        <v>3</v>
      </c>
      <c r="D1213" s="2">
        <f>IFERROR(__xludf.DUMMYFUNCTION("""COMPUTED_VALUE"""),293.97)</f>
        <v>293.97</v>
      </c>
    </row>
    <row r="1214">
      <c r="A1214" s="2" t="str">
        <f>IFERROR(__xludf.DUMMYFUNCTION("""COMPUTED_VALUE"""),"PR039")</f>
        <v>PR039</v>
      </c>
      <c r="B1214" s="2" t="str">
        <f>IFERROR(__xludf.DUMMYFUNCTION("""COMPUTED_VALUE"""),"VD025")</f>
        <v>VD025</v>
      </c>
      <c r="C1214" s="2">
        <f>IFERROR(__xludf.DUMMYFUNCTION("""COMPUTED_VALUE"""),18.0)</f>
        <v>18</v>
      </c>
      <c r="D1214" s="2">
        <f>IFERROR(__xludf.DUMMYFUNCTION("""COMPUTED_VALUE"""),2733.12)</f>
        <v>2733.12</v>
      </c>
    </row>
    <row r="1215">
      <c r="A1215" s="2" t="str">
        <f>IFERROR(__xludf.DUMMYFUNCTION("""COMPUTED_VALUE"""),"PR001")</f>
        <v>PR001</v>
      </c>
      <c r="B1215" s="2" t="str">
        <f>IFERROR(__xludf.DUMMYFUNCTION("""COMPUTED_VALUE"""),"VD025")</f>
        <v>VD025</v>
      </c>
      <c r="C1215" s="2">
        <f>IFERROR(__xludf.DUMMYFUNCTION("""COMPUTED_VALUE"""),9.0)</f>
        <v>9</v>
      </c>
      <c r="D1215" s="2">
        <f>IFERROR(__xludf.DUMMYFUNCTION("""COMPUTED_VALUE"""),610.89)</f>
        <v>610.89</v>
      </c>
    </row>
    <row r="1216">
      <c r="A1216" s="2" t="str">
        <f>IFERROR(__xludf.DUMMYFUNCTION("""COMPUTED_VALUE"""),"PR004")</f>
        <v>PR004</v>
      </c>
      <c r="B1216" s="2" t="str">
        <f>IFERROR(__xludf.DUMMYFUNCTION("""COMPUTED_VALUE"""),"VD021")</f>
        <v>VD021</v>
      </c>
      <c r="C1216" s="2">
        <f>IFERROR(__xludf.DUMMYFUNCTION("""COMPUTED_VALUE"""),10.0)</f>
        <v>10</v>
      </c>
      <c r="D1216" s="2">
        <f>IFERROR(__xludf.DUMMYFUNCTION("""COMPUTED_VALUE"""),1537.0)</f>
        <v>1537</v>
      </c>
    </row>
    <row r="1217">
      <c r="A1217" s="2" t="str">
        <f>IFERROR(__xludf.DUMMYFUNCTION("""COMPUTED_VALUE"""),"PR026")</f>
        <v>PR026</v>
      </c>
      <c r="B1217" s="2" t="str">
        <f>IFERROR(__xludf.DUMMYFUNCTION("""COMPUTED_VALUE"""),"VD011")</f>
        <v>VD011</v>
      </c>
      <c r="C1217" s="2">
        <f>IFERROR(__xludf.DUMMYFUNCTION("""COMPUTED_VALUE"""),3.0)</f>
        <v>3</v>
      </c>
      <c r="D1217" s="2">
        <f>IFERROR(__xludf.DUMMYFUNCTION("""COMPUTED_VALUE"""),1060.2)</f>
        <v>1060.2</v>
      </c>
    </row>
    <row r="1218">
      <c r="A1218" s="2" t="str">
        <f>IFERROR(__xludf.DUMMYFUNCTION("""COMPUTED_VALUE"""),"PR013")</f>
        <v>PR013</v>
      </c>
      <c r="B1218" s="2" t="str">
        <f>IFERROR(__xludf.DUMMYFUNCTION("""COMPUTED_VALUE"""),"VD025")</f>
        <v>VD025</v>
      </c>
      <c r="C1218" s="2">
        <f>IFERROR(__xludf.DUMMYFUNCTION("""COMPUTED_VALUE"""),18.0)</f>
        <v>18</v>
      </c>
      <c r="D1218" s="2">
        <f>IFERROR(__xludf.DUMMYFUNCTION("""COMPUTED_VALUE"""),732.56)</f>
        <v>732.56</v>
      </c>
    </row>
    <row r="1219">
      <c r="A1219" s="2" t="str">
        <f>IFERROR(__xludf.DUMMYFUNCTION("""COMPUTED_VALUE"""),"PR033")</f>
        <v>PR033</v>
      </c>
      <c r="B1219" s="2" t="str">
        <f>IFERROR(__xludf.DUMMYFUNCTION("""COMPUTED_VALUE"""),"VD023")</f>
        <v>VD023</v>
      </c>
      <c r="C1219" s="2">
        <f>IFERROR(__xludf.DUMMYFUNCTION("""COMPUTED_VALUE"""),7.0)</f>
        <v>7</v>
      </c>
      <c r="D1219" s="2">
        <f>IFERROR(__xludf.DUMMYFUNCTION("""COMPUTED_VALUE"""),2001.23)</f>
        <v>2001.23</v>
      </c>
    </row>
    <row r="1220">
      <c r="A1220" s="2" t="str">
        <f>IFERROR(__xludf.DUMMYFUNCTION("""COMPUTED_VALUE"""),"PR052")</f>
        <v>PR052</v>
      </c>
      <c r="B1220" s="2" t="str">
        <f>IFERROR(__xludf.DUMMYFUNCTION("""COMPUTED_VALUE"""),"VD022")</f>
        <v>VD022</v>
      </c>
      <c r="C1220" s="2">
        <f>IFERROR(__xludf.DUMMYFUNCTION("""COMPUTED_VALUE"""),5.0)</f>
        <v>5</v>
      </c>
      <c r="D1220" s="2">
        <f>IFERROR(__xludf.DUMMYFUNCTION("""COMPUTED_VALUE"""),254.49)</f>
        <v>254.49</v>
      </c>
    </row>
    <row r="1221">
      <c r="A1221" s="2" t="str">
        <f>IFERROR(__xludf.DUMMYFUNCTION("""COMPUTED_VALUE"""),"PR028")</f>
        <v>PR028</v>
      </c>
      <c r="B1221" s="2" t="str">
        <f>IFERROR(__xludf.DUMMYFUNCTION("""COMPUTED_VALUE"""),"VD024")</f>
        <v>VD024</v>
      </c>
      <c r="C1221" s="2">
        <f>IFERROR(__xludf.DUMMYFUNCTION("""COMPUTED_VALUE"""),18.0)</f>
        <v>18</v>
      </c>
      <c r="D1221" s="2">
        <f>IFERROR(__xludf.DUMMYFUNCTION("""COMPUTED_VALUE"""),4498.2)</f>
        <v>4498.2</v>
      </c>
    </row>
    <row r="1222">
      <c r="A1222" s="2" t="str">
        <f>IFERROR(__xludf.DUMMYFUNCTION("""COMPUTED_VALUE"""),"PR032")</f>
        <v>PR032</v>
      </c>
      <c r="B1222" s="2" t="str">
        <f>IFERROR(__xludf.DUMMYFUNCTION("""COMPUTED_VALUE"""),"VD026")</f>
        <v>VD026</v>
      </c>
      <c r="C1222" s="2">
        <f>IFERROR(__xludf.DUMMYFUNCTION("""COMPUTED_VALUE"""),7.0)</f>
        <v>7</v>
      </c>
      <c r="D1222" s="2">
        <f>IFERROR(__xludf.DUMMYFUNCTION("""COMPUTED_VALUE"""),1785.0)</f>
        <v>1785</v>
      </c>
    </row>
    <row r="1223">
      <c r="A1223" s="2" t="str">
        <f>IFERROR(__xludf.DUMMYFUNCTION("""COMPUTED_VALUE"""),"PR014")</f>
        <v>PR014</v>
      </c>
      <c r="B1223" s="2" t="str">
        <f>IFERROR(__xludf.DUMMYFUNCTION("""COMPUTED_VALUE"""),"VD019")</f>
        <v>VD019</v>
      </c>
      <c r="C1223" s="2">
        <f>IFERROR(__xludf.DUMMYFUNCTION("""COMPUTED_VALUE"""),2.0)</f>
        <v>2</v>
      </c>
      <c r="D1223" s="2">
        <f>IFERROR(__xludf.DUMMYFUNCTION("""COMPUTED_VALUE"""),85.39)</f>
        <v>85.39</v>
      </c>
    </row>
    <row r="1224">
      <c r="A1224" s="2" t="str">
        <f>IFERROR(__xludf.DUMMYFUNCTION("""COMPUTED_VALUE"""),"PR027")</f>
        <v>PR027</v>
      </c>
      <c r="B1224" s="2" t="str">
        <f>IFERROR(__xludf.DUMMYFUNCTION("""COMPUTED_VALUE"""),"VD011")</f>
        <v>VD011</v>
      </c>
      <c r="C1224" s="2">
        <f>IFERROR(__xludf.DUMMYFUNCTION("""COMPUTED_VALUE"""),4.0)</f>
        <v>4</v>
      </c>
      <c r="D1224" s="2">
        <f>IFERROR(__xludf.DUMMYFUNCTION("""COMPUTED_VALUE"""),513.6)</f>
        <v>513.6</v>
      </c>
    </row>
    <row r="1225">
      <c r="A1225" s="2" t="str">
        <f>IFERROR(__xludf.DUMMYFUNCTION("""COMPUTED_VALUE"""),"PR054")</f>
        <v>PR054</v>
      </c>
      <c r="B1225" s="2" t="str">
        <f>IFERROR(__xludf.DUMMYFUNCTION("""COMPUTED_VALUE"""),"VD039")</f>
        <v>VD039</v>
      </c>
      <c r="C1225" s="2">
        <f>IFERROR(__xludf.DUMMYFUNCTION("""COMPUTED_VALUE"""),10.0)</f>
        <v>10</v>
      </c>
      <c r="D1225" s="2">
        <f>IFERROR(__xludf.DUMMYFUNCTION("""COMPUTED_VALUE"""),528.94)</f>
        <v>528.94</v>
      </c>
    </row>
    <row r="1226">
      <c r="A1226" s="2" t="str">
        <f>IFERROR(__xludf.DUMMYFUNCTION("""COMPUTED_VALUE"""),"PR050")</f>
        <v>PR050</v>
      </c>
      <c r="B1226" s="2" t="str">
        <f>IFERROR(__xludf.DUMMYFUNCTION("""COMPUTED_VALUE"""),"VD016")</f>
        <v>VD016</v>
      </c>
      <c r="C1226" s="2">
        <f>IFERROR(__xludf.DUMMYFUNCTION("""COMPUTED_VALUE"""),4.0)</f>
        <v>4</v>
      </c>
      <c r="D1226" s="2">
        <f>IFERROR(__xludf.DUMMYFUNCTION("""COMPUTED_VALUE"""),139.5)</f>
        <v>139.5</v>
      </c>
    </row>
    <row r="1227">
      <c r="A1227" s="2" t="str">
        <f>IFERROR(__xludf.DUMMYFUNCTION("""COMPUTED_VALUE"""),"PR041")</f>
        <v>PR041</v>
      </c>
      <c r="B1227" s="2" t="str">
        <f>IFERROR(__xludf.DUMMYFUNCTION("""COMPUTED_VALUE"""),"VD027")</f>
        <v>VD027</v>
      </c>
      <c r="C1227" s="2">
        <f>IFERROR(__xludf.DUMMYFUNCTION("""COMPUTED_VALUE"""),10.0)</f>
        <v>10</v>
      </c>
      <c r="D1227" s="2">
        <f>IFERROR(__xludf.DUMMYFUNCTION("""COMPUTED_VALUE"""),592.92)</f>
        <v>592.92</v>
      </c>
    </row>
    <row r="1228">
      <c r="A1228" s="2" t="str">
        <f>IFERROR(__xludf.DUMMYFUNCTION("""COMPUTED_VALUE"""),"PR046")</f>
        <v>PR046</v>
      </c>
      <c r="B1228" s="2" t="str">
        <f>IFERROR(__xludf.DUMMYFUNCTION("""COMPUTED_VALUE"""),"VD020")</f>
        <v>VD020</v>
      </c>
      <c r="C1228" s="2">
        <f>IFERROR(__xludf.DUMMYFUNCTION("""COMPUTED_VALUE"""),12.0)</f>
        <v>12</v>
      </c>
      <c r="D1228" s="2">
        <f>IFERROR(__xludf.DUMMYFUNCTION("""COMPUTED_VALUE"""),3513.59)</f>
        <v>3513.59</v>
      </c>
    </row>
    <row r="1229">
      <c r="A1229" s="2" t="str">
        <f>IFERROR(__xludf.DUMMYFUNCTION("""COMPUTED_VALUE"""),"PR039")</f>
        <v>PR039</v>
      </c>
      <c r="B1229" s="2" t="str">
        <f>IFERROR(__xludf.DUMMYFUNCTION("""COMPUTED_VALUE"""),"VD048")</f>
        <v>VD048</v>
      </c>
      <c r="C1229" s="2">
        <f>IFERROR(__xludf.DUMMYFUNCTION("""COMPUTED_VALUE"""),12.0)</f>
        <v>12</v>
      </c>
      <c r="D1229" s="2">
        <f>IFERROR(__xludf.DUMMYFUNCTION("""COMPUTED_VALUE"""),1752.0)</f>
        <v>1752</v>
      </c>
    </row>
    <row r="1230">
      <c r="A1230" s="2" t="str">
        <f>IFERROR(__xludf.DUMMYFUNCTION("""COMPUTED_VALUE"""),"PR008")</f>
        <v>PR008</v>
      </c>
      <c r="B1230" s="2" t="str">
        <f>IFERROR(__xludf.DUMMYFUNCTION("""COMPUTED_VALUE"""),"VD033")</f>
        <v>VD033</v>
      </c>
      <c r="C1230" s="2">
        <f>IFERROR(__xludf.DUMMYFUNCTION("""COMPUTED_VALUE"""),8.0)</f>
        <v>8</v>
      </c>
      <c r="D1230" s="2">
        <f>IFERROR(__xludf.DUMMYFUNCTION("""COMPUTED_VALUE"""),776.74)</f>
        <v>776.74</v>
      </c>
    </row>
    <row r="1231">
      <c r="A1231" s="2" t="str">
        <f>IFERROR(__xludf.DUMMYFUNCTION("""COMPUTED_VALUE"""),"PR035")</f>
        <v>PR035</v>
      </c>
      <c r="B1231" s="2" t="str">
        <f>IFERROR(__xludf.DUMMYFUNCTION("""COMPUTED_VALUE"""),"VD011")</f>
        <v>VD011</v>
      </c>
      <c r="C1231" s="2">
        <f>IFERROR(__xludf.DUMMYFUNCTION("""COMPUTED_VALUE"""),2.0)</f>
        <v>2</v>
      </c>
      <c r="D1231" s="2">
        <f>IFERROR(__xludf.DUMMYFUNCTION("""COMPUTED_VALUE"""),186.46)</f>
        <v>186.46</v>
      </c>
    </row>
    <row r="1232">
      <c r="A1232" s="2" t="str">
        <f>IFERROR(__xludf.DUMMYFUNCTION("""COMPUTED_VALUE"""),"PR026")</f>
        <v>PR026</v>
      </c>
      <c r="B1232" s="2" t="str">
        <f>IFERROR(__xludf.DUMMYFUNCTION("""COMPUTED_VALUE"""),"VD025")</f>
        <v>VD025</v>
      </c>
      <c r="C1232" s="2">
        <f>IFERROR(__xludf.DUMMYFUNCTION("""COMPUTED_VALUE"""),16.0)</f>
        <v>16</v>
      </c>
      <c r="D1232" s="2">
        <f>IFERROR(__xludf.DUMMYFUNCTION("""COMPUTED_VALUE"""),5710.37)</f>
        <v>5710.37</v>
      </c>
    </row>
    <row r="1233">
      <c r="A1233" s="2" t="str">
        <f>IFERROR(__xludf.DUMMYFUNCTION("""COMPUTED_VALUE"""),"PR059")</f>
        <v>PR059</v>
      </c>
      <c r="B1233" s="2" t="str">
        <f>IFERROR(__xludf.DUMMYFUNCTION("""COMPUTED_VALUE"""),"VD033")</f>
        <v>VD033</v>
      </c>
      <c r="C1233" s="2">
        <f>IFERROR(__xludf.DUMMYFUNCTION("""COMPUTED_VALUE"""),20.0)</f>
        <v>20</v>
      </c>
      <c r="D1233" s="2">
        <f>IFERROR(__xludf.DUMMYFUNCTION("""COMPUTED_VALUE"""),3924.0)</f>
        <v>3924</v>
      </c>
    </row>
    <row r="1234">
      <c r="A1234" s="2" t="str">
        <f>IFERROR(__xludf.DUMMYFUNCTION("""COMPUTED_VALUE"""),"PR033")</f>
        <v>PR033</v>
      </c>
      <c r="B1234" s="2" t="str">
        <f>IFERROR(__xludf.DUMMYFUNCTION("""COMPUTED_VALUE"""),"VD035")</f>
        <v>VD035</v>
      </c>
      <c r="C1234" s="2">
        <f>IFERROR(__xludf.DUMMYFUNCTION("""COMPUTED_VALUE"""),6.0)</f>
        <v>6</v>
      </c>
      <c r="D1234" s="2">
        <f>IFERROR(__xludf.DUMMYFUNCTION("""COMPUTED_VALUE"""),1652.96)</f>
        <v>1652.96</v>
      </c>
    </row>
    <row r="1235">
      <c r="A1235" s="2" t="str">
        <f>IFERROR(__xludf.DUMMYFUNCTION("""COMPUTED_VALUE"""),"PR044")</f>
        <v>PR044</v>
      </c>
      <c r="B1235" s="2" t="str">
        <f>IFERROR(__xludf.DUMMYFUNCTION("""COMPUTED_VALUE"""),"VD034")</f>
        <v>VD034</v>
      </c>
      <c r="C1235" s="2">
        <f>IFERROR(__xludf.DUMMYFUNCTION("""COMPUTED_VALUE"""),6.0)</f>
        <v>6</v>
      </c>
      <c r="D1235" s="2">
        <f>IFERROR(__xludf.DUMMYFUNCTION("""COMPUTED_VALUE"""),439.35)</f>
        <v>439.35</v>
      </c>
    </row>
    <row r="1236">
      <c r="A1236" s="2" t="str">
        <f>IFERROR(__xludf.DUMMYFUNCTION("""COMPUTED_VALUE"""),"PR050")</f>
        <v>PR050</v>
      </c>
      <c r="B1236" s="2" t="str">
        <f>IFERROR(__xludf.DUMMYFUNCTION("""COMPUTED_VALUE"""),"VD026")</f>
        <v>VD026</v>
      </c>
      <c r="C1236" s="2">
        <f>IFERROR(__xludf.DUMMYFUNCTION("""COMPUTED_VALUE"""),1.0)</f>
        <v>1</v>
      </c>
      <c r="D1236" s="2">
        <f>IFERROR(__xludf.DUMMYFUNCTION("""COMPUTED_VALUE"""),33.56)</f>
        <v>33.56</v>
      </c>
    </row>
    <row r="1237">
      <c r="A1237" s="2" t="str">
        <f>IFERROR(__xludf.DUMMYFUNCTION("""COMPUTED_VALUE"""),"PR019")</f>
        <v>PR019</v>
      </c>
      <c r="B1237" s="2" t="str">
        <f>IFERROR(__xludf.DUMMYFUNCTION("""COMPUTED_VALUE"""),"VD010")</f>
        <v>VD010</v>
      </c>
      <c r="C1237" s="2">
        <f>IFERROR(__xludf.DUMMYFUNCTION("""COMPUTED_VALUE"""),6.0)</f>
        <v>6</v>
      </c>
      <c r="D1237" s="2">
        <f>IFERROR(__xludf.DUMMYFUNCTION("""COMPUTED_VALUE"""),323.35)</f>
        <v>323.35</v>
      </c>
    </row>
    <row r="1238">
      <c r="A1238" s="2" t="str">
        <f>IFERROR(__xludf.DUMMYFUNCTION("""COMPUTED_VALUE"""),"PR058")</f>
        <v>PR058</v>
      </c>
      <c r="B1238" s="2" t="str">
        <f>IFERROR(__xludf.DUMMYFUNCTION("""COMPUTED_VALUE"""),"VD019")</f>
        <v>VD019</v>
      </c>
      <c r="C1238" s="2">
        <f>IFERROR(__xludf.DUMMYFUNCTION("""COMPUTED_VALUE"""),16.0)</f>
        <v>16</v>
      </c>
      <c r="D1238" s="2">
        <f>IFERROR(__xludf.DUMMYFUNCTION("""COMPUTED_VALUE"""),2908.8)</f>
        <v>2908.8</v>
      </c>
    </row>
    <row r="1239">
      <c r="A1239" s="2" t="str">
        <f>IFERROR(__xludf.DUMMYFUNCTION("""COMPUTED_VALUE"""),"PR024")</f>
        <v>PR024</v>
      </c>
      <c r="B1239" s="2" t="str">
        <f>IFERROR(__xludf.DUMMYFUNCTION("""COMPUTED_VALUE"""),"VD015")</f>
        <v>VD015</v>
      </c>
      <c r="C1239" s="2">
        <f>IFERROR(__xludf.DUMMYFUNCTION("""COMPUTED_VALUE"""),5.0)</f>
        <v>5</v>
      </c>
      <c r="D1239" s="2">
        <f>IFERROR(__xludf.DUMMYFUNCTION("""COMPUTED_VALUE"""),1390.47)</f>
        <v>1390.47</v>
      </c>
    </row>
    <row r="1240">
      <c r="A1240" s="2" t="str">
        <f>IFERROR(__xludf.DUMMYFUNCTION("""COMPUTED_VALUE"""),"PR022")</f>
        <v>PR022</v>
      </c>
      <c r="B1240" s="2" t="str">
        <f>IFERROR(__xludf.DUMMYFUNCTION("""COMPUTED_VALUE"""),"VD049")</f>
        <v>VD049</v>
      </c>
      <c r="C1240" s="2">
        <f>IFERROR(__xludf.DUMMYFUNCTION("""COMPUTED_VALUE"""),20.0)</f>
        <v>20</v>
      </c>
      <c r="D1240" s="2">
        <f>IFERROR(__xludf.DUMMYFUNCTION("""COMPUTED_VALUE"""),6540.0)</f>
        <v>6540</v>
      </c>
    </row>
    <row r="1241">
      <c r="A1241" s="2" t="str">
        <f>IFERROR(__xludf.DUMMYFUNCTION("""COMPUTED_VALUE"""),"PR015")</f>
        <v>PR015</v>
      </c>
      <c r="B1241" s="2" t="str">
        <f>IFERROR(__xludf.DUMMYFUNCTION("""COMPUTED_VALUE"""),"VD010")</f>
        <v>VD010</v>
      </c>
      <c r="C1241" s="2">
        <f>IFERROR(__xludf.DUMMYFUNCTION("""COMPUTED_VALUE"""),4.0)</f>
        <v>4</v>
      </c>
      <c r="D1241" s="2">
        <f>IFERROR(__xludf.DUMMYFUNCTION("""COMPUTED_VALUE"""),185.3)</f>
        <v>185.3</v>
      </c>
    </row>
    <row r="1242">
      <c r="A1242" s="2" t="str">
        <f>IFERROR(__xludf.DUMMYFUNCTION("""COMPUTED_VALUE"""),"PR005")</f>
        <v>PR005</v>
      </c>
      <c r="B1242" s="2" t="str">
        <f>IFERROR(__xludf.DUMMYFUNCTION("""COMPUTED_VALUE"""),"VD043")</f>
        <v>VD043</v>
      </c>
      <c r="C1242" s="2">
        <f>IFERROR(__xludf.DUMMYFUNCTION("""COMPUTED_VALUE"""),7.0)</f>
        <v>7</v>
      </c>
      <c r="D1242" s="2">
        <f>IFERROR(__xludf.DUMMYFUNCTION("""COMPUTED_VALUE"""),1910.27)</f>
        <v>1910.27</v>
      </c>
    </row>
    <row r="1243">
      <c r="A1243" s="2" t="str">
        <f>IFERROR(__xludf.DUMMYFUNCTION("""COMPUTED_VALUE"""),"PR048")</f>
        <v>PR048</v>
      </c>
      <c r="B1243" s="2" t="str">
        <f>IFERROR(__xludf.DUMMYFUNCTION("""COMPUTED_VALUE"""),"VD012")</f>
        <v>VD012</v>
      </c>
      <c r="C1243" s="2">
        <f>IFERROR(__xludf.DUMMYFUNCTION("""COMPUTED_VALUE"""),2.0)</f>
        <v>2</v>
      </c>
      <c r="D1243" s="2">
        <f>IFERROR(__xludf.DUMMYFUNCTION("""COMPUTED_VALUE"""),626.18)</f>
        <v>626.18</v>
      </c>
    </row>
    <row r="1244">
      <c r="A1244" s="2" t="str">
        <f>IFERROR(__xludf.DUMMYFUNCTION("""COMPUTED_VALUE"""),"PR024")</f>
        <v>PR024</v>
      </c>
      <c r="B1244" s="2" t="str">
        <f>IFERROR(__xludf.DUMMYFUNCTION("""COMPUTED_VALUE"""),"VD025")</f>
        <v>VD025</v>
      </c>
      <c r="C1244" s="2">
        <f>IFERROR(__xludf.DUMMYFUNCTION("""COMPUTED_VALUE"""),10.0)</f>
        <v>10</v>
      </c>
      <c r="D1244" s="2">
        <f>IFERROR(__xludf.DUMMYFUNCTION("""COMPUTED_VALUE"""),2858.9)</f>
        <v>2858.9</v>
      </c>
    </row>
    <row r="1245">
      <c r="A1245" s="2" t="str">
        <f>IFERROR(__xludf.DUMMYFUNCTION("""COMPUTED_VALUE"""),"PR019")</f>
        <v>PR019</v>
      </c>
      <c r="B1245" s="2" t="str">
        <f>IFERROR(__xludf.DUMMYFUNCTION("""COMPUTED_VALUE"""),"VD035")</f>
        <v>VD035</v>
      </c>
      <c r="C1245" s="2">
        <f>IFERROR(__xludf.DUMMYFUNCTION("""COMPUTED_VALUE"""),8.0)</f>
        <v>8</v>
      </c>
      <c r="D1245" s="2">
        <f>IFERROR(__xludf.DUMMYFUNCTION("""COMPUTED_VALUE"""),419.16)</f>
        <v>419.16</v>
      </c>
    </row>
    <row r="1246">
      <c r="A1246" s="2" t="str">
        <f>IFERROR(__xludf.DUMMYFUNCTION("""COMPUTED_VALUE"""),"PR029")</f>
        <v>PR029</v>
      </c>
      <c r="B1246" s="2" t="str">
        <f>IFERROR(__xludf.DUMMYFUNCTION("""COMPUTED_VALUE"""),"VD038")</f>
        <v>VD038</v>
      </c>
      <c r="C1246" s="2">
        <f>IFERROR(__xludf.DUMMYFUNCTION("""COMPUTED_VALUE"""),9.0)</f>
        <v>9</v>
      </c>
      <c r="D1246" s="2">
        <f>IFERROR(__xludf.DUMMYFUNCTION("""COMPUTED_VALUE"""),2478.6)</f>
        <v>2478.6</v>
      </c>
    </row>
    <row r="1247">
      <c r="A1247" s="2" t="str">
        <f>IFERROR(__xludf.DUMMYFUNCTION("""COMPUTED_VALUE"""),"PR043")</f>
        <v>PR043</v>
      </c>
      <c r="B1247" s="2" t="str">
        <f>IFERROR(__xludf.DUMMYFUNCTION("""COMPUTED_VALUE"""),"VD045")</f>
        <v>VD045</v>
      </c>
      <c r="C1247" s="2">
        <f>IFERROR(__xludf.DUMMYFUNCTION("""COMPUTED_VALUE"""),18.0)</f>
        <v>18</v>
      </c>
      <c r="D1247" s="2">
        <f>IFERROR(__xludf.DUMMYFUNCTION("""COMPUTED_VALUE"""),1396.35)</f>
        <v>1396.35</v>
      </c>
    </row>
    <row r="1248">
      <c r="A1248" s="2" t="str">
        <f>IFERROR(__xludf.DUMMYFUNCTION("""COMPUTED_VALUE"""),"PR039")</f>
        <v>PR039</v>
      </c>
      <c r="B1248" s="2" t="str">
        <f>IFERROR(__xludf.DUMMYFUNCTION("""COMPUTED_VALUE"""),"VD042")</f>
        <v>VD042</v>
      </c>
      <c r="C1248" s="2">
        <f>IFERROR(__xludf.DUMMYFUNCTION("""COMPUTED_VALUE"""),2.0)</f>
        <v>2</v>
      </c>
      <c r="D1248" s="2">
        <f>IFERROR(__xludf.DUMMYFUNCTION("""COMPUTED_VALUE"""),315.36)</f>
        <v>315.36</v>
      </c>
    </row>
    <row r="1249">
      <c r="A1249" s="2" t="str">
        <f>IFERROR(__xludf.DUMMYFUNCTION("""COMPUTED_VALUE"""),"PR003")</f>
        <v>PR003</v>
      </c>
      <c r="B1249" s="2" t="str">
        <f>IFERROR(__xludf.DUMMYFUNCTION("""COMPUTED_VALUE"""),"VD010")</f>
        <v>VD010</v>
      </c>
      <c r="C1249" s="2">
        <f>IFERROR(__xludf.DUMMYFUNCTION("""COMPUTED_VALUE"""),9.0)</f>
        <v>9</v>
      </c>
      <c r="D1249" s="2">
        <f>IFERROR(__xludf.DUMMYFUNCTION("""COMPUTED_VALUE"""),689.15)</f>
        <v>689.15</v>
      </c>
    </row>
    <row r="1250">
      <c r="A1250" s="2" t="str">
        <f>IFERROR(__xludf.DUMMYFUNCTION("""COMPUTED_VALUE"""),"PR002")</f>
        <v>PR002</v>
      </c>
      <c r="B1250" s="2" t="str">
        <f>IFERROR(__xludf.DUMMYFUNCTION("""COMPUTED_VALUE"""),"VD042")</f>
        <v>VD042</v>
      </c>
      <c r="C1250" s="2">
        <f>IFERROR(__xludf.DUMMYFUNCTION("""COMPUTED_VALUE"""),10.0)</f>
        <v>10</v>
      </c>
      <c r="D1250" s="2">
        <f>IFERROR(__xludf.DUMMYFUNCTION("""COMPUTED_VALUE"""),726.96)</f>
        <v>726.96</v>
      </c>
    </row>
    <row r="1251">
      <c r="A1251" s="2" t="str">
        <f>IFERROR(__xludf.DUMMYFUNCTION("""COMPUTED_VALUE"""),"PR015")</f>
        <v>PR015</v>
      </c>
      <c r="B1251" s="2" t="str">
        <f>IFERROR(__xludf.DUMMYFUNCTION("""COMPUTED_VALUE"""),"VD037")</f>
        <v>VD037</v>
      </c>
      <c r="C1251" s="2">
        <f>IFERROR(__xludf.DUMMYFUNCTION("""COMPUTED_VALUE"""),9.0)</f>
        <v>9</v>
      </c>
      <c r="D1251" s="2">
        <f>IFERROR(__xludf.DUMMYFUNCTION("""COMPUTED_VALUE"""),416.93)</f>
        <v>416.93</v>
      </c>
    </row>
    <row r="1252">
      <c r="A1252" s="2" t="str">
        <f>IFERROR(__xludf.DUMMYFUNCTION("""COMPUTED_VALUE"""),"PR017")</f>
        <v>PR017</v>
      </c>
      <c r="B1252" s="2" t="str">
        <f>IFERROR(__xludf.DUMMYFUNCTION("""COMPUTED_VALUE"""),"VD049")</f>
        <v>VD049</v>
      </c>
      <c r="C1252" s="2">
        <f>IFERROR(__xludf.DUMMYFUNCTION("""COMPUTED_VALUE"""),6.0)</f>
        <v>6</v>
      </c>
      <c r="D1252" s="2">
        <f>IFERROR(__xludf.DUMMYFUNCTION("""COMPUTED_VALUE"""),182.99)</f>
        <v>182.99</v>
      </c>
    </row>
    <row r="1253">
      <c r="A1253" s="2" t="str">
        <f>IFERROR(__xludf.DUMMYFUNCTION("""COMPUTED_VALUE"""),"PR031")</f>
        <v>PR031</v>
      </c>
      <c r="B1253" s="2" t="str">
        <f>IFERROR(__xludf.DUMMYFUNCTION("""COMPUTED_VALUE"""),"VD021")</f>
        <v>VD021</v>
      </c>
      <c r="C1253" s="2">
        <f>IFERROR(__xludf.DUMMYFUNCTION("""COMPUTED_VALUE"""),8.0)</f>
        <v>8</v>
      </c>
      <c r="D1253" s="2">
        <f>IFERROR(__xludf.DUMMYFUNCTION("""COMPUTED_VALUE"""),1999.2)</f>
        <v>1999.2</v>
      </c>
    </row>
    <row r="1254">
      <c r="A1254" s="2" t="str">
        <f>IFERROR(__xludf.DUMMYFUNCTION("""COMPUTED_VALUE"""),"PR053")</f>
        <v>PR053</v>
      </c>
      <c r="B1254" s="2" t="str">
        <f>IFERROR(__xludf.DUMMYFUNCTION("""COMPUTED_VALUE"""),"VD041")</f>
        <v>VD041</v>
      </c>
      <c r="C1254" s="2">
        <f>IFERROR(__xludf.DUMMYFUNCTION("""COMPUTED_VALUE"""),1.0)</f>
        <v>1</v>
      </c>
      <c r="D1254" s="2">
        <f>IFERROR(__xludf.DUMMYFUNCTION("""COMPUTED_VALUE"""),54.39)</f>
        <v>54.39</v>
      </c>
    </row>
    <row r="1255">
      <c r="A1255" s="2" t="str">
        <f>IFERROR(__xludf.DUMMYFUNCTION("""COMPUTED_VALUE"""),"PR016")</f>
        <v>PR016</v>
      </c>
      <c r="B1255" s="2" t="str">
        <f>IFERROR(__xludf.DUMMYFUNCTION("""COMPUTED_VALUE"""),"VD042")</f>
        <v>VD042</v>
      </c>
      <c r="C1255" s="2">
        <f>IFERROR(__xludf.DUMMYFUNCTION("""COMPUTED_VALUE"""),6.0)</f>
        <v>6</v>
      </c>
      <c r="D1255" s="2">
        <f>IFERROR(__xludf.DUMMYFUNCTION("""COMPUTED_VALUE"""),166.28)</f>
        <v>166.28</v>
      </c>
    </row>
    <row r="1256">
      <c r="A1256" s="2" t="str">
        <f>IFERROR(__xludf.DUMMYFUNCTION("""COMPUTED_VALUE"""),"PR016")</f>
        <v>PR016</v>
      </c>
      <c r="B1256" s="2" t="str">
        <f>IFERROR(__xludf.DUMMYFUNCTION("""COMPUTED_VALUE"""),"VD048")</f>
        <v>VD048</v>
      </c>
      <c r="C1256" s="2">
        <f>IFERROR(__xludf.DUMMYFUNCTION("""COMPUTED_VALUE"""),5.0)</f>
        <v>5</v>
      </c>
      <c r="D1256" s="2">
        <f>IFERROR(__xludf.DUMMYFUNCTION("""COMPUTED_VALUE"""),132.09)</f>
        <v>132.09</v>
      </c>
    </row>
    <row r="1257">
      <c r="A1257" s="2" t="str">
        <f>IFERROR(__xludf.DUMMYFUNCTION("""COMPUTED_VALUE"""),"PR002")</f>
        <v>PR002</v>
      </c>
      <c r="B1257" s="2" t="str">
        <f>IFERROR(__xludf.DUMMYFUNCTION("""COMPUTED_VALUE"""),"VD025")</f>
        <v>VD025</v>
      </c>
      <c r="C1257" s="2">
        <f>IFERROR(__xludf.DUMMYFUNCTION("""COMPUTED_VALUE"""),18.0)</f>
        <v>18</v>
      </c>
      <c r="D1257" s="2">
        <f>IFERROR(__xludf.DUMMYFUNCTION("""COMPUTED_VALUE"""),1295.95)</f>
        <v>1295.95</v>
      </c>
    </row>
    <row r="1258">
      <c r="A1258" s="2" t="str">
        <f>IFERROR(__xludf.DUMMYFUNCTION("""COMPUTED_VALUE"""),"PR039")</f>
        <v>PR039</v>
      </c>
      <c r="B1258" s="2" t="str">
        <f>IFERROR(__xludf.DUMMYFUNCTION("""COMPUTED_VALUE"""),"VD046")</f>
        <v>VD046</v>
      </c>
      <c r="C1258" s="2">
        <f>IFERROR(__xludf.DUMMYFUNCTION("""COMPUTED_VALUE"""),8.0)</f>
        <v>8</v>
      </c>
      <c r="D1258" s="2">
        <f>IFERROR(__xludf.DUMMYFUNCTION("""COMPUTED_VALUE"""),1214.72)</f>
        <v>1214.72</v>
      </c>
    </row>
    <row r="1259">
      <c r="A1259" s="2" t="str">
        <f>IFERROR(__xludf.DUMMYFUNCTION("""COMPUTED_VALUE"""),"PR020")</f>
        <v>PR020</v>
      </c>
      <c r="B1259" s="2" t="str">
        <f>IFERROR(__xludf.DUMMYFUNCTION("""COMPUTED_VALUE"""),"VD017")</f>
        <v>VD017</v>
      </c>
      <c r="C1259" s="2">
        <f>IFERROR(__xludf.DUMMYFUNCTION("""COMPUTED_VALUE"""),8.0)</f>
        <v>8</v>
      </c>
      <c r="D1259" s="2">
        <f>IFERROR(__xludf.DUMMYFUNCTION("""COMPUTED_VALUE"""),2423.19)</f>
        <v>2423.19</v>
      </c>
    </row>
    <row r="1260">
      <c r="A1260" s="2" t="str">
        <f>IFERROR(__xludf.DUMMYFUNCTION("""COMPUTED_VALUE"""),"PR050")</f>
        <v>PR050</v>
      </c>
      <c r="B1260" s="2" t="str">
        <f>IFERROR(__xludf.DUMMYFUNCTION("""COMPUTED_VALUE"""),"VD028")</f>
        <v>VD028</v>
      </c>
      <c r="C1260" s="2">
        <f>IFERROR(__xludf.DUMMYFUNCTION("""COMPUTED_VALUE"""),10.0)</f>
        <v>10</v>
      </c>
      <c r="D1260" s="2">
        <f>IFERROR(__xludf.DUMMYFUNCTION("""COMPUTED_VALUE"""),345.45)</f>
        <v>345.45</v>
      </c>
    </row>
    <row r="1261">
      <c r="A1261" s="2" t="str">
        <f>IFERROR(__xludf.DUMMYFUNCTION("""COMPUTED_VALUE"""),"PR018")</f>
        <v>PR018</v>
      </c>
      <c r="B1261" s="2" t="str">
        <f>IFERROR(__xludf.DUMMYFUNCTION("""COMPUTED_VALUE"""),"VD044")</f>
        <v>VD044</v>
      </c>
      <c r="C1261" s="2">
        <f>IFERROR(__xludf.DUMMYFUNCTION("""COMPUTED_VALUE"""),2.0)</f>
        <v>2</v>
      </c>
      <c r="D1261" s="2">
        <f>IFERROR(__xludf.DUMMYFUNCTION("""COMPUTED_VALUE"""),67.12)</f>
        <v>67.12</v>
      </c>
    </row>
    <row r="1262">
      <c r="A1262" s="2" t="str">
        <f>IFERROR(__xludf.DUMMYFUNCTION("""COMPUTED_VALUE"""),"PR013")</f>
        <v>PR013</v>
      </c>
      <c r="B1262" s="2" t="str">
        <f>IFERROR(__xludf.DUMMYFUNCTION("""COMPUTED_VALUE"""),"VD035")</f>
        <v>VD035</v>
      </c>
      <c r="C1262" s="2">
        <f>IFERROR(__xludf.DUMMYFUNCTION("""COMPUTED_VALUE"""),9.0)</f>
        <v>9</v>
      </c>
      <c r="D1262" s="2">
        <f>IFERROR(__xludf.DUMMYFUNCTION("""COMPUTED_VALUE"""),395.01)</f>
        <v>395.01</v>
      </c>
    </row>
    <row r="1263">
      <c r="A1263" s="2" t="str">
        <f>IFERROR(__xludf.DUMMYFUNCTION("""COMPUTED_VALUE"""),"PR059")</f>
        <v>PR059</v>
      </c>
      <c r="B1263" s="2" t="str">
        <f>IFERROR(__xludf.DUMMYFUNCTION("""COMPUTED_VALUE"""),"VD047")</f>
        <v>VD047</v>
      </c>
      <c r="C1263" s="2">
        <f>IFERROR(__xludf.DUMMYFUNCTION("""COMPUTED_VALUE"""),12.0)</f>
        <v>12</v>
      </c>
      <c r="D1263" s="2">
        <f>IFERROR(__xludf.DUMMYFUNCTION("""COMPUTED_VALUE"""),2311.2)</f>
        <v>2311.2</v>
      </c>
    </row>
    <row r="1264">
      <c r="A1264" s="2" t="str">
        <f>IFERROR(__xludf.DUMMYFUNCTION("""COMPUTED_VALUE"""),"PR027")</f>
        <v>PR027</v>
      </c>
      <c r="B1264" s="2" t="str">
        <f>IFERROR(__xludf.DUMMYFUNCTION("""COMPUTED_VALUE"""),"VD026")</f>
        <v>VD026</v>
      </c>
      <c r="C1264" s="2">
        <f>IFERROR(__xludf.DUMMYFUNCTION("""COMPUTED_VALUE"""),1.0)</f>
        <v>1</v>
      </c>
      <c r="D1264" s="2">
        <f>IFERROR(__xludf.DUMMYFUNCTION("""COMPUTED_VALUE"""),127.2)</f>
        <v>127.2</v>
      </c>
    </row>
    <row r="1265">
      <c r="A1265" s="2" t="str">
        <f>IFERROR(__xludf.DUMMYFUNCTION("""COMPUTED_VALUE"""),"PR011")</f>
        <v>PR011</v>
      </c>
      <c r="B1265" s="2" t="str">
        <f>IFERROR(__xludf.DUMMYFUNCTION("""COMPUTED_VALUE"""),"VD026")</f>
        <v>VD026</v>
      </c>
      <c r="C1265" s="2">
        <f>IFERROR(__xludf.DUMMYFUNCTION("""COMPUTED_VALUE"""),6.0)</f>
        <v>6</v>
      </c>
      <c r="D1265" s="2">
        <f>IFERROR(__xludf.DUMMYFUNCTION("""COMPUTED_VALUE"""),284.21)</f>
        <v>284.21</v>
      </c>
    </row>
    <row r="1266">
      <c r="A1266" s="2" t="str">
        <f>IFERROR(__xludf.DUMMYFUNCTION("""COMPUTED_VALUE"""),"PR017")</f>
        <v>PR017</v>
      </c>
      <c r="B1266" s="2" t="str">
        <f>IFERROR(__xludf.DUMMYFUNCTION("""COMPUTED_VALUE"""),"VD033")</f>
        <v>VD033</v>
      </c>
      <c r="C1266" s="2">
        <f>IFERROR(__xludf.DUMMYFUNCTION("""COMPUTED_VALUE"""),6.0)</f>
        <v>6</v>
      </c>
      <c r="D1266" s="2">
        <f>IFERROR(__xludf.DUMMYFUNCTION("""COMPUTED_VALUE"""),188.37)</f>
        <v>188.37</v>
      </c>
    </row>
    <row r="1267">
      <c r="A1267" s="2" t="str">
        <f>IFERROR(__xludf.DUMMYFUNCTION("""COMPUTED_VALUE"""),"PR003")</f>
        <v>PR003</v>
      </c>
      <c r="B1267" s="2" t="str">
        <f>IFERROR(__xludf.DUMMYFUNCTION("""COMPUTED_VALUE"""),"VD015")</f>
        <v>VD015</v>
      </c>
      <c r="C1267" s="2">
        <f>IFERROR(__xludf.DUMMYFUNCTION("""COMPUTED_VALUE"""),3.0)</f>
        <v>3</v>
      </c>
      <c r="D1267" s="2">
        <f>IFERROR(__xludf.DUMMYFUNCTION("""COMPUTED_VALUE"""),212.7)</f>
        <v>212.7</v>
      </c>
    </row>
    <row r="1268">
      <c r="A1268" s="2" t="str">
        <f>IFERROR(__xludf.DUMMYFUNCTION("""COMPUTED_VALUE"""),"PR017")</f>
        <v>PR017</v>
      </c>
      <c r="B1268" s="2" t="str">
        <f>IFERROR(__xludf.DUMMYFUNCTION("""COMPUTED_VALUE"""),"VD017")</f>
        <v>VD017</v>
      </c>
      <c r="C1268" s="2">
        <f>IFERROR(__xludf.DUMMYFUNCTION("""COMPUTED_VALUE"""),10.0)</f>
        <v>10</v>
      </c>
      <c r="D1268" s="2">
        <f>IFERROR(__xludf.DUMMYFUNCTION("""COMPUTED_VALUE"""),307.97)</f>
        <v>307.97</v>
      </c>
    </row>
    <row r="1269">
      <c r="A1269" s="2" t="str">
        <f>IFERROR(__xludf.DUMMYFUNCTION("""COMPUTED_VALUE"""),"PR011")</f>
        <v>PR011</v>
      </c>
      <c r="B1269" s="2" t="str">
        <f>IFERROR(__xludf.DUMMYFUNCTION("""COMPUTED_VALUE"""),"VD037")</f>
        <v>VD037</v>
      </c>
      <c r="C1269" s="2">
        <f>IFERROR(__xludf.DUMMYFUNCTION("""COMPUTED_VALUE"""),10.0)</f>
        <v>10</v>
      </c>
      <c r="D1269" s="2">
        <f>IFERROR(__xludf.DUMMYFUNCTION("""COMPUTED_VALUE"""),492.45)</f>
        <v>492.45</v>
      </c>
    </row>
    <row r="1270">
      <c r="A1270" s="2" t="str">
        <f>IFERROR(__xludf.DUMMYFUNCTION("""COMPUTED_VALUE"""),"PR031")</f>
        <v>PR031</v>
      </c>
      <c r="B1270" s="2" t="str">
        <f>IFERROR(__xludf.DUMMYFUNCTION("""COMPUTED_VALUE"""),"VD024")</f>
        <v>VD024</v>
      </c>
      <c r="C1270" s="2">
        <f>IFERROR(__xludf.DUMMYFUNCTION("""COMPUTED_VALUE"""),4.0)</f>
        <v>4</v>
      </c>
      <c r="D1270" s="2">
        <f>IFERROR(__xludf.DUMMYFUNCTION("""COMPUTED_VALUE"""),1019.2)</f>
        <v>1019.2</v>
      </c>
    </row>
    <row r="1271">
      <c r="A1271" s="2" t="str">
        <f>IFERROR(__xludf.DUMMYFUNCTION("""COMPUTED_VALUE"""),"PR011")</f>
        <v>PR011</v>
      </c>
      <c r="B1271" s="2" t="str">
        <f>IFERROR(__xludf.DUMMYFUNCTION("""COMPUTED_VALUE"""),"VD030")</f>
        <v>VD030</v>
      </c>
      <c r="C1271" s="2">
        <f>IFERROR(__xludf.DUMMYFUNCTION("""COMPUTED_VALUE"""),16.0)</f>
        <v>16</v>
      </c>
      <c r="D1271" s="2">
        <f>IFERROR(__xludf.DUMMYFUNCTION("""COMPUTED_VALUE"""),825.44)</f>
        <v>825.44</v>
      </c>
    </row>
    <row r="1272">
      <c r="A1272" s="2" t="str">
        <f>IFERROR(__xludf.DUMMYFUNCTION("""COMPUTED_VALUE"""),"PR035")</f>
        <v>PR035</v>
      </c>
      <c r="B1272" s="2" t="str">
        <f>IFERROR(__xludf.DUMMYFUNCTION("""COMPUTED_VALUE"""),"VD025")</f>
        <v>VD025</v>
      </c>
      <c r="C1272" s="2">
        <f>IFERROR(__xludf.DUMMYFUNCTION("""COMPUTED_VALUE"""),9.0)</f>
        <v>9</v>
      </c>
      <c r="D1272" s="2">
        <f>IFERROR(__xludf.DUMMYFUNCTION("""COMPUTED_VALUE"""),888.41)</f>
        <v>888.41</v>
      </c>
    </row>
    <row r="1273">
      <c r="A1273" s="2" t="str">
        <f>IFERROR(__xludf.DUMMYFUNCTION("""COMPUTED_VALUE"""),"PR043")</f>
        <v>PR043</v>
      </c>
      <c r="B1273" s="2" t="str">
        <f>IFERROR(__xludf.DUMMYFUNCTION("""COMPUTED_VALUE"""),"VD030")</f>
        <v>VD030</v>
      </c>
      <c r="C1273" s="2">
        <f>IFERROR(__xludf.DUMMYFUNCTION("""COMPUTED_VALUE"""),20.0)</f>
        <v>20</v>
      </c>
      <c r="D1273" s="2">
        <f>IFERROR(__xludf.DUMMYFUNCTION("""COMPUTED_VALUE"""),1464.5)</f>
        <v>1464.5</v>
      </c>
    </row>
    <row r="1274">
      <c r="A1274" s="2" t="str">
        <f>IFERROR(__xludf.DUMMYFUNCTION("""COMPUTED_VALUE"""),"PR060")</f>
        <v>PR060</v>
      </c>
      <c r="B1274" s="2" t="str">
        <f>IFERROR(__xludf.DUMMYFUNCTION("""COMPUTED_VALUE"""),"VD017")</f>
        <v>VD017</v>
      </c>
      <c r="C1274" s="2">
        <f>IFERROR(__xludf.DUMMYFUNCTION("""COMPUTED_VALUE"""),7.0)</f>
        <v>7</v>
      </c>
      <c r="D1274" s="2">
        <f>IFERROR(__xludf.DUMMYFUNCTION("""COMPUTED_VALUE"""),1373.4)</f>
        <v>1373.4</v>
      </c>
    </row>
    <row r="1275">
      <c r="A1275" s="2" t="str">
        <f>IFERROR(__xludf.DUMMYFUNCTION("""COMPUTED_VALUE"""),"PR026")</f>
        <v>PR026</v>
      </c>
      <c r="B1275" s="2" t="str">
        <f>IFERROR(__xludf.DUMMYFUNCTION("""COMPUTED_VALUE"""),"VD049")</f>
        <v>VD049</v>
      </c>
      <c r="C1275" s="2">
        <f>IFERROR(__xludf.DUMMYFUNCTION("""COMPUTED_VALUE"""),14.0)</f>
        <v>14</v>
      </c>
      <c r="D1275" s="2">
        <f>IFERROR(__xludf.DUMMYFUNCTION("""COMPUTED_VALUE"""),5094.54)</f>
        <v>5094.54</v>
      </c>
    </row>
    <row r="1276">
      <c r="A1276" s="2" t="str">
        <f>IFERROR(__xludf.DUMMYFUNCTION("""COMPUTED_VALUE"""),"PR040")</f>
        <v>PR040</v>
      </c>
      <c r="B1276" s="2" t="str">
        <f>IFERROR(__xludf.DUMMYFUNCTION("""COMPUTED_VALUE"""),"VD026")</f>
        <v>VD026</v>
      </c>
      <c r="C1276" s="2">
        <f>IFERROR(__xludf.DUMMYFUNCTION("""COMPUTED_VALUE"""),1.0)</f>
        <v>1</v>
      </c>
      <c r="D1276" s="2">
        <f>IFERROR(__xludf.DUMMYFUNCTION("""COMPUTED_VALUE"""),74.2)</f>
        <v>74.2</v>
      </c>
    </row>
    <row r="1277">
      <c r="A1277" s="2" t="str">
        <f>IFERROR(__xludf.DUMMYFUNCTION("""COMPUTED_VALUE"""),"PR029")</f>
        <v>PR029</v>
      </c>
      <c r="B1277" s="2" t="str">
        <f>IFERROR(__xludf.DUMMYFUNCTION("""COMPUTED_VALUE"""),"VD024")</f>
        <v>VD024</v>
      </c>
      <c r="C1277" s="2">
        <f>IFERROR(__xludf.DUMMYFUNCTION("""COMPUTED_VALUE"""),9.0)</f>
        <v>9</v>
      </c>
      <c r="D1277" s="2">
        <f>IFERROR(__xludf.DUMMYFUNCTION("""COMPUTED_VALUE"""),2363.85)</f>
        <v>2363.85</v>
      </c>
    </row>
    <row r="1278">
      <c r="A1278" s="2" t="str">
        <f>IFERROR(__xludf.DUMMYFUNCTION("""COMPUTED_VALUE"""),"PR002")</f>
        <v>PR002</v>
      </c>
      <c r="B1278" s="2" t="str">
        <f>IFERROR(__xludf.DUMMYFUNCTION("""COMPUTED_VALUE"""),"VD040")</f>
        <v>VD040</v>
      </c>
      <c r="C1278" s="2">
        <f>IFERROR(__xludf.DUMMYFUNCTION("""COMPUTED_VALUE"""),8.0)</f>
        <v>8</v>
      </c>
      <c r="D1278" s="2">
        <f>IFERROR(__xludf.DUMMYFUNCTION("""COMPUTED_VALUE"""),570.38)</f>
        <v>570.38</v>
      </c>
    </row>
    <row r="1279">
      <c r="A1279" s="2" t="str">
        <f>IFERROR(__xludf.DUMMYFUNCTION("""COMPUTED_VALUE"""),"PR016")</f>
        <v>PR016</v>
      </c>
      <c r="B1279" s="2" t="str">
        <f>IFERROR(__xludf.DUMMYFUNCTION("""COMPUTED_VALUE"""),"VD026")</f>
        <v>VD026</v>
      </c>
      <c r="C1279" s="2">
        <f>IFERROR(__xludf.DUMMYFUNCTION("""COMPUTED_VALUE"""),10.0)</f>
        <v>10</v>
      </c>
      <c r="D1279" s="2">
        <f>IFERROR(__xludf.DUMMYFUNCTION("""COMPUTED_VALUE"""),259.0)</f>
        <v>259</v>
      </c>
    </row>
    <row r="1280">
      <c r="A1280" s="2" t="str">
        <f>IFERROR(__xludf.DUMMYFUNCTION("""COMPUTED_VALUE"""),"PR018")</f>
        <v>PR018</v>
      </c>
      <c r="B1280" s="2" t="str">
        <f>IFERROR(__xludf.DUMMYFUNCTION("""COMPUTED_VALUE"""),"VD029")</f>
        <v>VD029</v>
      </c>
      <c r="C1280" s="2">
        <f>IFERROR(__xludf.DUMMYFUNCTION("""COMPUTED_VALUE"""),9.0)</f>
        <v>9</v>
      </c>
      <c r="D1280" s="2">
        <f>IFERROR(__xludf.DUMMYFUNCTION("""COMPUTED_VALUE"""),307.94)</f>
        <v>307.94</v>
      </c>
    </row>
    <row r="1281">
      <c r="A1281" s="2" t="str">
        <f>IFERROR(__xludf.DUMMYFUNCTION("""COMPUTED_VALUE"""),"PR021")</f>
        <v>PR021</v>
      </c>
      <c r="B1281" s="2" t="str">
        <f>IFERROR(__xludf.DUMMYFUNCTION("""COMPUTED_VALUE"""),"VD010")</f>
        <v>VD010</v>
      </c>
      <c r="C1281" s="2">
        <f>IFERROR(__xludf.DUMMYFUNCTION("""COMPUTED_VALUE"""),3.0)</f>
        <v>3</v>
      </c>
      <c r="D1281" s="2">
        <f>IFERROR(__xludf.DUMMYFUNCTION("""COMPUTED_VALUE"""),935.96)</f>
        <v>935.96</v>
      </c>
    </row>
    <row r="1282">
      <c r="A1282" s="2" t="str">
        <f>IFERROR(__xludf.DUMMYFUNCTION("""COMPUTED_VALUE"""),"PR004")</f>
        <v>PR004</v>
      </c>
      <c r="B1282" s="2" t="str">
        <f>IFERROR(__xludf.DUMMYFUNCTION("""COMPUTED_VALUE"""),"VD041")</f>
        <v>VD041</v>
      </c>
      <c r="C1282" s="2">
        <f>IFERROR(__xludf.DUMMYFUNCTION("""COMPUTED_VALUE"""),12.0)</f>
        <v>12</v>
      </c>
      <c r="D1282" s="2">
        <f>IFERROR(__xludf.DUMMYFUNCTION("""COMPUTED_VALUE"""),1809.6)</f>
        <v>1809.6</v>
      </c>
    </row>
    <row r="1283">
      <c r="A1283" s="2" t="str">
        <f>IFERROR(__xludf.DUMMYFUNCTION("""COMPUTED_VALUE"""),"PR044")</f>
        <v>PR044</v>
      </c>
      <c r="B1283" s="2" t="str">
        <f>IFERROR(__xludf.DUMMYFUNCTION("""COMPUTED_VALUE"""),"VD039")</f>
        <v>VD039</v>
      </c>
      <c r="C1283" s="2">
        <f>IFERROR(__xludf.DUMMYFUNCTION("""COMPUTED_VALUE"""),5.0)</f>
        <v>5</v>
      </c>
      <c r="D1283" s="2">
        <f>IFERROR(__xludf.DUMMYFUNCTION("""COMPUTED_VALUE"""),387.88)</f>
        <v>387.88</v>
      </c>
    </row>
    <row r="1284">
      <c r="A1284" s="2" t="str">
        <f>IFERROR(__xludf.DUMMYFUNCTION("""COMPUTED_VALUE"""),"PR028")</f>
        <v>PR028</v>
      </c>
      <c r="B1284" s="2" t="str">
        <f>IFERROR(__xludf.DUMMYFUNCTION("""COMPUTED_VALUE"""),"VD026")</f>
        <v>VD026</v>
      </c>
      <c r="C1284" s="2">
        <f>IFERROR(__xludf.DUMMYFUNCTION("""COMPUTED_VALUE"""),1.0)</f>
        <v>1</v>
      </c>
      <c r="D1284" s="2">
        <f>IFERROR(__xludf.DUMMYFUNCTION("""COMPUTED_VALUE"""),259.9)</f>
        <v>259.9</v>
      </c>
    </row>
    <row r="1285">
      <c r="A1285" s="2" t="str">
        <f>IFERROR(__xludf.DUMMYFUNCTION("""COMPUTED_VALUE"""),"PR024")</f>
        <v>PR024</v>
      </c>
      <c r="B1285" s="2" t="str">
        <f>IFERROR(__xludf.DUMMYFUNCTION("""COMPUTED_VALUE"""),"VD036")</f>
        <v>VD036</v>
      </c>
      <c r="C1285" s="2">
        <f>IFERROR(__xludf.DUMMYFUNCTION("""COMPUTED_VALUE"""),2.0)</f>
        <v>2</v>
      </c>
      <c r="D1285" s="2">
        <f>IFERROR(__xludf.DUMMYFUNCTION("""COMPUTED_VALUE"""),540.59)</f>
        <v>540.59</v>
      </c>
    </row>
    <row r="1286">
      <c r="A1286" s="2" t="str">
        <f>IFERROR(__xludf.DUMMYFUNCTION("""COMPUTED_VALUE"""),"PR004")</f>
        <v>PR004</v>
      </c>
      <c r="B1286" s="2" t="str">
        <f>IFERROR(__xludf.DUMMYFUNCTION("""COMPUTED_VALUE"""),"VD020")</f>
        <v>VD020</v>
      </c>
      <c r="C1286" s="2">
        <f>IFERROR(__xludf.DUMMYFUNCTION("""COMPUTED_VALUE"""),10.0)</f>
        <v>10</v>
      </c>
      <c r="D1286" s="2">
        <f>IFERROR(__xludf.DUMMYFUNCTION("""COMPUTED_VALUE"""),1464.5)</f>
        <v>1464.5</v>
      </c>
    </row>
    <row r="1287">
      <c r="A1287" s="2" t="str">
        <f>IFERROR(__xludf.DUMMYFUNCTION("""COMPUTED_VALUE"""),"PR004")</f>
        <v>PR004</v>
      </c>
      <c r="B1287" s="2" t="str">
        <f>IFERROR(__xludf.DUMMYFUNCTION("""COMPUTED_VALUE"""),"VD011")</f>
        <v>VD011</v>
      </c>
      <c r="C1287" s="2">
        <f>IFERROR(__xludf.DUMMYFUNCTION("""COMPUTED_VALUE"""),16.0)</f>
        <v>16</v>
      </c>
      <c r="D1287" s="2">
        <f>IFERROR(__xludf.DUMMYFUNCTION("""COMPUTED_VALUE"""),2528.8)</f>
        <v>2528.8</v>
      </c>
    </row>
    <row r="1288">
      <c r="A1288" s="2" t="str">
        <f>IFERROR(__xludf.DUMMYFUNCTION("""COMPUTED_VALUE"""),"PR007")</f>
        <v>PR007</v>
      </c>
      <c r="B1288" s="2" t="str">
        <f>IFERROR(__xludf.DUMMYFUNCTION("""COMPUTED_VALUE"""),"VD023")</f>
        <v>VD023</v>
      </c>
      <c r="C1288" s="2">
        <f>IFERROR(__xludf.DUMMYFUNCTION("""COMPUTED_VALUE"""),4.0)</f>
        <v>4</v>
      </c>
      <c r="D1288" s="2">
        <f>IFERROR(__xludf.DUMMYFUNCTION("""COMPUTED_VALUE"""),343.6)</f>
        <v>343.6</v>
      </c>
    </row>
    <row r="1289">
      <c r="A1289" s="2" t="str">
        <f>IFERROR(__xludf.DUMMYFUNCTION("""COMPUTED_VALUE"""),"PR020")</f>
        <v>PR020</v>
      </c>
      <c r="B1289" s="2" t="str">
        <f>IFERROR(__xludf.DUMMYFUNCTION("""COMPUTED_VALUE"""),"VD015")</f>
        <v>VD015</v>
      </c>
      <c r="C1289" s="2">
        <f>IFERROR(__xludf.DUMMYFUNCTION("""COMPUTED_VALUE"""),18.0)</f>
        <v>18</v>
      </c>
      <c r="D1289" s="2">
        <f>IFERROR(__xludf.DUMMYFUNCTION("""COMPUTED_VALUE"""),5830.06)</f>
        <v>5830.06</v>
      </c>
    </row>
    <row r="1290">
      <c r="A1290" s="2" t="str">
        <f>IFERROR(__xludf.DUMMYFUNCTION("""COMPUTED_VALUE"""),"PR051")</f>
        <v>PR051</v>
      </c>
      <c r="B1290" s="2" t="str">
        <f>IFERROR(__xludf.DUMMYFUNCTION("""COMPUTED_VALUE"""),"VD046")</f>
        <v>VD046</v>
      </c>
      <c r="C1290" s="2">
        <f>IFERROR(__xludf.DUMMYFUNCTION("""COMPUTED_VALUE"""),6.0)</f>
        <v>6</v>
      </c>
      <c r="D1290" s="2">
        <f>IFERROR(__xludf.DUMMYFUNCTION("""COMPUTED_VALUE"""),213.19)</f>
        <v>213.19</v>
      </c>
    </row>
    <row r="1291">
      <c r="A1291" s="2" t="str">
        <f>IFERROR(__xludf.DUMMYFUNCTION("""COMPUTED_VALUE"""),"PR057")</f>
        <v>PR057</v>
      </c>
      <c r="B1291" s="2" t="str">
        <f>IFERROR(__xludf.DUMMYFUNCTION("""COMPUTED_VALUE"""),"VD017")</f>
        <v>VD017</v>
      </c>
      <c r="C1291" s="2">
        <f>IFERROR(__xludf.DUMMYFUNCTION("""COMPUTED_VALUE"""),5.0)</f>
        <v>5</v>
      </c>
      <c r="D1291" s="2">
        <f>IFERROR(__xludf.DUMMYFUNCTION("""COMPUTED_VALUE"""),454.0)</f>
        <v>454</v>
      </c>
    </row>
    <row r="1292">
      <c r="A1292" s="2" t="str">
        <f>IFERROR(__xludf.DUMMYFUNCTION("""COMPUTED_VALUE"""),"PR035")</f>
        <v>PR035</v>
      </c>
      <c r="B1292" s="2" t="str">
        <f>IFERROR(__xludf.DUMMYFUNCTION("""COMPUTED_VALUE"""),"VD017")</f>
        <v>VD017</v>
      </c>
      <c r="C1292" s="2">
        <f>IFERROR(__xludf.DUMMYFUNCTION("""COMPUTED_VALUE"""),12.0)</f>
        <v>12</v>
      </c>
      <c r="D1292" s="2">
        <f>IFERROR(__xludf.DUMMYFUNCTION("""COMPUTED_VALUE"""),1173.58)</f>
        <v>1173.58</v>
      </c>
    </row>
    <row r="1293">
      <c r="A1293" s="2" t="str">
        <f>IFERROR(__xludf.DUMMYFUNCTION("""COMPUTED_VALUE"""),"PR049")</f>
        <v>PR049</v>
      </c>
      <c r="B1293" s="2" t="str">
        <f>IFERROR(__xludf.DUMMYFUNCTION("""COMPUTED_VALUE"""),"VD023")</f>
        <v>VD023</v>
      </c>
      <c r="C1293" s="2">
        <f>IFERROR(__xludf.DUMMYFUNCTION("""COMPUTED_VALUE"""),9.0)</f>
        <v>9</v>
      </c>
      <c r="D1293" s="2">
        <f>IFERROR(__xludf.DUMMYFUNCTION("""COMPUTED_VALUE"""),302.02)</f>
        <v>302.02</v>
      </c>
    </row>
    <row r="1294">
      <c r="A1294" s="2" t="str">
        <f>IFERROR(__xludf.DUMMYFUNCTION("""COMPUTED_VALUE"""),"PR054")</f>
        <v>PR054</v>
      </c>
      <c r="B1294" s="2" t="str">
        <f>IFERROR(__xludf.DUMMYFUNCTION("""COMPUTED_VALUE"""),"VD036")</f>
        <v>VD036</v>
      </c>
      <c r="C1294" s="2">
        <f>IFERROR(__xludf.DUMMYFUNCTION("""COMPUTED_VALUE"""),18.0)</f>
        <v>18</v>
      </c>
      <c r="D1294" s="2">
        <f>IFERROR(__xludf.DUMMYFUNCTION("""COMPUTED_VALUE"""),952.09)</f>
        <v>952.09</v>
      </c>
    </row>
    <row r="1295">
      <c r="A1295" s="2" t="str">
        <f>IFERROR(__xludf.DUMMYFUNCTION("""COMPUTED_VALUE"""),"PR056")</f>
        <v>PR056</v>
      </c>
      <c r="B1295" s="2" t="str">
        <f>IFERROR(__xludf.DUMMYFUNCTION("""COMPUTED_VALUE"""),"VD032")</f>
        <v>VD032</v>
      </c>
      <c r="C1295" s="2">
        <f>IFERROR(__xludf.DUMMYFUNCTION("""COMPUTED_VALUE"""),2.0)</f>
        <v>2</v>
      </c>
      <c r="D1295" s="2">
        <f>IFERROR(__xludf.DUMMYFUNCTION("""COMPUTED_VALUE"""),188.79)</f>
        <v>188.79</v>
      </c>
    </row>
    <row r="1296">
      <c r="A1296" s="2" t="str">
        <f>IFERROR(__xludf.DUMMYFUNCTION("""COMPUTED_VALUE"""),"PR055")</f>
        <v>PR055</v>
      </c>
      <c r="B1296" s="2" t="str">
        <f>IFERROR(__xludf.DUMMYFUNCTION("""COMPUTED_VALUE"""),"VD025")</f>
        <v>VD025</v>
      </c>
      <c r="C1296" s="2">
        <f>IFERROR(__xludf.DUMMYFUNCTION("""COMPUTED_VALUE"""),1.0)</f>
        <v>1</v>
      </c>
      <c r="D1296" s="2">
        <f>IFERROR(__xludf.DUMMYFUNCTION("""COMPUTED_VALUE"""),89.9)</f>
        <v>89.9</v>
      </c>
    </row>
    <row r="1297">
      <c r="A1297" s="2" t="str">
        <f>IFERROR(__xludf.DUMMYFUNCTION("""COMPUTED_VALUE"""),"PR027")</f>
        <v>PR027</v>
      </c>
      <c r="B1297" s="2" t="str">
        <f>IFERROR(__xludf.DUMMYFUNCTION("""COMPUTED_VALUE"""),"VD021")</f>
        <v>VD021</v>
      </c>
      <c r="C1297" s="2">
        <f>IFERROR(__xludf.DUMMYFUNCTION("""COMPUTED_VALUE"""),12.0)</f>
        <v>12</v>
      </c>
      <c r="D1297" s="2">
        <f>IFERROR(__xludf.DUMMYFUNCTION("""COMPUTED_VALUE"""),1555.2)</f>
        <v>1555.2</v>
      </c>
    </row>
    <row r="1298">
      <c r="A1298" s="2" t="str">
        <f>IFERROR(__xludf.DUMMYFUNCTION("""COMPUTED_VALUE"""),"PR013")</f>
        <v>PR013</v>
      </c>
      <c r="B1298" s="2" t="str">
        <f>IFERROR(__xludf.DUMMYFUNCTION("""COMPUTED_VALUE"""),"VD044")</f>
        <v>VD044</v>
      </c>
      <c r="C1298" s="2">
        <f>IFERROR(__xludf.DUMMYFUNCTION("""COMPUTED_VALUE"""),4.0)</f>
        <v>4</v>
      </c>
      <c r="D1298" s="2">
        <f>IFERROR(__xludf.DUMMYFUNCTION("""COMPUTED_VALUE"""),173.96)</f>
        <v>173.96</v>
      </c>
    </row>
    <row r="1299">
      <c r="A1299" s="2" t="str">
        <f>IFERROR(__xludf.DUMMYFUNCTION("""COMPUTED_VALUE"""),"PR050")</f>
        <v>PR050</v>
      </c>
      <c r="B1299" s="2" t="str">
        <f>IFERROR(__xludf.DUMMYFUNCTION("""COMPUTED_VALUE"""),"VD024")</f>
        <v>VD024</v>
      </c>
      <c r="C1299" s="2">
        <f>IFERROR(__xludf.DUMMYFUNCTION("""COMPUTED_VALUE"""),9.0)</f>
        <v>9</v>
      </c>
      <c r="D1299" s="2">
        <f>IFERROR(__xludf.DUMMYFUNCTION("""COMPUTED_VALUE"""),310.91)</f>
        <v>310.91</v>
      </c>
    </row>
    <row r="1300">
      <c r="A1300" s="2" t="str">
        <f>IFERROR(__xludf.DUMMYFUNCTION("""COMPUTED_VALUE"""),"PR036")</f>
        <v>PR036</v>
      </c>
      <c r="B1300" s="2" t="str">
        <f>IFERROR(__xludf.DUMMYFUNCTION("""COMPUTED_VALUE"""),"VD016")</f>
        <v>VD016</v>
      </c>
      <c r="C1300" s="2">
        <f>IFERROR(__xludf.DUMMYFUNCTION("""COMPUTED_VALUE"""),6.0)</f>
        <v>6</v>
      </c>
      <c r="D1300" s="2">
        <f>IFERROR(__xludf.DUMMYFUNCTION("""COMPUTED_VALUE"""),566.61)</f>
        <v>566.61</v>
      </c>
    </row>
    <row r="1301">
      <c r="A1301" s="2" t="str">
        <f>IFERROR(__xludf.DUMMYFUNCTION("""COMPUTED_VALUE"""),"PR005")</f>
        <v>PR005</v>
      </c>
      <c r="B1301" s="2" t="str">
        <f>IFERROR(__xludf.DUMMYFUNCTION("""COMPUTED_VALUE"""),"VD028")</f>
        <v>VD028</v>
      </c>
      <c r="C1301" s="2">
        <f>IFERROR(__xludf.DUMMYFUNCTION("""COMPUTED_VALUE"""),10.0)</f>
        <v>10</v>
      </c>
      <c r="D1301" s="2">
        <f>IFERROR(__xludf.DUMMYFUNCTION("""COMPUTED_VALUE"""),2832.91)</f>
        <v>2832.91</v>
      </c>
    </row>
    <row r="1302">
      <c r="A1302" s="2" t="str">
        <f>IFERROR(__xludf.DUMMYFUNCTION("""COMPUTED_VALUE"""),"PR032")</f>
        <v>PR032</v>
      </c>
      <c r="B1302" s="2" t="str">
        <f>IFERROR(__xludf.DUMMYFUNCTION("""COMPUTED_VALUE"""),"VD035")</f>
        <v>VD035</v>
      </c>
      <c r="C1302" s="2">
        <f>IFERROR(__xludf.DUMMYFUNCTION("""COMPUTED_VALUE"""),6.0)</f>
        <v>6</v>
      </c>
      <c r="D1302" s="2">
        <f>IFERROR(__xludf.DUMMYFUNCTION("""COMPUTED_VALUE"""),1605.0)</f>
        <v>1605</v>
      </c>
    </row>
    <row r="1303">
      <c r="A1303" s="2" t="str">
        <f>IFERROR(__xludf.DUMMYFUNCTION("""COMPUTED_VALUE"""),"PR002")</f>
        <v>PR002</v>
      </c>
      <c r="B1303" s="2" t="str">
        <f>IFERROR(__xludf.DUMMYFUNCTION("""COMPUTED_VALUE"""),"VD012")</f>
        <v>VD012</v>
      </c>
      <c r="C1303" s="2">
        <f>IFERROR(__xludf.DUMMYFUNCTION("""COMPUTED_VALUE"""),14.0)</f>
        <v>14</v>
      </c>
      <c r="D1303" s="2">
        <f>IFERROR(__xludf.DUMMYFUNCTION("""COMPUTED_VALUE"""),1037.32)</f>
        <v>1037.32</v>
      </c>
    </row>
    <row r="1304">
      <c r="A1304" s="2" t="str">
        <f>IFERROR(__xludf.DUMMYFUNCTION("""COMPUTED_VALUE"""),"PR015")</f>
        <v>PR015</v>
      </c>
      <c r="B1304" s="2" t="str">
        <f>IFERROR(__xludf.DUMMYFUNCTION("""COMPUTED_VALUE"""),"VD032")</f>
        <v>VD032</v>
      </c>
      <c r="C1304" s="2">
        <f>IFERROR(__xludf.DUMMYFUNCTION("""COMPUTED_VALUE"""),10.0)</f>
        <v>10</v>
      </c>
      <c r="D1304" s="2">
        <f>IFERROR(__xludf.DUMMYFUNCTION("""COMPUTED_VALUE"""),437.75)</f>
        <v>437.75</v>
      </c>
    </row>
    <row r="1305">
      <c r="A1305" s="2" t="str">
        <f>IFERROR(__xludf.DUMMYFUNCTION("""COMPUTED_VALUE"""),"PR038")</f>
        <v>PR038</v>
      </c>
      <c r="B1305" s="2" t="str">
        <f>IFERROR(__xludf.DUMMYFUNCTION("""COMPUTED_VALUE"""),"VD021")</f>
        <v>VD021</v>
      </c>
      <c r="C1305" s="2">
        <f>IFERROR(__xludf.DUMMYFUNCTION("""COMPUTED_VALUE"""),4.0)</f>
        <v>4</v>
      </c>
      <c r="D1305" s="2">
        <f>IFERROR(__xludf.DUMMYFUNCTION("""COMPUTED_VALUE"""),571.6)</f>
        <v>571.6</v>
      </c>
    </row>
    <row r="1306">
      <c r="A1306" s="2" t="str">
        <f>IFERROR(__xludf.DUMMYFUNCTION("""COMPUTED_VALUE"""),"PR043")</f>
        <v>PR043</v>
      </c>
      <c r="B1306" s="2" t="str">
        <f>IFERROR(__xludf.DUMMYFUNCTION("""COMPUTED_VALUE"""),"VD040")</f>
        <v>VD040</v>
      </c>
      <c r="C1306" s="2">
        <f>IFERROR(__xludf.DUMMYFUNCTION("""COMPUTED_VALUE"""),8.0)</f>
        <v>8</v>
      </c>
      <c r="D1306" s="2">
        <f>IFERROR(__xludf.DUMMYFUNCTION("""COMPUTED_VALUE"""),580.0)</f>
        <v>580</v>
      </c>
    </row>
    <row r="1307">
      <c r="A1307" s="2" t="str">
        <f>IFERROR(__xludf.DUMMYFUNCTION("""COMPUTED_VALUE"""),"PR060")</f>
        <v>PR060</v>
      </c>
      <c r="B1307" s="2" t="str">
        <f>IFERROR(__xludf.DUMMYFUNCTION("""COMPUTED_VALUE"""),"VD035")</f>
        <v>VD035</v>
      </c>
      <c r="C1307" s="2">
        <f>IFERROR(__xludf.DUMMYFUNCTION("""COMPUTED_VALUE"""),8.0)</f>
        <v>8</v>
      </c>
      <c r="D1307" s="2">
        <f>IFERROR(__xludf.DUMMYFUNCTION("""COMPUTED_VALUE"""),1440.0)</f>
        <v>1440</v>
      </c>
    </row>
    <row r="1308">
      <c r="A1308" s="2" t="str">
        <f>IFERROR(__xludf.DUMMYFUNCTION("""COMPUTED_VALUE"""),"PR056")</f>
        <v>PR056</v>
      </c>
      <c r="B1308" s="2" t="str">
        <f>IFERROR(__xludf.DUMMYFUNCTION("""COMPUTED_VALUE"""),"VD045")</f>
        <v>VD045</v>
      </c>
      <c r="C1308" s="2">
        <f>IFERROR(__xludf.DUMMYFUNCTION("""COMPUTED_VALUE"""),6.0)</f>
        <v>6</v>
      </c>
      <c r="D1308" s="2">
        <f>IFERROR(__xludf.DUMMYFUNCTION("""COMPUTED_VALUE"""),560.98)</f>
        <v>560.98</v>
      </c>
    </row>
    <row r="1309">
      <c r="A1309" s="2" t="str">
        <f>IFERROR(__xludf.DUMMYFUNCTION("""COMPUTED_VALUE"""),"PR053")</f>
        <v>PR053</v>
      </c>
      <c r="B1309" s="2" t="str">
        <f>IFERROR(__xludf.DUMMYFUNCTION("""COMPUTED_VALUE"""),"VD028")</f>
        <v>VD028</v>
      </c>
      <c r="C1309" s="2">
        <f>IFERROR(__xludf.DUMMYFUNCTION("""COMPUTED_VALUE"""),6.0)</f>
        <v>6</v>
      </c>
      <c r="D1309" s="2">
        <f>IFERROR(__xludf.DUMMYFUNCTION("""COMPUTED_VALUE"""),311.38)</f>
        <v>311.38</v>
      </c>
    </row>
    <row r="1310">
      <c r="A1310" s="2" t="str">
        <f>IFERROR(__xludf.DUMMYFUNCTION("""COMPUTED_VALUE"""),"PR015")</f>
        <v>PR015</v>
      </c>
      <c r="B1310" s="2" t="str">
        <f>IFERROR(__xludf.DUMMYFUNCTION("""COMPUTED_VALUE"""),"VD037")</f>
        <v>VD037</v>
      </c>
      <c r="C1310" s="2">
        <f>IFERROR(__xludf.DUMMYFUNCTION("""COMPUTED_VALUE"""),2.0)</f>
        <v>2</v>
      </c>
      <c r="D1310" s="2">
        <f>IFERROR(__xludf.DUMMYFUNCTION("""COMPUTED_VALUE"""),85.0)</f>
        <v>85</v>
      </c>
    </row>
    <row r="1311">
      <c r="A1311" s="2" t="str">
        <f>IFERROR(__xludf.DUMMYFUNCTION("""COMPUTED_VALUE"""),"PR044")</f>
        <v>PR044</v>
      </c>
      <c r="B1311" s="2" t="str">
        <f>IFERROR(__xludf.DUMMYFUNCTION("""COMPUTED_VALUE"""),"VD043")</f>
        <v>VD043</v>
      </c>
      <c r="C1311" s="2">
        <f>IFERROR(__xludf.DUMMYFUNCTION("""COMPUTED_VALUE"""),4.0)</f>
        <v>4</v>
      </c>
      <c r="D1311" s="2">
        <f>IFERROR(__xludf.DUMMYFUNCTION("""COMPUTED_VALUE"""),310.3)</f>
        <v>310.3</v>
      </c>
    </row>
    <row r="1312">
      <c r="A1312" s="2" t="str">
        <f>IFERROR(__xludf.DUMMYFUNCTION("""COMPUTED_VALUE"""),"PR058")</f>
        <v>PR058</v>
      </c>
      <c r="B1312" s="2" t="str">
        <f>IFERROR(__xludf.DUMMYFUNCTION("""COMPUTED_VALUE"""),"VD013")</f>
        <v>VD013</v>
      </c>
      <c r="C1312" s="2">
        <f>IFERROR(__xludf.DUMMYFUNCTION("""COMPUTED_VALUE"""),5.0)</f>
        <v>5</v>
      </c>
      <c r="D1312" s="2">
        <f>IFERROR(__xludf.DUMMYFUNCTION("""COMPUTED_VALUE"""),954.0)</f>
        <v>954</v>
      </c>
    </row>
    <row r="1313">
      <c r="A1313" s="2" t="str">
        <f>IFERROR(__xludf.DUMMYFUNCTION("""COMPUTED_VALUE"""),"PR006")</f>
        <v>PR006</v>
      </c>
      <c r="B1313" s="2" t="str">
        <f>IFERROR(__xludf.DUMMYFUNCTION("""COMPUTED_VALUE"""),"VD016")</f>
        <v>VD016</v>
      </c>
      <c r="C1313" s="2">
        <f>IFERROR(__xludf.DUMMYFUNCTION("""COMPUTED_VALUE"""),7.0)</f>
        <v>7</v>
      </c>
      <c r="D1313" s="2">
        <f>IFERROR(__xludf.DUMMYFUNCTION("""COMPUTED_VALUE"""),296.06)</f>
        <v>296.06</v>
      </c>
    </row>
    <row r="1314">
      <c r="A1314" s="2" t="str">
        <f>IFERROR(__xludf.DUMMYFUNCTION("""COMPUTED_VALUE"""),"PR023")</f>
        <v>PR023</v>
      </c>
      <c r="B1314" s="2" t="str">
        <f>IFERROR(__xludf.DUMMYFUNCTION("""COMPUTED_VALUE"""),"VD021")</f>
        <v>VD021</v>
      </c>
      <c r="C1314" s="2">
        <f>IFERROR(__xludf.DUMMYFUNCTION("""COMPUTED_VALUE"""),14.0)</f>
        <v>14</v>
      </c>
      <c r="D1314" s="2">
        <f>IFERROR(__xludf.DUMMYFUNCTION("""COMPUTED_VALUE"""),3638.54)</f>
        <v>3638.54</v>
      </c>
    </row>
    <row r="1315">
      <c r="A1315" s="2" t="str">
        <f>IFERROR(__xludf.DUMMYFUNCTION("""COMPUTED_VALUE"""),"PR055")</f>
        <v>PR055</v>
      </c>
      <c r="B1315" s="2" t="str">
        <f>IFERROR(__xludf.DUMMYFUNCTION("""COMPUTED_VALUE"""),"VD038")</f>
        <v>VD038</v>
      </c>
      <c r="C1315" s="2">
        <f>IFERROR(__xludf.DUMMYFUNCTION("""COMPUTED_VALUE"""),5.0)</f>
        <v>5</v>
      </c>
      <c r="D1315" s="2">
        <f>IFERROR(__xludf.DUMMYFUNCTION("""COMPUTED_VALUE"""),449.5)</f>
        <v>449.5</v>
      </c>
    </row>
    <row r="1316">
      <c r="A1316" s="2" t="str">
        <f>IFERROR(__xludf.DUMMYFUNCTION("""COMPUTED_VALUE"""),"PR006")</f>
        <v>PR006</v>
      </c>
      <c r="B1316" s="2" t="str">
        <f>IFERROR(__xludf.DUMMYFUNCTION("""COMPUTED_VALUE"""),"VD046")</f>
        <v>VD046</v>
      </c>
      <c r="C1316" s="2">
        <f>IFERROR(__xludf.DUMMYFUNCTION("""COMPUTED_VALUE"""),7.0)</f>
        <v>7</v>
      </c>
      <c r="D1316" s="2">
        <f>IFERROR(__xludf.DUMMYFUNCTION("""COMPUTED_VALUE"""),293.27)</f>
        <v>293.27</v>
      </c>
    </row>
    <row r="1317">
      <c r="A1317" s="2" t="str">
        <f>IFERROR(__xludf.DUMMYFUNCTION("""COMPUTED_VALUE"""),"PR033")</f>
        <v>PR033</v>
      </c>
      <c r="B1317" s="2" t="str">
        <f>IFERROR(__xludf.DUMMYFUNCTION("""COMPUTED_VALUE"""),"VD049")</f>
        <v>VD049</v>
      </c>
      <c r="C1317" s="2">
        <f>IFERROR(__xludf.DUMMYFUNCTION("""COMPUTED_VALUE"""),8.0)</f>
        <v>8</v>
      </c>
      <c r="D1317" s="2">
        <f>IFERROR(__xludf.DUMMYFUNCTION("""COMPUTED_VALUE"""),2287.12)</f>
        <v>2287.12</v>
      </c>
    </row>
    <row r="1318">
      <c r="A1318" s="2" t="str">
        <f>IFERROR(__xludf.DUMMYFUNCTION("""COMPUTED_VALUE"""),"PR028")</f>
        <v>PR028</v>
      </c>
      <c r="B1318" s="2" t="str">
        <f>IFERROR(__xludf.DUMMYFUNCTION("""COMPUTED_VALUE"""),"VD039")</f>
        <v>VD039</v>
      </c>
      <c r="C1318" s="2">
        <f>IFERROR(__xludf.DUMMYFUNCTION("""COMPUTED_VALUE"""),8.0)</f>
        <v>8</v>
      </c>
      <c r="D1318" s="2">
        <f>IFERROR(__xludf.DUMMYFUNCTION("""COMPUTED_VALUE"""),2119.15)</f>
        <v>2119.15</v>
      </c>
    </row>
    <row r="1319">
      <c r="A1319" s="2" t="str">
        <f>IFERROR(__xludf.DUMMYFUNCTION("""COMPUTED_VALUE"""),"PR047")</f>
        <v>PR047</v>
      </c>
      <c r="B1319" s="2" t="str">
        <f>IFERROR(__xludf.DUMMYFUNCTION("""COMPUTED_VALUE"""),"VD049")</f>
        <v>VD049</v>
      </c>
      <c r="C1319" s="2">
        <f>IFERROR(__xludf.DUMMYFUNCTION("""COMPUTED_VALUE"""),2.0)</f>
        <v>2</v>
      </c>
      <c r="D1319" s="2">
        <f>IFERROR(__xludf.DUMMYFUNCTION("""COMPUTED_VALUE"""),608.79)</f>
        <v>608.79</v>
      </c>
    </row>
    <row r="1320">
      <c r="A1320" s="2" t="str">
        <f>IFERROR(__xludf.DUMMYFUNCTION("""COMPUTED_VALUE"""),"PR030")</f>
        <v>PR030</v>
      </c>
      <c r="B1320" s="2" t="str">
        <f>IFERROR(__xludf.DUMMYFUNCTION("""COMPUTED_VALUE"""),"VD040")</f>
        <v>VD040</v>
      </c>
      <c r="C1320" s="2">
        <f>IFERROR(__xludf.DUMMYFUNCTION("""COMPUTED_VALUE"""),10.0)</f>
        <v>10</v>
      </c>
      <c r="D1320" s="2">
        <f>IFERROR(__xludf.DUMMYFUNCTION("""COMPUTED_VALUE"""),2728.95)</f>
        <v>2728.95</v>
      </c>
    </row>
    <row r="1321">
      <c r="A1321" s="2" t="str">
        <f>IFERROR(__xludf.DUMMYFUNCTION("""COMPUTED_VALUE"""),"PR017")</f>
        <v>PR017</v>
      </c>
      <c r="B1321" s="2" t="str">
        <f>IFERROR(__xludf.DUMMYFUNCTION("""COMPUTED_VALUE"""),"VD043")</f>
        <v>VD043</v>
      </c>
      <c r="C1321" s="2">
        <f>IFERROR(__xludf.DUMMYFUNCTION("""COMPUTED_VALUE"""),2.0)</f>
        <v>2</v>
      </c>
      <c r="D1321" s="2">
        <f>IFERROR(__xludf.DUMMYFUNCTION("""COMPUTED_VALUE"""),61.59)</f>
        <v>61.59</v>
      </c>
    </row>
    <row r="1322">
      <c r="A1322" s="2" t="str">
        <f>IFERROR(__xludf.DUMMYFUNCTION("""COMPUTED_VALUE"""),"PR018")</f>
        <v>PR018</v>
      </c>
      <c r="B1322" s="2" t="str">
        <f>IFERROR(__xludf.DUMMYFUNCTION("""COMPUTED_VALUE"""),"VD012")</f>
        <v>VD012</v>
      </c>
      <c r="C1322" s="2">
        <f>IFERROR(__xludf.DUMMYFUNCTION("""COMPUTED_VALUE"""),16.0)</f>
        <v>16</v>
      </c>
      <c r="D1322" s="2">
        <f>IFERROR(__xludf.DUMMYFUNCTION("""COMPUTED_VALUE"""),536.93)</f>
        <v>536.93</v>
      </c>
    </row>
    <row r="1323">
      <c r="A1323" s="2" t="str">
        <f>IFERROR(__xludf.DUMMYFUNCTION("""COMPUTED_VALUE"""),"PR044")</f>
        <v>PR044</v>
      </c>
      <c r="B1323" s="2" t="str">
        <f>IFERROR(__xludf.DUMMYFUNCTION("""COMPUTED_VALUE"""),"VD023")</f>
        <v>VD023</v>
      </c>
      <c r="C1323" s="2">
        <f>IFERROR(__xludf.DUMMYFUNCTION("""COMPUTED_VALUE"""),10.0)</f>
        <v>10</v>
      </c>
      <c r="D1323" s="2">
        <f>IFERROR(__xludf.DUMMYFUNCTION("""COMPUTED_VALUE"""),768.5)</f>
        <v>768.5</v>
      </c>
    </row>
    <row r="1324">
      <c r="A1324" s="2" t="str">
        <f>IFERROR(__xludf.DUMMYFUNCTION("""COMPUTED_VALUE"""),"PR053")</f>
        <v>PR053</v>
      </c>
      <c r="B1324" s="2" t="str">
        <f>IFERROR(__xludf.DUMMYFUNCTION("""COMPUTED_VALUE"""),"VD029")</f>
        <v>VD029</v>
      </c>
      <c r="C1324" s="2">
        <f>IFERROR(__xludf.DUMMYFUNCTION("""COMPUTED_VALUE"""),12.0)</f>
        <v>12</v>
      </c>
      <c r="D1324" s="2">
        <f>IFERROR(__xludf.DUMMYFUNCTION("""COMPUTED_VALUE"""),628.74)</f>
        <v>628.74</v>
      </c>
    </row>
    <row r="1325">
      <c r="A1325" s="2" t="str">
        <f>IFERROR(__xludf.DUMMYFUNCTION("""COMPUTED_VALUE"""),"PR025")</f>
        <v>PR025</v>
      </c>
      <c r="B1325" s="2" t="str">
        <f>IFERROR(__xludf.DUMMYFUNCTION("""COMPUTED_VALUE"""),"VD015")</f>
        <v>VD015</v>
      </c>
      <c r="C1325" s="2">
        <f>IFERROR(__xludf.DUMMYFUNCTION("""COMPUTED_VALUE"""),7.0)</f>
        <v>7</v>
      </c>
      <c r="D1325" s="2">
        <f>IFERROR(__xludf.DUMMYFUNCTION("""COMPUTED_VALUE"""),2183.27)</f>
        <v>2183.27</v>
      </c>
    </row>
    <row r="1326">
      <c r="A1326" s="2" t="str">
        <f>IFERROR(__xludf.DUMMYFUNCTION("""COMPUTED_VALUE"""),"PR021")</f>
        <v>PR021</v>
      </c>
      <c r="B1326" s="2" t="str">
        <f>IFERROR(__xludf.DUMMYFUNCTION("""COMPUTED_VALUE"""),"VD030")</f>
        <v>VD030</v>
      </c>
      <c r="C1326" s="2">
        <f>IFERROR(__xludf.DUMMYFUNCTION("""COMPUTED_VALUE"""),18.0)</f>
        <v>18</v>
      </c>
      <c r="D1326" s="2">
        <f>IFERROR(__xludf.DUMMYFUNCTION("""COMPUTED_VALUE"""),5670.29)</f>
        <v>5670.29</v>
      </c>
    </row>
    <row r="1327">
      <c r="A1327" s="2" t="str">
        <f>IFERROR(__xludf.DUMMYFUNCTION("""COMPUTED_VALUE"""),"PR054")</f>
        <v>PR054</v>
      </c>
      <c r="B1327" s="2" t="str">
        <f>IFERROR(__xludf.DUMMYFUNCTION("""COMPUTED_VALUE"""),"VD026")</f>
        <v>VD026</v>
      </c>
      <c r="C1327" s="2">
        <f>IFERROR(__xludf.DUMMYFUNCTION("""COMPUTED_VALUE"""),10.0)</f>
        <v>10</v>
      </c>
      <c r="D1327" s="2">
        <f>IFERROR(__xludf.DUMMYFUNCTION("""COMPUTED_VALUE"""),523.95)</f>
        <v>523.95</v>
      </c>
    </row>
    <row r="1328">
      <c r="A1328" s="2" t="str">
        <f>IFERROR(__xludf.DUMMYFUNCTION("""COMPUTED_VALUE"""),"PR002")</f>
        <v>PR002</v>
      </c>
      <c r="B1328" s="2" t="str">
        <f>IFERROR(__xludf.DUMMYFUNCTION("""COMPUTED_VALUE"""),"VD019")</f>
        <v>VD019</v>
      </c>
      <c r="C1328" s="2">
        <f>IFERROR(__xludf.DUMMYFUNCTION("""COMPUTED_VALUE"""),2.0)</f>
        <v>2</v>
      </c>
      <c r="D1328" s="2">
        <f>IFERROR(__xludf.DUMMYFUNCTION("""COMPUTED_VALUE"""),153.78)</f>
        <v>153.78</v>
      </c>
    </row>
    <row r="1329">
      <c r="A1329" s="2" t="str">
        <f>IFERROR(__xludf.DUMMYFUNCTION("""COMPUTED_VALUE"""),"PR022")</f>
        <v>PR022</v>
      </c>
      <c r="B1329" s="2" t="str">
        <f>IFERROR(__xludf.DUMMYFUNCTION("""COMPUTED_VALUE"""),"VD029")</f>
        <v>VD029</v>
      </c>
      <c r="C1329" s="2">
        <f>IFERROR(__xludf.DUMMYFUNCTION("""COMPUTED_VALUE"""),6.0)</f>
        <v>6</v>
      </c>
      <c r="D1329" s="2">
        <f>IFERROR(__xludf.DUMMYFUNCTION("""COMPUTED_VALUE"""),1980.0)</f>
        <v>1980</v>
      </c>
    </row>
    <row r="1330">
      <c r="A1330" s="2" t="str">
        <f>IFERROR(__xludf.DUMMYFUNCTION("""COMPUTED_VALUE"""),"PR058")</f>
        <v>PR058</v>
      </c>
      <c r="B1330" s="2" t="str">
        <f>IFERROR(__xludf.DUMMYFUNCTION("""COMPUTED_VALUE"""),"VD024")</f>
        <v>VD024</v>
      </c>
      <c r="C1330" s="2">
        <f>IFERROR(__xludf.DUMMYFUNCTION("""COMPUTED_VALUE"""),5.0)</f>
        <v>5</v>
      </c>
      <c r="D1330" s="2">
        <f>IFERROR(__xludf.DUMMYFUNCTION("""COMPUTED_VALUE"""),954.0)</f>
        <v>954</v>
      </c>
    </row>
    <row r="1331">
      <c r="A1331" s="2" t="str">
        <f>IFERROR(__xludf.DUMMYFUNCTION("""COMPUTED_VALUE"""),"PR055")</f>
        <v>PR055</v>
      </c>
      <c r="B1331" s="2" t="str">
        <f>IFERROR(__xludf.DUMMYFUNCTION("""COMPUTED_VALUE"""),"VD044")</f>
        <v>VD044</v>
      </c>
      <c r="C1331" s="2">
        <f>IFERROR(__xludf.DUMMYFUNCTION("""COMPUTED_VALUE"""),10.0)</f>
        <v>10</v>
      </c>
      <c r="D1331" s="2">
        <f>IFERROR(__xludf.DUMMYFUNCTION("""COMPUTED_VALUE"""),970.92)</f>
        <v>970.92</v>
      </c>
    </row>
    <row r="1332">
      <c r="A1332" s="2" t="str">
        <f>IFERROR(__xludf.DUMMYFUNCTION("""COMPUTED_VALUE"""),"PR027")</f>
        <v>PR027</v>
      </c>
      <c r="B1332" s="2" t="str">
        <f>IFERROR(__xludf.DUMMYFUNCTION("""COMPUTED_VALUE"""),"VD018")</f>
        <v>VD018</v>
      </c>
      <c r="C1332" s="2">
        <f>IFERROR(__xludf.DUMMYFUNCTION("""COMPUTED_VALUE"""),4.0)</f>
        <v>4</v>
      </c>
      <c r="D1332" s="2">
        <f>IFERROR(__xludf.DUMMYFUNCTION("""COMPUTED_VALUE"""),480.0)</f>
        <v>480</v>
      </c>
    </row>
    <row r="1333">
      <c r="A1333" s="2" t="str">
        <f>IFERROR(__xludf.DUMMYFUNCTION("""COMPUTED_VALUE"""),"PR031")</f>
        <v>PR031</v>
      </c>
      <c r="B1333" s="2" t="str">
        <f>IFERROR(__xludf.DUMMYFUNCTION("""COMPUTED_VALUE"""),"VD046")</f>
        <v>VD046</v>
      </c>
      <c r="C1333" s="2">
        <f>IFERROR(__xludf.DUMMYFUNCTION("""COMPUTED_VALUE"""),5.0)</f>
        <v>5</v>
      </c>
      <c r="D1333" s="2">
        <f>IFERROR(__xludf.DUMMYFUNCTION("""COMPUTED_VALUE"""),1249.5)</f>
        <v>1249.5</v>
      </c>
    </row>
    <row r="1334">
      <c r="A1334" s="2" t="str">
        <f>IFERROR(__xludf.DUMMYFUNCTION("""COMPUTED_VALUE"""),"PR021")</f>
        <v>PR021</v>
      </c>
      <c r="B1334" s="2" t="str">
        <f>IFERROR(__xludf.DUMMYFUNCTION("""COMPUTED_VALUE"""),"VD019")</f>
        <v>VD019</v>
      </c>
      <c r="C1334" s="2">
        <f>IFERROR(__xludf.DUMMYFUNCTION("""COMPUTED_VALUE"""),20.0)</f>
        <v>20</v>
      </c>
      <c r="D1334" s="2">
        <f>IFERROR(__xludf.DUMMYFUNCTION("""COMPUTED_VALUE"""),6300.32)</f>
        <v>6300.32</v>
      </c>
    </row>
    <row r="1335">
      <c r="A1335" s="2" t="str">
        <f>IFERROR(__xludf.DUMMYFUNCTION("""COMPUTED_VALUE"""),"PR001")</f>
        <v>PR001</v>
      </c>
      <c r="B1335" s="2" t="str">
        <f>IFERROR(__xludf.DUMMYFUNCTION("""COMPUTED_VALUE"""),"VD029")</f>
        <v>VD029</v>
      </c>
      <c r="C1335" s="2">
        <f>IFERROR(__xludf.DUMMYFUNCTION("""COMPUTED_VALUE"""),2.0)</f>
        <v>2</v>
      </c>
      <c r="D1335" s="2">
        <f>IFERROR(__xludf.DUMMYFUNCTION("""COMPUTED_VALUE"""),135.75)</f>
        <v>135.75</v>
      </c>
    </row>
    <row r="1336">
      <c r="A1336" s="2" t="str">
        <f>IFERROR(__xludf.DUMMYFUNCTION("""COMPUTED_VALUE"""),"PR055")</f>
        <v>PR055</v>
      </c>
      <c r="B1336" s="2" t="str">
        <f>IFERROR(__xludf.DUMMYFUNCTION("""COMPUTED_VALUE"""),"VD043")</f>
        <v>VD043</v>
      </c>
      <c r="C1336" s="2">
        <f>IFERROR(__xludf.DUMMYFUNCTION("""COMPUTED_VALUE"""),4.0)</f>
        <v>4</v>
      </c>
      <c r="D1336" s="2">
        <f>IFERROR(__xludf.DUMMYFUNCTION("""COMPUTED_VALUE"""),377.58)</f>
        <v>377.58</v>
      </c>
    </row>
    <row r="1337">
      <c r="A1337" s="2" t="str">
        <f>IFERROR(__xludf.DUMMYFUNCTION("""COMPUTED_VALUE"""),"PR053")</f>
        <v>PR053</v>
      </c>
      <c r="B1337" s="2" t="str">
        <f>IFERROR(__xludf.DUMMYFUNCTION("""COMPUTED_VALUE"""),"VD033")</f>
        <v>VD033</v>
      </c>
      <c r="C1337" s="2">
        <f>IFERROR(__xludf.DUMMYFUNCTION("""COMPUTED_VALUE"""),3.0)</f>
        <v>3</v>
      </c>
      <c r="D1337" s="2">
        <f>IFERROR(__xludf.DUMMYFUNCTION("""COMPUTED_VALUE"""),164.67)</f>
        <v>164.67</v>
      </c>
    </row>
    <row r="1338">
      <c r="A1338" s="2" t="str">
        <f>IFERROR(__xludf.DUMMYFUNCTION("""COMPUTED_VALUE"""),"PR024")</f>
        <v>PR024</v>
      </c>
      <c r="B1338" s="2" t="str">
        <f>IFERROR(__xludf.DUMMYFUNCTION("""COMPUTED_VALUE"""),"VD032")</f>
        <v>VD032</v>
      </c>
      <c r="C1338" s="2">
        <f>IFERROR(__xludf.DUMMYFUNCTION("""COMPUTED_VALUE"""),8.0)</f>
        <v>8</v>
      </c>
      <c r="D1338" s="2">
        <f>IFERROR(__xludf.DUMMYFUNCTION("""COMPUTED_VALUE"""),2183.16)</f>
        <v>2183.16</v>
      </c>
    </row>
    <row r="1339">
      <c r="A1339" s="2" t="str">
        <f>IFERROR(__xludf.DUMMYFUNCTION("""COMPUTED_VALUE"""),"PR042")</f>
        <v>PR042</v>
      </c>
      <c r="B1339" s="2" t="str">
        <f>IFERROR(__xludf.DUMMYFUNCTION("""COMPUTED_VALUE"""),"VD041")</f>
        <v>VD041</v>
      </c>
      <c r="C1339" s="2">
        <f>IFERROR(__xludf.DUMMYFUNCTION("""COMPUTED_VALUE"""),16.0)</f>
        <v>16</v>
      </c>
      <c r="D1339" s="2">
        <f>IFERROR(__xludf.DUMMYFUNCTION("""COMPUTED_VALUE"""),931.1)</f>
        <v>931.1</v>
      </c>
    </row>
    <row r="1340">
      <c r="A1340" s="2" t="str">
        <f>IFERROR(__xludf.DUMMYFUNCTION("""COMPUTED_VALUE"""),"PR021")</f>
        <v>PR021</v>
      </c>
      <c r="B1340" s="2" t="str">
        <f>IFERROR(__xludf.DUMMYFUNCTION("""COMPUTED_VALUE"""),"VD032")</f>
        <v>VD032</v>
      </c>
      <c r="C1340" s="2">
        <f>IFERROR(__xludf.DUMMYFUNCTION("""COMPUTED_VALUE"""),14.0)</f>
        <v>14</v>
      </c>
      <c r="D1340" s="2">
        <f>IFERROR(__xludf.DUMMYFUNCTION("""COMPUTED_VALUE"""),4240.6)</f>
        <v>4240.6</v>
      </c>
    </row>
    <row r="1341">
      <c r="A1341" s="2" t="str">
        <f>IFERROR(__xludf.DUMMYFUNCTION("""COMPUTED_VALUE"""),"PR056")</f>
        <v>PR056</v>
      </c>
      <c r="B1341" s="2" t="str">
        <f>IFERROR(__xludf.DUMMYFUNCTION("""COMPUTED_VALUE"""),"VD016")</f>
        <v>VD016</v>
      </c>
      <c r="C1341" s="2">
        <f>IFERROR(__xludf.DUMMYFUNCTION("""COMPUTED_VALUE"""),12.0)</f>
        <v>12</v>
      </c>
      <c r="D1341" s="2">
        <f>IFERROR(__xludf.DUMMYFUNCTION("""COMPUTED_VALUE"""),1175.89)</f>
        <v>1175.89</v>
      </c>
    </row>
    <row r="1342">
      <c r="A1342" s="2" t="str">
        <f>IFERROR(__xludf.DUMMYFUNCTION("""COMPUTED_VALUE"""),"PR006")</f>
        <v>PR006</v>
      </c>
      <c r="B1342" s="2" t="str">
        <f>IFERROR(__xludf.DUMMYFUNCTION("""COMPUTED_VALUE"""),"VD012")</f>
        <v>VD012</v>
      </c>
      <c r="C1342" s="2">
        <f>IFERROR(__xludf.DUMMYFUNCTION("""COMPUTED_VALUE"""),14.0)</f>
        <v>14</v>
      </c>
      <c r="D1342" s="2">
        <f>IFERROR(__xludf.DUMMYFUNCTION("""COMPUTED_VALUE"""),592.12)</f>
        <v>592.12</v>
      </c>
    </row>
    <row r="1343">
      <c r="A1343" s="2" t="str">
        <f>IFERROR(__xludf.DUMMYFUNCTION("""COMPUTED_VALUE"""),"PR029")</f>
        <v>PR029</v>
      </c>
      <c r="B1343" s="2" t="str">
        <f>IFERROR(__xludf.DUMMYFUNCTION("""COMPUTED_VALUE"""),"VD043")</f>
        <v>VD043</v>
      </c>
      <c r="C1343" s="2">
        <f>IFERROR(__xludf.DUMMYFUNCTION("""COMPUTED_VALUE"""),2.0)</f>
        <v>2</v>
      </c>
      <c r="D1343" s="2">
        <f>IFERROR(__xludf.DUMMYFUNCTION("""COMPUTED_VALUE"""),515.1)</f>
        <v>515.1</v>
      </c>
    </row>
    <row r="1344">
      <c r="A1344" s="2" t="str">
        <f>IFERROR(__xludf.DUMMYFUNCTION("""COMPUTED_VALUE"""),"PR037")</f>
        <v>PR037</v>
      </c>
      <c r="B1344" s="2" t="str">
        <f>IFERROR(__xludf.DUMMYFUNCTION("""COMPUTED_VALUE"""),"VD039")</f>
        <v>VD039</v>
      </c>
      <c r="C1344" s="2">
        <f>IFERROR(__xludf.DUMMYFUNCTION("""COMPUTED_VALUE"""),9.0)</f>
        <v>9</v>
      </c>
      <c r="D1344" s="2">
        <f>IFERROR(__xludf.DUMMYFUNCTION("""COMPUTED_VALUE"""),1335.6)</f>
        <v>1335.6</v>
      </c>
    </row>
    <row r="1345">
      <c r="A1345" s="2" t="str">
        <f>IFERROR(__xludf.DUMMYFUNCTION("""COMPUTED_VALUE"""),"PR028")</f>
        <v>PR028</v>
      </c>
      <c r="B1345" s="2" t="str">
        <f>IFERROR(__xludf.DUMMYFUNCTION("""COMPUTED_VALUE"""),"VD040")</f>
        <v>VD040</v>
      </c>
      <c r="C1345" s="2">
        <f>IFERROR(__xludf.DUMMYFUNCTION("""COMPUTED_VALUE"""),2.0)</f>
        <v>2</v>
      </c>
      <c r="D1345" s="2">
        <f>IFERROR(__xludf.DUMMYFUNCTION("""COMPUTED_VALUE"""),499.8)</f>
        <v>499.8</v>
      </c>
    </row>
    <row r="1346">
      <c r="A1346" s="2" t="str">
        <f>IFERROR(__xludf.DUMMYFUNCTION("""COMPUTED_VALUE"""),"PR054")</f>
        <v>PR054</v>
      </c>
      <c r="B1346" s="2" t="str">
        <f>IFERROR(__xludf.DUMMYFUNCTION("""COMPUTED_VALUE"""),"VD012")</f>
        <v>VD012</v>
      </c>
      <c r="C1346" s="2">
        <f>IFERROR(__xludf.DUMMYFUNCTION("""COMPUTED_VALUE"""),18.0)</f>
        <v>18</v>
      </c>
      <c r="D1346" s="2">
        <f>IFERROR(__xludf.DUMMYFUNCTION("""COMPUTED_VALUE"""),961.07)</f>
        <v>961.07</v>
      </c>
    </row>
    <row r="1347">
      <c r="A1347" s="2" t="str">
        <f>IFERROR(__xludf.DUMMYFUNCTION("""COMPUTED_VALUE"""),"PR023")</f>
        <v>PR023</v>
      </c>
      <c r="B1347" s="2" t="str">
        <f>IFERROR(__xludf.DUMMYFUNCTION("""COMPUTED_VALUE"""),"VD036")</f>
        <v>VD036</v>
      </c>
      <c r="C1347" s="2">
        <f>IFERROR(__xludf.DUMMYFUNCTION("""COMPUTED_VALUE"""),6.0)</f>
        <v>6</v>
      </c>
      <c r="D1347" s="2">
        <f>IFERROR(__xludf.DUMMYFUNCTION("""COMPUTED_VALUE"""),1514.39)</f>
        <v>1514.39</v>
      </c>
    </row>
    <row r="1348">
      <c r="A1348" s="2" t="str">
        <f>IFERROR(__xludf.DUMMYFUNCTION("""COMPUTED_VALUE"""),"PR041")</f>
        <v>PR041</v>
      </c>
      <c r="B1348" s="2" t="str">
        <f>IFERROR(__xludf.DUMMYFUNCTION("""COMPUTED_VALUE"""),"VD013")</f>
        <v>VD013</v>
      </c>
      <c r="C1348" s="2">
        <f>IFERROR(__xludf.DUMMYFUNCTION("""COMPUTED_VALUE"""),9.0)</f>
        <v>9</v>
      </c>
      <c r="D1348" s="2">
        <f>IFERROR(__xludf.DUMMYFUNCTION("""COMPUTED_VALUE"""),503.98)</f>
        <v>503.98</v>
      </c>
    </row>
    <row r="1349">
      <c r="A1349" s="2" t="str">
        <f>IFERROR(__xludf.DUMMYFUNCTION("""COMPUTED_VALUE"""),"PR012")</f>
        <v>PR012</v>
      </c>
      <c r="B1349" s="2" t="str">
        <f>IFERROR(__xludf.DUMMYFUNCTION("""COMPUTED_VALUE"""),"VD015")</f>
        <v>VD015</v>
      </c>
      <c r="C1349" s="2">
        <f>IFERROR(__xludf.DUMMYFUNCTION("""COMPUTED_VALUE"""),10.0)</f>
        <v>10</v>
      </c>
      <c r="D1349" s="2">
        <f>IFERROR(__xludf.DUMMYFUNCTION("""COMPUTED_VALUE"""),518.34)</f>
        <v>518.34</v>
      </c>
    </row>
    <row r="1350">
      <c r="A1350" s="2" t="str">
        <f>IFERROR(__xludf.DUMMYFUNCTION("""COMPUTED_VALUE"""),"PR053")</f>
        <v>PR053</v>
      </c>
      <c r="B1350" s="2" t="str">
        <f>IFERROR(__xludf.DUMMYFUNCTION("""COMPUTED_VALUE"""),"VD021")</f>
        <v>VD021</v>
      </c>
      <c r="C1350" s="2">
        <f>IFERROR(__xludf.DUMMYFUNCTION("""COMPUTED_VALUE"""),18.0)</f>
        <v>18</v>
      </c>
      <c r="D1350" s="2">
        <f>IFERROR(__xludf.DUMMYFUNCTION("""COMPUTED_VALUE"""),898.2)</f>
        <v>898.2</v>
      </c>
    </row>
    <row r="1351">
      <c r="A1351" s="2" t="str">
        <f>IFERROR(__xludf.DUMMYFUNCTION("""COMPUTED_VALUE"""),"PR038")</f>
        <v>PR038</v>
      </c>
      <c r="B1351" s="2" t="str">
        <f>IFERROR(__xludf.DUMMYFUNCTION("""COMPUTED_VALUE"""),"VD013")</f>
        <v>VD013</v>
      </c>
      <c r="C1351" s="2">
        <f>IFERROR(__xludf.DUMMYFUNCTION("""COMPUTED_VALUE"""),2.0)</f>
        <v>2</v>
      </c>
      <c r="D1351" s="2">
        <f>IFERROR(__xludf.DUMMYFUNCTION("""COMPUTED_VALUE"""),311.52)</f>
        <v>311.52</v>
      </c>
    </row>
    <row r="1352">
      <c r="A1352" s="2" t="str">
        <f>IFERROR(__xludf.DUMMYFUNCTION("""COMPUTED_VALUE"""),"PR009")</f>
        <v>PR009</v>
      </c>
      <c r="B1352" s="2" t="str">
        <f>IFERROR(__xludf.DUMMYFUNCTION("""COMPUTED_VALUE"""),"VD022")</f>
        <v>VD022</v>
      </c>
      <c r="C1352" s="2">
        <f>IFERROR(__xludf.DUMMYFUNCTION("""COMPUTED_VALUE"""),12.0)</f>
        <v>12</v>
      </c>
      <c r="D1352" s="2">
        <f>IFERROR(__xludf.DUMMYFUNCTION("""COMPUTED_VALUE"""),1181.69)</f>
        <v>1181.69</v>
      </c>
    </row>
    <row r="1353">
      <c r="A1353" s="2" t="str">
        <f>IFERROR(__xludf.DUMMYFUNCTION("""COMPUTED_VALUE"""),"PR019")</f>
        <v>PR019</v>
      </c>
      <c r="B1353" s="2" t="str">
        <f>IFERROR(__xludf.DUMMYFUNCTION("""COMPUTED_VALUE"""),"VD025")</f>
        <v>VD025</v>
      </c>
      <c r="C1353" s="2">
        <f>IFERROR(__xludf.DUMMYFUNCTION("""COMPUTED_VALUE"""),14.0)</f>
        <v>14</v>
      </c>
      <c r="D1353" s="2">
        <f>IFERROR(__xludf.DUMMYFUNCTION("""COMPUTED_VALUE"""),705.59)</f>
        <v>705.59</v>
      </c>
    </row>
    <row r="1354">
      <c r="A1354" s="2" t="str">
        <f>IFERROR(__xludf.DUMMYFUNCTION("""COMPUTED_VALUE"""),"PR029")</f>
        <v>PR029</v>
      </c>
      <c r="B1354" s="2" t="str">
        <f>IFERROR(__xludf.DUMMYFUNCTION("""COMPUTED_VALUE"""),"VD018")</f>
        <v>VD018</v>
      </c>
      <c r="C1354" s="2">
        <f>IFERROR(__xludf.DUMMYFUNCTION("""COMPUTED_VALUE"""),1.0)</f>
        <v>1</v>
      </c>
      <c r="D1354" s="2">
        <f>IFERROR(__xludf.DUMMYFUNCTION("""COMPUTED_VALUE"""),257.55)</f>
        <v>257.55</v>
      </c>
    </row>
    <row r="1355">
      <c r="A1355" s="2" t="str">
        <f>IFERROR(__xludf.DUMMYFUNCTION("""COMPUTED_VALUE"""),"PR032")</f>
        <v>PR032</v>
      </c>
      <c r="B1355" s="2" t="str">
        <f>IFERROR(__xludf.DUMMYFUNCTION("""COMPUTED_VALUE"""),"VD018")</f>
        <v>VD018</v>
      </c>
      <c r="C1355" s="2">
        <f>IFERROR(__xludf.DUMMYFUNCTION("""COMPUTED_VALUE"""),2.0)</f>
        <v>2</v>
      </c>
      <c r="D1355" s="2">
        <f>IFERROR(__xludf.DUMMYFUNCTION("""COMPUTED_VALUE"""),520.0)</f>
        <v>520</v>
      </c>
    </row>
    <row r="1356">
      <c r="A1356" s="2" t="str">
        <f>IFERROR(__xludf.DUMMYFUNCTION("""COMPUTED_VALUE"""),"PR048")</f>
        <v>PR048</v>
      </c>
      <c r="B1356" s="2" t="str">
        <f>IFERROR(__xludf.DUMMYFUNCTION("""COMPUTED_VALUE"""),"VD042")</f>
        <v>VD042</v>
      </c>
      <c r="C1356" s="2">
        <f>IFERROR(__xludf.DUMMYFUNCTION("""COMPUTED_VALUE"""),2.0)</f>
        <v>2</v>
      </c>
      <c r="D1356" s="2">
        <f>IFERROR(__xludf.DUMMYFUNCTION("""COMPUTED_VALUE"""),585.6)</f>
        <v>585.6</v>
      </c>
    </row>
    <row r="1357">
      <c r="A1357" s="2" t="str">
        <f>IFERROR(__xludf.DUMMYFUNCTION("""COMPUTED_VALUE"""),"PR044")</f>
        <v>PR044</v>
      </c>
      <c r="B1357" s="2" t="str">
        <f>IFERROR(__xludf.DUMMYFUNCTION("""COMPUTED_VALUE"""),"VD042")</f>
        <v>VD042</v>
      </c>
      <c r="C1357" s="2">
        <f>IFERROR(__xludf.DUMMYFUNCTION("""COMPUTED_VALUE"""),8.0)</f>
        <v>8</v>
      </c>
      <c r="D1357" s="2">
        <f>IFERROR(__xludf.DUMMYFUNCTION("""COMPUTED_VALUE"""),626.4)</f>
        <v>626.4</v>
      </c>
    </row>
    <row r="1358">
      <c r="A1358" s="2" t="str">
        <f>IFERROR(__xludf.DUMMYFUNCTION("""COMPUTED_VALUE"""),"PR007")</f>
        <v>PR007</v>
      </c>
      <c r="B1358" s="2" t="str">
        <f>IFERROR(__xludf.DUMMYFUNCTION("""COMPUTED_VALUE"""),"VD019")</f>
        <v>VD019</v>
      </c>
      <c r="C1358" s="2">
        <f>IFERROR(__xludf.DUMMYFUNCTION("""COMPUTED_VALUE"""),3.0)</f>
        <v>3</v>
      </c>
      <c r="D1358" s="2">
        <f>IFERROR(__xludf.DUMMYFUNCTION("""COMPUTED_VALUE"""),280.89)</f>
        <v>280.89</v>
      </c>
    </row>
    <row r="1359">
      <c r="A1359" s="2" t="str">
        <f>IFERROR(__xludf.DUMMYFUNCTION("""COMPUTED_VALUE"""),"PR018")</f>
        <v>PR018</v>
      </c>
      <c r="B1359" s="2" t="str">
        <f>IFERROR(__xludf.DUMMYFUNCTION("""COMPUTED_VALUE"""),"VD029")</f>
        <v>VD029</v>
      </c>
      <c r="C1359" s="2">
        <f>IFERROR(__xludf.DUMMYFUNCTION("""COMPUTED_VALUE"""),20.0)</f>
        <v>20</v>
      </c>
      <c r="D1359" s="2">
        <f>IFERROR(__xludf.DUMMYFUNCTION("""COMPUTED_VALUE"""),717.22)</f>
        <v>717.22</v>
      </c>
    </row>
    <row r="1360">
      <c r="A1360" s="2" t="str">
        <f>IFERROR(__xludf.DUMMYFUNCTION("""COMPUTED_VALUE"""),"PR017")</f>
        <v>PR017</v>
      </c>
      <c r="B1360" s="2" t="str">
        <f>IFERROR(__xludf.DUMMYFUNCTION("""COMPUTED_VALUE"""),"VD028")</f>
        <v>VD028</v>
      </c>
      <c r="C1360" s="2">
        <f>IFERROR(__xludf.DUMMYFUNCTION("""COMPUTED_VALUE"""),9.0)</f>
        <v>9</v>
      </c>
      <c r="D1360" s="2">
        <f>IFERROR(__xludf.DUMMYFUNCTION("""COMPUTED_VALUE"""),279.86)</f>
        <v>279.86</v>
      </c>
    </row>
    <row r="1361">
      <c r="A1361" s="2" t="str">
        <f>IFERROR(__xludf.DUMMYFUNCTION("""COMPUTED_VALUE"""),"PR053")</f>
        <v>PR053</v>
      </c>
      <c r="B1361" s="2" t="str">
        <f>IFERROR(__xludf.DUMMYFUNCTION("""COMPUTED_VALUE"""),"VD014")</f>
        <v>VD014</v>
      </c>
      <c r="C1361" s="2">
        <f>IFERROR(__xludf.DUMMYFUNCTION("""COMPUTED_VALUE"""),8.0)</f>
        <v>8</v>
      </c>
      <c r="D1361" s="2">
        <f>IFERROR(__xludf.DUMMYFUNCTION("""COMPUTED_VALUE"""),419.16)</f>
        <v>419.16</v>
      </c>
    </row>
    <row r="1362">
      <c r="A1362" s="2" t="str">
        <f>IFERROR(__xludf.DUMMYFUNCTION("""COMPUTED_VALUE"""),"PR059")</f>
        <v>PR059</v>
      </c>
      <c r="B1362" s="2" t="str">
        <f>IFERROR(__xludf.DUMMYFUNCTION("""COMPUTED_VALUE"""),"VD015")</f>
        <v>VD015</v>
      </c>
      <c r="C1362" s="2">
        <f>IFERROR(__xludf.DUMMYFUNCTION("""COMPUTED_VALUE"""),1.0)</f>
        <v>1</v>
      </c>
      <c r="D1362" s="2">
        <f>IFERROR(__xludf.DUMMYFUNCTION("""COMPUTED_VALUE"""),181.8)</f>
        <v>181.8</v>
      </c>
    </row>
    <row r="1363">
      <c r="A1363" s="2" t="str">
        <f>IFERROR(__xludf.DUMMYFUNCTION("""COMPUTED_VALUE"""),"PR014")</f>
        <v>PR014</v>
      </c>
      <c r="B1363" s="2" t="str">
        <f>IFERROR(__xludf.DUMMYFUNCTION("""COMPUTED_VALUE"""),"VD018")</f>
        <v>VD018</v>
      </c>
      <c r="C1363" s="2">
        <f>IFERROR(__xludf.DUMMYFUNCTION("""COMPUTED_VALUE"""),16.0)</f>
        <v>16</v>
      </c>
      <c r="D1363" s="2">
        <f>IFERROR(__xludf.DUMMYFUNCTION("""COMPUTED_VALUE"""),651.17)</f>
        <v>651.17</v>
      </c>
    </row>
    <row r="1364">
      <c r="A1364" s="2" t="str">
        <f>IFERROR(__xludf.DUMMYFUNCTION("""COMPUTED_VALUE"""),"PR022")</f>
        <v>PR022</v>
      </c>
      <c r="B1364" s="2" t="str">
        <f>IFERROR(__xludf.DUMMYFUNCTION("""COMPUTED_VALUE"""),"VD032")</f>
        <v>VD032</v>
      </c>
      <c r="C1364" s="2">
        <f>IFERROR(__xludf.DUMMYFUNCTION("""COMPUTED_VALUE"""),10.0)</f>
        <v>10</v>
      </c>
      <c r="D1364" s="2">
        <f>IFERROR(__xludf.DUMMYFUNCTION("""COMPUTED_VALUE"""),3150.0)</f>
        <v>3150</v>
      </c>
    </row>
    <row r="1365">
      <c r="A1365" s="2" t="str">
        <f>IFERROR(__xludf.DUMMYFUNCTION("""COMPUTED_VALUE"""),"PR007")</f>
        <v>PR007</v>
      </c>
      <c r="B1365" s="2" t="str">
        <f>IFERROR(__xludf.DUMMYFUNCTION("""COMPUTED_VALUE"""),"VD028")</f>
        <v>VD028</v>
      </c>
      <c r="C1365" s="2">
        <f>IFERROR(__xludf.DUMMYFUNCTION("""COMPUTED_VALUE"""),10.0)</f>
        <v>10</v>
      </c>
      <c r="D1365" s="2">
        <f>IFERROR(__xludf.DUMMYFUNCTION("""COMPUTED_VALUE"""),859.0)</f>
        <v>859</v>
      </c>
    </row>
    <row r="1366">
      <c r="A1366" s="2" t="str">
        <f>IFERROR(__xludf.DUMMYFUNCTION("""COMPUTED_VALUE"""),"PR035")</f>
        <v>PR035</v>
      </c>
      <c r="B1366" s="2" t="str">
        <f>IFERROR(__xludf.DUMMYFUNCTION("""COMPUTED_VALUE"""),"VD049")</f>
        <v>VD049</v>
      </c>
      <c r="C1366" s="2">
        <f>IFERROR(__xludf.DUMMYFUNCTION("""COMPUTED_VALUE"""),8.0)</f>
        <v>8</v>
      </c>
      <c r="D1366" s="2">
        <f>IFERROR(__xludf.DUMMYFUNCTION("""COMPUTED_VALUE"""),775.07)</f>
        <v>775.07</v>
      </c>
    </row>
    <row r="1367">
      <c r="A1367" s="2" t="str">
        <f>IFERROR(__xludf.DUMMYFUNCTION("""COMPUTED_VALUE"""),"PR024")</f>
        <v>PR024</v>
      </c>
      <c r="B1367" s="2" t="str">
        <f>IFERROR(__xludf.DUMMYFUNCTION("""COMPUTED_VALUE"""),"VD037")</f>
        <v>VD037</v>
      </c>
      <c r="C1367" s="2">
        <f>IFERROR(__xludf.DUMMYFUNCTION("""COMPUTED_VALUE"""),5.0)</f>
        <v>5</v>
      </c>
      <c r="D1367" s="2">
        <f>IFERROR(__xludf.DUMMYFUNCTION("""COMPUTED_VALUE"""),1299.5)</f>
        <v>1299.5</v>
      </c>
    </row>
    <row r="1368">
      <c r="A1368" s="2" t="str">
        <f>IFERROR(__xludf.DUMMYFUNCTION("""COMPUTED_VALUE"""),"PR057")</f>
        <v>PR057</v>
      </c>
      <c r="B1368" s="2" t="str">
        <f>IFERROR(__xludf.DUMMYFUNCTION("""COMPUTED_VALUE"""),"VD033")</f>
        <v>VD033</v>
      </c>
      <c r="C1368" s="2">
        <f>IFERROR(__xludf.DUMMYFUNCTION("""COMPUTED_VALUE"""),14.0)</f>
        <v>14</v>
      </c>
      <c r="D1368" s="2">
        <f>IFERROR(__xludf.DUMMYFUNCTION("""COMPUTED_VALUE"""),1296.36)</f>
        <v>1296.36</v>
      </c>
    </row>
    <row r="1369">
      <c r="A1369" s="2" t="str">
        <f>IFERROR(__xludf.DUMMYFUNCTION("""COMPUTED_VALUE"""),"PR047")</f>
        <v>PR047</v>
      </c>
      <c r="B1369" s="2" t="str">
        <f>IFERROR(__xludf.DUMMYFUNCTION("""COMPUTED_VALUE"""),"VD037")</f>
        <v>VD037</v>
      </c>
      <c r="C1369" s="2">
        <f>IFERROR(__xludf.DUMMYFUNCTION("""COMPUTED_VALUE"""),3.0)</f>
        <v>3</v>
      </c>
      <c r="D1369" s="2">
        <f>IFERROR(__xludf.DUMMYFUNCTION("""COMPUTED_VALUE"""),913.19)</f>
        <v>913.19</v>
      </c>
    </row>
    <row r="1370">
      <c r="A1370" s="2" t="str">
        <f>IFERROR(__xludf.DUMMYFUNCTION("""COMPUTED_VALUE"""),"PR035")</f>
        <v>PR035</v>
      </c>
      <c r="B1370" s="2" t="str">
        <f>IFERROR(__xludf.DUMMYFUNCTION("""COMPUTED_VALUE"""),"VD042")</f>
        <v>VD042</v>
      </c>
      <c r="C1370" s="2">
        <f>IFERROR(__xludf.DUMMYFUNCTION("""COMPUTED_VALUE"""),20.0)</f>
        <v>20</v>
      </c>
      <c r="D1370" s="2">
        <f>IFERROR(__xludf.DUMMYFUNCTION("""COMPUTED_VALUE"""),1937.68)</f>
        <v>1937.68</v>
      </c>
    </row>
    <row r="1371">
      <c r="A1371" s="2" t="str">
        <f>IFERROR(__xludf.DUMMYFUNCTION("""COMPUTED_VALUE"""),"PR007")</f>
        <v>PR007</v>
      </c>
      <c r="B1371" s="2" t="str">
        <f>IFERROR(__xludf.DUMMYFUNCTION("""COMPUTED_VALUE"""),"VD026")</f>
        <v>VD026</v>
      </c>
      <c r="C1371" s="2">
        <f>IFERROR(__xludf.DUMMYFUNCTION("""COMPUTED_VALUE"""),3.0)</f>
        <v>3</v>
      </c>
      <c r="D1371" s="2">
        <f>IFERROR(__xludf.DUMMYFUNCTION("""COMPUTED_VALUE"""),270.59)</f>
        <v>270.59</v>
      </c>
    </row>
    <row r="1372">
      <c r="A1372" s="2" t="str">
        <f>IFERROR(__xludf.DUMMYFUNCTION("""COMPUTED_VALUE"""),"PR002")</f>
        <v>PR002</v>
      </c>
      <c r="B1372" s="2" t="str">
        <f>IFERROR(__xludf.DUMMYFUNCTION("""COMPUTED_VALUE"""),"VD013")</f>
        <v>VD013</v>
      </c>
      <c r="C1372" s="2">
        <f>IFERROR(__xludf.DUMMYFUNCTION("""COMPUTED_VALUE"""),5.0)</f>
        <v>5</v>
      </c>
      <c r="D1372" s="2">
        <f>IFERROR(__xludf.DUMMYFUNCTION("""COMPUTED_VALUE"""),373.97)</f>
        <v>373.97</v>
      </c>
    </row>
    <row r="1373">
      <c r="A1373" s="2" t="str">
        <f>IFERROR(__xludf.DUMMYFUNCTION("""COMPUTED_VALUE"""),"PR035")</f>
        <v>PR035</v>
      </c>
      <c r="B1373" s="2" t="str">
        <f>IFERROR(__xludf.DUMMYFUNCTION("""COMPUTED_VALUE"""),"VD036")</f>
        <v>VD036</v>
      </c>
      <c r="C1373" s="2">
        <f>IFERROR(__xludf.DUMMYFUNCTION("""COMPUTED_VALUE"""),2.0)</f>
        <v>2</v>
      </c>
      <c r="D1373" s="2">
        <f>IFERROR(__xludf.DUMMYFUNCTION("""COMPUTED_VALUE"""),184.63)</f>
        <v>184.63</v>
      </c>
    </row>
    <row r="1374">
      <c r="A1374" s="2" t="str">
        <f>IFERROR(__xludf.DUMMYFUNCTION("""COMPUTED_VALUE"""),"PR049")</f>
        <v>PR049</v>
      </c>
      <c r="B1374" s="2" t="str">
        <f>IFERROR(__xludf.DUMMYFUNCTION("""COMPUTED_VALUE"""),"VD026")</f>
        <v>VD026</v>
      </c>
      <c r="C1374" s="2">
        <f>IFERROR(__xludf.DUMMYFUNCTION("""COMPUTED_VALUE"""),10.0)</f>
        <v>10</v>
      </c>
      <c r="D1374" s="2">
        <f>IFERROR(__xludf.DUMMYFUNCTION("""COMPUTED_VALUE"""),348.74)</f>
        <v>348.74</v>
      </c>
    </row>
    <row r="1375">
      <c r="A1375" s="2" t="str">
        <f>IFERROR(__xludf.DUMMYFUNCTION("""COMPUTED_VALUE"""),"PR048")</f>
        <v>PR048</v>
      </c>
      <c r="B1375" s="2" t="str">
        <f>IFERROR(__xludf.DUMMYFUNCTION("""COMPUTED_VALUE"""),"VD019")</f>
        <v>VD019</v>
      </c>
      <c r="C1375" s="2">
        <f>IFERROR(__xludf.DUMMYFUNCTION("""COMPUTED_VALUE"""),14.0)</f>
        <v>14</v>
      </c>
      <c r="D1375" s="2">
        <f>IFERROR(__xludf.DUMMYFUNCTION("""COMPUTED_VALUE"""),4139.77)</f>
        <v>4139.77</v>
      </c>
    </row>
    <row r="1376">
      <c r="A1376" s="2" t="str">
        <f>IFERROR(__xludf.DUMMYFUNCTION("""COMPUTED_VALUE"""),"PR058")</f>
        <v>PR058</v>
      </c>
      <c r="B1376" s="2" t="str">
        <f>IFERROR(__xludf.DUMMYFUNCTION("""COMPUTED_VALUE"""),"VD029")</f>
        <v>VD029</v>
      </c>
      <c r="C1376" s="2">
        <f>IFERROR(__xludf.DUMMYFUNCTION("""COMPUTED_VALUE"""),5.0)</f>
        <v>5</v>
      </c>
      <c r="D1376" s="2">
        <f>IFERROR(__xludf.DUMMYFUNCTION("""COMPUTED_VALUE"""),918.0)</f>
        <v>918</v>
      </c>
    </row>
    <row r="1377">
      <c r="A1377" s="2" t="str">
        <f>IFERROR(__xludf.DUMMYFUNCTION("""COMPUTED_VALUE"""),"PR032")</f>
        <v>PR032</v>
      </c>
      <c r="B1377" s="2" t="str">
        <f>IFERROR(__xludf.DUMMYFUNCTION("""COMPUTED_VALUE"""),"VD038")</f>
        <v>VD038</v>
      </c>
      <c r="C1377" s="2">
        <f>IFERROR(__xludf.DUMMYFUNCTION("""COMPUTED_VALUE"""),8.0)</f>
        <v>8</v>
      </c>
      <c r="D1377" s="2">
        <f>IFERROR(__xludf.DUMMYFUNCTION("""COMPUTED_VALUE"""),2080.0)</f>
        <v>2080</v>
      </c>
    </row>
    <row r="1378">
      <c r="A1378" s="2" t="str">
        <f>IFERROR(__xludf.DUMMYFUNCTION("""COMPUTED_VALUE"""),"PR009")</f>
        <v>PR009</v>
      </c>
      <c r="B1378" s="2" t="str">
        <f>IFERROR(__xludf.DUMMYFUNCTION("""COMPUTED_VALUE"""),"VD032")</f>
        <v>VD032</v>
      </c>
      <c r="C1378" s="2">
        <f>IFERROR(__xludf.DUMMYFUNCTION("""COMPUTED_VALUE"""),20.0)</f>
        <v>20</v>
      </c>
      <c r="D1378" s="2">
        <f>IFERROR(__xludf.DUMMYFUNCTION("""COMPUTED_VALUE"""),1969.48)</f>
        <v>1969.48</v>
      </c>
    </row>
    <row r="1379">
      <c r="A1379" s="2" t="str">
        <f>IFERROR(__xludf.DUMMYFUNCTION("""COMPUTED_VALUE"""),"PR060")</f>
        <v>PR060</v>
      </c>
      <c r="B1379" s="2" t="str">
        <f>IFERROR(__xludf.DUMMYFUNCTION("""COMPUTED_VALUE"""),"VD032")</f>
        <v>VD032</v>
      </c>
      <c r="C1379" s="2">
        <f>IFERROR(__xludf.DUMMYFUNCTION("""COMPUTED_VALUE"""),5.0)</f>
        <v>5</v>
      </c>
      <c r="D1379" s="2">
        <f>IFERROR(__xludf.DUMMYFUNCTION("""COMPUTED_VALUE"""),927.0)</f>
        <v>927</v>
      </c>
    </row>
    <row r="1380">
      <c r="A1380" s="2" t="str">
        <f>IFERROR(__xludf.DUMMYFUNCTION("""COMPUTED_VALUE"""),"PR026")</f>
        <v>PR026</v>
      </c>
      <c r="B1380" s="2" t="str">
        <f>IFERROR(__xludf.DUMMYFUNCTION("""COMPUTED_VALUE"""),"VD026")</f>
        <v>VD026</v>
      </c>
      <c r="C1380" s="2">
        <f>IFERROR(__xludf.DUMMYFUNCTION("""COMPUTED_VALUE"""),14.0)</f>
        <v>14</v>
      </c>
      <c r="D1380" s="2">
        <f>IFERROR(__xludf.DUMMYFUNCTION("""COMPUTED_VALUE"""),5290.49)</f>
        <v>5290.49</v>
      </c>
    </row>
    <row r="1381">
      <c r="A1381" s="2" t="str">
        <f>IFERROR(__xludf.DUMMYFUNCTION("""COMPUTED_VALUE"""),"PR012")</f>
        <v>PR012</v>
      </c>
      <c r="B1381" s="2" t="str">
        <f>IFERROR(__xludf.DUMMYFUNCTION("""COMPUTED_VALUE"""),"VD035")</f>
        <v>VD035</v>
      </c>
      <c r="C1381" s="2">
        <f>IFERROR(__xludf.DUMMYFUNCTION("""COMPUTED_VALUE"""),16.0)</f>
        <v>16</v>
      </c>
      <c r="D1381" s="2">
        <f>IFERROR(__xludf.DUMMYFUNCTION("""COMPUTED_VALUE"""),852.82)</f>
        <v>852.82</v>
      </c>
    </row>
    <row r="1382">
      <c r="A1382" s="2" t="str">
        <f>IFERROR(__xludf.DUMMYFUNCTION("""COMPUTED_VALUE"""),"PR036")</f>
        <v>PR036</v>
      </c>
      <c r="B1382" s="2" t="str">
        <f>IFERROR(__xludf.DUMMYFUNCTION("""COMPUTED_VALUE"""),"VD046")</f>
        <v>VD046</v>
      </c>
      <c r="C1382" s="2">
        <f>IFERROR(__xludf.DUMMYFUNCTION("""COMPUTED_VALUE"""),5.0)</f>
        <v>5</v>
      </c>
      <c r="D1382" s="2">
        <f>IFERROR(__xludf.DUMMYFUNCTION("""COMPUTED_VALUE"""),514.25)</f>
        <v>514.25</v>
      </c>
    </row>
    <row r="1383">
      <c r="A1383" s="2" t="str">
        <f>IFERROR(__xludf.DUMMYFUNCTION("""COMPUTED_VALUE"""),"PR022")</f>
        <v>PR022</v>
      </c>
      <c r="B1383" s="2" t="str">
        <f>IFERROR(__xludf.DUMMYFUNCTION("""COMPUTED_VALUE"""),"VD011")</f>
        <v>VD011</v>
      </c>
      <c r="C1383" s="2">
        <f>IFERROR(__xludf.DUMMYFUNCTION("""COMPUTED_VALUE"""),9.0)</f>
        <v>9</v>
      </c>
      <c r="D1383" s="2">
        <f>IFERROR(__xludf.DUMMYFUNCTION("""COMPUTED_VALUE"""),2835.0)</f>
        <v>2835</v>
      </c>
    </row>
    <row r="1384">
      <c r="A1384" s="2" t="str">
        <f>IFERROR(__xludf.DUMMYFUNCTION("""COMPUTED_VALUE"""),"PR030")</f>
        <v>PR030</v>
      </c>
      <c r="B1384" s="2" t="str">
        <f>IFERROR(__xludf.DUMMYFUNCTION("""COMPUTED_VALUE"""),"VD023")</f>
        <v>VD023</v>
      </c>
      <c r="C1384" s="2">
        <f>IFERROR(__xludf.DUMMYFUNCTION("""COMPUTED_VALUE"""),8.0)</f>
        <v>8</v>
      </c>
      <c r="D1384" s="2">
        <f>IFERROR(__xludf.DUMMYFUNCTION("""COMPUTED_VALUE"""),2245.54)</f>
        <v>2245.54</v>
      </c>
    </row>
    <row r="1385">
      <c r="A1385" s="2" t="str">
        <f>IFERROR(__xludf.DUMMYFUNCTION("""COMPUTED_VALUE"""),"PR019")</f>
        <v>PR019</v>
      </c>
      <c r="B1385" s="2" t="str">
        <f>IFERROR(__xludf.DUMMYFUNCTION("""COMPUTED_VALUE"""),"VD039")</f>
        <v>VD039</v>
      </c>
      <c r="C1385" s="2">
        <f>IFERROR(__xludf.DUMMYFUNCTION("""COMPUTED_VALUE"""),16.0)</f>
        <v>16</v>
      </c>
      <c r="D1385" s="2">
        <f>IFERROR(__xludf.DUMMYFUNCTION("""COMPUTED_VALUE"""),822.35)</f>
        <v>822.35</v>
      </c>
    </row>
    <row r="1386">
      <c r="A1386" s="2" t="str">
        <f>IFERROR(__xludf.DUMMYFUNCTION("""COMPUTED_VALUE"""),"PR016")</f>
        <v>PR016</v>
      </c>
      <c r="B1386" s="2" t="str">
        <f>IFERROR(__xludf.DUMMYFUNCTION("""COMPUTED_VALUE"""),"VD018")</f>
        <v>VD018</v>
      </c>
      <c r="C1386" s="2">
        <f>IFERROR(__xludf.DUMMYFUNCTION("""COMPUTED_VALUE"""),9.0)</f>
        <v>9</v>
      </c>
      <c r="D1386" s="2">
        <f>IFERROR(__xludf.DUMMYFUNCTION("""COMPUTED_VALUE"""),244.76)</f>
        <v>244.76</v>
      </c>
    </row>
    <row r="1387">
      <c r="A1387" s="2" t="str">
        <f>IFERROR(__xludf.DUMMYFUNCTION("""COMPUTED_VALUE"""),"PR014")</f>
        <v>PR014</v>
      </c>
      <c r="B1387" s="2" t="str">
        <f>IFERROR(__xludf.DUMMYFUNCTION("""COMPUTED_VALUE"""),"VD027")</f>
        <v>VD027</v>
      </c>
      <c r="C1387" s="2">
        <f>IFERROR(__xludf.DUMMYFUNCTION("""COMPUTED_VALUE"""),10.0)</f>
        <v>10</v>
      </c>
      <c r="D1387" s="2">
        <f>IFERROR(__xludf.DUMMYFUNCTION("""COMPUTED_VALUE"""),410.97)</f>
        <v>410.97</v>
      </c>
    </row>
    <row r="1388">
      <c r="A1388" s="2" t="str">
        <f>IFERROR(__xludf.DUMMYFUNCTION("""COMPUTED_VALUE"""),"PR044")</f>
        <v>PR044</v>
      </c>
      <c r="B1388" s="2" t="str">
        <f>IFERROR(__xludf.DUMMYFUNCTION("""COMPUTED_VALUE"""),"VD025")</f>
        <v>VD025</v>
      </c>
      <c r="C1388" s="2">
        <f>IFERROR(__xludf.DUMMYFUNCTION("""COMPUTED_VALUE"""),14.0)</f>
        <v>14</v>
      </c>
      <c r="D1388" s="2">
        <f>IFERROR(__xludf.DUMMYFUNCTION("""COMPUTED_VALUE"""),1116.5)</f>
        <v>1116.5</v>
      </c>
    </row>
    <row r="1389">
      <c r="A1389" s="2" t="str">
        <f>IFERROR(__xludf.DUMMYFUNCTION("""COMPUTED_VALUE"""),"PR014")</f>
        <v>PR014</v>
      </c>
      <c r="B1389" s="2" t="str">
        <f>IFERROR(__xludf.DUMMYFUNCTION("""COMPUTED_VALUE"""),"VD024")</f>
        <v>VD024</v>
      </c>
      <c r="C1389" s="2">
        <f>IFERROR(__xludf.DUMMYFUNCTION("""COMPUTED_VALUE"""),5.0)</f>
        <v>5</v>
      </c>
      <c r="D1389" s="2">
        <f>IFERROR(__xludf.DUMMYFUNCTION("""COMPUTED_VALUE"""),203.49)</f>
        <v>203.49</v>
      </c>
    </row>
    <row r="1390">
      <c r="A1390" s="2" t="str">
        <f>IFERROR(__xludf.DUMMYFUNCTION("""COMPUTED_VALUE"""),"PR019")</f>
        <v>PR019</v>
      </c>
      <c r="B1390" s="2" t="str">
        <f>IFERROR(__xludf.DUMMYFUNCTION("""COMPUTED_VALUE"""),"VD043")</f>
        <v>VD043</v>
      </c>
      <c r="C1390" s="2">
        <f>IFERROR(__xludf.DUMMYFUNCTION("""COMPUTED_VALUE"""),12.0)</f>
        <v>12</v>
      </c>
      <c r="D1390" s="2">
        <f>IFERROR(__xludf.DUMMYFUNCTION("""COMPUTED_VALUE"""),604.79)</f>
        <v>604.79</v>
      </c>
    </row>
    <row r="1391">
      <c r="A1391" s="2" t="str">
        <f>IFERROR(__xludf.DUMMYFUNCTION("""COMPUTED_VALUE"""),"PR003")</f>
        <v>PR003</v>
      </c>
      <c r="B1391" s="2" t="str">
        <f>IFERROR(__xludf.DUMMYFUNCTION("""COMPUTED_VALUE"""),"VD039")</f>
        <v>VD039</v>
      </c>
      <c r="C1391" s="2">
        <f>IFERROR(__xludf.DUMMYFUNCTION("""COMPUTED_VALUE"""),5.0)</f>
        <v>5</v>
      </c>
      <c r="D1391" s="2">
        <f>IFERROR(__xludf.DUMMYFUNCTION("""COMPUTED_VALUE"""),354.5)</f>
        <v>354.5</v>
      </c>
    </row>
    <row r="1392">
      <c r="A1392" s="2" t="str">
        <f>IFERROR(__xludf.DUMMYFUNCTION("""COMPUTED_VALUE"""),"PR054")</f>
        <v>PR054</v>
      </c>
      <c r="B1392" s="2" t="str">
        <f>IFERROR(__xludf.DUMMYFUNCTION("""COMPUTED_VALUE"""),"VD019")</f>
        <v>VD019</v>
      </c>
      <c r="C1392" s="2">
        <f>IFERROR(__xludf.DUMMYFUNCTION("""COMPUTED_VALUE"""),4.0)</f>
        <v>4</v>
      </c>
      <c r="D1392" s="2">
        <f>IFERROR(__xludf.DUMMYFUNCTION("""COMPUTED_VALUE"""),217.56)</f>
        <v>217.56</v>
      </c>
    </row>
    <row r="1393">
      <c r="A1393" s="2" t="str">
        <f>IFERROR(__xludf.DUMMYFUNCTION("""COMPUTED_VALUE"""),"PR003")</f>
        <v>PR003</v>
      </c>
      <c r="B1393" s="2" t="str">
        <f>IFERROR(__xludf.DUMMYFUNCTION("""COMPUTED_VALUE"""),"VD030")</f>
        <v>VD030</v>
      </c>
      <c r="C1393" s="2">
        <f>IFERROR(__xludf.DUMMYFUNCTION("""COMPUTED_VALUE"""),5.0)</f>
        <v>5</v>
      </c>
      <c r="D1393" s="2">
        <f>IFERROR(__xludf.DUMMYFUNCTION("""COMPUTED_VALUE"""),386.41)</f>
        <v>386.41</v>
      </c>
    </row>
    <row r="1394">
      <c r="A1394" s="2" t="str">
        <f>IFERROR(__xludf.DUMMYFUNCTION("""COMPUTED_VALUE"""),"PR033")</f>
        <v>PR033</v>
      </c>
      <c r="B1394" s="2" t="str">
        <f>IFERROR(__xludf.DUMMYFUNCTION("""COMPUTED_VALUE"""),"VD025")</f>
        <v>VD025</v>
      </c>
      <c r="C1394" s="2">
        <f>IFERROR(__xludf.DUMMYFUNCTION("""COMPUTED_VALUE"""),2.0)</f>
        <v>2</v>
      </c>
      <c r="D1394" s="2">
        <f>IFERROR(__xludf.DUMMYFUNCTION("""COMPUTED_VALUE"""),550.99)</f>
        <v>550.99</v>
      </c>
    </row>
    <row r="1395">
      <c r="A1395" s="2" t="str">
        <f>IFERROR(__xludf.DUMMYFUNCTION("""COMPUTED_VALUE"""),"PR054")</f>
        <v>PR054</v>
      </c>
      <c r="B1395" s="2" t="str">
        <f>IFERROR(__xludf.DUMMYFUNCTION("""COMPUTED_VALUE"""),"VD028")</f>
        <v>VD028</v>
      </c>
      <c r="C1395" s="2">
        <f>IFERROR(__xludf.DUMMYFUNCTION("""COMPUTED_VALUE"""),5.0)</f>
        <v>5</v>
      </c>
      <c r="D1395" s="2">
        <f>IFERROR(__xludf.DUMMYFUNCTION("""COMPUTED_VALUE"""),274.45)</f>
        <v>274.45</v>
      </c>
    </row>
    <row r="1396">
      <c r="A1396" s="2" t="str">
        <f>IFERROR(__xludf.DUMMYFUNCTION("""COMPUTED_VALUE"""),"PR050")</f>
        <v>PR050</v>
      </c>
      <c r="B1396" s="2" t="str">
        <f>IFERROR(__xludf.DUMMYFUNCTION("""COMPUTED_VALUE"""),"VD043")</f>
        <v>VD043</v>
      </c>
      <c r="C1396" s="2">
        <f>IFERROR(__xludf.DUMMYFUNCTION("""COMPUTED_VALUE"""),4.0)</f>
        <v>4</v>
      </c>
      <c r="D1396" s="2">
        <f>IFERROR(__xludf.DUMMYFUNCTION("""COMPUTED_VALUE"""),132.92)</f>
        <v>132.92</v>
      </c>
    </row>
    <row r="1397">
      <c r="A1397" s="2" t="str">
        <f>IFERROR(__xludf.DUMMYFUNCTION("""COMPUTED_VALUE"""),"PR029")</f>
        <v>PR029</v>
      </c>
      <c r="B1397" s="2" t="str">
        <f>IFERROR(__xludf.DUMMYFUNCTION("""COMPUTED_VALUE"""),"VD021")</f>
        <v>VD021</v>
      </c>
      <c r="C1397" s="2">
        <f>IFERROR(__xludf.DUMMYFUNCTION("""COMPUTED_VALUE"""),6.0)</f>
        <v>6</v>
      </c>
      <c r="D1397" s="2">
        <f>IFERROR(__xludf.DUMMYFUNCTION("""COMPUTED_VALUE"""),1683.0)</f>
        <v>1683</v>
      </c>
    </row>
    <row r="1398">
      <c r="A1398" s="2" t="str">
        <f>IFERROR(__xludf.DUMMYFUNCTION("""COMPUTED_VALUE"""),"PR057")</f>
        <v>PR057</v>
      </c>
      <c r="B1398" s="2" t="str">
        <f>IFERROR(__xludf.DUMMYFUNCTION("""COMPUTED_VALUE"""),"VD033")</f>
        <v>VD033</v>
      </c>
      <c r="C1398" s="2">
        <f>IFERROR(__xludf.DUMMYFUNCTION("""COMPUTED_VALUE"""),6.0)</f>
        <v>6</v>
      </c>
      <c r="D1398" s="2">
        <f>IFERROR(__xludf.DUMMYFUNCTION("""COMPUTED_VALUE"""),566.37)</f>
        <v>566.37</v>
      </c>
    </row>
    <row r="1399">
      <c r="A1399" s="2" t="str">
        <f>IFERROR(__xludf.DUMMYFUNCTION("""COMPUTED_VALUE"""),"PR006")</f>
        <v>PR006</v>
      </c>
      <c r="B1399" s="2" t="str">
        <f>IFERROR(__xludf.DUMMYFUNCTION("""COMPUTED_VALUE"""),"VD028")</f>
        <v>VD028</v>
      </c>
      <c r="C1399" s="2">
        <f>IFERROR(__xludf.DUMMYFUNCTION("""COMPUTED_VALUE"""),16.0)</f>
        <v>16</v>
      </c>
      <c r="D1399" s="2">
        <f>IFERROR(__xludf.DUMMYFUNCTION("""COMPUTED_VALUE"""),689.47)</f>
        <v>689.47</v>
      </c>
    </row>
    <row r="1400">
      <c r="A1400" s="2" t="str">
        <f>IFERROR(__xludf.DUMMYFUNCTION("""COMPUTED_VALUE"""),"PR006")</f>
        <v>PR006</v>
      </c>
      <c r="B1400" s="2" t="str">
        <f>IFERROR(__xludf.DUMMYFUNCTION("""COMPUTED_VALUE"""),"VD032")</f>
        <v>VD032</v>
      </c>
      <c r="C1400" s="2">
        <f>IFERROR(__xludf.DUMMYFUNCTION("""COMPUTED_VALUE"""),8.0)</f>
        <v>8</v>
      </c>
      <c r="D1400" s="2">
        <f>IFERROR(__xludf.DUMMYFUNCTION("""COMPUTED_VALUE"""),347.93)</f>
        <v>347.93</v>
      </c>
    </row>
    <row r="1401">
      <c r="A1401" s="2" t="str">
        <f>IFERROR(__xludf.DUMMYFUNCTION("""COMPUTED_VALUE"""),"PR014")</f>
        <v>PR014</v>
      </c>
      <c r="B1401" s="2" t="str">
        <f>IFERROR(__xludf.DUMMYFUNCTION("""COMPUTED_VALUE"""),"VD028")</f>
        <v>VD028</v>
      </c>
      <c r="C1401" s="2">
        <f>IFERROR(__xludf.DUMMYFUNCTION("""COMPUTED_VALUE"""),7.0)</f>
        <v>7</v>
      </c>
      <c r="D1401" s="2">
        <f>IFERROR(__xludf.DUMMYFUNCTION("""COMPUTED_VALUE"""),290.47)</f>
        <v>290.47</v>
      </c>
    </row>
    <row r="1402">
      <c r="A1402" s="2" t="str">
        <f>IFERROR(__xludf.DUMMYFUNCTION("""COMPUTED_VALUE"""),"PR027")</f>
        <v>PR027</v>
      </c>
      <c r="B1402" s="2" t="str">
        <f>IFERROR(__xludf.DUMMYFUNCTION("""COMPUTED_VALUE"""),"VD042")</f>
        <v>VD042</v>
      </c>
      <c r="C1402" s="2">
        <f>IFERROR(__xludf.DUMMYFUNCTION("""COMPUTED_VALUE"""),8.0)</f>
        <v>8</v>
      </c>
      <c r="D1402" s="2">
        <f>IFERROR(__xludf.DUMMYFUNCTION("""COMPUTED_VALUE"""),960.0)</f>
        <v>960</v>
      </c>
    </row>
    <row r="1403">
      <c r="A1403" s="2" t="str">
        <f>IFERROR(__xludf.DUMMYFUNCTION("""COMPUTED_VALUE"""),"PR004")</f>
        <v>PR004</v>
      </c>
      <c r="B1403" s="2" t="str">
        <f>IFERROR(__xludf.DUMMYFUNCTION("""COMPUTED_VALUE"""),"VD012")</f>
        <v>VD012</v>
      </c>
      <c r="C1403" s="2">
        <f>IFERROR(__xludf.DUMMYFUNCTION("""COMPUTED_VALUE"""),4.0)</f>
        <v>4</v>
      </c>
      <c r="D1403" s="2">
        <f>IFERROR(__xludf.DUMMYFUNCTION("""COMPUTED_VALUE"""),620.6)</f>
        <v>620.6</v>
      </c>
    </row>
    <row r="1404">
      <c r="A1404" s="2" t="str">
        <f>IFERROR(__xludf.DUMMYFUNCTION("""COMPUTED_VALUE"""),"PR020")</f>
        <v>PR020</v>
      </c>
      <c r="B1404" s="2" t="str">
        <f>IFERROR(__xludf.DUMMYFUNCTION("""COMPUTED_VALUE"""),"VD018")</f>
        <v>VD018</v>
      </c>
      <c r="C1404" s="2">
        <f>IFERROR(__xludf.DUMMYFUNCTION("""COMPUTED_VALUE"""),10.0)</f>
        <v>10</v>
      </c>
      <c r="D1404" s="2">
        <f>IFERROR(__xludf.DUMMYFUNCTION("""COMPUTED_VALUE"""),3118.96)</f>
        <v>3118.96</v>
      </c>
    </row>
    <row r="1405">
      <c r="A1405" s="2" t="str">
        <f>IFERROR(__xludf.DUMMYFUNCTION("""COMPUTED_VALUE"""),"PR004")</f>
        <v>PR004</v>
      </c>
      <c r="B1405" s="2" t="str">
        <f>IFERROR(__xludf.DUMMYFUNCTION("""COMPUTED_VALUE"""),"VD032")</f>
        <v>VD032</v>
      </c>
      <c r="C1405" s="2">
        <f>IFERROR(__xludf.DUMMYFUNCTION("""COMPUTED_VALUE"""),14.0)</f>
        <v>14</v>
      </c>
      <c r="D1405" s="2">
        <f>IFERROR(__xludf.DUMMYFUNCTION("""COMPUTED_VALUE"""),2172.1)</f>
        <v>2172.1</v>
      </c>
    </row>
    <row r="1406">
      <c r="A1406" s="2" t="str">
        <f>IFERROR(__xludf.DUMMYFUNCTION("""COMPUTED_VALUE"""),"PR014")</f>
        <v>PR014</v>
      </c>
      <c r="B1406" s="2" t="str">
        <f>IFERROR(__xludf.DUMMYFUNCTION("""COMPUTED_VALUE"""),"VD036")</f>
        <v>VD036</v>
      </c>
      <c r="C1406" s="2">
        <f>IFERROR(__xludf.DUMMYFUNCTION("""COMPUTED_VALUE"""),3.0)</f>
        <v>3</v>
      </c>
      <c r="D1406" s="2">
        <f>IFERROR(__xludf.DUMMYFUNCTION("""COMPUTED_VALUE"""),124.49)</f>
        <v>124.49</v>
      </c>
    </row>
    <row r="1407">
      <c r="A1407" s="2" t="str">
        <f>IFERROR(__xludf.DUMMYFUNCTION("""COMPUTED_VALUE"""),"PR033")</f>
        <v>PR033</v>
      </c>
      <c r="B1407" s="2" t="str">
        <f>IFERROR(__xludf.DUMMYFUNCTION("""COMPUTED_VALUE"""),"VD011")</f>
        <v>VD011</v>
      </c>
      <c r="C1407" s="2">
        <f>IFERROR(__xludf.DUMMYFUNCTION("""COMPUTED_VALUE"""),12.0)</f>
        <v>12</v>
      </c>
      <c r="D1407" s="2">
        <f>IFERROR(__xludf.DUMMYFUNCTION("""COMPUTED_VALUE"""),3149.99)</f>
        <v>3149.99</v>
      </c>
    </row>
    <row r="1408">
      <c r="A1408" s="2" t="str">
        <f>IFERROR(__xludf.DUMMYFUNCTION("""COMPUTED_VALUE"""),"PR049")</f>
        <v>PR049</v>
      </c>
      <c r="B1408" s="2" t="str">
        <f>IFERROR(__xludf.DUMMYFUNCTION("""COMPUTED_VALUE"""),"VD021")</f>
        <v>VD021</v>
      </c>
      <c r="C1408" s="2">
        <f>IFERROR(__xludf.DUMMYFUNCTION("""COMPUTED_VALUE"""),5.0)</f>
        <v>5</v>
      </c>
      <c r="D1408" s="2">
        <f>IFERROR(__xludf.DUMMYFUNCTION("""COMPUTED_VALUE"""),164.5)</f>
        <v>164.5</v>
      </c>
    </row>
    <row r="1409">
      <c r="A1409" s="2" t="str">
        <f>IFERROR(__xludf.DUMMYFUNCTION("""COMPUTED_VALUE"""),"PR021")</f>
        <v>PR021</v>
      </c>
      <c r="B1409" s="2" t="str">
        <f>IFERROR(__xludf.DUMMYFUNCTION("""COMPUTED_VALUE"""),"VD045")</f>
        <v>VD045</v>
      </c>
      <c r="C1409" s="2">
        <f>IFERROR(__xludf.DUMMYFUNCTION("""COMPUTED_VALUE"""),16.0)</f>
        <v>16</v>
      </c>
      <c r="D1409" s="2">
        <f>IFERROR(__xludf.DUMMYFUNCTION("""COMPUTED_VALUE"""),5088.72)</f>
        <v>5088.72</v>
      </c>
    </row>
    <row r="1410">
      <c r="A1410" s="2" t="str">
        <f>IFERROR(__xludf.DUMMYFUNCTION("""COMPUTED_VALUE"""),"PR018")</f>
        <v>PR018</v>
      </c>
      <c r="B1410" s="2" t="str">
        <f>IFERROR(__xludf.DUMMYFUNCTION("""COMPUTED_VALUE"""),"VD017")</f>
        <v>VD017</v>
      </c>
      <c r="C1410" s="2">
        <f>IFERROR(__xludf.DUMMYFUNCTION("""COMPUTED_VALUE"""),8.0)</f>
        <v>8</v>
      </c>
      <c r="D1410" s="2">
        <f>IFERROR(__xludf.DUMMYFUNCTION("""COMPUTED_VALUE"""),268.46)</f>
        <v>268.46</v>
      </c>
    </row>
    <row r="1411">
      <c r="A1411" s="2" t="str">
        <f>IFERROR(__xludf.DUMMYFUNCTION("""COMPUTED_VALUE"""),"PR038")</f>
        <v>PR038</v>
      </c>
      <c r="B1411" s="2" t="str">
        <f>IFERROR(__xludf.DUMMYFUNCTION("""COMPUTED_VALUE"""),"VD028")</f>
        <v>VD028</v>
      </c>
      <c r="C1411" s="2">
        <f>IFERROR(__xludf.DUMMYFUNCTION("""COMPUTED_VALUE"""),6.0)</f>
        <v>6</v>
      </c>
      <c r="D1411" s="2">
        <f>IFERROR(__xludf.DUMMYFUNCTION("""COMPUTED_VALUE"""),908.84)</f>
        <v>908.84</v>
      </c>
    </row>
    <row r="1412">
      <c r="A1412" s="2" t="str">
        <f>IFERROR(__xludf.DUMMYFUNCTION("""COMPUTED_VALUE"""),"PR037")</f>
        <v>PR037</v>
      </c>
      <c r="B1412" s="2" t="str">
        <f>IFERROR(__xludf.DUMMYFUNCTION("""COMPUTED_VALUE"""),"VD019")</f>
        <v>VD019</v>
      </c>
      <c r="C1412" s="2">
        <f>IFERROR(__xludf.DUMMYFUNCTION("""COMPUTED_VALUE"""),5.0)</f>
        <v>5</v>
      </c>
      <c r="D1412" s="2">
        <f>IFERROR(__xludf.DUMMYFUNCTION("""COMPUTED_VALUE"""),707.0)</f>
        <v>707</v>
      </c>
    </row>
    <row r="1413">
      <c r="A1413" s="2" t="str">
        <f>IFERROR(__xludf.DUMMYFUNCTION("""COMPUTED_VALUE"""),"PR041")</f>
        <v>PR041</v>
      </c>
      <c r="B1413" s="2" t="str">
        <f>IFERROR(__xludf.DUMMYFUNCTION("""COMPUTED_VALUE"""),"VD024")</f>
        <v>VD024</v>
      </c>
      <c r="C1413" s="2">
        <f>IFERROR(__xludf.DUMMYFUNCTION("""COMPUTED_VALUE"""),10.0)</f>
        <v>10</v>
      </c>
      <c r="D1413" s="2">
        <f>IFERROR(__xludf.DUMMYFUNCTION("""COMPUTED_VALUE"""),576.45)</f>
        <v>576.45</v>
      </c>
    </row>
    <row r="1414">
      <c r="A1414" s="2" t="str">
        <f>IFERROR(__xludf.DUMMYFUNCTION("""COMPUTED_VALUE"""),"PR014")</f>
        <v>PR014</v>
      </c>
      <c r="B1414" s="2" t="str">
        <f>IFERROR(__xludf.DUMMYFUNCTION("""COMPUTED_VALUE"""),"VD034")</f>
        <v>VD034</v>
      </c>
      <c r="C1414" s="2">
        <f>IFERROR(__xludf.DUMMYFUNCTION("""COMPUTED_VALUE"""),6.0)</f>
        <v>6</v>
      </c>
      <c r="D1414" s="2">
        <f>IFERROR(__xludf.DUMMYFUNCTION("""COMPUTED_VALUE"""),260.95)</f>
        <v>260.95</v>
      </c>
    </row>
    <row r="1415">
      <c r="A1415" s="2" t="str">
        <f>IFERROR(__xludf.DUMMYFUNCTION("""COMPUTED_VALUE"""),"PR002")</f>
        <v>PR002</v>
      </c>
      <c r="B1415" s="2" t="str">
        <f>IFERROR(__xludf.DUMMYFUNCTION("""COMPUTED_VALUE"""),"VD041")</f>
        <v>VD041</v>
      </c>
      <c r="C1415" s="2">
        <f>IFERROR(__xludf.DUMMYFUNCTION("""COMPUTED_VALUE"""),8.0)</f>
        <v>8</v>
      </c>
      <c r="D1415" s="2">
        <f>IFERROR(__xludf.DUMMYFUNCTION("""COMPUTED_VALUE"""),609.53)</f>
        <v>609.53</v>
      </c>
    </row>
    <row r="1416">
      <c r="A1416" s="2" t="str">
        <f>IFERROR(__xludf.DUMMYFUNCTION("""COMPUTED_VALUE"""),"PR023")</f>
        <v>PR023</v>
      </c>
      <c r="B1416" s="2" t="str">
        <f>IFERROR(__xludf.DUMMYFUNCTION("""COMPUTED_VALUE"""),"VD035")</f>
        <v>VD035</v>
      </c>
      <c r="C1416" s="2">
        <f>IFERROR(__xludf.DUMMYFUNCTION("""COMPUTED_VALUE"""),6.0)</f>
        <v>6</v>
      </c>
      <c r="D1416" s="2">
        <f>IFERROR(__xludf.DUMMYFUNCTION("""COMPUTED_VALUE"""),1604.36)</f>
        <v>1604.36</v>
      </c>
    </row>
    <row r="1417">
      <c r="A1417" s="2" t="str">
        <f>IFERROR(__xludf.DUMMYFUNCTION("""COMPUTED_VALUE"""),"PR008")</f>
        <v>PR008</v>
      </c>
      <c r="B1417" s="2" t="str">
        <f>IFERROR(__xludf.DUMMYFUNCTION("""COMPUTED_VALUE"""),"VD043")</f>
        <v>VD043</v>
      </c>
      <c r="C1417" s="2">
        <f>IFERROR(__xludf.DUMMYFUNCTION("""COMPUTED_VALUE"""),8.0)</f>
        <v>8</v>
      </c>
      <c r="D1417" s="2">
        <f>IFERROR(__xludf.DUMMYFUNCTION("""COMPUTED_VALUE"""),726.39)</f>
        <v>726.39</v>
      </c>
    </row>
    <row r="1418">
      <c r="A1418" s="2" t="str">
        <f>IFERROR(__xludf.DUMMYFUNCTION("""COMPUTED_VALUE"""),"PR053")</f>
        <v>PR053</v>
      </c>
      <c r="B1418" s="2" t="str">
        <f>IFERROR(__xludf.DUMMYFUNCTION("""COMPUTED_VALUE"""),"VD037")</f>
        <v>VD037</v>
      </c>
      <c r="C1418" s="2">
        <f>IFERROR(__xludf.DUMMYFUNCTION("""COMPUTED_VALUE"""),8.0)</f>
        <v>8</v>
      </c>
      <c r="D1418" s="2">
        <f>IFERROR(__xludf.DUMMYFUNCTION("""COMPUTED_VALUE"""),415.17)</f>
        <v>415.17</v>
      </c>
    </row>
    <row r="1419">
      <c r="A1419" s="2" t="str">
        <f>IFERROR(__xludf.DUMMYFUNCTION("""COMPUTED_VALUE"""),"PR014")</f>
        <v>PR014</v>
      </c>
      <c r="B1419" s="2" t="str">
        <f>IFERROR(__xludf.DUMMYFUNCTION("""COMPUTED_VALUE"""),"VD026")</f>
        <v>VD026</v>
      </c>
      <c r="C1419" s="2">
        <f>IFERROR(__xludf.DUMMYFUNCTION("""COMPUTED_VALUE"""),3.0)</f>
        <v>3</v>
      </c>
      <c r="D1419" s="2">
        <f>IFERROR(__xludf.DUMMYFUNCTION("""COMPUTED_VALUE"""),129.28)</f>
        <v>129.28</v>
      </c>
    </row>
    <row r="1420">
      <c r="A1420" s="2" t="str">
        <f>IFERROR(__xludf.DUMMYFUNCTION("""COMPUTED_VALUE"""),"PR028")</f>
        <v>PR028</v>
      </c>
      <c r="B1420" s="2" t="str">
        <f>IFERROR(__xludf.DUMMYFUNCTION("""COMPUTED_VALUE"""),"VD015")</f>
        <v>VD015</v>
      </c>
      <c r="C1420" s="2">
        <f>IFERROR(__xludf.DUMMYFUNCTION("""COMPUTED_VALUE"""),2.0)</f>
        <v>2</v>
      </c>
      <c r="D1420" s="2">
        <f>IFERROR(__xludf.DUMMYFUNCTION("""COMPUTED_VALUE"""),544.78)</f>
        <v>544.78</v>
      </c>
    </row>
    <row r="1421">
      <c r="A1421" s="2" t="str">
        <f>IFERROR(__xludf.DUMMYFUNCTION("""COMPUTED_VALUE"""),"PR059")</f>
        <v>PR059</v>
      </c>
      <c r="B1421" s="2" t="str">
        <f>IFERROR(__xludf.DUMMYFUNCTION("""COMPUTED_VALUE"""),"VD028")</f>
        <v>VD028</v>
      </c>
      <c r="C1421" s="2">
        <f>IFERROR(__xludf.DUMMYFUNCTION("""COMPUTED_VALUE"""),8.0)</f>
        <v>8</v>
      </c>
      <c r="D1421" s="2">
        <f>IFERROR(__xludf.DUMMYFUNCTION("""COMPUTED_VALUE"""),1440.0)</f>
        <v>1440</v>
      </c>
    </row>
    <row r="1422">
      <c r="A1422" s="2" t="str">
        <f>IFERROR(__xludf.DUMMYFUNCTION("""COMPUTED_VALUE"""),"PR053")</f>
        <v>PR053</v>
      </c>
      <c r="B1422" s="2" t="str">
        <f>IFERROR(__xludf.DUMMYFUNCTION("""COMPUTED_VALUE"""),"VD031")</f>
        <v>VD031</v>
      </c>
      <c r="C1422" s="2">
        <f>IFERROR(__xludf.DUMMYFUNCTION("""COMPUTED_VALUE"""),6.0)</f>
        <v>6</v>
      </c>
      <c r="D1422" s="2">
        <f>IFERROR(__xludf.DUMMYFUNCTION("""COMPUTED_VALUE"""),329.34)</f>
        <v>329.34</v>
      </c>
    </row>
    <row r="1423">
      <c r="A1423" s="2" t="str">
        <f>IFERROR(__xludf.DUMMYFUNCTION("""COMPUTED_VALUE"""),"PR005")</f>
        <v>PR005</v>
      </c>
      <c r="B1423" s="2" t="str">
        <f>IFERROR(__xludf.DUMMYFUNCTION("""COMPUTED_VALUE"""),"VD046")</f>
        <v>VD046</v>
      </c>
      <c r="C1423" s="2">
        <f>IFERROR(__xludf.DUMMYFUNCTION("""COMPUTED_VALUE"""),14.0)</f>
        <v>14</v>
      </c>
      <c r="D1423" s="2">
        <f>IFERROR(__xludf.DUMMYFUNCTION("""COMPUTED_VALUE"""),3674.99)</f>
        <v>3674.99</v>
      </c>
    </row>
    <row r="1424">
      <c r="A1424" s="2" t="str">
        <f>IFERROR(__xludf.DUMMYFUNCTION("""COMPUTED_VALUE"""),"PR016")</f>
        <v>PR016</v>
      </c>
      <c r="B1424" s="2" t="str">
        <f>IFERROR(__xludf.DUMMYFUNCTION("""COMPUTED_VALUE"""),"VD047")</f>
        <v>VD047</v>
      </c>
      <c r="C1424" s="2">
        <f>IFERROR(__xludf.DUMMYFUNCTION("""COMPUTED_VALUE"""),6.0)</f>
        <v>6</v>
      </c>
      <c r="D1424" s="2">
        <f>IFERROR(__xludf.DUMMYFUNCTION("""COMPUTED_VALUE"""),158.51)</f>
        <v>158.51</v>
      </c>
    </row>
    <row r="1425">
      <c r="A1425" s="2" t="str">
        <f>IFERROR(__xludf.DUMMYFUNCTION("""COMPUTED_VALUE"""),"PR019")</f>
        <v>PR019</v>
      </c>
      <c r="B1425" s="2" t="str">
        <f>IFERROR(__xludf.DUMMYFUNCTION("""COMPUTED_VALUE"""),"VD023")</f>
        <v>VD023</v>
      </c>
      <c r="C1425" s="2">
        <f>IFERROR(__xludf.DUMMYFUNCTION("""COMPUTED_VALUE"""),8.0)</f>
        <v>8</v>
      </c>
      <c r="D1425" s="2">
        <f>IFERROR(__xludf.DUMMYFUNCTION("""COMPUTED_VALUE"""),407.18)</f>
        <v>407.18</v>
      </c>
    </row>
    <row r="1426">
      <c r="A1426" s="2" t="str">
        <f>IFERROR(__xludf.DUMMYFUNCTION("""COMPUTED_VALUE"""),"PR049")</f>
        <v>PR049</v>
      </c>
      <c r="B1426" s="2" t="str">
        <f>IFERROR(__xludf.DUMMYFUNCTION("""COMPUTED_VALUE"""),"VD028")</f>
        <v>VD028</v>
      </c>
      <c r="C1426" s="2">
        <f>IFERROR(__xludf.DUMMYFUNCTION("""COMPUTED_VALUE"""),2.0)</f>
        <v>2</v>
      </c>
      <c r="D1426" s="2">
        <f>IFERROR(__xludf.DUMMYFUNCTION("""COMPUTED_VALUE"""),69.75)</f>
        <v>69.75</v>
      </c>
    </row>
    <row r="1427">
      <c r="A1427" s="2" t="str">
        <f>IFERROR(__xludf.DUMMYFUNCTION("""COMPUTED_VALUE"""),"PR036")</f>
        <v>PR036</v>
      </c>
      <c r="B1427" s="2" t="str">
        <f>IFERROR(__xludf.DUMMYFUNCTION("""COMPUTED_VALUE"""),"VD043")</f>
        <v>VD043</v>
      </c>
      <c r="C1427" s="2">
        <f>IFERROR(__xludf.DUMMYFUNCTION("""COMPUTED_VALUE"""),4.0)</f>
        <v>4</v>
      </c>
      <c r="D1427" s="2">
        <f>IFERROR(__xludf.DUMMYFUNCTION("""COMPUTED_VALUE"""),381.48)</f>
        <v>381.48</v>
      </c>
    </row>
    <row r="1428">
      <c r="A1428" s="2" t="str">
        <f>IFERROR(__xludf.DUMMYFUNCTION("""COMPUTED_VALUE"""),"PR027")</f>
        <v>PR027</v>
      </c>
      <c r="B1428" s="2" t="str">
        <f>IFERROR(__xludf.DUMMYFUNCTION("""COMPUTED_VALUE"""),"VD019")</f>
        <v>VD019</v>
      </c>
      <c r="C1428" s="2">
        <f>IFERROR(__xludf.DUMMYFUNCTION("""COMPUTED_VALUE"""),1.0)</f>
        <v>1</v>
      </c>
      <c r="D1428" s="2">
        <f>IFERROR(__xludf.DUMMYFUNCTION("""COMPUTED_VALUE"""),122.4)</f>
        <v>122.4</v>
      </c>
    </row>
    <row r="1429">
      <c r="A1429" s="2" t="str">
        <f>IFERROR(__xludf.DUMMYFUNCTION("""COMPUTED_VALUE"""),"PR028")</f>
        <v>PR028</v>
      </c>
      <c r="B1429" s="2" t="str">
        <f>IFERROR(__xludf.DUMMYFUNCTION("""COMPUTED_VALUE"""),"VD020")</f>
        <v>VD020</v>
      </c>
      <c r="C1429" s="2">
        <f>IFERROR(__xludf.DUMMYFUNCTION("""COMPUTED_VALUE"""),14.0)</f>
        <v>14</v>
      </c>
      <c r="D1429" s="2">
        <f>IFERROR(__xludf.DUMMYFUNCTION("""COMPUTED_VALUE"""),3533.59)</f>
        <v>3533.59</v>
      </c>
    </row>
    <row r="1430">
      <c r="A1430" s="2" t="str">
        <f>IFERROR(__xludf.DUMMYFUNCTION("""COMPUTED_VALUE"""),"PR022")</f>
        <v>PR022</v>
      </c>
      <c r="B1430" s="2" t="str">
        <f>IFERROR(__xludf.DUMMYFUNCTION("""COMPUTED_VALUE"""),"VD010")</f>
        <v>VD010</v>
      </c>
      <c r="C1430" s="2">
        <f>IFERROR(__xludf.DUMMYFUNCTION("""COMPUTED_VALUE"""),20.0)</f>
        <v>20</v>
      </c>
      <c r="D1430" s="2">
        <f>IFERROR(__xludf.DUMMYFUNCTION("""COMPUTED_VALUE"""),6060.0)</f>
        <v>6060</v>
      </c>
    </row>
    <row r="1431">
      <c r="A1431" s="2" t="str">
        <f>IFERROR(__xludf.DUMMYFUNCTION("""COMPUTED_VALUE"""),"PR059")</f>
        <v>PR059</v>
      </c>
      <c r="B1431" s="2" t="str">
        <f>IFERROR(__xludf.DUMMYFUNCTION("""COMPUTED_VALUE"""),"VD010")</f>
        <v>VD010</v>
      </c>
      <c r="C1431" s="2">
        <f>IFERROR(__xludf.DUMMYFUNCTION("""COMPUTED_VALUE"""),8.0)</f>
        <v>8</v>
      </c>
      <c r="D1431" s="2">
        <f>IFERROR(__xludf.DUMMYFUNCTION("""COMPUTED_VALUE"""),1584.0)</f>
        <v>1584</v>
      </c>
    </row>
    <row r="1432">
      <c r="A1432" s="2" t="str">
        <f>IFERROR(__xludf.DUMMYFUNCTION("""COMPUTED_VALUE"""),"PR059")</f>
        <v>PR059</v>
      </c>
      <c r="B1432" s="2" t="str">
        <f>IFERROR(__xludf.DUMMYFUNCTION("""COMPUTED_VALUE"""),"VD029")</f>
        <v>VD029</v>
      </c>
      <c r="C1432" s="2">
        <f>IFERROR(__xludf.DUMMYFUNCTION("""COMPUTED_VALUE"""),18.0)</f>
        <v>18</v>
      </c>
      <c r="D1432" s="2">
        <f>IFERROR(__xludf.DUMMYFUNCTION("""COMPUTED_VALUE"""),3564.0)</f>
        <v>3564</v>
      </c>
    </row>
    <row r="1433">
      <c r="A1433" s="2" t="str">
        <f>IFERROR(__xludf.DUMMYFUNCTION("""COMPUTED_VALUE"""),"PR056")</f>
        <v>PR056</v>
      </c>
      <c r="B1433" s="2" t="str">
        <f>IFERROR(__xludf.DUMMYFUNCTION("""COMPUTED_VALUE"""),"VD011")</f>
        <v>VD011</v>
      </c>
      <c r="C1433" s="2">
        <f>IFERROR(__xludf.DUMMYFUNCTION("""COMPUTED_VALUE"""),12.0)</f>
        <v>12</v>
      </c>
      <c r="D1433" s="2">
        <f>IFERROR(__xludf.DUMMYFUNCTION("""COMPUTED_VALUE"""),1121.95)</f>
        <v>1121.95</v>
      </c>
    </row>
    <row r="1434">
      <c r="A1434" s="2" t="str">
        <f>IFERROR(__xludf.DUMMYFUNCTION("""COMPUTED_VALUE"""),"PR033")</f>
        <v>PR033</v>
      </c>
      <c r="B1434" s="2" t="str">
        <f>IFERROR(__xludf.DUMMYFUNCTION("""COMPUTED_VALUE"""),"VD027")</f>
        <v>VD027</v>
      </c>
      <c r="C1434" s="2">
        <f>IFERROR(__xludf.DUMMYFUNCTION("""COMPUTED_VALUE"""),6.0)</f>
        <v>6</v>
      </c>
      <c r="D1434" s="2">
        <f>IFERROR(__xludf.DUMMYFUNCTION("""COMPUTED_VALUE"""),1699.75)</f>
        <v>1699.75</v>
      </c>
    </row>
    <row r="1435">
      <c r="A1435" s="2" t="str">
        <f>IFERROR(__xludf.DUMMYFUNCTION("""COMPUTED_VALUE"""),"PR021")</f>
        <v>PR021</v>
      </c>
      <c r="B1435" s="2" t="str">
        <f>IFERROR(__xludf.DUMMYFUNCTION("""COMPUTED_VALUE"""),"VD038")</f>
        <v>VD038</v>
      </c>
      <c r="C1435" s="2">
        <f>IFERROR(__xludf.DUMMYFUNCTION("""COMPUTED_VALUE"""),2.0)</f>
        <v>2</v>
      </c>
      <c r="D1435" s="2">
        <f>IFERROR(__xludf.DUMMYFUNCTION("""COMPUTED_VALUE"""),605.8)</f>
        <v>605.8</v>
      </c>
    </row>
    <row r="1436">
      <c r="A1436" s="2" t="str">
        <f>IFERROR(__xludf.DUMMYFUNCTION("""COMPUTED_VALUE"""),"PR045")</f>
        <v>PR045</v>
      </c>
      <c r="B1436" s="2" t="str">
        <f>IFERROR(__xludf.DUMMYFUNCTION("""COMPUTED_VALUE"""),"VD018")</f>
        <v>VD018</v>
      </c>
      <c r="C1436" s="2">
        <f>IFERROR(__xludf.DUMMYFUNCTION("""COMPUTED_VALUE"""),6.0)</f>
        <v>6</v>
      </c>
      <c r="D1436" s="2">
        <f>IFERROR(__xludf.DUMMYFUNCTION("""COMPUTED_VALUE"""),443.7)</f>
        <v>443.7</v>
      </c>
    </row>
    <row r="1437">
      <c r="A1437" s="2" t="str">
        <f>IFERROR(__xludf.DUMMYFUNCTION("""COMPUTED_VALUE"""),"PR055")</f>
        <v>PR055</v>
      </c>
      <c r="B1437" s="2" t="str">
        <f>IFERROR(__xludf.DUMMYFUNCTION("""COMPUTED_VALUE"""),"VD019")</f>
        <v>VD019</v>
      </c>
      <c r="C1437" s="2">
        <f>IFERROR(__xludf.DUMMYFUNCTION("""COMPUTED_VALUE"""),6.0)</f>
        <v>6</v>
      </c>
      <c r="D1437" s="2">
        <f>IFERROR(__xludf.DUMMYFUNCTION("""COMPUTED_VALUE"""),560.98)</f>
        <v>560.98</v>
      </c>
    </row>
    <row r="1438">
      <c r="A1438" s="2" t="str">
        <f>IFERROR(__xludf.DUMMYFUNCTION("""COMPUTED_VALUE"""),"PR017")</f>
        <v>PR017</v>
      </c>
      <c r="B1438" s="2" t="str">
        <f>IFERROR(__xludf.DUMMYFUNCTION("""COMPUTED_VALUE"""),"VD013")</f>
        <v>VD013</v>
      </c>
      <c r="C1438" s="2">
        <f>IFERROR(__xludf.DUMMYFUNCTION("""COMPUTED_VALUE"""),9.0)</f>
        <v>9</v>
      </c>
      <c r="D1438" s="2">
        <f>IFERROR(__xludf.DUMMYFUNCTION("""COMPUTED_VALUE"""),282.56)</f>
        <v>282.56</v>
      </c>
    </row>
    <row r="1439">
      <c r="A1439" s="2" t="str">
        <f>IFERROR(__xludf.DUMMYFUNCTION("""COMPUTED_VALUE"""),"PR039")</f>
        <v>PR039</v>
      </c>
      <c r="B1439" s="2" t="str">
        <f>IFERROR(__xludf.DUMMYFUNCTION("""COMPUTED_VALUE"""),"VD040")</f>
        <v>VD040</v>
      </c>
      <c r="C1439" s="2">
        <f>IFERROR(__xludf.DUMMYFUNCTION("""COMPUTED_VALUE"""),4.0)</f>
        <v>4</v>
      </c>
      <c r="D1439" s="2">
        <f>IFERROR(__xludf.DUMMYFUNCTION("""COMPUTED_VALUE"""),601.52)</f>
        <v>601.52</v>
      </c>
    </row>
    <row r="1440">
      <c r="A1440" s="2" t="str">
        <f>IFERROR(__xludf.DUMMYFUNCTION("""COMPUTED_VALUE"""),"PR060")</f>
        <v>PR060</v>
      </c>
      <c r="B1440" s="2" t="str">
        <f>IFERROR(__xludf.DUMMYFUNCTION("""COMPUTED_VALUE"""),"VD037")</f>
        <v>VD037</v>
      </c>
      <c r="C1440" s="2">
        <f>IFERROR(__xludf.DUMMYFUNCTION("""COMPUTED_VALUE"""),10.0)</f>
        <v>10</v>
      </c>
      <c r="D1440" s="2">
        <f>IFERROR(__xludf.DUMMYFUNCTION("""COMPUTED_VALUE"""),1818.0)</f>
        <v>1818</v>
      </c>
    </row>
    <row r="1441">
      <c r="A1441" s="2" t="str">
        <f>IFERROR(__xludf.DUMMYFUNCTION("""COMPUTED_VALUE"""),"PR029")</f>
        <v>PR029</v>
      </c>
      <c r="B1441" s="2" t="str">
        <f>IFERROR(__xludf.DUMMYFUNCTION("""COMPUTED_VALUE"""),"VD013")</f>
        <v>VD013</v>
      </c>
      <c r="C1441" s="2">
        <f>IFERROR(__xludf.DUMMYFUNCTION("""COMPUTED_VALUE"""),7.0)</f>
        <v>7</v>
      </c>
      <c r="D1441" s="2">
        <f>IFERROR(__xludf.DUMMYFUNCTION("""COMPUTED_VALUE"""),1963.5)</f>
        <v>1963.5</v>
      </c>
    </row>
    <row r="1442">
      <c r="A1442" s="2" t="str">
        <f>IFERROR(__xludf.DUMMYFUNCTION("""COMPUTED_VALUE"""),"PR009")</f>
        <v>PR009</v>
      </c>
      <c r="B1442" s="2" t="str">
        <f>IFERROR(__xludf.DUMMYFUNCTION("""COMPUTED_VALUE"""),"VD011")</f>
        <v>VD011</v>
      </c>
      <c r="C1442" s="2">
        <f>IFERROR(__xludf.DUMMYFUNCTION("""COMPUTED_VALUE"""),14.0)</f>
        <v>14</v>
      </c>
      <c r="D1442" s="2">
        <f>IFERROR(__xludf.DUMMYFUNCTION("""COMPUTED_VALUE"""),1365.63)</f>
        <v>1365.63</v>
      </c>
    </row>
    <row r="1443">
      <c r="A1443" s="2" t="str">
        <f>IFERROR(__xludf.DUMMYFUNCTION("""COMPUTED_VALUE"""),"PR050")</f>
        <v>PR050</v>
      </c>
      <c r="B1443" s="2" t="str">
        <f>IFERROR(__xludf.DUMMYFUNCTION("""COMPUTED_VALUE"""),"VD033")</f>
        <v>VD033</v>
      </c>
      <c r="C1443" s="2">
        <f>IFERROR(__xludf.DUMMYFUNCTION("""COMPUTED_VALUE"""),6.0)</f>
        <v>6</v>
      </c>
      <c r="D1443" s="2">
        <f>IFERROR(__xludf.DUMMYFUNCTION("""COMPUTED_VALUE"""),205.3)</f>
        <v>205.3</v>
      </c>
    </row>
    <row r="1444">
      <c r="A1444" s="2" t="str">
        <f>IFERROR(__xludf.DUMMYFUNCTION("""COMPUTED_VALUE"""),"PR004")</f>
        <v>PR004</v>
      </c>
      <c r="B1444" s="2" t="str">
        <f>IFERROR(__xludf.DUMMYFUNCTION("""COMPUTED_VALUE"""),"VD021")</f>
        <v>VD021</v>
      </c>
      <c r="C1444" s="2">
        <f>IFERROR(__xludf.DUMMYFUNCTION("""COMPUTED_VALUE"""),8.0)</f>
        <v>8</v>
      </c>
      <c r="D1444" s="2">
        <f>IFERROR(__xludf.DUMMYFUNCTION("""COMPUTED_VALUE"""),1264.4)</f>
        <v>1264.4</v>
      </c>
    </row>
    <row r="1445">
      <c r="A1445" s="2" t="str">
        <f>IFERROR(__xludf.DUMMYFUNCTION("""COMPUTED_VALUE"""),"PR017")</f>
        <v>PR017</v>
      </c>
      <c r="B1445" s="2" t="str">
        <f>IFERROR(__xludf.DUMMYFUNCTION("""COMPUTED_VALUE"""),"VD045")</f>
        <v>VD045</v>
      </c>
      <c r="C1445" s="2">
        <f>IFERROR(__xludf.DUMMYFUNCTION("""COMPUTED_VALUE"""),9.0)</f>
        <v>9</v>
      </c>
      <c r="D1445" s="2">
        <f>IFERROR(__xludf.DUMMYFUNCTION("""COMPUTED_VALUE"""),269.1)</f>
        <v>269.1</v>
      </c>
    </row>
    <row r="1446">
      <c r="A1446" s="2" t="str">
        <f>IFERROR(__xludf.DUMMYFUNCTION("""COMPUTED_VALUE"""),"PR054")</f>
        <v>PR054</v>
      </c>
      <c r="B1446" s="2" t="str">
        <f>IFERROR(__xludf.DUMMYFUNCTION("""COMPUTED_VALUE"""),"VD049")</f>
        <v>VD049</v>
      </c>
      <c r="C1446" s="2">
        <f>IFERROR(__xludf.DUMMYFUNCTION("""COMPUTED_VALUE"""),8.0)</f>
        <v>8</v>
      </c>
      <c r="D1446" s="2">
        <f>IFERROR(__xludf.DUMMYFUNCTION("""COMPUTED_VALUE"""),403.19)</f>
        <v>403.19</v>
      </c>
    </row>
    <row r="1447">
      <c r="A1447" s="2" t="str">
        <f>IFERROR(__xludf.DUMMYFUNCTION("""COMPUTED_VALUE"""),"PR028")</f>
        <v>PR028</v>
      </c>
      <c r="B1447" s="2" t="str">
        <f>IFERROR(__xludf.DUMMYFUNCTION("""COMPUTED_VALUE"""),"VD033")</f>
        <v>VD033</v>
      </c>
      <c r="C1447" s="2">
        <f>IFERROR(__xludf.DUMMYFUNCTION("""COMPUTED_VALUE"""),8.0)</f>
        <v>8</v>
      </c>
      <c r="D1447" s="2">
        <f>IFERROR(__xludf.DUMMYFUNCTION("""COMPUTED_VALUE"""),2119.15)</f>
        <v>2119.15</v>
      </c>
    </row>
    <row r="1448">
      <c r="A1448" s="2" t="str">
        <f>IFERROR(__xludf.DUMMYFUNCTION("""COMPUTED_VALUE"""),"PR037")</f>
        <v>PR037</v>
      </c>
      <c r="B1448" s="2" t="str">
        <f>IFERROR(__xludf.DUMMYFUNCTION("""COMPUTED_VALUE"""),"VD024")</f>
        <v>VD024</v>
      </c>
      <c r="C1448" s="2">
        <f>IFERROR(__xludf.DUMMYFUNCTION("""COMPUTED_VALUE"""),6.0)</f>
        <v>6</v>
      </c>
      <c r="D1448" s="2">
        <f>IFERROR(__xludf.DUMMYFUNCTION("""COMPUTED_VALUE"""),924.0)</f>
        <v>924</v>
      </c>
    </row>
    <row r="1449">
      <c r="A1449" s="2" t="str">
        <f>IFERROR(__xludf.DUMMYFUNCTION("""COMPUTED_VALUE"""),"PR011")</f>
        <v>PR011</v>
      </c>
      <c r="B1449" s="2" t="str">
        <f>IFERROR(__xludf.DUMMYFUNCTION("""COMPUTED_VALUE"""),"VD012")</f>
        <v>VD012</v>
      </c>
      <c r="C1449" s="2">
        <f>IFERROR(__xludf.DUMMYFUNCTION("""COMPUTED_VALUE"""),3.0)</f>
        <v>3</v>
      </c>
      <c r="D1449" s="2">
        <f>IFERROR(__xludf.DUMMYFUNCTION("""COMPUTED_VALUE"""),143.51)</f>
        <v>143.51</v>
      </c>
    </row>
    <row r="1450">
      <c r="A1450" s="2" t="str">
        <f>IFERROR(__xludf.DUMMYFUNCTION("""COMPUTED_VALUE"""),"PR047")</f>
        <v>PR047</v>
      </c>
      <c r="B1450" s="2" t="str">
        <f>IFERROR(__xludf.DUMMYFUNCTION("""COMPUTED_VALUE"""),"VD037")</f>
        <v>VD037</v>
      </c>
      <c r="C1450" s="2">
        <f>IFERROR(__xludf.DUMMYFUNCTION("""COMPUTED_VALUE"""),6.0)</f>
        <v>6</v>
      </c>
      <c r="D1450" s="2">
        <f>IFERROR(__xludf.DUMMYFUNCTION("""COMPUTED_VALUE"""),1808.98)</f>
        <v>1808.98</v>
      </c>
    </row>
    <row r="1451">
      <c r="A1451" s="2" t="str">
        <f>IFERROR(__xludf.DUMMYFUNCTION("""COMPUTED_VALUE"""),"PR036")</f>
        <v>PR036</v>
      </c>
      <c r="B1451" s="2" t="str">
        <f>IFERROR(__xludf.DUMMYFUNCTION("""COMPUTED_VALUE"""),"VD027")</f>
        <v>VD027</v>
      </c>
      <c r="C1451" s="2">
        <f>IFERROR(__xludf.DUMMYFUNCTION("""COMPUTED_VALUE"""),7.0)</f>
        <v>7</v>
      </c>
      <c r="D1451" s="2">
        <f>IFERROR(__xludf.DUMMYFUNCTION("""COMPUTED_VALUE"""),693.77)</f>
        <v>693.77</v>
      </c>
    </row>
    <row r="1452">
      <c r="A1452" s="2" t="str">
        <f>IFERROR(__xludf.DUMMYFUNCTION("""COMPUTED_VALUE"""),"PR027")</f>
        <v>PR027</v>
      </c>
      <c r="B1452" s="2" t="str">
        <f>IFERROR(__xludf.DUMMYFUNCTION("""COMPUTED_VALUE"""),"VD034")</f>
        <v>VD034</v>
      </c>
      <c r="C1452" s="2">
        <f>IFERROR(__xludf.DUMMYFUNCTION("""COMPUTED_VALUE"""),6.0)</f>
        <v>6</v>
      </c>
      <c r="D1452" s="2">
        <f>IFERROR(__xludf.DUMMYFUNCTION("""COMPUTED_VALUE"""),720.0)</f>
        <v>720</v>
      </c>
    </row>
    <row r="1453">
      <c r="A1453" s="2" t="str">
        <f>IFERROR(__xludf.DUMMYFUNCTION("""COMPUTED_VALUE"""),"PR018")</f>
        <v>PR018</v>
      </c>
      <c r="B1453" s="2" t="str">
        <f>IFERROR(__xludf.DUMMYFUNCTION("""COMPUTED_VALUE"""),"VD017")</f>
        <v>VD017</v>
      </c>
      <c r="C1453" s="2">
        <f>IFERROR(__xludf.DUMMYFUNCTION("""COMPUTED_VALUE"""),8.0)</f>
        <v>8</v>
      </c>
      <c r="D1453" s="2">
        <f>IFERROR(__xludf.DUMMYFUNCTION("""COMPUTED_VALUE"""),268.46)</f>
        <v>268.46</v>
      </c>
    </row>
    <row r="1454">
      <c r="A1454" s="2" t="str">
        <f>IFERROR(__xludf.DUMMYFUNCTION("""COMPUTED_VALUE"""),"PR043")</f>
        <v>PR043</v>
      </c>
      <c r="B1454" s="2" t="str">
        <f>IFERROR(__xludf.DUMMYFUNCTION("""COMPUTED_VALUE"""),"VD038")</f>
        <v>VD038</v>
      </c>
      <c r="C1454" s="2">
        <f>IFERROR(__xludf.DUMMYFUNCTION("""COMPUTED_VALUE"""),14.0)</f>
        <v>14</v>
      </c>
      <c r="D1454" s="2">
        <f>IFERROR(__xludf.DUMMYFUNCTION("""COMPUTED_VALUE"""),1035.3)</f>
        <v>1035.3</v>
      </c>
    </row>
    <row r="1455">
      <c r="A1455" s="2" t="str">
        <f>IFERROR(__xludf.DUMMYFUNCTION("""COMPUTED_VALUE"""),"PR023")</f>
        <v>PR023</v>
      </c>
      <c r="B1455" s="2" t="str">
        <f>IFERROR(__xludf.DUMMYFUNCTION("""COMPUTED_VALUE"""),"VD046")</f>
        <v>VD046</v>
      </c>
      <c r="C1455" s="2">
        <f>IFERROR(__xludf.DUMMYFUNCTION("""COMPUTED_VALUE"""),12.0)</f>
        <v>12</v>
      </c>
      <c r="D1455" s="2">
        <f>IFERROR(__xludf.DUMMYFUNCTION("""COMPUTED_VALUE"""),3058.78)</f>
        <v>3058.78</v>
      </c>
    </row>
    <row r="1456">
      <c r="A1456" s="2" t="str">
        <f>IFERROR(__xludf.DUMMYFUNCTION("""COMPUTED_VALUE"""),"PR014")</f>
        <v>PR014</v>
      </c>
      <c r="B1456" s="2" t="str">
        <f>IFERROR(__xludf.DUMMYFUNCTION("""COMPUTED_VALUE"""),"VD019")</f>
        <v>VD019</v>
      </c>
      <c r="C1456" s="2">
        <f>IFERROR(__xludf.DUMMYFUNCTION("""COMPUTED_VALUE"""),18.0)</f>
        <v>18</v>
      </c>
      <c r="D1456" s="2">
        <f>IFERROR(__xludf.DUMMYFUNCTION("""COMPUTED_VALUE"""),718.2)</f>
        <v>718.2</v>
      </c>
    </row>
    <row r="1457">
      <c r="A1457" s="2" t="str">
        <f>IFERROR(__xludf.DUMMYFUNCTION("""COMPUTED_VALUE"""),"PR028")</f>
        <v>PR028</v>
      </c>
      <c r="B1457" s="2" t="str">
        <f>IFERROR(__xludf.DUMMYFUNCTION("""COMPUTED_VALUE"""),"VD029")</f>
        <v>VD029</v>
      </c>
      <c r="C1457" s="2">
        <f>IFERROR(__xludf.DUMMYFUNCTION("""COMPUTED_VALUE"""),9.0)</f>
        <v>9</v>
      </c>
      <c r="D1457" s="2">
        <f>IFERROR(__xludf.DUMMYFUNCTION("""COMPUTED_VALUE"""),2406.54)</f>
        <v>2406.54</v>
      </c>
    </row>
    <row r="1458">
      <c r="A1458" s="2" t="str">
        <f>IFERROR(__xludf.DUMMYFUNCTION("""COMPUTED_VALUE"""),"PR054")</f>
        <v>PR054</v>
      </c>
      <c r="B1458" s="2" t="str">
        <f>IFERROR(__xludf.DUMMYFUNCTION("""COMPUTED_VALUE"""),"VD015")</f>
        <v>VD015</v>
      </c>
      <c r="C1458" s="2">
        <f>IFERROR(__xludf.DUMMYFUNCTION("""COMPUTED_VALUE"""),2.0)</f>
        <v>2</v>
      </c>
      <c r="D1458" s="2">
        <f>IFERROR(__xludf.DUMMYFUNCTION("""COMPUTED_VALUE"""),100.8)</f>
        <v>100.8</v>
      </c>
    </row>
    <row r="1459">
      <c r="A1459" s="2" t="str">
        <f>IFERROR(__xludf.DUMMYFUNCTION("""COMPUTED_VALUE"""),"PR010")</f>
        <v>PR010</v>
      </c>
      <c r="B1459" s="2" t="str">
        <f>IFERROR(__xludf.DUMMYFUNCTION("""COMPUTED_VALUE"""),"VD018")</f>
        <v>VD018</v>
      </c>
      <c r="C1459" s="2">
        <f>IFERROR(__xludf.DUMMYFUNCTION("""COMPUTED_VALUE"""),10.0)</f>
        <v>10</v>
      </c>
      <c r="D1459" s="2">
        <f>IFERROR(__xludf.DUMMYFUNCTION("""COMPUTED_VALUE"""),475.94)</f>
        <v>475.94</v>
      </c>
    </row>
    <row r="1460">
      <c r="A1460" s="2" t="str">
        <f>IFERROR(__xludf.DUMMYFUNCTION("""COMPUTED_VALUE"""),"PR042")</f>
        <v>PR042</v>
      </c>
      <c r="B1460" s="2" t="str">
        <f>IFERROR(__xludf.DUMMYFUNCTION("""COMPUTED_VALUE"""),"VD026")</f>
        <v>VD026</v>
      </c>
      <c r="C1460" s="2">
        <f>IFERROR(__xludf.DUMMYFUNCTION("""COMPUTED_VALUE"""),3.0)</f>
        <v>3</v>
      </c>
      <c r="D1460" s="2">
        <f>IFERROR(__xludf.DUMMYFUNCTION("""COMPUTED_VALUE"""),164.7)</f>
        <v>164.7</v>
      </c>
    </row>
    <row r="1461">
      <c r="A1461" s="2" t="str">
        <f>IFERROR(__xludf.DUMMYFUNCTION("""COMPUTED_VALUE"""),"PR039")</f>
        <v>PR039</v>
      </c>
      <c r="B1461" s="2" t="str">
        <f>IFERROR(__xludf.DUMMYFUNCTION("""COMPUTED_VALUE"""),"VD044")</f>
        <v>VD044</v>
      </c>
      <c r="C1461" s="2">
        <f>IFERROR(__xludf.DUMMYFUNCTION("""COMPUTED_VALUE"""),2.0)</f>
        <v>2</v>
      </c>
      <c r="D1461" s="2">
        <f>IFERROR(__xludf.DUMMYFUNCTION("""COMPUTED_VALUE"""),312.44)</f>
        <v>312.44</v>
      </c>
    </row>
    <row r="1462">
      <c r="A1462" s="2" t="str">
        <f>IFERROR(__xludf.DUMMYFUNCTION("""COMPUTED_VALUE"""),"PR010")</f>
        <v>PR010</v>
      </c>
      <c r="B1462" s="2" t="str">
        <f>IFERROR(__xludf.DUMMYFUNCTION("""COMPUTED_VALUE"""),"VD047")</f>
        <v>VD047</v>
      </c>
      <c r="C1462" s="2">
        <f>IFERROR(__xludf.DUMMYFUNCTION("""COMPUTED_VALUE"""),2.0)</f>
        <v>2</v>
      </c>
      <c r="D1462" s="2">
        <f>IFERROR(__xludf.DUMMYFUNCTION("""COMPUTED_VALUE"""),91.6)</f>
        <v>91.6</v>
      </c>
    </row>
    <row r="1463">
      <c r="A1463" s="2" t="str">
        <f>IFERROR(__xludf.DUMMYFUNCTION("""COMPUTED_VALUE"""),"PR046")</f>
        <v>PR046</v>
      </c>
      <c r="B1463" s="2" t="str">
        <f>IFERROR(__xludf.DUMMYFUNCTION("""COMPUTED_VALUE"""),"VD024")</f>
        <v>VD024</v>
      </c>
      <c r="C1463" s="2">
        <f>IFERROR(__xludf.DUMMYFUNCTION("""COMPUTED_VALUE"""),10.0)</f>
        <v>10</v>
      </c>
      <c r="D1463" s="2">
        <f>IFERROR(__xludf.DUMMYFUNCTION("""COMPUTED_VALUE"""),3043.95)</f>
        <v>3043.95</v>
      </c>
    </row>
    <row r="1464">
      <c r="A1464" s="2" t="str">
        <f>IFERROR(__xludf.DUMMYFUNCTION("""COMPUTED_VALUE"""),"PR059")</f>
        <v>PR059</v>
      </c>
      <c r="B1464" s="2" t="str">
        <f>IFERROR(__xludf.DUMMYFUNCTION("""COMPUTED_VALUE"""),"VD019")</f>
        <v>VD019</v>
      </c>
      <c r="C1464" s="2">
        <f>IFERROR(__xludf.DUMMYFUNCTION("""COMPUTED_VALUE"""),7.0)</f>
        <v>7</v>
      </c>
      <c r="D1464" s="2">
        <f>IFERROR(__xludf.DUMMYFUNCTION("""COMPUTED_VALUE"""),1285.2)</f>
        <v>1285.2</v>
      </c>
    </row>
    <row r="1465">
      <c r="A1465" s="2" t="str">
        <f>IFERROR(__xludf.DUMMYFUNCTION("""COMPUTED_VALUE"""),"PR048")</f>
        <v>PR048</v>
      </c>
      <c r="B1465" s="2" t="str">
        <f>IFERROR(__xludf.DUMMYFUNCTION("""COMPUTED_VALUE"""),"VD034")</f>
        <v>VD034</v>
      </c>
      <c r="C1465" s="2">
        <f>IFERROR(__xludf.DUMMYFUNCTION("""COMPUTED_VALUE"""),20.0)</f>
        <v>20</v>
      </c>
      <c r="D1465" s="2">
        <f>IFERROR(__xludf.DUMMYFUNCTION("""COMPUTED_VALUE"""),6145.88)</f>
        <v>6145.88</v>
      </c>
    </row>
    <row r="1466">
      <c r="A1466" s="2" t="str">
        <f>IFERROR(__xludf.DUMMYFUNCTION("""COMPUTED_VALUE"""),"PR047")</f>
        <v>PR047</v>
      </c>
      <c r="B1466" s="2" t="str">
        <f>IFERROR(__xludf.DUMMYFUNCTION("""COMPUTED_VALUE"""),"VD048")</f>
        <v>VD048</v>
      </c>
      <c r="C1466" s="2">
        <f>IFERROR(__xludf.DUMMYFUNCTION("""COMPUTED_VALUE"""),10.0)</f>
        <v>10</v>
      </c>
      <c r="D1466" s="2">
        <f>IFERROR(__xludf.DUMMYFUNCTION("""COMPUTED_VALUE"""),3159.91)</f>
        <v>3159.91</v>
      </c>
    </row>
    <row r="1467">
      <c r="A1467" s="2" t="str">
        <f>IFERROR(__xludf.DUMMYFUNCTION("""COMPUTED_VALUE"""),"PR029")</f>
        <v>PR029</v>
      </c>
      <c r="B1467" s="2" t="str">
        <f>IFERROR(__xludf.DUMMYFUNCTION("""COMPUTED_VALUE"""),"VD014")</f>
        <v>VD014</v>
      </c>
      <c r="C1467" s="2">
        <f>IFERROR(__xludf.DUMMYFUNCTION("""COMPUTED_VALUE"""),9.0)</f>
        <v>9</v>
      </c>
      <c r="D1467" s="2">
        <f>IFERROR(__xludf.DUMMYFUNCTION("""COMPUTED_VALUE"""),2340.9)</f>
        <v>2340.9</v>
      </c>
    </row>
    <row r="1468">
      <c r="A1468" s="2" t="str">
        <f>IFERROR(__xludf.DUMMYFUNCTION("""COMPUTED_VALUE"""),"PR053")</f>
        <v>PR053</v>
      </c>
      <c r="B1468" s="2" t="str">
        <f>IFERROR(__xludf.DUMMYFUNCTION("""COMPUTED_VALUE"""),"VD043")</f>
        <v>VD043</v>
      </c>
      <c r="C1468" s="2">
        <f>IFERROR(__xludf.DUMMYFUNCTION("""COMPUTED_VALUE"""),6.0)</f>
        <v>6</v>
      </c>
      <c r="D1468" s="2">
        <f>IFERROR(__xludf.DUMMYFUNCTION("""COMPUTED_VALUE"""),299.4)</f>
        <v>299.4</v>
      </c>
    </row>
    <row r="1469">
      <c r="A1469" s="2" t="str">
        <f>IFERROR(__xludf.DUMMYFUNCTION("""COMPUTED_VALUE"""),"PR005")</f>
        <v>PR005</v>
      </c>
      <c r="B1469" s="2" t="str">
        <f>IFERROR(__xludf.DUMMYFUNCTION("""COMPUTED_VALUE"""),"VD047")</f>
        <v>VD047</v>
      </c>
      <c r="C1469" s="2">
        <f>IFERROR(__xludf.DUMMYFUNCTION("""COMPUTED_VALUE"""),2.0)</f>
        <v>2</v>
      </c>
      <c r="D1469" s="2">
        <f>IFERROR(__xludf.DUMMYFUNCTION("""COMPUTED_VALUE"""),556.19)</f>
        <v>556.19</v>
      </c>
    </row>
    <row r="1470">
      <c r="A1470" s="2" t="str">
        <f>IFERROR(__xludf.DUMMYFUNCTION("""COMPUTED_VALUE"""),"PR039")</f>
        <v>PR039</v>
      </c>
      <c r="B1470" s="2" t="str">
        <f>IFERROR(__xludf.DUMMYFUNCTION("""COMPUTED_VALUE"""),"VD020")</f>
        <v>VD020</v>
      </c>
      <c r="C1470" s="2">
        <f>IFERROR(__xludf.DUMMYFUNCTION("""COMPUTED_VALUE"""),2.0)</f>
        <v>2</v>
      </c>
      <c r="D1470" s="2">
        <f>IFERROR(__xludf.DUMMYFUNCTION("""COMPUTED_VALUE"""),292.0)</f>
        <v>292</v>
      </c>
    </row>
    <row r="1471">
      <c r="A1471" s="2" t="str">
        <f>IFERROR(__xludf.DUMMYFUNCTION("""COMPUTED_VALUE"""),"PR031")</f>
        <v>PR031</v>
      </c>
      <c r="B1471" s="2" t="str">
        <f>IFERROR(__xludf.DUMMYFUNCTION("""COMPUTED_VALUE"""),"VD031")</f>
        <v>VD031</v>
      </c>
      <c r="C1471" s="2">
        <f>IFERROR(__xludf.DUMMYFUNCTION("""COMPUTED_VALUE"""),8.0)</f>
        <v>8</v>
      </c>
      <c r="D1471" s="2">
        <f>IFERROR(__xludf.DUMMYFUNCTION("""COMPUTED_VALUE"""),2097.2)</f>
        <v>2097.2</v>
      </c>
    </row>
    <row r="1472">
      <c r="A1472" s="2" t="str">
        <f>IFERROR(__xludf.DUMMYFUNCTION("""COMPUTED_VALUE"""),"PR056")</f>
        <v>PR056</v>
      </c>
      <c r="B1472" s="2" t="str">
        <f>IFERROR(__xludf.DUMMYFUNCTION("""COMPUTED_VALUE"""),"VD022")</f>
        <v>VD022</v>
      </c>
      <c r="C1472" s="2">
        <f>IFERROR(__xludf.DUMMYFUNCTION("""COMPUTED_VALUE"""),10.0)</f>
        <v>10</v>
      </c>
      <c r="D1472" s="2">
        <f>IFERROR(__xludf.DUMMYFUNCTION("""COMPUTED_VALUE"""),961.93)</f>
        <v>961.93</v>
      </c>
    </row>
    <row r="1473">
      <c r="A1473" s="2" t="str">
        <f>IFERROR(__xludf.DUMMYFUNCTION("""COMPUTED_VALUE"""),"PR018")</f>
        <v>PR018</v>
      </c>
      <c r="B1473" s="2" t="str">
        <f>IFERROR(__xludf.DUMMYFUNCTION("""COMPUTED_VALUE"""),"VD025")</f>
        <v>VD025</v>
      </c>
      <c r="C1473" s="2">
        <f>IFERROR(__xludf.DUMMYFUNCTION("""COMPUTED_VALUE"""),2.0)</f>
        <v>2</v>
      </c>
      <c r="D1473" s="2">
        <f>IFERROR(__xludf.DUMMYFUNCTION("""COMPUTED_VALUE"""),70.41)</f>
        <v>70.41</v>
      </c>
    </row>
    <row r="1474">
      <c r="A1474" s="2" t="str">
        <f>IFERROR(__xludf.DUMMYFUNCTION("""COMPUTED_VALUE"""),"PR055")</f>
        <v>PR055</v>
      </c>
      <c r="B1474" s="2" t="str">
        <f>IFERROR(__xludf.DUMMYFUNCTION("""COMPUTED_VALUE"""),"VD020")</f>
        <v>VD020</v>
      </c>
      <c r="C1474" s="2">
        <f>IFERROR(__xludf.DUMMYFUNCTION("""COMPUTED_VALUE"""),10.0)</f>
        <v>10</v>
      </c>
      <c r="D1474" s="2">
        <f>IFERROR(__xludf.DUMMYFUNCTION("""COMPUTED_VALUE"""),925.97)</f>
        <v>925.97</v>
      </c>
    </row>
    <row r="1475">
      <c r="A1475" s="2" t="str">
        <f>IFERROR(__xludf.DUMMYFUNCTION("""COMPUTED_VALUE"""),"PR047")</f>
        <v>PR047</v>
      </c>
      <c r="B1475" s="2" t="str">
        <f>IFERROR(__xludf.DUMMYFUNCTION("""COMPUTED_VALUE"""),"VD046")</f>
        <v>VD046</v>
      </c>
      <c r="C1475" s="2">
        <f>IFERROR(__xludf.DUMMYFUNCTION("""COMPUTED_VALUE"""),2.0)</f>
        <v>2</v>
      </c>
      <c r="D1475" s="2">
        <f>IFERROR(__xludf.DUMMYFUNCTION("""COMPUTED_VALUE"""),585.6)</f>
        <v>585.6</v>
      </c>
    </row>
    <row r="1476">
      <c r="A1476" s="2" t="str">
        <f>IFERROR(__xludf.DUMMYFUNCTION("""COMPUTED_VALUE"""),"PR027")</f>
        <v>PR027</v>
      </c>
      <c r="B1476" s="2" t="str">
        <f>IFERROR(__xludf.DUMMYFUNCTION("""COMPUTED_VALUE"""),"VD044")</f>
        <v>VD044</v>
      </c>
      <c r="C1476" s="2">
        <f>IFERROR(__xludf.DUMMYFUNCTION("""COMPUTED_VALUE"""),8.0)</f>
        <v>8</v>
      </c>
      <c r="D1476" s="2">
        <f>IFERROR(__xludf.DUMMYFUNCTION("""COMPUTED_VALUE"""),998.4)</f>
        <v>998.4</v>
      </c>
    </row>
    <row r="1477">
      <c r="A1477" s="2" t="str">
        <f>IFERROR(__xludf.DUMMYFUNCTION("""COMPUTED_VALUE"""),"PR047")</f>
        <v>PR047</v>
      </c>
      <c r="B1477" s="2" t="str">
        <f>IFERROR(__xludf.DUMMYFUNCTION("""COMPUTED_VALUE"""),"VD029")</f>
        <v>VD029</v>
      </c>
      <c r="C1477" s="2">
        <f>IFERROR(__xludf.DUMMYFUNCTION("""COMPUTED_VALUE"""),5.0)</f>
        <v>5</v>
      </c>
      <c r="D1477" s="2">
        <f>IFERROR(__xludf.DUMMYFUNCTION("""COMPUTED_VALUE"""),1492.99)</f>
        <v>1492.99</v>
      </c>
    </row>
    <row r="1478">
      <c r="A1478" s="2" t="str">
        <f>IFERROR(__xludf.DUMMYFUNCTION("""COMPUTED_VALUE"""),"PR022")</f>
        <v>PR022</v>
      </c>
      <c r="B1478" s="2" t="str">
        <f>IFERROR(__xludf.DUMMYFUNCTION("""COMPUTED_VALUE"""),"VD021")</f>
        <v>VD021</v>
      </c>
      <c r="C1478" s="2">
        <f>IFERROR(__xludf.DUMMYFUNCTION("""COMPUTED_VALUE"""),2.0)</f>
        <v>2</v>
      </c>
      <c r="D1478" s="2">
        <f>IFERROR(__xludf.DUMMYFUNCTION("""COMPUTED_VALUE"""),636.0)</f>
        <v>636</v>
      </c>
    </row>
    <row r="1479">
      <c r="A1479" s="2" t="str">
        <f>IFERROR(__xludf.DUMMYFUNCTION("""COMPUTED_VALUE"""),"PR050")</f>
        <v>PR050</v>
      </c>
      <c r="B1479" s="2" t="str">
        <f>IFERROR(__xludf.DUMMYFUNCTION("""COMPUTED_VALUE"""),"VD010")</f>
        <v>VD010</v>
      </c>
      <c r="C1479" s="2">
        <f>IFERROR(__xludf.DUMMYFUNCTION("""COMPUTED_VALUE"""),16.0)</f>
        <v>16</v>
      </c>
      <c r="D1479" s="2">
        <f>IFERROR(__xludf.DUMMYFUNCTION("""COMPUTED_VALUE"""),573.78)</f>
        <v>573.78</v>
      </c>
    </row>
    <row r="1480">
      <c r="A1480" s="2" t="str">
        <f>IFERROR(__xludf.DUMMYFUNCTION("""COMPUTED_VALUE"""),"PR019")</f>
        <v>PR019</v>
      </c>
      <c r="B1480" s="2" t="str">
        <f>IFERROR(__xludf.DUMMYFUNCTION("""COMPUTED_VALUE"""),"VD030")</f>
        <v>VD030</v>
      </c>
      <c r="C1480" s="2">
        <f>IFERROR(__xludf.DUMMYFUNCTION("""COMPUTED_VALUE"""),18.0)</f>
        <v>18</v>
      </c>
      <c r="D1480" s="2">
        <f>IFERROR(__xludf.DUMMYFUNCTION("""COMPUTED_VALUE"""),934.13)</f>
        <v>934.13</v>
      </c>
    </row>
    <row r="1481">
      <c r="A1481" s="2" t="str">
        <f>IFERROR(__xludf.DUMMYFUNCTION("""COMPUTED_VALUE"""),"PR030")</f>
        <v>PR030</v>
      </c>
      <c r="B1481" s="2" t="str">
        <f>IFERROR(__xludf.DUMMYFUNCTION("""COMPUTED_VALUE"""),"VD043")</f>
        <v>VD043</v>
      </c>
      <c r="C1481" s="2">
        <f>IFERROR(__xludf.DUMMYFUNCTION("""COMPUTED_VALUE"""),18.0)</f>
        <v>18</v>
      </c>
      <c r="D1481" s="2">
        <f>IFERROR(__xludf.DUMMYFUNCTION("""COMPUTED_VALUE"""),4912.11)</f>
        <v>4912.11</v>
      </c>
    </row>
    <row r="1482">
      <c r="A1482" s="2" t="str">
        <f>IFERROR(__xludf.DUMMYFUNCTION("""COMPUTED_VALUE"""),"PR030")</f>
        <v>PR030</v>
      </c>
      <c r="B1482" s="2" t="str">
        <f>IFERROR(__xludf.DUMMYFUNCTION("""COMPUTED_VALUE"""),"VD021")</f>
        <v>VD021</v>
      </c>
      <c r="C1482" s="2">
        <f>IFERROR(__xludf.DUMMYFUNCTION("""COMPUTED_VALUE"""),12.0)</f>
        <v>12</v>
      </c>
      <c r="D1482" s="2">
        <f>IFERROR(__xludf.DUMMYFUNCTION("""COMPUTED_VALUE"""),3181.18)</f>
        <v>3181.18</v>
      </c>
    </row>
    <row r="1483">
      <c r="A1483" s="2" t="str">
        <f>IFERROR(__xludf.DUMMYFUNCTION("""COMPUTED_VALUE"""),"PR026")</f>
        <v>PR026</v>
      </c>
      <c r="B1483" s="2" t="str">
        <f>IFERROR(__xludf.DUMMYFUNCTION("""COMPUTED_VALUE"""),"VD043")</f>
        <v>VD043</v>
      </c>
      <c r="C1483" s="2">
        <f>IFERROR(__xludf.DUMMYFUNCTION("""COMPUTED_VALUE"""),10.0)</f>
        <v>10</v>
      </c>
      <c r="D1483" s="2">
        <f>IFERROR(__xludf.DUMMYFUNCTION("""COMPUTED_VALUE"""),3743.93)</f>
        <v>3743.93</v>
      </c>
    </row>
    <row r="1484">
      <c r="A1484" s="2" t="str">
        <f>IFERROR(__xludf.DUMMYFUNCTION("""COMPUTED_VALUE"""),"PR025")</f>
        <v>PR025</v>
      </c>
      <c r="B1484" s="2" t="str">
        <f>IFERROR(__xludf.DUMMYFUNCTION("""COMPUTED_VALUE"""),"VD021")</f>
        <v>VD021</v>
      </c>
      <c r="C1484" s="2">
        <f>IFERROR(__xludf.DUMMYFUNCTION("""COMPUTED_VALUE"""),16.0)</f>
        <v>16</v>
      </c>
      <c r="D1484" s="2">
        <f>IFERROR(__xludf.DUMMYFUNCTION("""COMPUTED_VALUE"""),5182.27)</f>
        <v>5182.27</v>
      </c>
    </row>
    <row r="1485">
      <c r="A1485" s="2" t="str">
        <f>IFERROR(__xludf.DUMMYFUNCTION("""COMPUTED_VALUE"""),"PR039")</f>
        <v>PR039</v>
      </c>
      <c r="B1485" s="2" t="str">
        <f>IFERROR(__xludf.DUMMYFUNCTION("""COMPUTED_VALUE"""),"VD019")</f>
        <v>VD019</v>
      </c>
      <c r="C1485" s="2">
        <f>IFERROR(__xludf.DUMMYFUNCTION("""COMPUTED_VALUE"""),20.0)</f>
        <v>20</v>
      </c>
      <c r="D1485" s="2">
        <f>IFERROR(__xludf.DUMMYFUNCTION("""COMPUTED_VALUE"""),3036.8)</f>
        <v>3036.8</v>
      </c>
    </row>
    <row r="1486">
      <c r="A1486" s="2" t="str">
        <f>IFERROR(__xludf.DUMMYFUNCTION("""COMPUTED_VALUE"""),"PR046")</f>
        <v>PR046</v>
      </c>
      <c r="B1486" s="2" t="str">
        <f>IFERROR(__xludf.DUMMYFUNCTION("""COMPUTED_VALUE"""),"VD022")</f>
        <v>VD022</v>
      </c>
      <c r="C1486" s="2">
        <f>IFERROR(__xludf.DUMMYFUNCTION("""COMPUTED_VALUE"""),4.0)</f>
        <v>4</v>
      </c>
      <c r="D1486" s="2">
        <f>IFERROR(__xludf.DUMMYFUNCTION("""COMPUTED_VALUE"""),1171.2)</f>
        <v>1171.2</v>
      </c>
    </row>
    <row r="1487">
      <c r="A1487" s="2" t="str">
        <f>IFERROR(__xludf.DUMMYFUNCTION("""COMPUTED_VALUE"""),"PR043")</f>
        <v>PR043</v>
      </c>
      <c r="B1487" s="2" t="str">
        <f>IFERROR(__xludf.DUMMYFUNCTION("""COMPUTED_VALUE"""),"VD016")</f>
        <v>VD016</v>
      </c>
      <c r="C1487" s="2">
        <f>IFERROR(__xludf.DUMMYFUNCTION("""COMPUTED_VALUE"""),20.0)</f>
        <v>20</v>
      </c>
      <c r="D1487" s="2">
        <f>IFERROR(__xludf.DUMMYFUNCTION("""COMPUTED_VALUE"""),1595.0)</f>
        <v>1595</v>
      </c>
    </row>
    <row r="1488">
      <c r="A1488" s="2" t="str">
        <f>IFERROR(__xludf.DUMMYFUNCTION("""COMPUTED_VALUE"""),"PR048")</f>
        <v>PR048</v>
      </c>
      <c r="B1488" s="2" t="str">
        <f>IFERROR(__xludf.DUMMYFUNCTION("""COMPUTED_VALUE"""),"VD023")</f>
        <v>VD023</v>
      </c>
      <c r="C1488" s="2">
        <f>IFERROR(__xludf.DUMMYFUNCTION("""COMPUTED_VALUE"""),3.0)</f>
        <v>3</v>
      </c>
      <c r="D1488" s="2">
        <f>IFERROR(__xludf.DUMMYFUNCTION("""COMPUTED_VALUE"""),887.09)</f>
        <v>887.09</v>
      </c>
    </row>
    <row r="1489">
      <c r="A1489" s="2" t="str">
        <f>IFERROR(__xludf.DUMMYFUNCTION("""COMPUTED_VALUE"""),"PR039")</f>
        <v>PR039</v>
      </c>
      <c r="B1489" s="2" t="str">
        <f>IFERROR(__xludf.DUMMYFUNCTION("""COMPUTED_VALUE"""),"VD025")</f>
        <v>VD025</v>
      </c>
      <c r="C1489" s="2">
        <f>IFERROR(__xludf.DUMMYFUNCTION("""COMPUTED_VALUE"""),10.0)</f>
        <v>10</v>
      </c>
      <c r="D1489" s="2">
        <f>IFERROR(__xludf.DUMMYFUNCTION("""COMPUTED_VALUE"""),1533.0)</f>
        <v>1533</v>
      </c>
    </row>
    <row r="1490">
      <c r="A1490" s="2" t="str">
        <f>IFERROR(__xludf.DUMMYFUNCTION("""COMPUTED_VALUE"""),"PR060")</f>
        <v>PR060</v>
      </c>
      <c r="B1490" s="2" t="str">
        <f>IFERROR(__xludf.DUMMYFUNCTION("""COMPUTED_VALUE"""),"VD030")</f>
        <v>VD030</v>
      </c>
      <c r="C1490" s="2">
        <f>IFERROR(__xludf.DUMMYFUNCTION("""COMPUTED_VALUE"""),9.0)</f>
        <v>9</v>
      </c>
      <c r="D1490" s="2">
        <f>IFERROR(__xludf.DUMMYFUNCTION("""COMPUTED_VALUE"""),1717.2)</f>
        <v>1717.2</v>
      </c>
    </row>
    <row r="1491">
      <c r="A1491" s="2" t="str">
        <f>IFERROR(__xludf.DUMMYFUNCTION("""COMPUTED_VALUE"""),"PR053")</f>
        <v>PR053</v>
      </c>
      <c r="B1491" s="2" t="str">
        <f>IFERROR(__xludf.DUMMYFUNCTION("""COMPUTED_VALUE"""),"VD043")</f>
        <v>VD043</v>
      </c>
      <c r="C1491" s="2">
        <f>IFERROR(__xludf.DUMMYFUNCTION("""COMPUTED_VALUE"""),5.0)</f>
        <v>5</v>
      </c>
      <c r="D1491" s="2">
        <f>IFERROR(__xludf.DUMMYFUNCTION("""COMPUTED_VALUE"""),254.49)</f>
        <v>254.49</v>
      </c>
    </row>
    <row r="1492">
      <c r="A1492" s="2" t="str">
        <f>IFERROR(__xludf.DUMMYFUNCTION("""COMPUTED_VALUE"""),"PR057")</f>
        <v>PR057</v>
      </c>
      <c r="B1492" s="2" t="str">
        <f>IFERROR(__xludf.DUMMYFUNCTION("""COMPUTED_VALUE"""),"VD034")</f>
        <v>VD034</v>
      </c>
      <c r="C1492" s="2">
        <f>IFERROR(__xludf.DUMMYFUNCTION("""COMPUTED_VALUE"""),2.0)</f>
        <v>2</v>
      </c>
      <c r="D1492" s="2">
        <f>IFERROR(__xludf.DUMMYFUNCTION("""COMPUTED_VALUE"""),194.18)</f>
        <v>194.18</v>
      </c>
    </row>
    <row r="1493">
      <c r="A1493" s="2" t="str">
        <f>IFERROR(__xludf.DUMMYFUNCTION("""COMPUTED_VALUE"""),"PR031")</f>
        <v>PR031</v>
      </c>
      <c r="B1493" s="2" t="str">
        <f>IFERROR(__xludf.DUMMYFUNCTION("""COMPUTED_VALUE"""),"VD046")</f>
        <v>VD046</v>
      </c>
      <c r="C1493" s="2">
        <f>IFERROR(__xludf.DUMMYFUNCTION("""COMPUTED_VALUE"""),5.0)</f>
        <v>5</v>
      </c>
      <c r="D1493" s="2">
        <f>IFERROR(__xludf.DUMMYFUNCTION("""COMPUTED_VALUE"""),1323.0)</f>
        <v>1323</v>
      </c>
    </row>
    <row r="1494">
      <c r="A1494" s="2" t="str">
        <f>IFERROR(__xludf.DUMMYFUNCTION("""COMPUTED_VALUE"""),"PR025")</f>
        <v>PR025</v>
      </c>
      <c r="B1494" s="2" t="str">
        <f>IFERROR(__xludf.DUMMYFUNCTION("""COMPUTED_VALUE"""),"VD033")</f>
        <v>VD033</v>
      </c>
      <c r="C1494" s="2">
        <f>IFERROR(__xludf.DUMMYFUNCTION("""COMPUTED_VALUE"""),10.0)</f>
        <v>10</v>
      </c>
      <c r="D1494" s="2">
        <f>IFERROR(__xludf.DUMMYFUNCTION("""COMPUTED_VALUE"""),3088.97)</f>
        <v>3088.97</v>
      </c>
    </row>
    <row r="1495">
      <c r="A1495" s="2" t="str">
        <f>IFERROR(__xludf.DUMMYFUNCTION("""COMPUTED_VALUE"""),"PR052")</f>
        <v>PR052</v>
      </c>
      <c r="B1495" s="2" t="str">
        <f>IFERROR(__xludf.DUMMYFUNCTION("""COMPUTED_VALUE"""),"VD011")</f>
        <v>VD011</v>
      </c>
      <c r="C1495" s="2">
        <f>IFERROR(__xludf.DUMMYFUNCTION("""COMPUTED_VALUE"""),4.0)</f>
        <v>4</v>
      </c>
      <c r="D1495" s="2">
        <f>IFERROR(__xludf.DUMMYFUNCTION("""COMPUTED_VALUE"""),213.57)</f>
        <v>213.57</v>
      </c>
    </row>
    <row r="1496">
      <c r="A1496" s="2" t="str">
        <f>IFERROR(__xludf.DUMMYFUNCTION("""COMPUTED_VALUE"""),"PR001")</f>
        <v>PR001</v>
      </c>
      <c r="B1496" s="2" t="str">
        <f>IFERROR(__xludf.DUMMYFUNCTION("""COMPUTED_VALUE"""),"VD037")</f>
        <v>VD037</v>
      </c>
      <c r="C1496" s="2">
        <f>IFERROR(__xludf.DUMMYFUNCTION("""COMPUTED_VALUE"""),6.0)</f>
        <v>6</v>
      </c>
      <c r="D1496" s="2">
        <f>IFERROR(__xludf.DUMMYFUNCTION("""COMPUTED_VALUE"""),399.35)</f>
        <v>399.35</v>
      </c>
    </row>
    <row r="1497">
      <c r="A1497" s="2" t="str">
        <f>IFERROR(__xludf.DUMMYFUNCTION("""COMPUTED_VALUE"""),"PR004")</f>
        <v>PR004</v>
      </c>
      <c r="B1497" s="2" t="str">
        <f>IFERROR(__xludf.DUMMYFUNCTION("""COMPUTED_VALUE"""),"VD041")</f>
        <v>VD041</v>
      </c>
      <c r="C1497" s="2">
        <f>IFERROR(__xludf.DUMMYFUNCTION("""COMPUTED_VALUE"""),18.0)</f>
        <v>18</v>
      </c>
      <c r="D1497" s="2">
        <f>IFERROR(__xludf.DUMMYFUNCTION("""COMPUTED_VALUE"""),2871.0)</f>
        <v>2871</v>
      </c>
    </row>
    <row r="1498">
      <c r="A1498" s="2" t="str">
        <f>IFERROR(__xludf.DUMMYFUNCTION("""COMPUTED_VALUE"""),"PR038")</f>
        <v>PR038</v>
      </c>
      <c r="B1498" s="2" t="str">
        <f>IFERROR(__xludf.DUMMYFUNCTION("""COMPUTED_VALUE"""),"VD010")</f>
        <v>VD010</v>
      </c>
      <c r="C1498" s="2">
        <f>IFERROR(__xludf.DUMMYFUNCTION("""COMPUTED_VALUE"""),5.0)</f>
        <v>5</v>
      </c>
      <c r="D1498" s="2">
        <f>IFERROR(__xludf.DUMMYFUNCTION("""COMPUTED_VALUE"""),714.5)</f>
        <v>714.5</v>
      </c>
    </row>
    <row r="1499">
      <c r="A1499" s="2" t="str">
        <f>IFERROR(__xludf.DUMMYFUNCTION("""COMPUTED_VALUE"""),"PR007")</f>
        <v>PR007</v>
      </c>
      <c r="B1499" s="2" t="str">
        <f>IFERROR(__xludf.DUMMYFUNCTION("""COMPUTED_VALUE"""),"VD011")</f>
        <v>VD011</v>
      </c>
      <c r="C1499" s="2">
        <f>IFERROR(__xludf.DUMMYFUNCTION("""COMPUTED_VALUE"""),2.0)</f>
        <v>2</v>
      </c>
      <c r="D1499" s="2">
        <f>IFERROR(__xludf.DUMMYFUNCTION("""COMPUTED_VALUE"""),180.39)</f>
        <v>180.39</v>
      </c>
    </row>
    <row r="1500">
      <c r="A1500" s="2" t="str">
        <f>IFERROR(__xludf.DUMMYFUNCTION("""COMPUTED_VALUE"""),"PR018")</f>
        <v>PR018</v>
      </c>
      <c r="B1500" s="2" t="str">
        <f>IFERROR(__xludf.DUMMYFUNCTION("""COMPUTED_VALUE"""),"VD036")</f>
        <v>VD036</v>
      </c>
      <c r="C1500" s="2">
        <f>IFERROR(__xludf.DUMMYFUNCTION("""COMPUTED_VALUE"""),10.0)</f>
        <v>10</v>
      </c>
      <c r="D1500" s="2">
        <f>IFERROR(__xludf.DUMMYFUNCTION("""COMPUTED_VALUE"""),355.32)</f>
        <v>355.32</v>
      </c>
    </row>
    <row r="1501">
      <c r="A1501" s="2" t="str">
        <f>IFERROR(__xludf.DUMMYFUNCTION("""COMPUTED_VALUE"""),"PR039")</f>
        <v>PR039</v>
      </c>
      <c r="B1501" s="2" t="str">
        <f>IFERROR(__xludf.DUMMYFUNCTION("""COMPUTED_VALUE"""),"VD026")</f>
        <v>VD026</v>
      </c>
      <c r="C1501" s="2">
        <f>IFERROR(__xludf.DUMMYFUNCTION("""COMPUTED_VALUE"""),10.0)</f>
        <v>10</v>
      </c>
      <c r="D1501" s="2">
        <f>IFERROR(__xludf.DUMMYFUNCTION("""COMPUTED_VALUE"""),1518.4)</f>
        <v>1518.4</v>
      </c>
    </row>
    <row r="1502">
      <c r="A1502" s="2" t="str">
        <f>IFERROR(__xludf.DUMMYFUNCTION("""COMPUTED_VALUE"""),"PR022")</f>
        <v>PR022</v>
      </c>
      <c r="B1502" s="2" t="str">
        <f>IFERROR(__xludf.DUMMYFUNCTION("""COMPUTED_VALUE"""),"VD041")</f>
        <v>VD041</v>
      </c>
      <c r="C1502" s="2">
        <f>IFERROR(__xludf.DUMMYFUNCTION("""COMPUTED_VALUE"""),9.0)</f>
        <v>9</v>
      </c>
      <c r="D1502" s="2">
        <f>IFERROR(__xludf.DUMMYFUNCTION("""COMPUTED_VALUE"""),2808.0)</f>
        <v>2808</v>
      </c>
    </row>
    <row r="1503">
      <c r="A1503" s="2" t="str">
        <f>IFERROR(__xludf.DUMMYFUNCTION("""COMPUTED_VALUE"""),"PR007")</f>
        <v>PR007</v>
      </c>
      <c r="B1503" s="2" t="str">
        <f>IFERROR(__xludf.DUMMYFUNCTION("""COMPUTED_VALUE"""),"VD020")</f>
        <v>VD020</v>
      </c>
      <c r="C1503" s="2">
        <f>IFERROR(__xludf.DUMMYFUNCTION("""COMPUTED_VALUE"""),18.0)</f>
        <v>18</v>
      </c>
      <c r="D1503" s="2">
        <f>IFERROR(__xludf.DUMMYFUNCTION("""COMPUTED_VALUE"""),1623.51)</f>
        <v>1623.51</v>
      </c>
    </row>
    <row r="1504">
      <c r="A1504" s="2" t="str">
        <f>IFERROR(__xludf.DUMMYFUNCTION("""COMPUTED_VALUE"""),"PR059")</f>
        <v>PR059</v>
      </c>
      <c r="B1504" s="2" t="str">
        <f>IFERROR(__xludf.DUMMYFUNCTION("""COMPUTED_VALUE"""),"VD036")</f>
        <v>VD036</v>
      </c>
      <c r="C1504" s="2">
        <f>IFERROR(__xludf.DUMMYFUNCTION("""COMPUTED_VALUE"""),8.0)</f>
        <v>8</v>
      </c>
      <c r="D1504" s="2">
        <f>IFERROR(__xludf.DUMMYFUNCTION("""COMPUTED_VALUE"""),1512.0)</f>
        <v>1512</v>
      </c>
    </row>
    <row r="1505">
      <c r="A1505" s="2" t="str">
        <f>IFERROR(__xludf.DUMMYFUNCTION("""COMPUTED_VALUE"""),"PR006")</f>
        <v>PR006</v>
      </c>
      <c r="B1505" s="2" t="str">
        <f>IFERROR(__xludf.DUMMYFUNCTION("""COMPUTED_VALUE"""),"VD038")</f>
        <v>VD038</v>
      </c>
      <c r="C1505" s="2">
        <f>IFERROR(__xludf.DUMMYFUNCTION("""COMPUTED_VALUE"""),12.0)</f>
        <v>12</v>
      </c>
      <c r="D1505" s="2">
        <f>IFERROR(__xludf.DUMMYFUNCTION("""COMPUTED_VALUE"""),526.68)</f>
        <v>526.68</v>
      </c>
    </row>
    <row r="1506">
      <c r="A1506" s="2" t="str">
        <f>IFERROR(__xludf.DUMMYFUNCTION("""COMPUTED_VALUE"""),"PR017")</f>
        <v>PR017</v>
      </c>
      <c r="B1506" s="2" t="str">
        <f>IFERROR(__xludf.DUMMYFUNCTION("""COMPUTED_VALUE"""),"VD013")</f>
        <v>VD013</v>
      </c>
      <c r="C1506" s="2">
        <f>IFERROR(__xludf.DUMMYFUNCTION("""COMPUTED_VALUE"""),9.0)</f>
        <v>9</v>
      </c>
      <c r="D1506" s="2">
        <f>IFERROR(__xludf.DUMMYFUNCTION("""COMPUTED_VALUE"""),285.25)</f>
        <v>285.25</v>
      </c>
    </row>
    <row r="1507">
      <c r="A1507" s="2" t="str">
        <f>IFERROR(__xludf.DUMMYFUNCTION("""COMPUTED_VALUE"""),"PR015")</f>
        <v>PR015</v>
      </c>
      <c r="B1507" s="2" t="str">
        <f>IFERROR(__xludf.DUMMYFUNCTION("""COMPUTED_VALUE"""),"VD032")</f>
        <v>VD032</v>
      </c>
      <c r="C1507" s="2">
        <f>IFERROR(__xludf.DUMMYFUNCTION("""COMPUTED_VALUE"""),3.0)</f>
        <v>3</v>
      </c>
      <c r="D1507" s="2">
        <f>IFERROR(__xludf.DUMMYFUNCTION("""COMPUTED_VALUE"""),140.25)</f>
        <v>140.25</v>
      </c>
    </row>
    <row r="1508">
      <c r="A1508" s="2" t="str">
        <f>IFERROR(__xludf.DUMMYFUNCTION("""COMPUTED_VALUE"""),"PR051")</f>
        <v>PR051</v>
      </c>
      <c r="B1508" s="2" t="str">
        <f>IFERROR(__xludf.DUMMYFUNCTION("""COMPUTED_VALUE"""),"VD041")</f>
        <v>VD041</v>
      </c>
      <c r="C1508" s="2">
        <f>IFERROR(__xludf.DUMMYFUNCTION("""COMPUTED_VALUE"""),12.0)</f>
        <v>12</v>
      </c>
      <c r="D1508" s="2">
        <f>IFERROR(__xludf.DUMMYFUNCTION("""COMPUTED_VALUE"""),418.49)</f>
        <v>418.49</v>
      </c>
    </row>
    <row r="1509">
      <c r="A1509" s="2" t="str">
        <f>IFERROR(__xludf.DUMMYFUNCTION("""COMPUTED_VALUE"""),"PR028")</f>
        <v>PR028</v>
      </c>
      <c r="B1509" s="2" t="str">
        <f>IFERROR(__xludf.DUMMYFUNCTION("""COMPUTED_VALUE"""),"VD011")</f>
        <v>VD011</v>
      </c>
      <c r="C1509" s="2">
        <f>IFERROR(__xludf.DUMMYFUNCTION("""COMPUTED_VALUE"""),16.0)</f>
        <v>16</v>
      </c>
      <c r="D1509" s="2">
        <f>IFERROR(__xludf.DUMMYFUNCTION("""COMPUTED_VALUE"""),4238.3)</f>
        <v>4238.3</v>
      </c>
    </row>
    <row r="1510">
      <c r="A1510" s="2" t="str">
        <f>IFERROR(__xludf.DUMMYFUNCTION("""COMPUTED_VALUE"""),"PR052")</f>
        <v>PR052</v>
      </c>
      <c r="B1510" s="2" t="str">
        <f>IFERROR(__xludf.DUMMYFUNCTION("""COMPUTED_VALUE"""),"VD043")</f>
        <v>VD043</v>
      </c>
      <c r="C1510" s="2">
        <f>IFERROR(__xludf.DUMMYFUNCTION("""COMPUTED_VALUE"""),6.0)</f>
        <v>6</v>
      </c>
      <c r="D1510" s="2">
        <f>IFERROR(__xludf.DUMMYFUNCTION("""COMPUTED_VALUE"""),329.34)</f>
        <v>329.34</v>
      </c>
    </row>
    <row r="1511">
      <c r="A1511" s="2" t="str">
        <f>IFERROR(__xludf.DUMMYFUNCTION("""COMPUTED_VALUE"""),"PR026")</f>
        <v>PR026</v>
      </c>
      <c r="B1511" s="2" t="str">
        <f>IFERROR(__xludf.DUMMYFUNCTION("""COMPUTED_VALUE"""),"VD045")</f>
        <v>VD045</v>
      </c>
      <c r="C1511" s="2">
        <f>IFERROR(__xludf.DUMMYFUNCTION("""COMPUTED_VALUE"""),4.0)</f>
        <v>4</v>
      </c>
      <c r="D1511" s="2">
        <f>IFERROR(__xludf.DUMMYFUNCTION("""COMPUTED_VALUE"""),1511.57)</f>
        <v>1511.57</v>
      </c>
    </row>
    <row r="1512">
      <c r="A1512" s="2" t="str">
        <f>IFERROR(__xludf.DUMMYFUNCTION("""COMPUTED_VALUE"""),"PR007")</f>
        <v>PR007</v>
      </c>
      <c r="B1512" s="2" t="str">
        <f>IFERROR(__xludf.DUMMYFUNCTION("""COMPUTED_VALUE"""),"VD043")</f>
        <v>VD043</v>
      </c>
      <c r="C1512" s="2">
        <f>IFERROR(__xludf.DUMMYFUNCTION("""COMPUTED_VALUE"""),20.0)</f>
        <v>20</v>
      </c>
      <c r="D1512" s="2">
        <f>IFERROR(__xludf.DUMMYFUNCTION("""COMPUTED_VALUE"""),1735.18)</f>
        <v>1735.18</v>
      </c>
    </row>
    <row r="1513">
      <c r="A1513" s="2" t="str">
        <f>IFERROR(__xludf.DUMMYFUNCTION("""COMPUTED_VALUE"""),"PR031")</f>
        <v>PR031</v>
      </c>
      <c r="B1513" s="2" t="str">
        <f>IFERROR(__xludf.DUMMYFUNCTION("""COMPUTED_VALUE"""),"VD026")</f>
        <v>VD026</v>
      </c>
      <c r="C1513" s="2">
        <f>IFERROR(__xludf.DUMMYFUNCTION("""COMPUTED_VALUE"""),16.0)</f>
        <v>16</v>
      </c>
      <c r="D1513" s="2">
        <f>IFERROR(__xludf.DUMMYFUNCTION("""COMPUTED_VALUE"""),4194.4)</f>
        <v>4194.4</v>
      </c>
    </row>
    <row r="1514">
      <c r="A1514" s="2" t="str">
        <f>IFERROR(__xludf.DUMMYFUNCTION("""COMPUTED_VALUE"""),"PR002")</f>
        <v>PR002</v>
      </c>
      <c r="B1514" s="2" t="str">
        <f>IFERROR(__xludf.DUMMYFUNCTION("""COMPUTED_VALUE"""),"VD030")</f>
        <v>VD030</v>
      </c>
      <c r="C1514" s="2">
        <f>IFERROR(__xludf.DUMMYFUNCTION("""COMPUTED_VALUE"""),16.0)</f>
        <v>16</v>
      </c>
      <c r="D1514" s="2">
        <f>IFERROR(__xludf.DUMMYFUNCTION("""COMPUTED_VALUE"""),1118.4)</f>
        <v>1118.4</v>
      </c>
    </row>
    <row r="1515">
      <c r="A1515" s="2" t="str">
        <f>IFERROR(__xludf.DUMMYFUNCTION("""COMPUTED_VALUE"""),"PR028")</f>
        <v>PR028</v>
      </c>
      <c r="B1515" s="2" t="str">
        <f>IFERROR(__xludf.DUMMYFUNCTION("""COMPUTED_VALUE"""),"VD023")</f>
        <v>VD023</v>
      </c>
      <c r="C1515" s="2">
        <f>IFERROR(__xludf.DUMMYFUNCTION("""COMPUTED_VALUE"""),7.0)</f>
        <v>7</v>
      </c>
      <c r="D1515" s="2">
        <f>IFERROR(__xludf.DUMMYFUNCTION("""COMPUTED_VALUE"""),1819.27)</f>
        <v>1819.27</v>
      </c>
    </row>
    <row r="1516">
      <c r="A1516" s="2" t="str">
        <f>IFERROR(__xludf.DUMMYFUNCTION("""COMPUTED_VALUE"""),"PR042")</f>
        <v>PR042</v>
      </c>
      <c r="B1516" s="2" t="str">
        <f>IFERROR(__xludf.DUMMYFUNCTION("""COMPUTED_VALUE"""),"VD042")</f>
        <v>VD042</v>
      </c>
      <c r="C1516" s="2">
        <f>IFERROR(__xludf.DUMMYFUNCTION("""COMPUTED_VALUE"""),3.0)</f>
        <v>3</v>
      </c>
      <c r="D1516" s="2">
        <f>IFERROR(__xludf.DUMMYFUNCTION("""COMPUTED_VALUE"""),179.52)</f>
        <v>179.52</v>
      </c>
    </row>
    <row r="1517">
      <c r="A1517" s="2" t="str">
        <f>IFERROR(__xludf.DUMMYFUNCTION("""COMPUTED_VALUE"""),"PR016")</f>
        <v>PR016</v>
      </c>
      <c r="B1517" s="2" t="str">
        <f>IFERROR(__xludf.DUMMYFUNCTION("""COMPUTED_VALUE"""),"VD028")</f>
        <v>VD028</v>
      </c>
      <c r="C1517" s="2">
        <f>IFERROR(__xludf.DUMMYFUNCTION("""COMPUTED_VALUE"""),20.0)</f>
        <v>20</v>
      </c>
      <c r="D1517" s="2">
        <f>IFERROR(__xludf.DUMMYFUNCTION("""COMPUTED_VALUE"""),554.26)</f>
        <v>554.26</v>
      </c>
    </row>
    <row r="1518">
      <c r="A1518" s="2" t="str">
        <f>IFERROR(__xludf.DUMMYFUNCTION("""COMPUTED_VALUE"""),"PR029")</f>
        <v>PR029</v>
      </c>
      <c r="B1518" s="2" t="str">
        <f>IFERROR(__xludf.DUMMYFUNCTION("""COMPUTED_VALUE"""),"VD032")</f>
        <v>VD032</v>
      </c>
      <c r="C1518" s="2">
        <f>IFERROR(__xludf.DUMMYFUNCTION("""COMPUTED_VALUE"""),14.0)</f>
        <v>14</v>
      </c>
      <c r="D1518" s="2">
        <f>IFERROR(__xludf.DUMMYFUNCTION("""COMPUTED_VALUE"""),3677.1)</f>
        <v>3677.1</v>
      </c>
    </row>
    <row r="1519">
      <c r="A1519" s="2" t="str">
        <f>IFERROR(__xludf.DUMMYFUNCTION("""COMPUTED_VALUE"""),"PR005")</f>
        <v>PR005</v>
      </c>
      <c r="B1519" s="2" t="str">
        <f>IFERROR(__xludf.DUMMYFUNCTION("""COMPUTED_VALUE"""),"VD043")</f>
        <v>VD043</v>
      </c>
      <c r="C1519" s="2">
        <f>IFERROR(__xludf.DUMMYFUNCTION("""COMPUTED_VALUE"""),6.0)</f>
        <v>6</v>
      </c>
      <c r="D1519" s="2">
        <f>IFERROR(__xludf.DUMMYFUNCTION("""COMPUTED_VALUE"""),1590.59)</f>
        <v>1590.59</v>
      </c>
    </row>
    <row r="1520">
      <c r="A1520" s="2" t="str">
        <f>IFERROR(__xludf.DUMMYFUNCTION("""COMPUTED_VALUE"""),"PR036")</f>
        <v>PR036</v>
      </c>
      <c r="B1520" s="2" t="str">
        <f>IFERROR(__xludf.DUMMYFUNCTION("""COMPUTED_VALUE"""),"VD016")</f>
        <v>VD016</v>
      </c>
      <c r="C1520" s="2">
        <f>IFERROR(__xludf.DUMMYFUNCTION("""COMPUTED_VALUE"""),9.0)</f>
        <v>9</v>
      </c>
      <c r="D1520" s="2">
        <f>IFERROR(__xludf.DUMMYFUNCTION("""COMPUTED_VALUE"""),866.75)</f>
        <v>866.75</v>
      </c>
    </row>
    <row r="1521">
      <c r="A1521" s="2" t="str">
        <f>IFERROR(__xludf.DUMMYFUNCTION("""COMPUTED_VALUE"""),"PR011")</f>
        <v>PR011</v>
      </c>
      <c r="B1521" s="2" t="str">
        <f>IFERROR(__xludf.DUMMYFUNCTION("""COMPUTED_VALUE"""),"VD024")</f>
        <v>VD024</v>
      </c>
      <c r="C1521" s="2">
        <f>IFERROR(__xludf.DUMMYFUNCTION("""COMPUTED_VALUE"""),8.0)</f>
        <v>8</v>
      </c>
      <c r="D1521" s="2">
        <f>IFERROR(__xludf.DUMMYFUNCTION("""COMPUTED_VALUE"""),390.21)</f>
        <v>390.21</v>
      </c>
    </row>
    <row r="1522">
      <c r="A1522" s="2" t="str">
        <f>IFERROR(__xludf.DUMMYFUNCTION("""COMPUTED_VALUE"""),"PR042")</f>
        <v>PR042</v>
      </c>
      <c r="B1522" s="2" t="str">
        <f>IFERROR(__xludf.DUMMYFUNCTION("""COMPUTED_VALUE"""),"VD029")</f>
        <v>VD029</v>
      </c>
      <c r="C1522" s="2">
        <f>IFERROR(__xludf.DUMMYFUNCTION("""COMPUTED_VALUE"""),7.0)</f>
        <v>7</v>
      </c>
      <c r="D1522" s="2">
        <f>IFERROR(__xludf.DUMMYFUNCTION("""COMPUTED_VALUE"""),391.99)</f>
        <v>391.99</v>
      </c>
    </row>
    <row r="1523">
      <c r="A1523" s="2" t="str">
        <f>IFERROR(__xludf.DUMMYFUNCTION("""COMPUTED_VALUE"""),"PR024")</f>
        <v>PR024</v>
      </c>
      <c r="B1523" s="2" t="str">
        <f>IFERROR(__xludf.DUMMYFUNCTION("""COMPUTED_VALUE"""),"VD036")</f>
        <v>VD036</v>
      </c>
      <c r="C1523" s="2">
        <f>IFERROR(__xludf.DUMMYFUNCTION("""COMPUTED_VALUE"""),5.0)</f>
        <v>5</v>
      </c>
      <c r="D1523" s="2">
        <f>IFERROR(__xludf.DUMMYFUNCTION("""COMPUTED_VALUE"""),1377.47)</f>
        <v>1377.47</v>
      </c>
    </row>
    <row r="1524">
      <c r="A1524" s="2" t="str">
        <f>IFERROR(__xludf.DUMMYFUNCTION("""COMPUTED_VALUE"""),"PR055")</f>
        <v>PR055</v>
      </c>
      <c r="B1524" s="2" t="str">
        <f>IFERROR(__xludf.DUMMYFUNCTION("""COMPUTED_VALUE"""),"VD042")</f>
        <v>VD042</v>
      </c>
      <c r="C1524" s="2">
        <f>IFERROR(__xludf.DUMMYFUNCTION("""COMPUTED_VALUE"""),10.0)</f>
        <v>10</v>
      </c>
      <c r="D1524" s="2">
        <f>IFERROR(__xludf.DUMMYFUNCTION("""COMPUTED_VALUE"""),899.0)</f>
        <v>899</v>
      </c>
    </row>
    <row r="1525">
      <c r="A1525" s="2" t="str">
        <f>IFERROR(__xludf.DUMMYFUNCTION("""COMPUTED_VALUE"""),"PR031")</f>
        <v>PR031</v>
      </c>
      <c r="B1525" s="2" t="str">
        <f>IFERROR(__xludf.DUMMYFUNCTION("""COMPUTED_VALUE"""),"VD039")</f>
        <v>VD039</v>
      </c>
      <c r="C1525" s="2">
        <f>IFERROR(__xludf.DUMMYFUNCTION("""COMPUTED_VALUE"""),7.0)</f>
        <v>7</v>
      </c>
      <c r="D1525" s="2">
        <f>IFERROR(__xludf.DUMMYFUNCTION("""COMPUTED_VALUE"""),1835.05)</f>
        <v>1835.05</v>
      </c>
    </row>
    <row r="1526">
      <c r="A1526" s="2" t="str">
        <f>IFERROR(__xludf.DUMMYFUNCTION("""COMPUTED_VALUE"""),"PR051")</f>
        <v>PR051</v>
      </c>
      <c r="B1526" s="2" t="str">
        <f>IFERROR(__xludf.DUMMYFUNCTION("""COMPUTED_VALUE"""),"VD011")</f>
        <v>VD011</v>
      </c>
      <c r="C1526" s="2">
        <f>IFERROR(__xludf.DUMMYFUNCTION("""COMPUTED_VALUE"""),4.0)</f>
        <v>4</v>
      </c>
      <c r="D1526" s="2">
        <f>IFERROR(__xludf.DUMMYFUNCTION("""COMPUTED_VALUE"""),131.6)</f>
        <v>131.6</v>
      </c>
    </row>
    <row r="1527">
      <c r="A1527" s="2" t="str">
        <f>IFERROR(__xludf.DUMMYFUNCTION("""COMPUTED_VALUE"""),"PR007")</f>
        <v>PR007</v>
      </c>
      <c r="B1527" s="2" t="str">
        <f>IFERROR(__xludf.DUMMYFUNCTION("""COMPUTED_VALUE"""),"VD021")</f>
        <v>VD021</v>
      </c>
      <c r="C1527" s="2">
        <f>IFERROR(__xludf.DUMMYFUNCTION("""COMPUTED_VALUE"""),2.0)</f>
        <v>2</v>
      </c>
      <c r="D1527" s="2">
        <f>IFERROR(__xludf.DUMMYFUNCTION("""COMPUTED_VALUE"""),171.8)</f>
        <v>171.8</v>
      </c>
    </row>
    <row r="1528">
      <c r="A1528" s="2" t="str">
        <f>IFERROR(__xludf.DUMMYFUNCTION("""COMPUTED_VALUE"""),"PR018")</f>
        <v>PR018</v>
      </c>
      <c r="B1528" s="2" t="str">
        <f>IFERROR(__xludf.DUMMYFUNCTION("""COMPUTED_VALUE"""),"VD016")</f>
        <v>VD016</v>
      </c>
      <c r="C1528" s="2">
        <f>IFERROR(__xludf.DUMMYFUNCTION("""COMPUTED_VALUE"""),8.0)</f>
        <v>8</v>
      </c>
      <c r="D1528" s="2">
        <f>IFERROR(__xludf.DUMMYFUNCTION("""COMPUTED_VALUE"""),286.89)</f>
        <v>286.89</v>
      </c>
    </row>
    <row r="1529">
      <c r="A1529" s="2" t="str">
        <f>IFERROR(__xludf.DUMMYFUNCTION("""COMPUTED_VALUE"""),"PR014")</f>
        <v>PR014</v>
      </c>
      <c r="B1529" s="2" t="str">
        <f>IFERROR(__xludf.DUMMYFUNCTION("""COMPUTED_VALUE"""),"VD045")</f>
        <v>VD045</v>
      </c>
      <c r="C1529" s="2">
        <f>IFERROR(__xludf.DUMMYFUNCTION("""COMPUTED_VALUE"""),3.0)</f>
        <v>3</v>
      </c>
      <c r="D1529" s="2">
        <f>IFERROR(__xludf.DUMMYFUNCTION("""COMPUTED_VALUE"""),129.28)</f>
        <v>129.28</v>
      </c>
    </row>
    <row r="1530">
      <c r="A1530" s="2" t="str">
        <f>IFERROR(__xludf.DUMMYFUNCTION("""COMPUTED_VALUE"""),"PR024")</f>
        <v>PR024</v>
      </c>
      <c r="B1530" s="2" t="str">
        <f>IFERROR(__xludf.DUMMYFUNCTION("""COMPUTED_VALUE"""),"VD041")</f>
        <v>VD041</v>
      </c>
      <c r="C1530" s="2">
        <f>IFERROR(__xludf.DUMMYFUNCTION("""COMPUTED_VALUE"""),10.0)</f>
        <v>10</v>
      </c>
      <c r="D1530" s="2">
        <f>IFERROR(__xludf.DUMMYFUNCTION("""COMPUTED_VALUE"""),2754.94)</f>
        <v>2754.94</v>
      </c>
    </row>
    <row r="1531">
      <c r="A1531" s="2" t="str">
        <f>IFERROR(__xludf.DUMMYFUNCTION("""COMPUTED_VALUE"""),"PR031")</f>
        <v>PR031</v>
      </c>
      <c r="B1531" s="2" t="str">
        <f>IFERROR(__xludf.DUMMYFUNCTION("""COMPUTED_VALUE"""),"VD049")</f>
        <v>VD049</v>
      </c>
      <c r="C1531" s="2">
        <f>IFERROR(__xludf.DUMMYFUNCTION("""COMPUTED_VALUE"""),10.0)</f>
        <v>10</v>
      </c>
      <c r="D1531" s="2">
        <f>IFERROR(__xludf.DUMMYFUNCTION("""COMPUTED_VALUE"""),2646.0)</f>
        <v>2646</v>
      </c>
    </row>
    <row r="1532">
      <c r="A1532" s="2" t="str">
        <f>IFERROR(__xludf.DUMMYFUNCTION("""COMPUTED_VALUE"""),"PR021")</f>
        <v>PR021</v>
      </c>
      <c r="B1532" s="2" t="str">
        <f>IFERROR(__xludf.DUMMYFUNCTION("""COMPUTED_VALUE"""),"VD021")</f>
        <v>VD021</v>
      </c>
      <c r="C1532" s="2">
        <f>IFERROR(__xludf.DUMMYFUNCTION("""COMPUTED_VALUE"""),2.0)</f>
        <v>2</v>
      </c>
      <c r="D1532" s="2">
        <f>IFERROR(__xludf.DUMMYFUNCTION("""COMPUTED_VALUE"""),623.97)</f>
        <v>623.97</v>
      </c>
    </row>
    <row r="1533">
      <c r="A1533" s="2" t="str">
        <f>IFERROR(__xludf.DUMMYFUNCTION("""COMPUTED_VALUE"""),"PR012")</f>
        <v>PR012</v>
      </c>
      <c r="B1533" s="2" t="str">
        <f>IFERROR(__xludf.DUMMYFUNCTION("""COMPUTED_VALUE"""),"VD046")</f>
        <v>VD046</v>
      </c>
      <c r="C1533" s="2">
        <f>IFERROR(__xludf.DUMMYFUNCTION("""COMPUTED_VALUE"""),4.0)</f>
        <v>4</v>
      </c>
      <c r="D1533" s="2">
        <f>IFERROR(__xludf.DUMMYFUNCTION("""COMPUTED_VALUE"""),215.16)</f>
        <v>215.16</v>
      </c>
    </row>
    <row r="1534">
      <c r="A1534" s="2" t="str">
        <f>IFERROR(__xludf.DUMMYFUNCTION("""COMPUTED_VALUE"""),"PR037")</f>
        <v>PR037</v>
      </c>
      <c r="B1534" s="2" t="str">
        <f>IFERROR(__xludf.DUMMYFUNCTION("""COMPUTED_VALUE"""),"VD027")</f>
        <v>VD027</v>
      </c>
      <c r="C1534" s="2">
        <f>IFERROR(__xludf.DUMMYFUNCTION("""COMPUTED_VALUE"""),10.0)</f>
        <v>10</v>
      </c>
      <c r="D1534" s="2">
        <f>IFERROR(__xludf.DUMMYFUNCTION("""COMPUTED_VALUE"""),1442.0)</f>
        <v>1442</v>
      </c>
    </row>
    <row r="1535">
      <c r="A1535" s="2" t="str">
        <f>IFERROR(__xludf.DUMMYFUNCTION("""COMPUTED_VALUE"""),"PR051")</f>
        <v>PR051</v>
      </c>
      <c r="B1535" s="2" t="str">
        <f>IFERROR(__xludf.DUMMYFUNCTION("""COMPUTED_VALUE"""),"VD017")</f>
        <v>VD017</v>
      </c>
      <c r="C1535" s="2">
        <f>IFERROR(__xludf.DUMMYFUNCTION("""COMPUTED_VALUE"""),8.0)</f>
        <v>8</v>
      </c>
      <c r="D1535" s="2">
        <f>IFERROR(__xludf.DUMMYFUNCTION("""COMPUTED_VALUE"""),276.36)</f>
        <v>276.36</v>
      </c>
    </row>
    <row r="1536">
      <c r="A1536" s="2" t="str">
        <f>IFERROR(__xludf.DUMMYFUNCTION("""COMPUTED_VALUE"""),"PR016")</f>
        <v>PR016</v>
      </c>
      <c r="B1536" s="2" t="str">
        <f>IFERROR(__xludf.DUMMYFUNCTION("""COMPUTED_VALUE"""),"VD033")</f>
        <v>VD033</v>
      </c>
      <c r="C1536" s="2">
        <f>IFERROR(__xludf.DUMMYFUNCTION("""COMPUTED_VALUE"""),14.0)</f>
        <v>14</v>
      </c>
      <c r="D1536" s="2">
        <f>IFERROR(__xludf.DUMMYFUNCTION("""COMPUTED_VALUE"""),362.6)</f>
        <v>362.6</v>
      </c>
    </row>
    <row r="1537">
      <c r="A1537" s="2" t="str">
        <f>IFERROR(__xludf.DUMMYFUNCTION("""COMPUTED_VALUE"""),"PR019")</f>
        <v>PR019</v>
      </c>
      <c r="B1537" s="2" t="str">
        <f>IFERROR(__xludf.DUMMYFUNCTION("""COMPUTED_VALUE"""),"VD031")</f>
        <v>VD031</v>
      </c>
      <c r="C1537" s="2">
        <f>IFERROR(__xludf.DUMMYFUNCTION("""COMPUTED_VALUE"""),20.0)</f>
        <v>20</v>
      </c>
      <c r="D1537" s="2">
        <f>IFERROR(__xludf.DUMMYFUNCTION("""COMPUTED_VALUE"""),1097.8)</f>
        <v>1097.8</v>
      </c>
    </row>
    <row r="1538">
      <c r="A1538" s="2" t="str">
        <f>IFERROR(__xludf.DUMMYFUNCTION("""COMPUTED_VALUE"""),"PR018")</f>
        <v>PR018</v>
      </c>
      <c r="B1538" s="2" t="str">
        <f>IFERROR(__xludf.DUMMYFUNCTION("""COMPUTED_VALUE"""),"VD029")</f>
        <v>VD029</v>
      </c>
      <c r="C1538" s="2">
        <f>IFERROR(__xludf.DUMMYFUNCTION("""COMPUTED_VALUE"""),6.0)</f>
        <v>6</v>
      </c>
      <c r="D1538" s="2">
        <f>IFERROR(__xludf.DUMMYFUNCTION("""COMPUTED_VALUE"""),217.14)</f>
        <v>217.14</v>
      </c>
    </row>
    <row r="1539">
      <c r="A1539" s="2" t="str">
        <f>IFERROR(__xludf.DUMMYFUNCTION("""COMPUTED_VALUE"""),"PR045")</f>
        <v>PR045</v>
      </c>
      <c r="B1539" s="2" t="str">
        <f>IFERROR(__xludf.DUMMYFUNCTION("""COMPUTED_VALUE"""),"VD021")</f>
        <v>VD021</v>
      </c>
      <c r="C1539" s="2">
        <f>IFERROR(__xludf.DUMMYFUNCTION("""COMPUTED_VALUE"""),20.0)</f>
        <v>20</v>
      </c>
      <c r="D1539" s="2">
        <f>IFERROR(__xludf.DUMMYFUNCTION("""COMPUTED_VALUE"""),1479.0)</f>
        <v>1479</v>
      </c>
    </row>
    <row r="1540">
      <c r="A1540" s="2" t="str">
        <f>IFERROR(__xludf.DUMMYFUNCTION("""COMPUTED_VALUE"""),"PR020")</f>
        <v>PR020</v>
      </c>
      <c r="B1540" s="2" t="str">
        <f>IFERROR(__xludf.DUMMYFUNCTION("""COMPUTED_VALUE"""),"VD013")</f>
        <v>VD013</v>
      </c>
      <c r="C1540" s="2">
        <f>IFERROR(__xludf.DUMMYFUNCTION("""COMPUTED_VALUE"""),12.0)</f>
        <v>12</v>
      </c>
      <c r="D1540" s="2">
        <f>IFERROR(__xludf.DUMMYFUNCTION("""COMPUTED_VALUE"""),3598.8)</f>
        <v>3598.8</v>
      </c>
    </row>
    <row r="1541">
      <c r="A1541" s="2" t="str">
        <f>IFERROR(__xludf.DUMMYFUNCTION("""COMPUTED_VALUE"""),"PR049")</f>
        <v>PR049</v>
      </c>
      <c r="B1541" s="2" t="str">
        <f>IFERROR(__xludf.DUMMYFUNCTION("""COMPUTED_VALUE"""),"VD022")</f>
        <v>VD022</v>
      </c>
      <c r="C1541" s="2">
        <f>IFERROR(__xludf.DUMMYFUNCTION("""COMPUTED_VALUE"""),14.0)</f>
        <v>14</v>
      </c>
      <c r="D1541" s="2">
        <f>IFERROR(__xludf.DUMMYFUNCTION("""COMPUTED_VALUE"""),483.63)</f>
        <v>483.63</v>
      </c>
    </row>
    <row r="1542">
      <c r="A1542" s="2" t="str">
        <f>IFERROR(__xludf.DUMMYFUNCTION("""COMPUTED_VALUE"""),"PR048")</f>
        <v>PR048</v>
      </c>
      <c r="B1542" s="2" t="str">
        <f>IFERROR(__xludf.DUMMYFUNCTION("""COMPUTED_VALUE"""),"VD026")</f>
        <v>VD026</v>
      </c>
      <c r="C1542" s="2">
        <f>IFERROR(__xludf.DUMMYFUNCTION("""COMPUTED_VALUE"""),1.0)</f>
        <v>1</v>
      </c>
      <c r="D1542" s="2">
        <f>IFERROR(__xludf.DUMMYFUNCTION("""COMPUTED_VALUE"""),304.4)</f>
        <v>304.4</v>
      </c>
    </row>
    <row r="1543">
      <c r="A1543" s="2" t="str">
        <f>IFERROR(__xludf.DUMMYFUNCTION("""COMPUTED_VALUE"""),"PR060")</f>
        <v>PR060</v>
      </c>
      <c r="B1543" s="2" t="str">
        <f>IFERROR(__xludf.DUMMYFUNCTION("""COMPUTED_VALUE"""),"VD033")</f>
        <v>VD033</v>
      </c>
      <c r="C1543" s="2">
        <f>IFERROR(__xludf.DUMMYFUNCTION("""COMPUTED_VALUE"""),8.0)</f>
        <v>8</v>
      </c>
      <c r="D1543" s="2">
        <f>IFERROR(__xludf.DUMMYFUNCTION("""COMPUTED_VALUE"""),1526.4)</f>
        <v>1526.4</v>
      </c>
    </row>
    <row r="1544">
      <c r="A1544" s="2" t="str">
        <f>IFERROR(__xludf.DUMMYFUNCTION("""COMPUTED_VALUE"""),"PR021")</f>
        <v>PR021</v>
      </c>
      <c r="B1544" s="2" t="str">
        <f>IFERROR(__xludf.DUMMYFUNCTION("""COMPUTED_VALUE"""),"VD016")</f>
        <v>VD016</v>
      </c>
      <c r="C1544" s="2">
        <f>IFERROR(__xludf.DUMMYFUNCTION("""COMPUTED_VALUE"""),18.0)</f>
        <v>18</v>
      </c>
      <c r="D1544" s="2">
        <f>IFERROR(__xludf.DUMMYFUNCTION("""COMPUTED_VALUE"""),5561.24)</f>
        <v>5561.24</v>
      </c>
    </row>
    <row r="1545">
      <c r="A1545" s="2" t="str">
        <f>IFERROR(__xludf.DUMMYFUNCTION("""COMPUTED_VALUE"""),"PR035")</f>
        <v>PR035</v>
      </c>
      <c r="B1545" s="2" t="str">
        <f>IFERROR(__xludf.DUMMYFUNCTION("""COMPUTED_VALUE"""),"VD049")</f>
        <v>VD049</v>
      </c>
      <c r="C1545" s="2">
        <f>IFERROR(__xludf.DUMMYFUNCTION("""COMPUTED_VALUE"""),16.0)</f>
        <v>16</v>
      </c>
      <c r="D1545" s="2">
        <f>IFERROR(__xludf.DUMMYFUNCTION("""COMPUTED_VALUE"""),1564.77)</f>
        <v>1564.77</v>
      </c>
    </row>
    <row r="1546">
      <c r="A1546" s="2" t="str">
        <f>IFERROR(__xludf.DUMMYFUNCTION("""COMPUTED_VALUE"""),"PR012")</f>
        <v>PR012</v>
      </c>
      <c r="B1546" s="2" t="str">
        <f>IFERROR(__xludf.DUMMYFUNCTION("""COMPUTED_VALUE"""),"VD036")</f>
        <v>VD036</v>
      </c>
      <c r="C1546" s="2">
        <f>IFERROR(__xludf.DUMMYFUNCTION("""COMPUTED_VALUE"""),2.0)</f>
        <v>2</v>
      </c>
      <c r="D1546" s="2">
        <f>IFERROR(__xludf.DUMMYFUNCTION("""COMPUTED_VALUE"""),98.78)</f>
        <v>98.78</v>
      </c>
    </row>
    <row r="1547">
      <c r="A1547" s="2" t="str">
        <f>IFERROR(__xludf.DUMMYFUNCTION("""COMPUTED_VALUE"""),"PR018")</f>
        <v>PR018</v>
      </c>
      <c r="B1547" s="2" t="str">
        <f>IFERROR(__xludf.DUMMYFUNCTION("""COMPUTED_VALUE"""),"VD046")</f>
        <v>VD046</v>
      </c>
      <c r="C1547" s="2">
        <f>IFERROR(__xludf.DUMMYFUNCTION("""COMPUTED_VALUE"""),2.0)</f>
        <v>2</v>
      </c>
      <c r="D1547" s="2">
        <f>IFERROR(__xludf.DUMMYFUNCTION("""COMPUTED_VALUE"""),66.46)</f>
        <v>66.46</v>
      </c>
    </row>
    <row r="1548">
      <c r="A1548" s="2" t="str">
        <f>IFERROR(__xludf.DUMMYFUNCTION("""COMPUTED_VALUE"""),"PR057")</f>
        <v>PR057</v>
      </c>
      <c r="B1548" s="2" t="str">
        <f>IFERROR(__xludf.DUMMYFUNCTION("""COMPUTED_VALUE"""),"VD042")</f>
        <v>VD042</v>
      </c>
      <c r="C1548" s="2">
        <f>IFERROR(__xludf.DUMMYFUNCTION("""COMPUTED_VALUE"""),6.0)</f>
        <v>6</v>
      </c>
      <c r="D1548" s="2">
        <f>IFERROR(__xludf.DUMMYFUNCTION("""COMPUTED_VALUE"""),577.16)</f>
        <v>577.16</v>
      </c>
    </row>
    <row r="1549">
      <c r="A1549" s="2" t="str">
        <f>IFERROR(__xludf.DUMMYFUNCTION("""COMPUTED_VALUE"""),"PR018")</f>
        <v>PR018</v>
      </c>
      <c r="B1549" s="2" t="str">
        <f>IFERROR(__xludf.DUMMYFUNCTION("""COMPUTED_VALUE"""),"VD046")</f>
        <v>VD046</v>
      </c>
      <c r="C1549" s="2">
        <f>IFERROR(__xludf.DUMMYFUNCTION("""COMPUTED_VALUE"""),2.0)</f>
        <v>2</v>
      </c>
      <c r="D1549" s="2">
        <f>IFERROR(__xludf.DUMMYFUNCTION("""COMPUTED_VALUE"""),71.06)</f>
        <v>71.06</v>
      </c>
    </row>
    <row r="1550">
      <c r="A1550" s="2" t="str">
        <f>IFERROR(__xludf.DUMMYFUNCTION("""COMPUTED_VALUE"""),"PR053")</f>
        <v>PR053</v>
      </c>
      <c r="B1550" s="2" t="str">
        <f>IFERROR(__xludf.DUMMYFUNCTION("""COMPUTED_VALUE"""),"VD039")</f>
        <v>VD039</v>
      </c>
      <c r="C1550" s="2">
        <f>IFERROR(__xludf.DUMMYFUNCTION("""COMPUTED_VALUE"""),14.0)</f>
        <v>14</v>
      </c>
      <c r="D1550" s="2">
        <f>IFERROR(__xludf.DUMMYFUNCTION("""COMPUTED_VALUE"""),761.47)</f>
        <v>761.47</v>
      </c>
    </row>
    <row r="1551">
      <c r="A1551" s="2" t="str">
        <f>IFERROR(__xludf.DUMMYFUNCTION("""COMPUTED_VALUE"""),"PR053")</f>
        <v>PR053</v>
      </c>
      <c r="B1551" s="2" t="str">
        <f>IFERROR(__xludf.DUMMYFUNCTION("""COMPUTED_VALUE"""),"VD029")</f>
        <v>VD029</v>
      </c>
      <c r="C1551" s="2">
        <f>IFERROR(__xludf.DUMMYFUNCTION("""COMPUTED_VALUE"""),9.0)</f>
        <v>9</v>
      </c>
      <c r="D1551" s="2">
        <f>IFERROR(__xludf.DUMMYFUNCTION("""COMPUTED_VALUE"""),480.54)</f>
        <v>480.54</v>
      </c>
    </row>
    <row r="1552">
      <c r="A1552" s="2" t="str">
        <f>IFERROR(__xludf.DUMMYFUNCTION("""COMPUTED_VALUE"""),"PR004")</f>
        <v>PR004</v>
      </c>
      <c r="B1552" s="2" t="str">
        <f>IFERROR(__xludf.DUMMYFUNCTION("""COMPUTED_VALUE"""),"VD049")</f>
        <v>VD049</v>
      </c>
      <c r="C1552" s="2">
        <f>IFERROR(__xludf.DUMMYFUNCTION("""COMPUTED_VALUE"""),2.0)</f>
        <v>2</v>
      </c>
      <c r="D1552" s="2">
        <f>IFERROR(__xludf.DUMMYFUNCTION("""COMPUTED_VALUE"""),307.4)</f>
        <v>307.4</v>
      </c>
    </row>
    <row r="1553">
      <c r="A1553" s="2" t="str">
        <f>IFERROR(__xludf.DUMMYFUNCTION("""COMPUTED_VALUE"""),"PR005")</f>
        <v>PR005</v>
      </c>
      <c r="B1553" s="2" t="str">
        <f>IFERROR(__xludf.DUMMYFUNCTION("""COMPUTED_VALUE"""),"VD036")</f>
        <v>VD036</v>
      </c>
      <c r="C1553" s="2">
        <f>IFERROR(__xludf.DUMMYFUNCTION("""COMPUTED_VALUE"""),4.0)</f>
        <v>4</v>
      </c>
      <c r="D1553" s="2">
        <f>IFERROR(__xludf.DUMMYFUNCTION("""COMPUTED_VALUE"""),1050.0)</f>
        <v>1050</v>
      </c>
    </row>
    <row r="1554">
      <c r="A1554" s="2" t="str">
        <f>IFERROR(__xludf.DUMMYFUNCTION("""COMPUTED_VALUE"""),"PR030")</f>
        <v>PR030</v>
      </c>
      <c r="B1554" s="2" t="str">
        <f>IFERROR(__xludf.DUMMYFUNCTION("""COMPUTED_VALUE"""),"VD018")</f>
        <v>VD018</v>
      </c>
      <c r="C1554" s="2">
        <f>IFERROR(__xludf.DUMMYFUNCTION("""COMPUTED_VALUE"""),5.0)</f>
        <v>5</v>
      </c>
      <c r="D1554" s="2">
        <f>IFERROR(__xludf.DUMMYFUNCTION("""COMPUTED_VALUE"""),1403.46)</f>
        <v>1403.46</v>
      </c>
    </row>
    <row r="1555">
      <c r="A1555" s="2" t="str">
        <f>IFERROR(__xludf.DUMMYFUNCTION("""COMPUTED_VALUE"""),"PR013")</f>
        <v>PR013</v>
      </c>
      <c r="B1555" s="2" t="str">
        <f>IFERROR(__xludf.DUMMYFUNCTION("""COMPUTED_VALUE"""),"VD015")</f>
        <v>VD015</v>
      </c>
      <c r="C1555" s="2">
        <f>IFERROR(__xludf.DUMMYFUNCTION("""COMPUTED_VALUE"""),6.0)</f>
        <v>6</v>
      </c>
      <c r="D1555" s="2">
        <f>IFERROR(__xludf.DUMMYFUNCTION("""COMPUTED_VALUE"""),258.55)</f>
        <v>258.55</v>
      </c>
    </row>
    <row r="1556">
      <c r="A1556" s="2" t="str">
        <f>IFERROR(__xludf.DUMMYFUNCTION("""COMPUTED_VALUE"""),"PR007")</f>
        <v>PR007</v>
      </c>
      <c r="B1556" s="2" t="str">
        <f>IFERROR(__xludf.DUMMYFUNCTION("""COMPUTED_VALUE"""),"VD029")</f>
        <v>VD029</v>
      </c>
      <c r="C1556" s="2">
        <f>IFERROR(__xludf.DUMMYFUNCTION("""COMPUTED_VALUE"""),9.0)</f>
        <v>9</v>
      </c>
      <c r="D1556" s="2">
        <f>IFERROR(__xludf.DUMMYFUNCTION("""COMPUTED_VALUE"""),811.76)</f>
        <v>811.76</v>
      </c>
    </row>
    <row r="1557">
      <c r="A1557" s="2" t="str">
        <f>IFERROR(__xludf.DUMMYFUNCTION("""COMPUTED_VALUE"""),"PR035")</f>
        <v>PR035</v>
      </c>
      <c r="B1557" s="2" t="str">
        <f>IFERROR(__xludf.DUMMYFUNCTION("""COMPUTED_VALUE"""),"VD040")</f>
        <v>VD040</v>
      </c>
      <c r="C1557" s="2">
        <f>IFERROR(__xludf.DUMMYFUNCTION("""COMPUTED_VALUE"""),3.0)</f>
        <v>3</v>
      </c>
      <c r="D1557" s="2">
        <f>IFERROR(__xludf.DUMMYFUNCTION("""COMPUTED_VALUE"""),279.68)</f>
        <v>279.68</v>
      </c>
    </row>
    <row r="1558">
      <c r="A1558" s="2" t="str">
        <f>IFERROR(__xludf.DUMMYFUNCTION("""COMPUTED_VALUE"""),"PR030")</f>
        <v>PR030</v>
      </c>
      <c r="B1558" s="2" t="str">
        <f>IFERROR(__xludf.DUMMYFUNCTION("""COMPUTED_VALUE"""),"VD010")</f>
        <v>VD010</v>
      </c>
      <c r="C1558" s="2">
        <f>IFERROR(__xludf.DUMMYFUNCTION("""COMPUTED_VALUE"""),20.0)</f>
        <v>20</v>
      </c>
      <c r="D1558" s="2">
        <f>IFERROR(__xludf.DUMMYFUNCTION("""COMPUTED_VALUE"""),5301.96)</f>
        <v>5301.96</v>
      </c>
    </row>
    <row r="1559">
      <c r="A1559" s="2" t="str">
        <f>IFERROR(__xludf.DUMMYFUNCTION("""COMPUTED_VALUE"""),"PR018")</f>
        <v>PR018</v>
      </c>
      <c r="B1559" s="2" t="str">
        <f>IFERROR(__xludf.DUMMYFUNCTION("""COMPUTED_VALUE"""),"VD046")</f>
        <v>VD046</v>
      </c>
      <c r="C1559" s="2">
        <f>IFERROR(__xludf.DUMMYFUNCTION("""COMPUTED_VALUE"""),14.0)</f>
        <v>14</v>
      </c>
      <c r="D1559" s="2">
        <f>IFERROR(__xludf.DUMMYFUNCTION("""COMPUTED_VALUE"""),474.42)</f>
        <v>474.42</v>
      </c>
    </row>
    <row r="1560">
      <c r="A1560" s="2" t="str">
        <f>IFERROR(__xludf.DUMMYFUNCTION("""COMPUTED_VALUE"""),"PR016")</f>
        <v>PR016</v>
      </c>
      <c r="B1560" s="2" t="str">
        <f>IFERROR(__xludf.DUMMYFUNCTION("""COMPUTED_VALUE"""),"VD044")</f>
        <v>VD044</v>
      </c>
      <c r="C1560" s="2">
        <f>IFERROR(__xludf.DUMMYFUNCTION("""COMPUTED_VALUE"""),16.0)</f>
        <v>16</v>
      </c>
      <c r="D1560" s="2">
        <f>IFERROR(__xludf.DUMMYFUNCTION("""COMPUTED_VALUE"""),430.98)</f>
        <v>430.98</v>
      </c>
    </row>
    <row r="1561">
      <c r="A1561" s="2" t="str">
        <f>IFERROR(__xludf.DUMMYFUNCTION("""COMPUTED_VALUE"""),"PR030")</f>
        <v>PR030</v>
      </c>
      <c r="B1561" s="2" t="str">
        <f>IFERROR(__xludf.DUMMYFUNCTION("""COMPUTED_VALUE"""),"VD032")</f>
        <v>VD032</v>
      </c>
      <c r="C1561" s="2">
        <f>IFERROR(__xludf.DUMMYFUNCTION("""COMPUTED_VALUE"""),16.0)</f>
        <v>16</v>
      </c>
      <c r="D1561" s="2">
        <f>IFERROR(__xludf.DUMMYFUNCTION("""COMPUTED_VALUE"""),4574.24)</f>
        <v>4574.24</v>
      </c>
    </row>
    <row r="1562">
      <c r="A1562" s="2" t="str">
        <f>IFERROR(__xludf.DUMMYFUNCTION("""COMPUTED_VALUE"""),"PR056")</f>
        <v>PR056</v>
      </c>
      <c r="B1562" s="2" t="str">
        <f>IFERROR(__xludf.DUMMYFUNCTION("""COMPUTED_VALUE"""),"VD018")</f>
        <v>VD018</v>
      </c>
      <c r="C1562" s="2">
        <f>IFERROR(__xludf.DUMMYFUNCTION("""COMPUTED_VALUE"""),20.0)</f>
        <v>20</v>
      </c>
      <c r="D1562" s="2">
        <f>IFERROR(__xludf.DUMMYFUNCTION("""COMPUTED_VALUE"""),1833.96)</f>
        <v>1833.96</v>
      </c>
    </row>
    <row r="1563">
      <c r="A1563" s="2" t="str">
        <f>IFERROR(__xludf.DUMMYFUNCTION("""COMPUTED_VALUE"""),"PR037")</f>
        <v>PR037</v>
      </c>
      <c r="B1563" s="2" t="str">
        <f>IFERROR(__xludf.DUMMYFUNCTION("""COMPUTED_VALUE"""),"VD048")</f>
        <v>VD048</v>
      </c>
      <c r="C1563" s="2">
        <f>IFERROR(__xludf.DUMMYFUNCTION("""COMPUTED_VALUE"""),12.0)</f>
        <v>12</v>
      </c>
      <c r="D1563" s="2">
        <f>IFERROR(__xludf.DUMMYFUNCTION("""COMPUTED_VALUE"""),1764.0)</f>
        <v>1764</v>
      </c>
    </row>
    <row r="1564">
      <c r="A1564" s="2" t="str">
        <f>IFERROR(__xludf.DUMMYFUNCTION("""COMPUTED_VALUE"""),"PR031")</f>
        <v>PR031</v>
      </c>
      <c r="B1564" s="2" t="str">
        <f>IFERROR(__xludf.DUMMYFUNCTION("""COMPUTED_VALUE"""),"VD032")</f>
        <v>VD032</v>
      </c>
      <c r="C1564" s="2">
        <f>IFERROR(__xludf.DUMMYFUNCTION("""COMPUTED_VALUE"""),14.0)</f>
        <v>14</v>
      </c>
      <c r="D1564" s="2">
        <f>IFERROR(__xludf.DUMMYFUNCTION("""COMPUTED_VALUE"""),3430.0)</f>
        <v>3430</v>
      </c>
    </row>
    <row r="1565">
      <c r="A1565" s="2" t="str">
        <f>IFERROR(__xludf.DUMMYFUNCTION("""COMPUTED_VALUE"""),"PR016")</f>
        <v>PR016</v>
      </c>
      <c r="B1565" s="2" t="str">
        <f>IFERROR(__xludf.DUMMYFUNCTION("""COMPUTED_VALUE"""),"VD027")</f>
        <v>VD027</v>
      </c>
      <c r="C1565" s="2">
        <f>IFERROR(__xludf.DUMMYFUNCTION("""COMPUTED_VALUE"""),6.0)</f>
        <v>6</v>
      </c>
      <c r="D1565" s="2">
        <f>IFERROR(__xludf.DUMMYFUNCTION("""COMPUTED_VALUE"""),170.94)</f>
        <v>170.94</v>
      </c>
    </row>
    <row r="1566">
      <c r="A1566" s="2" t="str">
        <f>IFERROR(__xludf.DUMMYFUNCTION("""COMPUTED_VALUE"""),"PR054")</f>
        <v>PR054</v>
      </c>
      <c r="B1566" s="2" t="str">
        <f>IFERROR(__xludf.DUMMYFUNCTION("""COMPUTED_VALUE"""),"VD032")</f>
        <v>VD032</v>
      </c>
      <c r="C1566" s="2">
        <f>IFERROR(__xludf.DUMMYFUNCTION("""COMPUTED_VALUE"""),6.0)</f>
        <v>6</v>
      </c>
      <c r="D1566" s="2">
        <f>IFERROR(__xludf.DUMMYFUNCTION("""COMPUTED_VALUE"""),329.34)</f>
        <v>329.34</v>
      </c>
    </row>
    <row r="1567">
      <c r="A1567" s="2" t="str">
        <f>IFERROR(__xludf.DUMMYFUNCTION("""COMPUTED_VALUE"""),"PR035")</f>
        <v>PR035</v>
      </c>
      <c r="B1567" s="2" t="str">
        <f>IFERROR(__xludf.DUMMYFUNCTION("""COMPUTED_VALUE"""),"VD038")</f>
        <v>VD038</v>
      </c>
      <c r="C1567" s="2">
        <f>IFERROR(__xludf.DUMMYFUNCTION("""COMPUTED_VALUE"""),2.0)</f>
        <v>2</v>
      </c>
      <c r="D1567" s="2">
        <f>IFERROR(__xludf.DUMMYFUNCTION("""COMPUTED_VALUE"""),190.11)</f>
        <v>190.11</v>
      </c>
    </row>
    <row r="1568">
      <c r="A1568" s="2" t="str">
        <f>IFERROR(__xludf.DUMMYFUNCTION("""COMPUTED_VALUE"""),"PR014")</f>
        <v>PR014</v>
      </c>
      <c r="B1568" s="2" t="str">
        <f>IFERROR(__xludf.DUMMYFUNCTION("""COMPUTED_VALUE"""),"VD016")</f>
        <v>VD016</v>
      </c>
      <c r="C1568" s="2">
        <f>IFERROR(__xludf.DUMMYFUNCTION("""COMPUTED_VALUE"""),1.0)</f>
        <v>1</v>
      </c>
      <c r="D1568" s="2">
        <f>IFERROR(__xludf.DUMMYFUNCTION("""COMPUTED_VALUE"""),42.29)</f>
        <v>42.29</v>
      </c>
    </row>
    <row r="1569">
      <c r="A1569" s="2" t="str">
        <f>IFERROR(__xludf.DUMMYFUNCTION("""COMPUTED_VALUE"""),"PR009")</f>
        <v>PR009</v>
      </c>
      <c r="B1569" s="2" t="str">
        <f>IFERROR(__xludf.DUMMYFUNCTION("""COMPUTED_VALUE"""),"VD031")</f>
        <v>VD031</v>
      </c>
      <c r="C1569" s="2">
        <f>IFERROR(__xludf.DUMMYFUNCTION("""COMPUTED_VALUE"""),16.0)</f>
        <v>16</v>
      </c>
      <c r="D1569" s="2">
        <f>IFERROR(__xludf.DUMMYFUNCTION("""COMPUTED_VALUE"""),1516.13)</f>
        <v>1516.13</v>
      </c>
    </row>
    <row r="1570">
      <c r="A1570" s="2" t="str">
        <f>IFERROR(__xludf.DUMMYFUNCTION("""COMPUTED_VALUE"""),"PR053")</f>
        <v>PR053</v>
      </c>
      <c r="B1570" s="2" t="str">
        <f>IFERROR(__xludf.DUMMYFUNCTION("""COMPUTED_VALUE"""),"VD036")</f>
        <v>VD036</v>
      </c>
      <c r="C1570" s="2">
        <f>IFERROR(__xludf.DUMMYFUNCTION("""COMPUTED_VALUE"""),18.0)</f>
        <v>18</v>
      </c>
      <c r="D1570" s="2">
        <f>IFERROR(__xludf.DUMMYFUNCTION("""COMPUTED_VALUE"""),961.07)</f>
        <v>961.07</v>
      </c>
    </row>
    <row r="1571">
      <c r="A1571" s="2" t="str">
        <f>IFERROR(__xludf.DUMMYFUNCTION("""COMPUTED_VALUE"""),"PR051")</f>
        <v>PR051</v>
      </c>
      <c r="B1571" s="2" t="str">
        <f>IFERROR(__xludf.DUMMYFUNCTION("""COMPUTED_VALUE"""),"VD038")</f>
        <v>VD038</v>
      </c>
      <c r="C1571" s="2">
        <f>IFERROR(__xludf.DUMMYFUNCTION("""COMPUTED_VALUE"""),8.0)</f>
        <v>8</v>
      </c>
      <c r="D1571" s="2">
        <f>IFERROR(__xludf.DUMMYFUNCTION("""COMPUTED_VALUE"""),271.1)</f>
        <v>271.1</v>
      </c>
    </row>
    <row r="1572">
      <c r="A1572" s="2" t="str">
        <f>IFERROR(__xludf.DUMMYFUNCTION("""COMPUTED_VALUE"""),"PR006")</f>
        <v>PR006</v>
      </c>
      <c r="B1572" s="2" t="str">
        <f>IFERROR(__xludf.DUMMYFUNCTION("""COMPUTED_VALUE"""),"VD035")</f>
        <v>VD035</v>
      </c>
      <c r="C1572" s="2">
        <f>IFERROR(__xludf.DUMMYFUNCTION("""COMPUTED_VALUE"""),5.0)</f>
        <v>5</v>
      </c>
      <c r="D1572" s="2">
        <f>IFERROR(__xludf.DUMMYFUNCTION("""COMPUTED_VALUE"""),215.46)</f>
        <v>215.46</v>
      </c>
    </row>
    <row r="1573">
      <c r="A1573" s="2" t="str">
        <f>IFERROR(__xludf.DUMMYFUNCTION("""COMPUTED_VALUE"""),"PR046")</f>
        <v>PR046</v>
      </c>
      <c r="B1573" s="2" t="str">
        <f>IFERROR(__xludf.DUMMYFUNCTION("""COMPUTED_VALUE"""),"VD040")</f>
        <v>VD040</v>
      </c>
      <c r="C1573" s="2">
        <f>IFERROR(__xludf.DUMMYFUNCTION("""COMPUTED_VALUE"""),2.0)</f>
        <v>2</v>
      </c>
      <c r="D1573" s="2">
        <f>IFERROR(__xludf.DUMMYFUNCTION("""COMPUTED_VALUE"""),614.59)</f>
        <v>614.59</v>
      </c>
    </row>
    <row r="1574">
      <c r="A1574" s="2" t="str">
        <f>IFERROR(__xludf.DUMMYFUNCTION("""COMPUTED_VALUE"""),"PR001")</f>
        <v>PR001</v>
      </c>
      <c r="B1574" s="2" t="str">
        <f>IFERROR(__xludf.DUMMYFUNCTION("""COMPUTED_VALUE"""),"VD020")</f>
        <v>VD020</v>
      </c>
      <c r="C1574" s="2">
        <f>IFERROR(__xludf.DUMMYFUNCTION("""COMPUTED_VALUE"""),12.0)</f>
        <v>12</v>
      </c>
      <c r="D1574" s="2">
        <f>IFERROR(__xludf.DUMMYFUNCTION("""COMPUTED_VALUE"""),806.62)</f>
        <v>806.62</v>
      </c>
    </row>
    <row r="1575">
      <c r="A1575" s="2" t="str">
        <f>IFERROR(__xludf.DUMMYFUNCTION("""COMPUTED_VALUE"""),"PR022")</f>
        <v>PR022</v>
      </c>
      <c r="B1575" s="2" t="str">
        <f>IFERROR(__xludf.DUMMYFUNCTION("""COMPUTED_VALUE"""),"VD036")</f>
        <v>VD036</v>
      </c>
      <c r="C1575" s="2">
        <f>IFERROR(__xludf.DUMMYFUNCTION("""COMPUTED_VALUE"""),4.0)</f>
        <v>4</v>
      </c>
      <c r="D1575" s="2">
        <f>IFERROR(__xludf.DUMMYFUNCTION("""COMPUTED_VALUE"""),1212.0)</f>
        <v>1212</v>
      </c>
    </row>
    <row r="1576">
      <c r="A1576" s="2" t="str">
        <f>IFERROR(__xludf.DUMMYFUNCTION("""COMPUTED_VALUE"""),"PR012")</f>
        <v>PR012</v>
      </c>
      <c r="B1576" s="2" t="str">
        <f>IFERROR(__xludf.DUMMYFUNCTION("""COMPUTED_VALUE"""),"VD036")</f>
        <v>VD036</v>
      </c>
      <c r="C1576" s="2">
        <f>IFERROR(__xludf.DUMMYFUNCTION("""COMPUTED_VALUE"""),20.0)</f>
        <v>20</v>
      </c>
      <c r="D1576" s="2">
        <f>IFERROR(__xludf.DUMMYFUNCTION("""COMPUTED_VALUE"""),987.78)</f>
        <v>987.78</v>
      </c>
    </row>
    <row r="1577">
      <c r="A1577" s="2" t="str">
        <f>IFERROR(__xludf.DUMMYFUNCTION("""COMPUTED_VALUE"""),"PR031")</f>
        <v>PR031</v>
      </c>
      <c r="B1577" s="2" t="str">
        <f>IFERROR(__xludf.DUMMYFUNCTION("""COMPUTED_VALUE"""),"VD044")</f>
        <v>VD044</v>
      </c>
      <c r="C1577" s="2">
        <f>IFERROR(__xludf.DUMMYFUNCTION("""COMPUTED_VALUE"""),4.0)</f>
        <v>4</v>
      </c>
      <c r="D1577" s="2">
        <f>IFERROR(__xludf.DUMMYFUNCTION("""COMPUTED_VALUE"""),1038.8)</f>
        <v>1038.8</v>
      </c>
    </row>
    <row r="1578">
      <c r="A1578" s="2" t="str">
        <f>IFERROR(__xludf.DUMMYFUNCTION("""COMPUTED_VALUE"""),"PR052")</f>
        <v>PR052</v>
      </c>
      <c r="B1578" s="2" t="str">
        <f>IFERROR(__xludf.DUMMYFUNCTION("""COMPUTED_VALUE"""),"VD044")</f>
        <v>VD044</v>
      </c>
      <c r="C1578" s="2">
        <f>IFERROR(__xludf.DUMMYFUNCTION("""COMPUTED_VALUE"""),16.0)</f>
        <v>16</v>
      </c>
      <c r="D1578" s="2">
        <f>IFERROR(__xludf.DUMMYFUNCTION("""COMPUTED_VALUE"""),814.37)</f>
        <v>814.37</v>
      </c>
    </row>
    <row r="1579">
      <c r="A1579" s="2" t="str">
        <f>IFERROR(__xludf.DUMMYFUNCTION("""COMPUTED_VALUE"""),"PR005")</f>
        <v>PR005</v>
      </c>
      <c r="B1579" s="2" t="str">
        <f>IFERROR(__xludf.DUMMYFUNCTION("""COMPUTED_VALUE"""),"VD027")</f>
        <v>VD027</v>
      </c>
      <c r="C1579" s="2">
        <f>IFERROR(__xludf.DUMMYFUNCTION("""COMPUTED_VALUE"""),3.0)</f>
        <v>3</v>
      </c>
      <c r="D1579" s="2">
        <f>IFERROR(__xludf.DUMMYFUNCTION("""COMPUTED_VALUE"""),810.89)</f>
        <v>810.89</v>
      </c>
    </row>
    <row r="1580">
      <c r="A1580" s="2" t="str">
        <f>IFERROR(__xludf.DUMMYFUNCTION("""COMPUTED_VALUE"""),"PR037")</f>
        <v>PR037</v>
      </c>
      <c r="B1580" s="2" t="str">
        <f>IFERROR(__xludf.DUMMYFUNCTION("""COMPUTED_VALUE"""),"VD045")</f>
        <v>VD045</v>
      </c>
      <c r="C1580" s="2">
        <f>IFERROR(__xludf.DUMMYFUNCTION("""COMPUTED_VALUE"""),9.0)</f>
        <v>9</v>
      </c>
      <c r="D1580" s="2">
        <f>IFERROR(__xludf.DUMMYFUNCTION("""COMPUTED_VALUE"""),1386.0)</f>
        <v>1386</v>
      </c>
    </row>
    <row r="1581">
      <c r="A1581" s="2" t="str">
        <f>IFERROR(__xludf.DUMMYFUNCTION("""COMPUTED_VALUE"""),"PR014")</f>
        <v>PR014</v>
      </c>
      <c r="B1581" s="2" t="str">
        <f>IFERROR(__xludf.DUMMYFUNCTION("""COMPUTED_VALUE"""),"VD036")</f>
        <v>VD036</v>
      </c>
      <c r="C1581" s="2">
        <f>IFERROR(__xludf.DUMMYFUNCTION("""COMPUTED_VALUE"""),10.0)</f>
        <v>10</v>
      </c>
      <c r="D1581" s="2">
        <f>IFERROR(__xludf.DUMMYFUNCTION("""COMPUTED_VALUE"""),414.96)</f>
        <v>414.96</v>
      </c>
    </row>
    <row r="1582">
      <c r="A1582" s="2" t="str">
        <f>IFERROR(__xludf.DUMMYFUNCTION("""COMPUTED_VALUE"""),"PR013")</f>
        <v>PR013</v>
      </c>
      <c r="B1582" s="2" t="str">
        <f>IFERROR(__xludf.DUMMYFUNCTION("""COMPUTED_VALUE"""),"VD036")</f>
        <v>VD036</v>
      </c>
      <c r="C1582" s="2">
        <f>IFERROR(__xludf.DUMMYFUNCTION("""COMPUTED_VALUE"""),16.0)</f>
        <v>16</v>
      </c>
      <c r="D1582" s="2">
        <f>IFERROR(__xludf.DUMMYFUNCTION("""COMPUTED_VALUE"""),670.32)</f>
        <v>670.32</v>
      </c>
    </row>
    <row r="1583">
      <c r="A1583" s="2" t="str">
        <f>IFERROR(__xludf.DUMMYFUNCTION("""COMPUTED_VALUE"""),"PR001")</f>
        <v>PR001</v>
      </c>
      <c r="B1583" s="2" t="str">
        <f>IFERROR(__xludf.DUMMYFUNCTION("""COMPUTED_VALUE"""),"VD030")</f>
        <v>VD030</v>
      </c>
      <c r="C1583" s="2">
        <f>IFERROR(__xludf.DUMMYFUNCTION("""COMPUTED_VALUE"""),20.0)</f>
        <v>20</v>
      </c>
      <c r="D1583" s="2">
        <f>IFERROR(__xludf.DUMMYFUNCTION("""COMPUTED_VALUE"""),1423.44)</f>
        <v>1423.44</v>
      </c>
    </row>
    <row r="1584">
      <c r="A1584" s="2" t="str">
        <f>IFERROR(__xludf.DUMMYFUNCTION("""COMPUTED_VALUE"""),"PR029")</f>
        <v>PR029</v>
      </c>
      <c r="B1584" s="2" t="str">
        <f>IFERROR(__xludf.DUMMYFUNCTION("""COMPUTED_VALUE"""),"VD024")</f>
        <v>VD024</v>
      </c>
      <c r="C1584" s="2">
        <f>IFERROR(__xludf.DUMMYFUNCTION("""COMPUTED_VALUE"""),4.0)</f>
        <v>4</v>
      </c>
      <c r="D1584" s="2">
        <f>IFERROR(__xludf.DUMMYFUNCTION("""COMPUTED_VALUE"""),1060.8)</f>
        <v>1060.8</v>
      </c>
    </row>
    <row r="1585">
      <c r="A1585" s="2" t="str">
        <f>IFERROR(__xludf.DUMMYFUNCTION("""COMPUTED_VALUE"""),"PR008")</f>
        <v>PR008</v>
      </c>
      <c r="B1585" s="2" t="str">
        <f>IFERROR(__xludf.DUMMYFUNCTION("""COMPUTED_VALUE"""),"VD014")</f>
        <v>VD014</v>
      </c>
      <c r="C1585" s="2">
        <f>IFERROR(__xludf.DUMMYFUNCTION("""COMPUTED_VALUE"""),10.0)</f>
        <v>10</v>
      </c>
      <c r="D1585" s="2">
        <f>IFERROR(__xludf.DUMMYFUNCTION("""COMPUTED_VALUE"""),899.0)</f>
        <v>899</v>
      </c>
    </row>
    <row r="1586">
      <c r="A1586" s="2" t="str">
        <f>IFERROR(__xludf.DUMMYFUNCTION("""COMPUTED_VALUE"""),"PR004")</f>
        <v>PR004</v>
      </c>
      <c r="B1586" s="2" t="str">
        <f>IFERROR(__xludf.DUMMYFUNCTION("""COMPUTED_VALUE"""),"VD042")</f>
        <v>VD042</v>
      </c>
      <c r="C1586" s="2">
        <f>IFERROR(__xludf.DUMMYFUNCTION("""COMPUTED_VALUE"""),2.0)</f>
        <v>2</v>
      </c>
      <c r="D1586" s="2">
        <f>IFERROR(__xludf.DUMMYFUNCTION("""COMPUTED_VALUE"""),301.6)</f>
        <v>301.6</v>
      </c>
    </row>
    <row r="1587">
      <c r="A1587" s="2" t="str">
        <f>IFERROR(__xludf.DUMMYFUNCTION("""COMPUTED_VALUE"""),"PR007")</f>
        <v>PR007</v>
      </c>
      <c r="B1587" s="2" t="str">
        <f>IFERROR(__xludf.DUMMYFUNCTION("""COMPUTED_VALUE"""),"VD045")</f>
        <v>VD045</v>
      </c>
      <c r="C1587" s="2">
        <f>IFERROR(__xludf.DUMMYFUNCTION("""COMPUTED_VALUE"""),14.0)</f>
        <v>14</v>
      </c>
      <c r="D1587" s="2">
        <f>IFERROR(__xludf.DUMMYFUNCTION("""COMPUTED_VALUE"""),1226.65)</f>
        <v>1226.65</v>
      </c>
    </row>
    <row r="1588">
      <c r="A1588" s="2" t="str">
        <f>IFERROR(__xludf.DUMMYFUNCTION("""COMPUTED_VALUE"""),"PR060")</f>
        <v>PR060</v>
      </c>
      <c r="B1588" s="2" t="str">
        <f>IFERROR(__xludf.DUMMYFUNCTION("""COMPUTED_VALUE"""),"VD011")</f>
        <v>VD011</v>
      </c>
      <c r="C1588" s="2">
        <f>IFERROR(__xludf.DUMMYFUNCTION("""COMPUTED_VALUE"""),10.0)</f>
        <v>10</v>
      </c>
      <c r="D1588" s="2">
        <f>IFERROR(__xludf.DUMMYFUNCTION("""COMPUTED_VALUE"""),1926.0)</f>
        <v>1926</v>
      </c>
    </row>
    <row r="1589">
      <c r="A1589" s="2" t="str">
        <f>IFERROR(__xludf.DUMMYFUNCTION("""COMPUTED_VALUE"""),"PR057")</f>
        <v>PR057</v>
      </c>
      <c r="B1589" s="2" t="str">
        <f>IFERROR(__xludf.DUMMYFUNCTION("""COMPUTED_VALUE"""),"VD036")</f>
        <v>VD036</v>
      </c>
      <c r="C1589" s="2">
        <f>IFERROR(__xludf.DUMMYFUNCTION("""COMPUTED_VALUE"""),10.0)</f>
        <v>10</v>
      </c>
      <c r="D1589" s="2">
        <f>IFERROR(__xludf.DUMMYFUNCTION("""COMPUTED_VALUE"""),979.91)</f>
        <v>979.91</v>
      </c>
    </row>
    <row r="1590">
      <c r="A1590" s="2" t="str">
        <f>IFERROR(__xludf.DUMMYFUNCTION("""COMPUTED_VALUE"""),"PR036")</f>
        <v>PR036</v>
      </c>
      <c r="B1590" s="2" t="str">
        <f>IFERROR(__xludf.DUMMYFUNCTION("""COMPUTED_VALUE"""),"VD017")</f>
        <v>VD017</v>
      </c>
      <c r="C1590" s="2">
        <f>IFERROR(__xludf.DUMMYFUNCTION("""COMPUTED_VALUE"""),10.0)</f>
        <v>10</v>
      </c>
      <c r="D1590" s="2">
        <f>IFERROR(__xludf.DUMMYFUNCTION("""COMPUTED_VALUE"""),981.75)</f>
        <v>981.75</v>
      </c>
    </row>
    <row r="1591">
      <c r="A1591" s="2" t="str">
        <f>IFERROR(__xludf.DUMMYFUNCTION("""COMPUTED_VALUE"""),"PR045")</f>
        <v>PR045</v>
      </c>
      <c r="B1591" s="2" t="str">
        <f>IFERROR(__xludf.DUMMYFUNCTION("""COMPUTED_VALUE"""),"VD019")</f>
        <v>VD019</v>
      </c>
      <c r="C1591" s="2">
        <f>IFERROR(__xludf.DUMMYFUNCTION("""COMPUTED_VALUE"""),4.0)</f>
        <v>4</v>
      </c>
      <c r="D1591" s="2">
        <f>IFERROR(__xludf.DUMMYFUNCTION("""COMPUTED_VALUE"""),292.9)</f>
        <v>292.9</v>
      </c>
    </row>
    <row r="1592">
      <c r="A1592" s="2" t="str">
        <f>IFERROR(__xludf.DUMMYFUNCTION("""COMPUTED_VALUE"""),"PR058")</f>
        <v>PR058</v>
      </c>
      <c r="B1592" s="2" t="str">
        <f>IFERROR(__xludf.DUMMYFUNCTION("""COMPUTED_VALUE"""),"VD029")</f>
        <v>VD029</v>
      </c>
      <c r="C1592" s="2">
        <f>IFERROR(__xludf.DUMMYFUNCTION("""COMPUTED_VALUE"""),18.0)</f>
        <v>18</v>
      </c>
      <c r="D1592" s="2">
        <f>IFERROR(__xludf.DUMMYFUNCTION("""COMPUTED_VALUE"""),3434.4)</f>
        <v>3434.4</v>
      </c>
    </row>
    <row r="1593">
      <c r="A1593" s="2" t="str">
        <f>IFERROR(__xludf.DUMMYFUNCTION("""COMPUTED_VALUE"""),"PR010")</f>
        <v>PR010</v>
      </c>
      <c r="B1593" s="2" t="str">
        <f>IFERROR(__xludf.DUMMYFUNCTION("""COMPUTED_VALUE"""),"VD046")</f>
        <v>VD046</v>
      </c>
      <c r="C1593" s="2">
        <f>IFERROR(__xludf.DUMMYFUNCTION("""COMPUTED_VALUE"""),14.0)</f>
        <v>14</v>
      </c>
      <c r="D1593" s="2">
        <f>IFERROR(__xludf.DUMMYFUNCTION("""COMPUTED_VALUE"""),666.32)</f>
        <v>666.32</v>
      </c>
    </row>
    <row r="1594">
      <c r="A1594" s="2" t="str">
        <f>IFERROR(__xludf.DUMMYFUNCTION("""COMPUTED_VALUE"""),"PR036")</f>
        <v>PR036</v>
      </c>
      <c r="B1594" s="2" t="str">
        <f>IFERROR(__xludf.DUMMYFUNCTION("""COMPUTED_VALUE"""),"VD017")</f>
        <v>VD017</v>
      </c>
      <c r="C1594" s="2">
        <f>IFERROR(__xludf.DUMMYFUNCTION("""COMPUTED_VALUE"""),5.0)</f>
        <v>5</v>
      </c>
      <c r="D1594" s="2">
        <f>IFERROR(__xludf.DUMMYFUNCTION("""COMPUTED_VALUE"""),486.2)</f>
        <v>486.2</v>
      </c>
    </row>
    <row r="1595">
      <c r="A1595" s="2" t="str">
        <f>IFERROR(__xludf.DUMMYFUNCTION("""COMPUTED_VALUE"""),"PR014")</f>
        <v>PR014</v>
      </c>
      <c r="B1595" s="2" t="str">
        <f>IFERROR(__xludf.DUMMYFUNCTION("""COMPUTED_VALUE"""),"VD048")</f>
        <v>VD048</v>
      </c>
      <c r="C1595" s="2">
        <f>IFERROR(__xludf.DUMMYFUNCTION("""COMPUTED_VALUE"""),4.0)</f>
        <v>4</v>
      </c>
      <c r="D1595" s="2">
        <f>IFERROR(__xludf.DUMMYFUNCTION("""COMPUTED_VALUE"""),172.37)</f>
        <v>172.37</v>
      </c>
    </row>
    <row r="1596">
      <c r="A1596" s="2" t="str">
        <f>IFERROR(__xludf.DUMMYFUNCTION("""COMPUTED_VALUE"""),"PR041")</f>
        <v>PR041</v>
      </c>
      <c r="B1596" s="2" t="str">
        <f>IFERROR(__xludf.DUMMYFUNCTION("""COMPUTED_VALUE"""),"VD042")</f>
        <v>VD042</v>
      </c>
      <c r="C1596" s="2">
        <f>IFERROR(__xludf.DUMMYFUNCTION("""COMPUTED_VALUE"""),2.0)</f>
        <v>2</v>
      </c>
      <c r="D1596" s="2">
        <f>IFERROR(__xludf.DUMMYFUNCTION("""COMPUTED_VALUE"""),120.78)</f>
        <v>120.78</v>
      </c>
    </row>
    <row r="1597">
      <c r="A1597" s="2" t="str">
        <f>IFERROR(__xludf.DUMMYFUNCTION("""COMPUTED_VALUE"""),"PR019")</f>
        <v>PR019</v>
      </c>
      <c r="B1597" s="2" t="str">
        <f>IFERROR(__xludf.DUMMYFUNCTION("""COMPUTED_VALUE"""),"VD034")</f>
        <v>VD034</v>
      </c>
      <c r="C1597" s="2">
        <f>IFERROR(__xludf.DUMMYFUNCTION("""COMPUTED_VALUE"""),7.0)</f>
        <v>7</v>
      </c>
      <c r="D1597" s="2">
        <f>IFERROR(__xludf.DUMMYFUNCTION("""COMPUTED_VALUE"""),373.75)</f>
        <v>373.75</v>
      </c>
    </row>
    <row r="1598">
      <c r="A1598" s="2" t="str">
        <f>IFERROR(__xludf.DUMMYFUNCTION("""COMPUTED_VALUE"""),"PR024")</f>
        <v>PR024</v>
      </c>
      <c r="B1598" s="2" t="str">
        <f>IFERROR(__xludf.DUMMYFUNCTION("""COMPUTED_VALUE"""),"VD048")</f>
        <v>VD048</v>
      </c>
      <c r="C1598" s="2">
        <f>IFERROR(__xludf.DUMMYFUNCTION("""COMPUTED_VALUE"""),3.0)</f>
        <v>3</v>
      </c>
      <c r="D1598" s="2">
        <f>IFERROR(__xludf.DUMMYFUNCTION("""COMPUTED_VALUE"""),795.29)</f>
        <v>795.29</v>
      </c>
    </row>
    <row r="1599">
      <c r="A1599" s="2" t="str">
        <f>IFERROR(__xludf.DUMMYFUNCTION("""COMPUTED_VALUE"""),"PR044")</f>
        <v>PR044</v>
      </c>
      <c r="B1599" s="2" t="str">
        <f>IFERROR(__xludf.DUMMYFUNCTION("""COMPUTED_VALUE"""),"VD046")</f>
        <v>VD046</v>
      </c>
      <c r="C1599" s="2">
        <f>IFERROR(__xludf.DUMMYFUNCTION("""COMPUTED_VALUE"""),14.0)</f>
        <v>14</v>
      </c>
      <c r="D1599" s="2">
        <f>IFERROR(__xludf.DUMMYFUNCTION("""COMPUTED_VALUE"""),1055.6)</f>
        <v>1055.6</v>
      </c>
    </row>
    <row r="1600">
      <c r="A1600" s="2" t="str">
        <f>IFERROR(__xludf.DUMMYFUNCTION("""COMPUTED_VALUE"""),"PR042")</f>
        <v>PR042</v>
      </c>
      <c r="B1600" s="2" t="str">
        <f>IFERROR(__xludf.DUMMYFUNCTION("""COMPUTED_VALUE"""),"VD048")</f>
        <v>VD048</v>
      </c>
      <c r="C1600" s="2">
        <f>IFERROR(__xludf.DUMMYFUNCTION("""COMPUTED_VALUE"""),7.0)</f>
        <v>7</v>
      </c>
      <c r="D1600" s="2">
        <f>IFERROR(__xludf.DUMMYFUNCTION("""COMPUTED_VALUE"""),399.67)</f>
        <v>399.67</v>
      </c>
    </row>
    <row r="1601">
      <c r="A1601" s="2" t="str">
        <f>IFERROR(__xludf.DUMMYFUNCTION("""COMPUTED_VALUE"""),"PR014")</f>
        <v>PR014</v>
      </c>
      <c r="B1601" s="2" t="str">
        <f>IFERROR(__xludf.DUMMYFUNCTION("""COMPUTED_VALUE"""),"VD017")</f>
        <v>VD017</v>
      </c>
      <c r="C1601" s="2">
        <f>IFERROR(__xludf.DUMMYFUNCTION("""COMPUTED_VALUE"""),10.0)</f>
        <v>10</v>
      </c>
      <c r="D1601" s="2">
        <f>IFERROR(__xludf.DUMMYFUNCTION("""COMPUTED_VALUE"""),438.9)</f>
        <v>438.9</v>
      </c>
    </row>
    <row r="1602">
      <c r="A1602" s="2" t="str">
        <f>IFERROR(__xludf.DUMMYFUNCTION("""COMPUTED_VALUE"""),"PR015")</f>
        <v>PR015</v>
      </c>
      <c r="B1602" s="2" t="str">
        <f>IFERROR(__xludf.DUMMYFUNCTION("""COMPUTED_VALUE"""),"VD022")</f>
        <v>VD022</v>
      </c>
      <c r="C1602" s="2">
        <f>IFERROR(__xludf.DUMMYFUNCTION("""COMPUTED_VALUE"""),6.0)</f>
        <v>6</v>
      </c>
      <c r="D1602" s="2">
        <f>IFERROR(__xludf.DUMMYFUNCTION("""COMPUTED_VALUE"""),262.65)</f>
        <v>262.65</v>
      </c>
    </row>
    <row r="1603">
      <c r="A1603" s="2" t="str">
        <f>IFERROR(__xludf.DUMMYFUNCTION("""COMPUTED_VALUE"""),"PR025")</f>
        <v>PR025</v>
      </c>
      <c r="B1603" s="2" t="str">
        <f>IFERROR(__xludf.DUMMYFUNCTION("""COMPUTED_VALUE"""),"VD034")</f>
        <v>VD034</v>
      </c>
      <c r="C1603" s="2">
        <f>IFERROR(__xludf.DUMMYFUNCTION("""COMPUTED_VALUE"""),4.0)</f>
        <v>4</v>
      </c>
      <c r="D1603" s="2">
        <f>IFERROR(__xludf.DUMMYFUNCTION("""COMPUTED_VALUE"""),1295.57)</f>
        <v>1295.57</v>
      </c>
    </row>
    <row r="1604">
      <c r="A1604" s="2" t="str">
        <f>IFERROR(__xludf.DUMMYFUNCTION("""COMPUTED_VALUE"""),"PR001")</f>
        <v>PR001</v>
      </c>
      <c r="B1604" s="2" t="str">
        <f>IFERROR(__xludf.DUMMYFUNCTION("""COMPUTED_VALUE"""),"VD022")</f>
        <v>VD022</v>
      </c>
      <c r="C1604" s="2">
        <f>IFERROR(__xludf.DUMMYFUNCTION("""COMPUTED_VALUE"""),9.0)</f>
        <v>9</v>
      </c>
      <c r="D1604" s="2">
        <f>IFERROR(__xludf.DUMMYFUNCTION("""COMPUTED_VALUE"""),640.55)</f>
        <v>640.55</v>
      </c>
    </row>
    <row r="1605">
      <c r="A1605" s="2" t="str">
        <f>IFERROR(__xludf.DUMMYFUNCTION("""COMPUTED_VALUE"""),"PR013")</f>
        <v>PR013</v>
      </c>
      <c r="B1605" s="2" t="str">
        <f>IFERROR(__xludf.DUMMYFUNCTION("""COMPUTED_VALUE"""),"VD019")</f>
        <v>VD019</v>
      </c>
      <c r="C1605" s="2">
        <f>IFERROR(__xludf.DUMMYFUNCTION("""COMPUTED_VALUE"""),20.0)</f>
        <v>20</v>
      </c>
      <c r="D1605" s="2">
        <f>IFERROR(__xludf.DUMMYFUNCTION("""COMPUTED_VALUE"""),869.82)</f>
        <v>869.82</v>
      </c>
    </row>
    <row r="1606">
      <c r="A1606" s="2" t="str">
        <f>IFERROR(__xludf.DUMMYFUNCTION("""COMPUTED_VALUE"""),"PR058")</f>
        <v>PR058</v>
      </c>
      <c r="B1606" s="2" t="str">
        <f>IFERROR(__xludf.DUMMYFUNCTION("""COMPUTED_VALUE"""),"VD042")</f>
        <v>VD042</v>
      </c>
      <c r="C1606" s="2">
        <f>IFERROR(__xludf.DUMMYFUNCTION("""COMPUTED_VALUE"""),3.0)</f>
        <v>3</v>
      </c>
      <c r="D1606" s="2">
        <f>IFERROR(__xludf.DUMMYFUNCTION("""COMPUTED_VALUE"""),577.8)</f>
        <v>577.8</v>
      </c>
    </row>
    <row r="1607">
      <c r="A1607" s="2" t="str">
        <f>IFERROR(__xludf.DUMMYFUNCTION("""COMPUTED_VALUE"""),"PR053")</f>
        <v>PR053</v>
      </c>
      <c r="B1607" s="2" t="str">
        <f>IFERROR(__xludf.DUMMYFUNCTION("""COMPUTED_VALUE"""),"VD022")</f>
        <v>VD022</v>
      </c>
      <c r="C1607" s="2">
        <f>IFERROR(__xludf.DUMMYFUNCTION("""COMPUTED_VALUE"""),4.0)</f>
        <v>4</v>
      </c>
      <c r="D1607" s="2">
        <f>IFERROR(__xludf.DUMMYFUNCTION("""COMPUTED_VALUE"""),217.56)</f>
        <v>217.56</v>
      </c>
    </row>
    <row r="1608">
      <c r="A1608" s="2" t="str">
        <f>IFERROR(__xludf.DUMMYFUNCTION("""COMPUTED_VALUE"""),"PR047")</f>
        <v>PR047</v>
      </c>
      <c r="B1608" s="2" t="str">
        <f>IFERROR(__xludf.DUMMYFUNCTION("""COMPUTED_VALUE"""),"VD025")</f>
        <v>VD025</v>
      </c>
      <c r="C1608" s="2">
        <f>IFERROR(__xludf.DUMMYFUNCTION("""COMPUTED_VALUE"""),2.0)</f>
        <v>2</v>
      </c>
      <c r="D1608" s="2">
        <f>IFERROR(__xludf.DUMMYFUNCTION("""COMPUTED_VALUE"""),631.98)</f>
        <v>631.98</v>
      </c>
    </row>
    <row r="1609">
      <c r="A1609" s="2" t="str">
        <f>IFERROR(__xludf.DUMMYFUNCTION("""COMPUTED_VALUE"""),"PR044")</f>
        <v>PR044</v>
      </c>
      <c r="B1609" s="2" t="str">
        <f>IFERROR(__xludf.DUMMYFUNCTION("""COMPUTED_VALUE"""),"VD026")</f>
        <v>VD026</v>
      </c>
      <c r="C1609" s="2">
        <f>IFERROR(__xludf.DUMMYFUNCTION("""COMPUTED_VALUE"""),7.0)</f>
        <v>7</v>
      </c>
      <c r="D1609" s="2">
        <f>IFERROR(__xludf.DUMMYFUNCTION("""COMPUTED_VALUE"""),522.73)</f>
        <v>522.73</v>
      </c>
    </row>
    <row r="1610">
      <c r="A1610" s="2" t="str">
        <f>IFERROR(__xludf.DUMMYFUNCTION("""COMPUTED_VALUE"""),"PR050")</f>
        <v>PR050</v>
      </c>
      <c r="B1610" s="2" t="str">
        <f>IFERROR(__xludf.DUMMYFUNCTION("""COMPUTED_VALUE"""),"VD039")</f>
        <v>VD039</v>
      </c>
      <c r="C1610" s="2">
        <f>IFERROR(__xludf.DUMMYFUNCTION("""COMPUTED_VALUE"""),12.0)</f>
        <v>12</v>
      </c>
      <c r="D1610" s="2">
        <f>IFERROR(__xludf.DUMMYFUNCTION("""COMPUTED_VALUE"""),410.59)</f>
        <v>410.59</v>
      </c>
    </row>
    <row r="1611">
      <c r="A1611" s="2" t="str">
        <f>IFERROR(__xludf.DUMMYFUNCTION("""COMPUTED_VALUE"""),"PR042")</f>
        <v>PR042</v>
      </c>
      <c r="B1611" s="2" t="str">
        <f>IFERROR(__xludf.DUMMYFUNCTION("""COMPUTED_VALUE"""),"VD040")</f>
        <v>VD040</v>
      </c>
      <c r="C1611" s="2">
        <f>IFERROR(__xludf.DUMMYFUNCTION("""COMPUTED_VALUE"""),8.0)</f>
        <v>8</v>
      </c>
      <c r="D1611" s="2">
        <f>IFERROR(__xludf.DUMMYFUNCTION("""COMPUTED_VALUE"""),447.98)</f>
        <v>447.98</v>
      </c>
    </row>
    <row r="1612">
      <c r="A1612" s="2" t="str">
        <f>IFERROR(__xludf.DUMMYFUNCTION("""COMPUTED_VALUE"""),"PR003")</f>
        <v>PR003</v>
      </c>
      <c r="B1612" s="2" t="str">
        <f>IFERROR(__xludf.DUMMYFUNCTION("""COMPUTED_VALUE"""),"VD038")</f>
        <v>VD038</v>
      </c>
      <c r="C1612" s="2">
        <f>IFERROR(__xludf.DUMMYFUNCTION("""COMPUTED_VALUE"""),2.0)</f>
        <v>2</v>
      </c>
      <c r="D1612" s="2">
        <f>IFERROR(__xludf.DUMMYFUNCTION("""COMPUTED_VALUE"""),143.22)</f>
        <v>143.22</v>
      </c>
    </row>
    <row r="1613">
      <c r="A1613" s="2" t="str">
        <f>IFERROR(__xludf.DUMMYFUNCTION("""COMPUTED_VALUE"""),"PR010")</f>
        <v>PR010</v>
      </c>
      <c r="B1613" s="2" t="str">
        <f>IFERROR(__xludf.DUMMYFUNCTION("""COMPUTED_VALUE"""),"VD025")</f>
        <v>VD025</v>
      </c>
      <c r="C1613" s="2">
        <f>IFERROR(__xludf.DUMMYFUNCTION("""COMPUTED_VALUE"""),6.0)</f>
        <v>6</v>
      </c>
      <c r="D1613" s="2">
        <f>IFERROR(__xludf.DUMMYFUNCTION("""COMPUTED_VALUE"""),274.79)</f>
        <v>274.79</v>
      </c>
    </row>
    <row r="1614">
      <c r="A1614" s="2" t="str">
        <f>IFERROR(__xludf.DUMMYFUNCTION("""COMPUTED_VALUE"""),"PR043")</f>
        <v>PR043</v>
      </c>
      <c r="B1614" s="2" t="str">
        <f>IFERROR(__xludf.DUMMYFUNCTION("""COMPUTED_VALUE"""),"VD013")</f>
        <v>VD013</v>
      </c>
      <c r="C1614" s="2">
        <f>IFERROR(__xludf.DUMMYFUNCTION("""COMPUTED_VALUE"""),6.0)</f>
        <v>6</v>
      </c>
      <c r="D1614" s="2">
        <f>IFERROR(__xludf.DUMMYFUNCTION("""COMPUTED_VALUE"""),439.35)</f>
        <v>439.35</v>
      </c>
    </row>
    <row r="1615">
      <c r="A1615" s="2" t="str">
        <f>IFERROR(__xludf.DUMMYFUNCTION("""COMPUTED_VALUE"""),"PR012")</f>
        <v>PR012</v>
      </c>
      <c r="B1615" s="2" t="str">
        <f>IFERROR(__xludf.DUMMYFUNCTION("""COMPUTED_VALUE"""),"VD035")</f>
        <v>VD035</v>
      </c>
      <c r="C1615" s="2">
        <f>IFERROR(__xludf.DUMMYFUNCTION("""COMPUTED_VALUE"""),6.0)</f>
        <v>6</v>
      </c>
      <c r="D1615" s="2">
        <f>IFERROR(__xludf.DUMMYFUNCTION("""COMPUTED_VALUE"""),293.4)</f>
        <v>293.4</v>
      </c>
    </row>
    <row r="1616">
      <c r="A1616" s="2" t="str">
        <f>IFERROR(__xludf.DUMMYFUNCTION("""COMPUTED_VALUE"""),"PR007")</f>
        <v>PR007</v>
      </c>
      <c r="B1616" s="2" t="str">
        <f>IFERROR(__xludf.DUMMYFUNCTION("""COMPUTED_VALUE"""),"VD017")</f>
        <v>VD017</v>
      </c>
      <c r="C1616" s="2">
        <f>IFERROR(__xludf.DUMMYFUNCTION("""COMPUTED_VALUE"""),12.0)</f>
        <v>12</v>
      </c>
      <c r="D1616" s="2">
        <f>IFERROR(__xludf.DUMMYFUNCTION("""COMPUTED_VALUE"""),1123.57)</f>
        <v>1123.57</v>
      </c>
    </row>
    <row r="1617">
      <c r="A1617" s="2" t="str">
        <f>IFERROR(__xludf.DUMMYFUNCTION("""COMPUTED_VALUE"""),"PR042")</f>
        <v>PR042</v>
      </c>
      <c r="B1617" s="2" t="str">
        <f>IFERROR(__xludf.DUMMYFUNCTION("""COMPUTED_VALUE"""),"VD021")</f>
        <v>VD021</v>
      </c>
      <c r="C1617" s="2">
        <f>IFERROR(__xludf.DUMMYFUNCTION("""COMPUTED_VALUE"""),14.0)</f>
        <v>14</v>
      </c>
      <c r="D1617" s="2">
        <f>IFERROR(__xludf.DUMMYFUNCTION("""COMPUTED_VALUE"""),791.66)</f>
        <v>791.66</v>
      </c>
    </row>
    <row r="1618">
      <c r="A1618" s="2" t="str">
        <f>IFERROR(__xludf.DUMMYFUNCTION("""COMPUTED_VALUE"""),"PR035")</f>
        <v>PR035</v>
      </c>
      <c r="B1618" s="2" t="str">
        <f>IFERROR(__xludf.DUMMYFUNCTION("""COMPUTED_VALUE"""),"VD033")</f>
        <v>VD033</v>
      </c>
      <c r="C1618" s="2">
        <f>IFERROR(__xludf.DUMMYFUNCTION("""COMPUTED_VALUE"""),4.0)</f>
        <v>4</v>
      </c>
      <c r="D1618" s="2">
        <f>IFERROR(__xludf.DUMMYFUNCTION("""COMPUTED_VALUE"""),391.19)</f>
        <v>391.19</v>
      </c>
    </row>
    <row r="1619">
      <c r="A1619" s="2" t="str">
        <f>IFERROR(__xludf.DUMMYFUNCTION("""COMPUTED_VALUE"""),"PR040")</f>
        <v>PR040</v>
      </c>
      <c r="B1619" s="2" t="str">
        <f>IFERROR(__xludf.DUMMYFUNCTION("""COMPUTED_VALUE"""),"VD027")</f>
        <v>VD027</v>
      </c>
      <c r="C1619" s="2">
        <f>IFERROR(__xludf.DUMMYFUNCTION("""COMPUTED_VALUE"""),16.0)</f>
        <v>16</v>
      </c>
      <c r="D1619" s="2">
        <f>IFERROR(__xludf.DUMMYFUNCTION("""COMPUTED_VALUE"""),1176.0)</f>
        <v>1176</v>
      </c>
    </row>
    <row r="1620">
      <c r="A1620" s="2" t="str">
        <f>IFERROR(__xludf.DUMMYFUNCTION("""COMPUTED_VALUE"""),"PR027")</f>
        <v>PR027</v>
      </c>
      <c r="B1620" s="2" t="str">
        <f>IFERROR(__xludf.DUMMYFUNCTION("""COMPUTED_VALUE"""),"VD022")</f>
        <v>VD022</v>
      </c>
      <c r="C1620" s="2">
        <f>IFERROR(__xludf.DUMMYFUNCTION("""COMPUTED_VALUE"""),6.0)</f>
        <v>6</v>
      </c>
      <c r="D1620" s="2">
        <f>IFERROR(__xludf.DUMMYFUNCTION("""COMPUTED_VALUE"""),763.2)</f>
        <v>763.2</v>
      </c>
    </row>
    <row r="1621">
      <c r="A1621" s="2" t="str">
        <f>IFERROR(__xludf.DUMMYFUNCTION("""COMPUTED_VALUE"""),"PR006")</f>
        <v>PR006</v>
      </c>
      <c r="B1621" s="2" t="str">
        <f>IFERROR(__xludf.DUMMYFUNCTION("""COMPUTED_VALUE"""),"VD020")</f>
        <v>VD020</v>
      </c>
      <c r="C1621" s="2">
        <f>IFERROR(__xludf.DUMMYFUNCTION("""COMPUTED_VALUE"""),7.0)</f>
        <v>7</v>
      </c>
      <c r="D1621" s="2">
        <f>IFERROR(__xludf.DUMMYFUNCTION("""COMPUTED_VALUE"""),279.3)</f>
        <v>279.3</v>
      </c>
    </row>
    <row r="1622">
      <c r="A1622" s="2" t="str">
        <f>IFERROR(__xludf.DUMMYFUNCTION("""COMPUTED_VALUE"""),"PR005")</f>
        <v>PR005</v>
      </c>
      <c r="B1622" s="2" t="str">
        <f>IFERROR(__xludf.DUMMYFUNCTION("""COMPUTED_VALUE"""),"VD018")</f>
        <v>VD018</v>
      </c>
      <c r="C1622" s="2">
        <f>IFERROR(__xludf.DUMMYFUNCTION("""COMPUTED_VALUE"""),18.0)</f>
        <v>18</v>
      </c>
      <c r="D1622" s="2">
        <f>IFERROR(__xludf.DUMMYFUNCTION("""COMPUTED_VALUE"""),4958.89)</f>
        <v>4958.89</v>
      </c>
    </row>
    <row r="1623">
      <c r="A1623" s="2" t="str">
        <f>IFERROR(__xludf.DUMMYFUNCTION("""COMPUTED_VALUE"""),"PR046")</f>
        <v>PR046</v>
      </c>
      <c r="B1623" s="2" t="str">
        <f>IFERROR(__xludf.DUMMYFUNCTION("""COMPUTED_VALUE"""),"VD034")</f>
        <v>VD034</v>
      </c>
      <c r="C1623" s="2">
        <f>IFERROR(__xludf.DUMMYFUNCTION("""COMPUTED_VALUE"""),20.0)</f>
        <v>20</v>
      </c>
      <c r="D1623" s="2">
        <f>IFERROR(__xludf.DUMMYFUNCTION("""COMPUTED_VALUE"""),6261.84)</f>
        <v>6261.84</v>
      </c>
    </row>
    <row r="1624">
      <c r="A1624" s="2" t="str">
        <f>IFERROR(__xludf.DUMMYFUNCTION("""COMPUTED_VALUE"""),"PR001")</f>
        <v>PR001</v>
      </c>
      <c r="B1624" s="2" t="str">
        <f>IFERROR(__xludf.DUMMYFUNCTION("""COMPUTED_VALUE"""),"VD041")</f>
        <v>VD041</v>
      </c>
      <c r="C1624" s="2">
        <f>IFERROR(__xludf.DUMMYFUNCTION("""COMPUTED_VALUE"""),10.0)</f>
        <v>10</v>
      </c>
      <c r="D1624" s="2">
        <f>IFERROR(__xludf.DUMMYFUNCTION("""COMPUTED_VALUE"""),705.13)</f>
        <v>705.13</v>
      </c>
    </row>
    <row r="1625">
      <c r="A1625" s="2" t="str">
        <f>IFERROR(__xludf.DUMMYFUNCTION("""COMPUTED_VALUE"""),"PR037")</f>
        <v>PR037</v>
      </c>
      <c r="B1625" s="2" t="str">
        <f>IFERROR(__xludf.DUMMYFUNCTION("""COMPUTED_VALUE"""),"VD028")</f>
        <v>VD028</v>
      </c>
      <c r="C1625" s="2">
        <f>IFERROR(__xludf.DUMMYFUNCTION("""COMPUTED_VALUE"""),12.0)</f>
        <v>12</v>
      </c>
      <c r="D1625" s="2">
        <f>IFERROR(__xludf.DUMMYFUNCTION("""COMPUTED_VALUE"""),1680.0)</f>
        <v>1680</v>
      </c>
    </row>
    <row r="1626">
      <c r="A1626" s="2" t="str">
        <f>IFERROR(__xludf.DUMMYFUNCTION("""COMPUTED_VALUE"""),"PR036")</f>
        <v>PR036</v>
      </c>
      <c r="B1626" s="2" t="str">
        <f>IFERROR(__xludf.DUMMYFUNCTION("""COMPUTED_VALUE"""),"VD038")</f>
        <v>VD038</v>
      </c>
      <c r="C1626" s="2">
        <f>IFERROR(__xludf.DUMMYFUNCTION("""COMPUTED_VALUE"""),4.0)</f>
        <v>4</v>
      </c>
      <c r="D1626" s="2">
        <f>IFERROR(__xludf.DUMMYFUNCTION("""COMPUTED_VALUE"""),388.96)</f>
        <v>388.96</v>
      </c>
    </row>
    <row r="1627">
      <c r="A1627" s="2" t="str">
        <f>IFERROR(__xludf.DUMMYFUNCTION("""COMPUTED_VALUE"""),"PR035")</f>
        <v>PR035</v>
      </c>
      <c r="B1627" s="2" t="str">
        <f>IFERROR(__xludf.DUMMYFUNCTION("""COMPUTED_VALUE"""),"VD018")</f>
        <v>VD018</v>
      </c>
      <c r="C1627" s="2">
        <f>IFERROR(__xludf.DUMMYFUNCTION("""COMPUTED_VALUE"""),6.0)</f>
        <v>6</v>
      </c>
      <c r="D1627" s="2">
        <f>IFERROR(__xludf.DUMMYFUNCTION("""COMPUTED_VALUE"""),548.4)</f>
        <v>548.4</v>
      </c>
    </row>
    <row r="1628">
      <c r="A1628" s="2" t="str">
        <f>IFERROR(__xludf.DUMMYFUNCTION("""COMPUTED_VALUE"""),"PR057")</f>
        <v>PR057</v>
      </c>
      <c r="B1628" s="2" t="str">
        <f>IFERROR(__xludf.DUMMYFUNCTION("""COMPUTED_VALUE"""),"VD014")</f>
        <v>VD014</v>
      </c>
      <c r="C1628" s="2">
        <f>IFERROR(__xludf.DUMMYFUNCTION("""COMPUTED_VALUE"""),3.0)</f>
        <v>3</v>
      </c>
      <c r="D1628" s="2">
        <f>IFERROR(__xludf.DUMMYFUNCTION("""COMPUTED_VALUE"""),285.88)</f>
        <v>285.88</v>
      </c>
    </row>
    <row r="1629">
      <c r="A1629" s="2" t="str">
        <f>IFERROR(__xludf.DUMMYFUNCTION("""COMPUTED_VALUE"""),"PR033")</f>
        <v>PR033</v>
      </c>
      <c r="B1629" s="2" t="str">
        <f>IFERROR(__xludf.DUMMYFUNCTION("""COMPUTED_VALUE"""),"VD043")</f>
        <v>VD043</v>
      </c>
      <c r="C1629" s="2">
        <f>IFERROR(__xludf.DUMMYFUNCTION("""COMPUTED_VALUE"""),20.0)</f>
        <v>20</v>
      </c>
      <c r="D1629" s="2">
        <f>IFERROR(__xludf.DUMMYFUNCTION("""COMPUTED_VALUE"""),5717.8)</f>
        <v>5717.8</v>
      </c>
    </row>
    <row r="1630">
      <c r="A1630" s="2" t="str">
        <f>IFERROR(__xludf.DUMMYFUNCTION("""COMPUTED_VALUE"""),"PR041")</f>
        <v>PR041</v>
      </c>
      <c r="B1630" s="2" t="str">
        <f>IFERROR(__xludf.DUMMYFUNCTION("""COMPUTED_VALUE"""),"VD022")</f>
        <v>VD022</v>
      </c>
      <c r="C1630" s="2">
        <f>IFERROR(__xludf.DUMMYFUNCTION("""COMPUTED_VALUE"""),6.0)</f>
        <v>6</v>
      </c>
      <c r="D1630" s="2">
        <f>IFERROR(__xludf.DUMMYFUNCTION("""COMPUTED_VALUE"""),345.87)</f>
        <v>345.87</v>
      </c>
    </row>
    <row r="1631">
      <c r="A1631" s="2" t="str">
        <f>IFERROR(__xludf.DUMMYFUNCTION("""COMPUTED_VALUE"""),"PR010")</f>
        <v>PR010</v>
      </c>
      <c r="B1631" s="2" t="str">
        <f>IFERROR(__xludf.DUMMYFUNCTION("""COMPUTED_VALUE"""),"VD030")</f>
        <v>VD030</v>
      </c>
      <c r="C1631" s="2">
        <f>IFERROR(__xludf.DUMMYFUNCTION("""COMPUTED_VALUE"""),4.0)</f>
        <v>4</v>
      </c>
      <c r="D1631" s="2">
        <f>IFERROR(__xludf.DUMMYFUNCTION("""COMPUTED_VALUE"""),183.19)</f>
        <v>183.19</v>
      </c>
    </row>
    <row r="1632">
      <c r="A1632" s="2" t="str">
        <f>IFERROR(__xludf.DUMMYFUNCTION("""COMPUTED_VALUE"""),"PR026")</f>
        <v>PR026</v>
      </c>
      <c r="B1632" s="2" t="str">
        <f>IFERROR(__xludf.DUMMYFUNCTION("""COMPUTED_VALUE"""),"VD010")</f>
        <v>VD010</v>
      </c>
      <c r="C1632" s="2">
        <f>IFERROR(__xludf.DUMMYFUNCTION("""COMPUTED_VALUE"""),16.0)</f>
        <v>16</v>
      </c>
      <c r="D1632" s="2">
        <f>IFERROR(__xludf.DUMMYFUNCTION("""COMPUTED_VALUE"""),6102.26)</f>
        <v>6102.26</v>
      </c>
    </row>
    <row r="1633">
      <c r="A1633" s="2" t="str">
        <f>IFERROR(__xludf.DUMMYFUNCTION("""COMPUTED_VALUE"""),"PR052")</f>
        <v>PR052</v>
      </c>
      <c r="B1633" s="2" t="str">
        <f>IFERROR(__xludf.DUMMYFUNCTION("""COMPUTED_VALUE"""),"VD043")</f>
        <v>VD043</v>
      </c>
      <c r="C1633" s="2">
        <f>IFERROR(__xludf.DUMMYFUNCTION("""COMPUTED_VALUE"""),1.0)</f>
        <v>1</v>
      </c>
      <c r="D1633" s="2">
        <f>IFERROR(__xludf.DUMMYFUNCTION("""COMPUTED_VALUE"""),54.89)</f>
        <v>54.89</v>
      </c>
    </row>
    <row r="1634">
      <c r="A1634" s="2" t="str">
        <f>IFERROR(__xludf.DUMMYFUNCTION("""COMPUTED_VALUE"""),"PR015")</f>
        <v>PR015</v>
      </c>
      <c r="B1634" s="2" t="str">
        <f>IFERROR(__xludf.DUMMYFUNCTION("""COMPUTED_VALUE"""),"VD041")</f>
        <v>VD041</v>
      </c>
      <c r="C1634" s="2">
        <f>IFERROR(__xludf.DUMMYFUNCTION("""COMPUTED_VALUE"""),4.0)</f>
        <v>4</v>
      </c>
      <c r="D1634" s="2">
        <f>IFERROR(__xludf.DUMMYFUNCTION("""COMPUTED_VALUE"""),187.0)</f>
        <v>187</v>
      </c>
    </row>
    <row r="1635">
      <c r="A1635" s="2" t="str">
        <f>IFERROR(__xludf.DUMMYFUNCTION("""COMPUTED_VALUE"""),"PR034")</f>
        <v>PR034</v>
      </c>
      <c r="B1635" s="2" t="str">
        <f>IFERROR(__xludf.DUMMYFUNCTION("""COMPUTED_VALUE"""),"VD020")</f>
        <v>VD020</v>
      </c>
      <c r="C1635" s="2">
        <f>IFERROR(__xludf.DUMMYFUNCTION("""COMPUTED_VALUE"""),3.0)</f>
        <v>3</v>
      </c>
      <c r="D1635" s="2">
        <f>IFERROR(__xludf.DUMMYFUNCTION("""COMPUTED_VALUE"""),272.4)</f>
        <v>272.4</v>
      </c>
    </row>
    <row r="1636">
      <c r="A1636" s="2" t="str">
        <f>IFERROR(__xludf.DUMMYFUNCTION("""COMPUTED_VALUE"""),"PR013")</f>
        <v>PR013</v>
      </c>
      <c r="B1636" s="2" t="str">
        <f>IFERROR(__xludf.DUMMYFUNCTION("""COMPUTED_VALUE"""),"VD044")</f>
        <v>VD044</v>
      </c>
      <c r="C1636" s="2">
        <f>IFERROR(__xludf.DUMMYFUNCTION("""COMPUTED_VALUE"""),2.0)</f>
        <v>2</v>
      </c>
      <c r="D1636" s="2">
        <f>IFERROR(__xludf.DUMMYFUNCTION("""COMPUTED_VALUE"""),84.59)</f>
        <v>84.59</v>
      </c>
    </row>
    <row r="1637">
      <c r="A1637" s="2" t="str">
        <f>IFERROR(__xludf.DUMMYFUNCTION("""COMPUTED_VALUE"""),"PR054")</f>
        <v>PR054</v>
      </c>
      <c r="B1637" s="2" t="str">
        <f>IFERROR(__xludf.DUMMYFUNCTION("""COMPUTED_VALUE"""),"VD031")</f>
        <v>VD031</v>
      </c>
      <c r="C1637" s="2">
        <f>IFERROR(__xludf.DUMMYFUNCTION("""COMPUTED_VALUE"""),6.0)</f>
        <v>6</v>
      </c>
      <c r="D1637" s="2">
        <f>IFERROR(__xludf.DUMMYFUNCTION("""COMPUTED_VALUE"""),305.39)</f>
        <v>305.39</v>
      </c>
    </row>
    <row r="1638">
      <c r="A1638" s="2" t="str">
        <f>IFERROR(__xludf.DUMMYFUNCTION("""COMPUTED_VALUE"""),"PR005")</f>
        <v>PR005</v>
      </c>
      <c r="B1638" s="2" t="str">
        <f>IFERROR(__xludf.DUMMYFUNCTION("""COMPUTED_VALUE"""),"VD039")</f>
        <v>VD039</v>
      </c>
      <c r="C1638" s="2">
        <f>IFERROR(__xludf.DUMMYFUNCTION("""COMPUTED_VALUE"""),10.0)</f>
        <v>10</v>
      </c>
      <c r="D1638" s="2">
        <f>IFERROR(__xludf.DUMMYFUNCTION("""COMPUTED_VALUE"""),2806.92)</f>
        <v>2806.92</v>
      </c>
    </row>
    <row r="1639">
      <c r="A1639" s="2" t="str">
        <f>IFERROR(__xludf.DUMMYFUNCTION("""COMPUTED_VALUE"""),"PR046")</f>
        <v>PR046</v>
      </c>
      <c r="B1639" s="2" t="str">
        <f>IFERROR(__xludf.DUMMYFUNCTION("""COMPUTED_VALUE"""),"VD027")</f>
        <v>VD027</v>
      </c>
      <c r="C1639" s="2">
        <f>IFERROR(__xludf.DUMMYFUNCTION("""COMPUTED_VALUE"""),14.0)</f>
        <v>14</v>
      </c>
      <c r="D1639" s="2">
        <f>IFERROR(__xludf.DUMMYFUNCTION("""COMPUTED_VALUE"""),4383.29)</f>
        <v>4383.29</v>
      </c>
    </row>
    <row r="1640">
      <c r="A1640" s="2" t="str">
        <f>IFERROR(__xludf.DUMMYFUNCTION("""COMPUTED_VALUE"""),"PR019")</f>
        <v>PR019</v>
      </c>
      <c r="B1640" s="2" t="str">
        <f>IFERROR(__xludf.DUMMYFUNCTION("""COMPUTED_VALUE"""),"VD015")</f>
        <v>VD015</v>
      </c>
      <c r="C1640" s="2">
        <f>IFERROR(__xludf.DUMMYFUNCTION("""COMPUTED_VALUE"""),9.0)</f>
        <v>9</v>
      </c>
      <c r="D1640" s="2">
        <f>IFERROR(__xludf.DUMMYFUNCTION("""COMPUTED_VALUE"""),485.03)</f>
        <v>485.03</v>
      </c>
    </row>
    <row r="1641">
      <c r="A1641" s="2" t="str">
        <f>IFERROR(__xludf.DUMMYFUNCTION("""COMPUTED_VALUE"""),"PR047")</f>
        <v>PR047</v>
      </c>
      <c r="B1641" s="2" t="str">
        <f>IFERROR(__xludf.DUMMYFUNCTION("""COMPUTED_VALUE"""),"VD026")</f>
        <v>VD026</v>
      </c>
      <c r="C1641" s="2">
        <f>IFERROR(__xludf.DUMMYFUNCTION("""COMPUTED_VALUE"""),2.0)</f>
        <v>2</v>
      </c>
      <c r="D1641" s="2">
        <f>IFERROR(__xludf.DUMMYFUNCTION("""COMPUTED_VALUE"""),608.79)</f>
        <v>608.79</v>
      </c>
    </row>
    <row r="1642">
      <c r="A1642" s="2" t="str">
        <f>IFERROR(__xludf.DUMMYFUNCTION("""COMPUTED_VALUE"""),"PR058")</f>
        <v>PR058</v>
      </c>
      <c r="B1642" s="2" t="str">
        <f>IFERROR(__xludf.DUMMYFUNCTION("""COMPUTED_VALUE"""),"VD037")</f>
        <v>VD037</v>
      </c>
      <c r="C1642" s="2">
        <f>IFERROR(__xludf.DUMMYFUNCTION("""COMPUTED_VALUE"""),16.0)</f>
        <v>16</v>
      </c>
      <c r="D1642" s="2">
        <f>IFERROR(__xludf.DUMMYFUNCTION("""COMPUTED_VALUE"""),3139.2)</f>
        <v>3139.2</v>
      </c>
    </row>
    <row r="1643">
      <c r="A1643" s="2" t="str">
        <f>IFERROR(__xludf.DUMMYFUNCTION("""COMPUTED_VALUE"""),"PR030")</f>
        <v>PR030</v>
      </c>
      <c r="B1643" s="2" t="str">
        <f>IFERROR(__xludf.DUMMYFUNCTION("""COMPUTED_VALUE"""),"VD035")</f>
        <v>VD035</v>
      </c>
      <c r="C1643" s="2">
        <f>IFERROR(__xludf.DUMMYFUNCTION("""COMPUTED_VALUE"""),8.0)</f>
        <v>8</v>
      </c>
      <c r="D1643" s="2">
        <f>IFERROR(__xludf.DUMMYFUNCTION("""COMPUTED_VALUE"""),2287.12)</f>
        <v>2287.12</v>
      </c>
    </row>
    <row r="1644">
      <c r="A1644" s="2" t="str">
        <f>IFERROR(__xludf.DUMMYFUNCTION("""COMPUTED_VALUE"""),"PR031")</f>
        <v>PR031</v>
      </c>
      <c r="B1644" s="2" t="str">
        <f>IFERROR(__xludf.DUMMYFUNCTION("""COMPUTED_VALUE"""),"VD043")</f>
        <v>VD043</v>
      </c>
      <c r="C1644" s="2">
        <f>IFERROR(__xludf.DUMMYFUNCTION("""COMPUTED_VALUE"""),20.0)</f>
        <v>20</v>
      </c>
      <c r="D1644" s="2">
        <f>IFERROR(__xludf.DUMMYFUNCTION("""COMPUTED_VALUE"""),5047.0)</f>
        <v>5047</v>
      </c>
    </row>
    <row r="1645">
      <c r="A1645" s="2" t="str">
        <f>IFERROR(__xludf.DUMMYFUNCTION("""COMPUTED_VALUE"""),"PR013")</f>
        <v>PR013</v>
      </c>
      <c r="B1645" s="2" t="str">
        <f>IFERROR(__xludf.DUMMYFUNCTION("""COMPUTED_VALUE"""),"VD034")</f>
        <v>VD034</v>
      </c>
      <c r="C1645" s="2">
        <f>IFERROR(__xludf.DUMMYFUNCTION("""COMPUTED_VALUE"""),4.0)</f>
        <v>4</v>
      </c>
      <c r="D1645" s="2">
        <f>IFERROR(__xludf.DUMMYFUNCTION("""COMPUTED_VALUE"""),167.58)</f>
        <v>167.58</v>
      </c>
    </row>
    <row r="1646">
      <c r="A1646" s="2" t="str">
        <f>IFERROR(__xludf.DUMMYFUNCTION("""COMPUTED_VALUE"""),"PR036")</f>
        <v>PR036</v>
      </c>
      <c r="B1646" s="2" t="str">
        <f>IFERROR(__xludf.DUMMYFUNCTION("""COMPUTED_VALUE"""),"VD039")</f>
        <v>VD039</v>
      </c>
      <c r="C1646" s="2">
        <f>IFERROR(__xludf.DUMMYFUNCTION("""COMPUTED_VALUE"""),7.0)</f>
        <v>7</v>
      </c>
      <c r="D1646" s="2">
        <f>IFERROR(__xludf.DUMMYFUNCTION("""COMPUTED_VALUE"""),706.86)</f>
        <v>706.86</v>
      </c>
    </row>
    <row r="1647">
      <c r="A1647" s="2" t="str">
        <f>IFERROR(__xludf.DUMMYFUNCTION("""COMPUTED_VALUE"""),"PR050")</f>
        <v>PR050</v>
      </c>
      <c r="B1647" s="2" t="str">
        <f>IFERROR(__xludf.DUMMYFUNCTION("""COMPUTED_VALUE"""),"VD025")</f>
        <v>VD025</v>
      </c>
      <c r="C1647" s="2">
        <f>IFERROR(__xludf.DUMMYFUNCTION("""COMPUTED_VALUE"""),9.0)</f>
        <v>9</v>
      </c>
      <c r="D1647" s="2">
        <f>IFERROR(__xludf.DUMMYFUNCTION("""COMPUTED_VALUE"""),304.98)</f>
        <v>304.98</v>
      </c>
    </row>
    <row r="1648">
      <c r="A1648" s="2" t="str">
        <f>IFERROR(__xludf.DUMMYFUNCTION("""COMPUTED_VALUE"""),"PR055")</f>
        <v>PR055</v>
      </c>
      <c r="B1648" s="2" t="str">
        <f>IFERROR(__xludf.DUMMYFUNCTION("""COMPUTED_VALUE"""),"VD040")</f>
        <v>VD040</v>
      </c>
      <c r="C1648" s="2">
        <f>IFERROR(__xludf.DUMMYFUNCTION("""COMPUTED_VALUE"""),20.0)</f>
        <v>20</v>
      </c>
      <c r="D1648" s="2">
        <f>IFERROR(__xludf.DUMMYFUNCTION("""COMPUTED_VALUE"""),1923.86)</f>
        <v>1923.86</v>
      </c>
    </row>
    <row r="1649">
      <c r="A1649" s="2" t="str">
        <f>IFERROR(__xludf.DUMMYFUNCTION("""COMPUTED_VALUE"""),"PR007")</f>
        <v>PR007</v>
      </c>
      <c r="B1649" s="2" t="str">
        <f>IFERROR(__xludf.DUMMYFUNCTION("""COMPUTED_VALUE"""),"VD012")</f>
        <v>VD012</v>
      </c>
      <c r="C1649" s="2">
        <f>IFERROR(__xludf.DUMMYFUNCTION("""COMPUTED_VALUE"""),16.0)</f>
        <v>16</v>
      </c>
      <c r="D1649" s="2">
        <f>IFERROR(__xludf.DUMMYFUNCTION("""COMPUTED_VALUE"""),1470.61)</f>
        <v>1470.61</v>
      </c>
    </row>
    <row r="1650">
      <c r="A1650" s="2" t="str">
        <f>IFERROR(__xludf.DUMMYFUNCTION("""COMPUTED_VALUE"""),"PR002")</f>
        <v>PR002</v>
      </c>
      <c r="B1650" s="2" t="str">
        <f>IFERROR(__xludf.DUMMYFUNCTION("""COMPUTED_VALUE"""),"VD042")</f>
        <v>VD042</v>
      </c>
      <c r="C1650" s="2">
        <f>IFERROR(__xludf.DUMMYFUNCTION("""COMPUTED_VALUE"""),10.0)</f>
        <v>10</v>
      </c>
      <c r="D1650" s="2">
        <f>IFERROR(__xludf.DUMMYFUNCTION("""COMPUTED_VALUE"""),712.98)</f>
        <v>712.98</v>
      </c>
    </row>
    <row r="1651">
      <c r="A1651" s="2" t="str">
        <f>IFERROR(__xludf.DUMMYFUNCTION("""COMPUTED_VALUE"""),"PR030")</f>
        <v>PR030</v>
      </c>
      <c r="B1651" s="2" t="str">
        <f>IFERROR(__xludf.DUMMYFUNCTION("""COMPUTED_VALUE"""),"VD013")</f>
        <v>VD013</v>
      </c>
      <c r="C1651" s="2">
        <f>IFERROR(__xludf.DUMMYFUNCTION("""COMPUTED_VALUE"""),12.0)</f>
        <v>12</v>
      </c>
      <c r="D1651" s="2">
        <f>IFERROR(__xludf.DUMMYFUNCTION("""COMPUTED_VALUE"""),3118.8)</f>
        <v>3118.8</v>
      </c>
    </row>
    <row r="1652">
      <c r="A1652" s="2" t="str">
        <f>IFERROR(__xludf.DUMMYFUNCTION("""COMPUTED_VALUE"""),"PR060")</f>
        <v>PR060</v>
      </c>
      <c r="B1652" s="2" t="str">
        <f>IFERROR(__xludf.DUMMYFUNCTION("""COMPUTED_VALUE"""),"VD027")</f>
        <v>VD027</v>
      </c>
      <c r="C1652" s="2">
        <f>IFERROR(__xludf.DUMMYFUNCTION("""COMPUTED_VALUE"""),14.0)</f>
        <v>14</v>
      </c>
      <c r="D1652" s="2">
        <f>IFERROR(__xludf.DUMMYFUNCTION("""COMPUTED_VALUE"""),2520.0)</f>
        <v>2520</v>
      </c>
    </row>
    <row r="1653">
      <c r="A1653" s="2" t="str">
        <f>IFERROR(__xludf.DUMMYFUNCTION("""COMPUTED_VALUE"""),"PR040")</f>
        <v>PR040</v>
      </c>
      <c r="B1653" s="2" t="str">
        <f>IFERROR(__xludf.DUMMYFUNCTION("""COMPUTED_VALUE"""),"VD039")</f>
        <v>VD039</v>
      </c>
      <c r="C1653" s="2">
        <f>IFERROR(__xludf.DUMMYFUNCTION("""COMPUTED_VALUE"""),7.0)</f>
        <v>7</v>
      </c>
      <c r="D1653" s="2">
        <f>IFERROR(__xludf.DUMMYFUNCTION("""COMPUTED_VALUE"""),504.7)</f>
        <v>504.7</v>
      </c>
    </row>
    <row r="1654">
      <c r="A1654" s="2" t="str">
        <f>IFERROR(__xludf.DUMMYFUNCTION("""COMPUTED_VALUE"""),"PR052")</f>
        <v>PR052</v>
      </c>
      <c r="B1654" s="2" t="str">
        <f>IFERROR(__xludf.DUMMYFUNCTION("""COMPUTED_VALUE"""),"VD016")</f>
        <v>VD016</v>
      </c>
      <c r="C1654" s="2">
        <f>IFERROR(__xludf.DUMMYFUNCTION("""COMPUTED_VALUE"""),7.0)</f>
        <v>7</v>
      </c>
      <c r="D1654" s="2">
        <f>IFERROR(__xludf.DUMMYFUNCTION("""COMPUTED_VALUE"""),363.27)</f>
        <v>363.27</v>
      </c>
    </row>
    <row r="1655">
      <c r="A1655" s="2" t="str">
        <f>IFERROR(__xludf.DUMMYFUNCTION("""COMPUTED_VALUE"""),"PR057")</f>
        <v>PR057</v>
      </c>
      <c r="B1655" s="2" t="str">
        <f>IFERROR(__xludf.DUMMYFUNCTION("""COMPUTED_VALUE"""),"VD035")</f>
        <v>VD035</v>
      </c>
      <c r="C1655" s="2">
        <f>IFERROR(__xludf.DUMMYFUNCTION("""COMPUTED_VALUE"""),2.0)</f>
        <v>2</v>
      </c>
      <c r="D1655" s="2">
        <f>IFERROR(__xludf.DUMMYFUNCTION("""COMPUTED_VALUE"""),188.79)</f>
        <v>188.79</v>
      </c>
    </row>
    <row r="1656">
      <c r="A1656" s="2" t="str">
        <f>IFERROR(__xludf.DUMMYFUNCTION("""COMPUTED_VALUE"""),"PR019")</f>
        <v>PR019</v>
      </c>
      <c r="B1656" s="2" t="str">
        <f>IFERROR(__xludf.DUMMYFUNCTION("""COMPUTED_VALUE"""),"VD031")</f>
        <v>VD031</v>
      </c>
      <c r="C1656" s="2">
        <f>IFERROR(__xludf.DUMMYFUNCTION("""COMPUTED_VALUE"""),9.0)</f>
        <v>9</v>
      </c>
      <c r="D1656" s="2">
        <f>IFERROR(__xludf.DUMMYFUNCTION("""COMPUTED_VALUE"""),480.54)</f>
        <v>480.54</v>
      </c>
    </row>
    <row r="1657">
      <c r="A1657" s="2" t="str">
        <f>IFERROR(__xludf.DUMMYFUNCTION("""COMPUTED_VALUE"""),"PR049")</f>
        <v>PR049</v>
      </c>
      <c r="B1657" s="2" t="str">
        <f>IFERROR(__xludf.DUMMYFUNCTION("""COMPUTED_VALUE"""),"VD044")</f>
        <v>VD044</v>
      </c>
      <c r="C1657" s="2">
        <f>IFERROR(__xludf.DUMMYFUNCTION("""COMPUTED_VALUE"""),2.0)</f>
        <v>2</v>
      </c>
      <c r="D1657" s="2">
        <f>IFERROR(__xludf.DUMMYFUNCTION("""COMPUTED_VALUE"""),70.41)</f>
        <v>70.41</v>
      </c>
    </row>
    <row r="1658">
      <c r="A1658" s="2" t="str">
        <f>IFERROR(__xludf.DUMMYFUNCTION("""COMPUTED_VALUE"""),"PR017")</f>
        <v>PR017</v>
      </c>
      <c r="B1658" s="2" t="str">
        <f>IFERROR(__xludf.DUMMYFUNCTION("""COMPUTED_VALUE"""),"VD033")</f>
        <v>VD033</v>
      </c>
      <c r="C1658" s="2">
        <f>IFERROR(__xludf.DUMMYFUNCTION("""COMPUTED_VALUE"""),4.0)</f>
        <v>4</v>
      </c>
      <c r="D1658" s="2">
        <f>IFERROR(__xludf.DUMMYFUNCTION("""COMPUTED_VALUE"""),131.56)</f>
        <v>131.56</v>
      </c>
    </row>
    <row r="1659">
      <c r="A1659" s="2" t="str">
        <f>IFERROR(__xludf.DUMMYFUNCTION("""COMPUTED_VALUE"""),"PR034")</f>
        <v>PR034</v>
      </c>
      <c r="B1659" s="2" t="str">
        <f>IFERROR(__xludf.DUMMYFUNCTION("""COMPUTED_VALUE"""),"VD015")</f>
        <v>VD015</v>
      </c>
      <c r="C1659" s="2">
        <f>IFERROR(__xludf.DUMMYFUNCTION("""COMPUTED_VALUE"""),6.0)</f>
        <v>6</v>
      </c>
      <c r="D1659" s="2">
        <f>IFERROR(__xludf.DUMMYFUNCTION("""COMPUTED_VALUE"""),544.79)</f>
        <v>544.79</v>
      </c>
    </row>
    <row r="1660">
      <c r="A1660" s="2" t="str">
        <f>IFERROR(__xludf.DUMMYFUNCTION("""COMPUTED_VALUE"""),"PR048")</f>
        <v>PR048</v>
      </c>
      <c r="B1660" s="2" t="str">
        <f>IFERROR(__xludf.DUMMYFUNCTION("""COMPUTED_VALUE"""),"VD043")</f>
        <v>VD043</v>
      </c>
      <c r="C1660" s="2">
        <f>IFERROR(__xludf.DUMMYFUNCTION("""COMPUTED_VALUE"""),9.0)</f>
        <v>9</v>
      </c>
      <c r="D1660" s="2">
        <f>IFERROR(__xludf.DUMMYFUNCTION("""COMPUTED_VALUE"""),2713.46)</f>
        <v>2713.46</v>
      </c>
    </row>
    <row r="1661">
      <c r="A1661" s="2" t="str">
        <f>IFERROR(__xludf.DUMMYFUNCTION("""COMPUTED_VALUE"""),"PR004")</f>
        <v>PR004</v>
      </c>
      <c r="B1661" s="2" t="str">
        <f>IFERROR(__xludf.DUMMYFUNCTION("""COMPUTED_VALUE"""),"VD037")</f>
        <v>VD037</v>
      </c>
      <c r="C1661" s="2">
        <f>IFERROR(__xludf.DUMMYFUNCTION("""COMPUTED_VALUE"""),5.0)</f>
        <v>5</v>
      </c>
      <c r="D1661" s="2">
        <f>IFERROR(__xludf.DUMMYFUNCTION("""COMPUTED_VALUE"""),725.0)</f>
        <v>725</v>
      </c>
    </row>
    <row r="1662">
      <c r="A1662" s="2" t="str">
        <f>IFERROR(__xludf.DUMMYFUNCTION("""COMPUTED_VALUE"""),"PR059")</f>
        <v>PR059</v>
      </c>
      <c r="B1662" s="2" t="str">
        <f>IFERROR(__xludf.DUMMYFUNCTION("""COMPUTED_VALUE"""),"VD049")</f>
        <v>VD049</v>
      </c>
      <c r="C1662" s="2">
        <f>IFERROR(__xludf.DUMMYFUNCTION("""COMPUTED_VALUE"""),5.0)</f>
        <v>5</v>
      </c>
      <c r="D1662" s="2">
        <f>IFERROR(__xludf.DUMMYFUNCTION("""COMPUTED_VALUE"""),945.0)</f>
        <v>945</v>
      </c>
    </row>
    <row r="1663">
      <c r="A1663" s="2" t="str">
        <f>IFERROR(__xludf.DUMMYFUNCTION("""COMPUTED_VALUE"""),"PR005")</f>
        <v>PR005</v>
      </c>
      <c r="B1663" s="2" t="str">
        <f>IFERROR(__xludf.DUMMYFUNCTION("""COMPUTED_VALUE"""),"VD018")</f>
        <v>VD018</v>
      </c>
      <c r="C1663" s="2">
        <f>IFERROR(__xludf.DUMMYFUNCTION("""COMPUTED_VALUE"""),20.0)</f>
        <v>20</v>
      </c>
      <c r="D1663" s="2">
        <f>IFERROR(__xludf.DUMMYFUNCTION("""COMPUTED_VALUE"""),5717.8)</f>
        <v>5717.8</v>
      </c>
    </row>
    <row r="1664">
      <c r="A1664" s="2" t="str">
        <f>IFERROR(__xludf.DUMMYFUNCTION("""COMPUTED_VALUE"""),"PR050")</f>
        <v>PR050</v>
      </c>
      <c r="B1664" s="2" t="str">
        <f>IFERROR(__xludf.DUMMYFUNCTION("""COMPUTED_VALUE"""),"VD010")</f>
        <v>VD010</v>
      </c>
      <c r="C1664" s="2">
        <f>IFERROR(__xludf.DUMMYFUNCTION("""COMPUTED_VALUE"""),10.0)</f>
        <v>10</v>
      </c>
      <c r="D1664" s="2">
        <f>IFERROR(__xludf.DUMMYFUNCTION("""COMPUTED_VALUE"""),342.16)</f>
        <v>342.16</v>
      </c>
    </row>
    <row r="1665">
      <c r="A1665" s="2" t="str">
        <f>IFERROR(__xludf.DUMMYFUNCTION("""COMPUTED_VALUE"""),"PR033")</f>
        <v>PR033</v>
      </c>
      <c r="B1665" s="2" t="str">
        <f>IFERROR(__xludf.DUMMYFUNCTION("""COMPUTED_VALUE"""),"VD042")</f>
        <v>VD042</v>
      </c>
      <c r="C1665" s="2">
        <f>IFERROR(__xludf.DUMMYFUNCTION("""COMPUTED_VALUE"""),8.0)</f>
        <v>8</v>
      </c>
      <c r="D1665" s="2">
        <f>IFERROR(__xludf.DUMMYFUNCTION("""COMPUTED_VALUE"""),2079.2)</f>
        <v>2079.2</v>
      </c>
    </row>
    <row r="1666">
      <c r="A1666" s="2" t="str">
        <f>IFERROR(__xludf.DUMMYFUNCTION("""COMPUTED_VALUE"""),"PR038")</f>
        <v>PR038</v>
      </c>
      <c r="B1666" s="2" t="str">
        <f>IFERROR(__xludf.DUMMYFUNCTION("""COMPUTED_VALUE"""),"VD027")</f>
        <v>VD027</v>
      </c>
      <c r="C1666" s="2">
        <f>IFERROR(__xludf.DUMMYFUNCTION("""COMPUTED_VALUE"""),14.0)</f>
        <v>14</v>
      </c>
      <c r="D1666" s="2">
        <f>IFERROR(__xludf.DUMMYFUNCTION("""COMPUTED_VALUE"""),2080.62)</f>
        <v>2080.62</v>
      </c>
    </row>
    <row r="1667">
      <c r="A1667" s="2" t="str">
        <f>IFERROR(__xludf.DUMMYFUNCTION("""COMPUTED_VALUE"""),"PR032")</f>
        <v>PR032</v>
      </c>
      <c r="B1667" s="2" t="str">
        <f>IFERROR(__xludf.DUMMYFUNCTION("""COMPUTED_VALUE"""),"VD034")</f>
        <v>VD034</v>
      </c>
      <c r="C1667" s="2">
        <f>IFERROR(__xludf.DUMMYFUNCTION("""COMPUTED_VALUE"""),7.0)</f>
        <v>7</v>
      </c>
      <c r="D1667" s="2">
        <f>IFERROR(__xludf.DUMMYFUNCTION("""COMPUTED_VALUE"""),1907.5)</f>
        <v>1907.5</v>
      </c>
    </row>
    <row r="1668">
      <c r="A1668" s="2" t="str">
        <f>IFERROR(__xludf.DUMMYFUNCTION("""COMPUTED_VALUE"""),"PR042")</f>
        <v>PR042</v>
      </c>
      <c r="B1668" s="2" t="str">
        <f>IFERROR(__xludf.DUMMYFUNCTION("""COMPUTED_VALUE"""),"VD012")</f>
        <v>VD012</v>
      </c>
      <c r="C1668" s="2">
        <f>IFERROR(__xludf.DUMMYFUNCTION("""COMPUTED_VALUE"""),2.0)</f>
        <v>2</v>
      </c>
      <c r="D1668" s="2">
        <f>IFERROR(__xludf.DUMMYFUNCTION("""COMPUTED_VALUE"""),109.8)</f>
        <v>109.8</v>
      </c>
    </row>
    <row r="1669">
      <c r="A1669" s="2" t="str">
        <f>IFERROR(__xludf.DUMMYFUNCTION("""COMPUTED_VALUE"""),"PR017")</f>
        <v>PR017</v>
      </c>
      <c r="B1669" s="2" t="str">
        <f>IFERROR(__xludf.DUMMYFUNCTION("""COMPUTED_VALUE"""),"VD018")</f>
        <v>VD018</v>
      </c>
      <c r="C1669" s="2">
        <f>IFERROR(__xludf.DUMMYFUNCTION("""COMPUTED_VALUE"""),20.0)</f>
        <v>20</v>
      </c>
      <c r="D1669" s="2">
        <f>IFERROR(__xludf.DUMMYFUNCTION("""COMPUTED_VALUE"""),657.8)</f>
        <v>657.8</v>
      </c>
    </row>
    <row r="1670">
      <c r="A1670" s="2" t="str">
        <f>IFERROR(__xludf.DUMMYFUNCTION("""COMPUTED_VALUE"""),"PR037")</f>
        <v>PR037</v>
      </c>
      <c r="B1670" s="2" t="str">
        <f>IFERROR(__xludf.DUMMYFUNCTION("""COMPUTED_VALUE"""),"VD013")</f>
        <v>VD013</v>
      </c>
      <c r="C1670" s="2">
        <f>IFERROR(__xludf.DUMMYFUNCTION("""COMPUTED_VALUE"""),10.0)</f>
        <v>10</v>
      </c>
      <c r="D1670" s="2">
        <f>IFERROR(__xludf.DUMMYFUNCTION("""COMPUTED_VALUE"""),1414.0)</f>
        <v>1414</v>
      </c>
    </row>
    <row r="1671">
      <c r="A1671" s="2" t="str">
        <f>IFERROR(__xludf.DUMMYFUNCTION("""COMPUTED_VALUE"""),"PR041")</f>
        <v>PR041</v>
      </c>
      <c r="B1671" s="2" t="str">
        <f>IFERROR(__xludf.DUMMYFUNCTION("""COMPUTED_VALUE"""),"VD021")</f>
        <v>VD021</v>
      </c>
      <c r="C1671" s="2">
        <f>IFERROR(__xludf.DUMMYFUNCTION("""COMPUTED_VALUE"""),8.0)</f>
        <v>8</v>
      </c>
      <c r="D1671" s="2">
        <f>IFERROR(__xludf.DUMMYFUNCTION("""COMPUTED_VALUE"""),443.59)</f>
        <v>443.59</v>
      </c>
    </row>
    <row r="1672">
      <c r="A1672" s="2" t="str">
        <f>IFERROR(__xludf.DUMMYFUNCTION("""COMPUTED_VALUE"""),"PR039")</f>
        <v>PR039</v>
      </c>
      <c r="B1672" s="2" t="str">
        <f>IFERROR(__xludf.DUMMYFUNCTION("""COMPUTED_VALUE"""),"VD032")</f>
        <v>VD032</v>
      </c>
      <c r="C1672" s="2">
        <f>IFERROR(__xludf.DUMMYFUNCTION("""COMPUTED_VALUE"""),8.0)</f>
        <v>8</v>
      </c>
      <c r="D1672" s="2">
        <f>IFERROR(__xludf.DUMMYFUNCTION("""COMPUTED_VALUE"""),1214.72)</f>
        <v>1214.72</v>
      </c>
    </row>
    <row r="1673">
      <c r="A1673" s="2" t="str">
        <f>IFERROR(__xludf.DUMMYFUNCTION("""COMPUTED_VALUE"""),"PR043")</f>
        <v>PR043</v>
      </c>
      <c r="B1673" s="2" t="str">
        <f>IFERROR(__xludf.DUMMYFUNCTION("""COMPUTED_VALUE"""),"VD026")</f>
        <v>VD026</v>
      </c>
      <c r="C1673" s="2">
        <f>IFERROR(__xludf.DUMMYFUNCTION("""COMPUTED_VALUE"""),2.0)</f>
        <v>2</v>
      </c>
      <c r="D1673" s="2">
        <f>IFERROR(__xludf.DUMMYFUNCTION("""COMPUTED_VALUE"""),152.25)</f>
        <v>152.25</v>
      </c>
    </row>
    <row r="1674">
      <c r="A1674" s="2" t="str">
        <f>IFERROR(__xludf.DUMMYFUNCTION("""COMPUTED_VALUE"""),"PR046")</f>
        <v>PR046</v>
      </c>
      <c r="B1674" s="2" t="str">
        <f>IFERROR(__xludf.DUMMYFUNCTION("""COMPUTED_VALUE"""),"VD038")</f>
        <v>VD038</v>
      </c>
      <c r="C1674" s="2">
        <f>IFERROR(__xludf.DUMMYFUNCTION("""COMPUTED_VALUE"""),8.0)</f>
        <v>8</v>
      </c>
      <c r="D1674" s="2">
        <f>IFERROR(__xludf.DUMMYFUNCTION("""COMPUTED_VALUE"""),2527.93)</f>
        <v>2527.93</v>
      </c>
    </row>
    <row r="1675">
      <c r="A1675" s="2" t="str">
        <f>IFERROR(__xludf.DUMMYFUNCTION("""COMPUTED_VALUE"""),"PR006")</f>
        <v>PR006</v>
      </c>
      <c r="B1675" s="2" t="str">
        <f>IFERROR(__xludf.DUMMYFUNCTION("""COMPUTED_VALUE"""),"VD030")</f>
        <v>VD030</v>
      </c>
      <c r="C1675" s="2">
        <f>IFERROR(__xludf.DUMMYFUNCTION("""COMPUTED_VALUE"""),8.0)</f>
        <v>8</v>
      </c>
      <c r="D1675" s="2">
        <f>IFERROR(__xludf.DUMMYFUNCTION("""COMPUTED_VALUE"""),335.16)</f>
        <v>335.16</v>
      </c>
    </row>
    <row r="1676">
      <c r="A1676" s="2" t="str">
        <f>IFERROR(__xludf.DUMMYFUNCTION("""COMPUTED_VALUE"""),"PR052")</f>
        <v>PR052</v>
      </c>
      <c r="B1676" s="2" t="str">
        <f>IFERROR(__xludf.DUMMYFUNCTION("""COMPUTED_VALUE"""),"VD032")</f>
        <v>VD032</v>
      </c>
      <c r="C1676" s="2">
        <f>IFERROR(__xludf.DUMMYFUNCTION("""COMPUTED_VALUE"""),1.0)</f>
        <v>1</v>
      </c>
      <c r="D1676" s="2">
        <f>IFERROR(__xludf.DUMMYFUNCTION("""COMPUTED_VALUE"""),50.4)</f>
        <v>50.4</v>
      </c>
    </row>
    <row r="1677">
      <c r="A1677" s="2" t="str">
        <f>IFERROR(__xludf.DUMMYFUNCTION("""COMPUTED_VALUE"""),"PR057")</f>
        <v>PR057</v>
      </c>
      <c r="B1677" s="2" t="str">
        <f>IFERROR(__xludf.DUMMYFUNCTION("""COMPUTED_VALUE"""),"VD038")</f>
        <v>VD038</v>
      </c>
      <c r="C1677" s="2">
        <f>IFERROR(__xludf.DUMMYFUNCTION("""COMPUTED_VALUE"""),2.0)</f>
        <v>2</v>
      </c>
      <c r="D1677" s="2">
        <f>IFERROR(__xludf.DUMMYFUNCTION("""COMPUTED_VALUE"""),197.78)</f>
        <v>197.78</v>
      </c>
    </row>
    <row r="1678">
      <c r="A1678" s="2" t="str">
        <f>IFERROR(__xludf.DUMMYFUNCTION("""COMPUTED_VALUE"""),"PR056")</f>
        <v>PR056</v>
      </c>
      <c r="B1678" s="2" t="str">
        <f>IFERROR(__xludf.DUMMYFUNCTION("""COMPUTED_VALUE"""),"VD020")</f>
        <v>VD020</v>
      </c>
      <c r="C1678" s="2">
        <f>IFERROR(__xludf.DUMMYFUNCTION("""COMPUTED_VALUE"""),6.0)</f>
        <v>6</v>
      </c>
      <c r="D1678" s="2">
        <f>IFERROR(__xludf.DUMMYFUNCTION("""COMPUTED_VALUE"""),587.95)</f>
        <v>587.95</v>
      </c>
    </row>
    <row r="1679">
      <c r="A1679" s="2" t="str">
        <f>IFERROR(__xludf.DUMMYFUNCTION("""COMPUTED_VALUE"""),"PR024")</f>
        <v>PR024</v>
      </c>
      <c r="B1679" s="2" t="str">
        <f>IFERROR(__xludf.DUMMYFUNCTION("""COMPUTED_VALUE"""),"VD049")</f>
        <v>VD049</v>
      </c>
      <c r="C1679" s="2">
        <f>IFERROR(__xludf.DUMMYFUNCTION("""COMPUTED_VALUE"""),3.0)</f>
        <v>3</v>
      </c>
      <c r="D1679" s="2">
        <f>IFERROR(__xludf.DUMMYFUNCTION("""COMPUTED_VALUE"""),810.89)</f>
        <v>810.89</v>
      </c>
    </row>
    <row r="1680">
      <c r="A1680" s="2" t="str">
        <f>IFERROR(__xludf.DUMMYFUNCTION("""COMPUTED_VALUE"""),"PR036")</f>
        <v>PR036</v>
      </c>
      <c r="B1680" s="2" t="str">
        <f>IFERROR(__xludf.DUMMYFUNCTION("""COMPUTED_VALUE"""),"VD021")</f>
        <v>VD021</v>
      </c>
      <c r="C1680" s="2">
        <f>IFERROR(__xludf.DUMMYFUNCTION("""COMPUTED_VALUE"""),2.0)</f>
        <v>2</v>
      </c>
      <c r="D1680" s="2">
        <f>IFERROR(__xludf.DUMMYFUNCTION("""COMPUTED_VALUE"""),198.22)</f>
        <v>198.22</v>
      </c>
    </row>
    <row r="1681">
      <c r="A1681" s="2" t="str">
        <f>IFERROR(__xludf.DUMMYFUNCTION("""COMPUTED_VALUE"""),"PR024")</f>
        <v>PR024</v>
      </c>
      <c r="B1681" s="2" t="str">
        <f>IFERROR(__xludf.DUMMYFUNCTION("""COMPUTED_VALUE"""),"VD031")</f>
        <v>VD031</v>
      </c>
      <c r="C1681" s="2">
        <f>IFERROR(__xludf.DUMMYFUNCTION("""COMPUTED_VALUE"""),4.0)</f>
        <v>4</v>
      </c>
      <c r="D1681" s="2">
        <f>IFERROR(__xludf.DUMMYFUNCTION("""COMPUTED_VALUE"""),1101.98)</f>
        <v>1101.98</v>
      </c>
    </row>
    <row r="1682">
      <c r="A1682" s="2" t="str">
        <f>IFERROR(__xludf.DUMMYFUNCTION("""COMPUTED_VALUE"""),"PR011")</f>
        <v>PR011</v>
      </c>
      <c r="B1682" s="2" t="str">
        <f>IFERROR(__xludf.DUMMYFUNCTION("""COMPUTED_VALUE"""),"VD019")</f>
        <v>VD019</v>
      </c>
      <c r="C1682" s="2">
        <f>IFERROR(__xludf.DUMMYFUNCTION("""COMPUTED_VALUE"""),20.0)</f>
        <v>20</v>
      </c>
      <c r="D1682" s="2">
        <f>IFERROR(__xludf.DUMMYFUNCTION("""COMPUTED_VALUE"""),938.0)</f>
        <v>938</v>
      </c>
    </row>
    <row r="1683">
      <c r="A1683" s="2" t="str">
        <f>IFERROR(__xludf.DUMMYFUNCTION("""COMPUTED_VALUE"""),"PR019")</f>
        <v>PR019</v>
      </c>
      <c r="B1683" s="2" t="str">
        <f>IFERROR(__xludf.DUMMYFUNCTION("""COMPUTED_VALUE"""),"VD012")</f>
        <v>VD012</v>
      </c>
      <c r="C1683" s="2">
        <f>IFERROR(__xludf.DUMMYFUNCTION("""COMPUTED_VALUE"""),10.0)</f>
        <v>10</v>
      </c>
      <c r="D1683" s="2">
        <f>IFERROR(__xludf.DUMMYFUNCTION("""COMPUTED_VALUE"""),533.93)</f>
        <v>533.93</v>
      </c>
    </row>
    <row r="1684">
      <c r="A1684" s="2" t="str">
        <f>IFERROR(__xludf.DUMMYFUNCTION("""COMPUTED_VALUE"""),"PR058")</f>
        <v>PR058</v>
      </c>
      <c r="B1684" s="2" t="str">
        <f>IFERROR(__xludf.DUMMYFUNCTION("""COMPUTED_VALUE"""),"VD019")</f>
        <v>VD019</v>
      </c>
      <c r="C1684" s="2">
        <f>IFERROR(__xludf.DUMMYFUNCTION("""COMPUTED_VALUE"""),7.0)</f>
        <v>7</v>
      </c>
      <c r="D1684" s="2">
        <f>IFERROR(__xludf.DUMMYFUNCTION("""COMPUTED_VALUE"""),1386.0)</f>
        <v>1386</v>
      </c>
    </row>
    <row r="1685">
      <c r="A1685" s="2" t="str">
        <f>IFERROR(__xludf.DUMMYFUNCTION("""COMPUTED_VALUE"""),"PR034")</f>
        <v>PR034</v>
      </c>
      <c r="B1685" s="2" t="str">
        <f>IFERROR(__xludf.DUMMYFUNCTION("""COMPUTED_VALUE"""),"VD039")</f>
        <v>VD039</v>
      </c>
      <c r="C1685" s="2">
        <f>IFERROR(__xludf.DUMMYFUNCTION("""COMPUTED_VALUE"""),16.0)</f>
        <v>16</v>
      </c>
      <c r="D1685" s="2">
        <f>IFERROR(__xludf.DUMMYFUNCTION("""COMPUTED_VALUE"""),1524.7)</f>
        <v>1524.7</v>
      </c>
    </row>
    <row r="1686">
      <c r="A1686" s="2" t="str">
        <f>IFERROR(__xludf.DUMMYFUNCTION("""COMPUTED_VALUE"""),"PR043")</f>
        <v>PR043</v>
      </c>
      <c r="B1686" s="2" t="str">
        <f>IFERROR(__xludf.DUMMYFUNCTION("""COMPUTED_VALUE"""),"VD046")</f>
        <v>VD046</v>
      </c>
      <c r="C1686" s="2">
        <f>IFERROR(__xludf.DUMMYFUNCTION("""COMPUTED_VALUE"""),3.0)</f>
        <v>3</v>
      </c>
      <c r="D1686" s="2">
        <f>IFERROR(__xludf.DUMMYFUNCTION("""COMPUTED_VALUE"""),230.55)</f>
        <v>230.55</v>
      </c>
    </row>
    <row r="1687">
      <c r="A1687" s="2" t="str">
        <f>IFERROR(__xludf.DUMMYFUNCTION("""COMPUTED_VALUE"""),"PR052")</f>
        <v>PR052</v>
      </c>
      <c r="B1687" s="2" t="str">
        <f>IFERROR(__xludf.DUMMYFUNCTION("""COMPUTED_VALUE"""),"VD045")</f>
        <v>VD045</v>
      </c>
      <c r="C1687" s="2">
        <f>IFERROR(__xludf.DUMMYFUNCTION("""COMPUTED_VALUE"""),3.0)</f>
        <v>3</v>
      </c>
      <c r="D1687" s="2">
        <f>IFERROR(__xludf.DUMMYFUNCTION("""COMPUTED_VALUE"""),163.17)</f>
        <v>163.17</v>
      </c>
    </row>
    <row r="1688">
      <c r="A1688" s="2" t="str">
        <f>IFERROR(__xludf.DUMMYFUNCTION("""COMPUTED_VALUE"""),"PR054")</f>
        <v>PR054</v>
      </c>
      <c r="B1688" s="2" t="str">
        <f>IFERROR(__xludf.DUMMYFUNCTION("""COMPUTED_VALUE"""),"VD041")</f>
        <v>VD041</v>
      </c>
      <c r="C1688" s="2">
        <f>IFERROR(__xludf.DUMMYFUNCTION("""COMPUTED_VALUE"""),12.0)</f>
        <v>12</v>
      </c>
      <c r="D1688" s="2">
        <f>IFERROR(__xludf.DUMMYFUNCTION("""COMPUTED_VALUE"""),622.75)</f>
        <v>622.75</v>
      </c>
    </row>
    <row r="1689">
      <c r="A1689" s="2" t="str">
        <f>IFERROR(__xludf.DUMMYFUNCTION("""COMPUTED_VALUE"""),"PR059")</f>
        <v>PR059</v>
      </c>
      <c r="B1689" s="2" t="str">
        <f>IFERROR(__xludf.DUMMYFUNCTION("""COMPUTED_VALUE"""),"VD014")</f>
        <v>VD014</v>
      </c>
      <c r="C1689" s="2">
        <f>IFERROR(__xludf.DUMMYFUNCTION("""COMPUTED_VALUE"""),7.0)</f>
        <v>7</v>
      </c>
      <c r="D1689" s="2">
        <f>IFERROR(__xludf.DUMMYFUNCTION("""COMPUTED_VALUE"""),1310.4)</f>
        <v>1310.4</v>
      </c>
    </row>
    <row r="1690">
      <c r="A1690" s="2" t="str">
        <f>IFERROR(__xludf.DUMMYFUNCTION("""COMPUTED_VALUE"""),"PR020")</f>
        <v>PR020</v>
      </c>
      <c r="B1690" s="2" t="str">
        <f>IFERROR(__xludf.DUMMYFUNCTION("""COMPUTED_VALUE"""),"VD036")</f>
        <v>VD036</v>
      </c>
      <c r="C1690" s="2">
        <f>IFERROR(__xludf.DUMMYFUNCTION("""COMPUTED_VALUE"""),20.0)</f>
        <v>20</v>
      </c>
      <c r="D1690" s="2">
        <f>IFERROR(__xludf.DUMMYFUNCTION("""COMPUTED_VALUE"""),6357.88)</f>
        <v>6357.88</v>
      </c>
    </row>
    <row r="1691">
      <c r="A1691" s="2" t="str">
        <f>IFERROR(__xludf.DUMMYFUNCTION("""COMPUTED_VALUE"""),"PR017")</f>
        <v>PR017</v>
      </c>
      <c r="B1691" s="2" t="str">
        <f>IFERROR(__xludf.DUMMYFUNCTION("""COMPUTED_VALUE"""),"VD027")</f>
        <v>VD027</v>
      </c>
      <c r="C1691" s="2">
        <f>IFERROR(__xludf.DUMMYFUNCTION("""COMPUTED_VALUE"""),12.0)</f>
        <v>12</v>
      </c>
      <c r="D1691" s="2">
        <f>IFERROR(__xludf.DUMMYFUNCTION("""COMPUTED_VALUE"""),391.09)</f>
        <v>391.09</v>
      </c>
    </row>
    <row r="1692">
      <c r="A1692" s="2" t="str">
        <f>IFERROR(__xludf.DUMMYFUNCTION("""COMPUTED_VALUE"""),"PR049")</f>
        <v>PR049</v>
      </c>
      <c r="B1692" s="2" t="str">
        <f>IFERROR(__xludf.DUMMYFUNCTION("""COMPUTED_VALUE"""),"VD039")</f>
        <v>VD039</v>
      </c>
      <c r="C1692" s="2">
        <f>IFERROR(__xludf.DUMMYFUNCTION("""COMPUTED_VALUE"""),4.0)</f>
        <v>4</v>
      </c>
      <c r="D1692" s="2">
        <f>IFERROR(__xludf.DUMMYFUNCTION("""COMPUTED_VALUE"""),139.5)</f>
        <v>139.5</v>
      </c>
    </row>
    <row r="1693">
      <c r="A1693" s="2" t="str">
        <f>IFERROR(__xludf.DUMMYFUNCTION("""COMPUTED_VALUE"""),"PR034")</f>
        <v>PR034</v>
      </c>
      <c r="B1693" s="2" t="str">
        <f>IFERROR(__xludf.DUMMYFUNCTION("""COMPUTED_VALUE"""),"VD017")</f>
        <v>VD017</v>
      </c>
      <c r="C1693" s="2">
        <f>IFERROR(__xludf.DUMMYFUNCTION("""COMPUTED_VALUE"""),8.0)</f>
        <v>8</v>
      </c>
      <c r="D1693" s="2">
        <f>IFERROR(__xludf.DUMMYFUNCTION("""COMPUTED_VALUE"""),733.58)</f>
        <v>733.58</v>
      </c>
    </row>
    <row r="1694">
      <c r="A1694" s="2" t="str">
        <f>IFERROR(__xludf.DUMMYFUNCTION("""COMPUTED_VALUE"""),"PR045")</f>
        <v>PR045</v>
      </c>
      <c r="B1694" s="2" t="str">
        <f>IFERROR(__xludf.DUMMYFUNCTION("""COMPUTED_VALUE"""),"VD045")</f>
        <v>VD045</v>
      </c>
      <c r="C1694" s="2">
        <f>IFERROR(__xludf.DUMMYFUNCTION("""COMPUTED_VALUE"""),14.0)</f>
        <v>14</v>
      </c>
      <c r="D1694" s="2">
        <f>IFERROR(__xludf.DUMMYFUNCTION("""COMPUTED_VALUE"""),1025.15)</f>
        <v>1025.15</v>
      </c>
    </row>
    <row r="1695">
      <c r="A1695" s="2" t="str">
        <f>IFERROR(__xludf.DUMMYFUNCTION("""COMPUTED_VALUE"""),"PR018")</f>
        <v>PR018</v>
      </c>
      <c r="B1695" s="2" t="str">
        <f>IFERROR(__xludf.DUMMYFUNCTION("""COMPUTED_VALUE"""),"VD018")</f>
        <v>VD018</v>
      </c>
      <c r="C1695" s="2">
        <f>IFERROR(__xludf.DUMMYFUNCTION("""COMPUTED_VALUE"""),4.0)</f>
        <v>4</v>
      </c>
      <c r="D1695" s="2">
        <f>IFERROR(__xludf.DUMMYFUNCTION("""COMPUTED_VALUE"""),139.5)</f>
        <v>139.5</v>
      </c>
    </row>
    <row r="1696">
      <c r="A1696" s="2" t="str">
        <f>IFERROR(__xludf.DUMMYFUNCTION("""COMPUTED_VALUE"""),"PR008")</f>
        <v>PR008</v>
      </c>
      <c r="B1696" s="2" t="str">
        <f>IFERROR(__xludf.DUMMYFUNCTION("""COMPUTED_VALUE"""),"VD016")</f>
        <v>VD016</v>
      </c>
      <c r="C1696" s="2">
        <f>IFERROR(__xludf.DUMMYFUNCTION("""COMPUTED_VALUE"""),6.0)</f>
        <v>6</v>
      </c>
      <c r="D1696" s="2">
        <f>IFERROR(__xludf.DUMMYFUNCTION("""COMPUTED_VALUE"""),539.4)</f>
        <v>539.4</v>
      </c>
    </row>
    <row r="1697">
      <c r="A1697" s="2" t="str">
        <f>IFERROR(__xludf.DUMMYFUNCTION("""COMPUTED_VALUE"""),"PR013")</f>
        <v>PR013</v>
      </c>
      <c r="B1697" s="2" t="str">
        <f>IFERROR(__xludf.DUMMYFUNCTION("""COMPUTED_VALUE"""),"VD036")</f>
        <v>VD036</v>
      </c>
      <c r="C1697" s="2">
        <f>IFERROR(__xludf.DUMMYFUNCTION("""COMPUTED_VALUE"""),3.0)</f>
        <v>3</v>
      </c>
      <c r="D1697" s="2">
        <f>IFERROR(__xludf.DUMMYFUNCTION("""COMPUTED_VALUE"""),124.49)</f>
        <v>124.49</v>
      </c>
    </row>
    <row r="1698">
      <c r="A1698" s="2" t="str">
        <f>IFERROR(__xludf.DUMMYFUNCTION("""COMPUTED_VALUE"""),"PR055")</f>
        <v>PR055</v>
      </c>
      <c r="B1698" s="2" t="str">
        <f>IFERROR(__xludf.DUMMYFUNCTION("""COMPUTED_VALUE"""),"VD016")</f>
        <v>VD016</v>
      </c>
      <c r="C1698" s="2">
        <f>IFERROR(__xludf.DUMMYFUNCTION("""COMPUTED_VALUE"""),9.0)</f>
        <v>9</v>
      </c>
      <c r="D1698" s="2">
        <f>IFERROR(__xludf.DUMMYFUNCTION("""COMPUTED_VALUE"""),881.92)</f>
        <v>881.92</v>
      </c>
    </row>
    <row r="1699">
      <c r="A1699" s="2" t="str">
        <f>IFERROR(__xludf.DUMMYFUNCTION("""COMPUTED_VALUE"""),"PR037")</f>
        <v>PR037</v>
      </c>
      <c r="B1699" s="2" t="str">
        <f>IFERROR(__xludf.DUMMYFUNCTION("""COMPUTED_VALUE"""),"VD048")</f>
        <v>VD048</v>
      </c>
      <c r="C1699" s="2">
        <f>IFERROR(__xludf.DUMMYFUNCTION("""COMPUTED_VALUE"""),1.0)</f>
        <v>1</v>
      </c>
      <c r="D1699" s="2">
        <f>IFERROR(__xludf.DUMMYFUNCTION("""COMPUTED_VALUE"""),154.0)</f>
        <v>154</v>
      </c>
    </row>
    <row r="1700">
      <c r="A1700" s="2" t="str">
        <f>IFERROR(__xludf.DUMMYFUNCTION("""COMPUTED_VALUE"""),"PR036")</f>
        <v>PR036</v>
      </c>
      <c r="B1700" s="2" t="str">
        <f>IFERROR(__xludf.DUMMYFUNCTION("""COMPUTED_VALUE"""),"VD029")</f>
        <v>VD029</v>
      </c>
      <c r="C1700" s="2">
        <f>IFERROR(__xludf.DUMMYFUNCTION("""COMPUTED_VALUE"""),8.0)</f>
        <v>8</v>
      </c>
      <c r="D1700" s="2">
        <f>IFERROR(__xludf.DUMMYFUNCTION("""COMPUTED_VALUE"""),748.0)</f>
        <v>748</v>
      </c>
    </row>
    <row r="1701">
      <c r="A1701" s="2" t="str">
        <f>IFERROR(__xludf.DUMMYFUNCTION("""COMPUTED_VALUE"""),"PR008")</f>
        <v>PR008</v>
      </c>
      <c r="B1701" s="2" t="str">
        <f>IFERROR(__xludf.DUMMYFUNCTION("""COMPUTED_VALUE"""),"VD013")</f>
        <v>VD013</v>
      </c>
      <c r="C1701" s="2">
        <f>IFERROR(__xludf.DUMMYFUNCTION("""COMPUTED_VALUE"""),20.0)</f>
        <v>20</v>
      </c>
      <c r="D1701" s="2">
        <f>IFERROR(__xludf.DUMMYFUNCTION("""COMPUTED_VALUE"""),1815.98)</f>
        <v>1815.98</v>
      </c>
    </row>
    <row r="1702">
      <c r="A1702" s="2" t="str">
        <f>IFERROR(__xludf.DUMMYFUNCTION("""COMPUTED_VALUE"""),"PR056")</f>
        <v>PR056</v>
      </c>
      <c r="B1702" s="2" t="str">
        <f>IFERROR(__xludf.DUMMYFUNCTION("""COMPUTED_VALUE"""),"VD032")</f>
        <v>VD032</v>
      </c>
      <c r="C1702" s="2">
        <f>IFERROR(__xludf.DUMMYFUNCTION("""COMPUTED_VALUE"""),10.0)</f>
        <v>10</v>
      </c>
      <c r="D1702" s="2">
        <f>IFERROR(__xludf.DUMMYFUNCTION("""COMPUTED_VALUE"""),961.93)</f>
        <v>961.93</v>
      </c>
    </row>
    <row r="1703">
      <c r="A1703" s="2" t="str">
        <f>IFERROR(__xludf.DUMMYFUNCTION("""COMPUTED_VALUE"""),"PR033")</f>
        <v>PR033</v>
      </c>
      <c r="B1703" s="2" t="str">
        <f>IFERROR(__xludf.DUMMYFUNCTION("""COMPUTED_VALUE"""),"VD012")</f>
        <v>VD012</v>
      </c>
      <c r="C1703" s="2">
        <f>IFERROR(__xludf.DUMMYFUNCTION("""COMPUTED_VALUE"""),8.0)</f>
        <v>8</v>
      </c>
      <c r="D1703" s="2">
        <f>IFERROR(__xludf.DUMMYFUNCTION("""COMPUTED_VALUE"""),2141.58)</f>
        <v>2141.58</v>
      </c>
    </row>
    <row r="1704">
      <c r="A1704" s="2" t="str">
        <f>IFERROR(__xludf.DUMMYFUNCTION("""COMPUTED_VALUE"""),"PR001")</f>
        <v>PR001</v>
      </c>
      <c r="B1704" s="2" t="str">
        <f>IFERROR(__xludf.DUMMYFUNCTION("""COMPUTED_VALUE"""),"VD036")</f>
        <v>VD036</v>
      </c>
      <c r="C1704" s="2">
        <f>IFERROR(__xludf.DUMMYFUNCTION("""COMPUTED_VALUE"""),2.0)</f>
        <v>2</v>
      </c>
      <c r="D1704" s="2">
        <f>IFERROR(__xludf.DUMMYFUNCTION("""COMPUTED_VALUE"""),139.71)</f>
        <v>139.71</v>
      </c>
    </row>
    <row r="1705">
      <c r="A1705" s="2" t="str">
        <f>IFERROR(__xludf.DUMMYFUNCTION("""COMPUTED_VALUE"""),"PR007")</f>
        <v>PR007</v>
      </c>
      <c r="B1705" s="2" t="str">
        <f>IFERROR(__xludf.DUMMYFUNCTION("""COMPUTED_VALUE"""),"VD022")</f>
        <v>VD022</v>
      </c>
      <c r="C1705" s="2">
        <f>IFERROR(__xludf.DUMMYFUNCTION("""COMPUTED_VALUE"""),4.0)</f>
        <v>4</v>
      </c>
      <c r="D1705" s="2">
        <f>IFERROR(__xludf.DUMMYFUNCTION("""COMPUTED_VALUE"""),350.47)</f>
        <v>350.47</v>
      </c>
    </row>
    <row r="1706">
      <c r="A1706" s="2" t="str">
        <f>IFERROR(__xludf.DUMMYFUNCTION("""COMPUTED_VALUE"""),"PR056")</f>
        <v>PR056</v>
      </c>
      <c r="B1706" s="2" t="str">
        <f>IFERROR(__xludf.DUMMYFUNCTION("""COMPUTED_VALUE"""),"VD010")</f>
        <v>VD010</v>
      </c>
      <c r="C1706" s="2">
        <f>IFERROR(__xludf.DUMMYFUNCTION("""COMPUTED_VALUE"""),20.0)</f>
        <v>20</v>
      </c>
      <c r="D1706" s="2">
        <f>IFERROR(__xludf.DUMMYFUNCTION("""COMPUTED_VALUE"""),1905.88)</f>
        <v>1905.88</v>
      </c>
    </row>
    <row r="1707">
      <c r="A1707" s="2" t="str">
        <f>IFERROR(__xludf.DUMMYFUNCTION("""COMPUTED_VALUE"""),"PR055")</f>
        <v>PR055</v>
      </c>
      <c r="B1707" s="2" t="str">
        <f>IFERROR(__xludf.DUMMYFUNCTION("""COMPUTED_VALUE"""),"VD025")</f>
        <v>VD025</v>
      </c>
      <c r="C1707" s="2">
        <f>IFERROR(__xludf.DUMMYFUNCTION("""COMPUTED_VALUE"""),10.0)</f>
        <v>10</v>
      </c>
      <c r="D1707" s="2">
        <f>IFERROR(__xludf.DUMMYFUNCTION("""COMPUTED_VALUE"""),952.94)</f>
        <v>952.94</v>
      </c>
    </row>
    <row r="1708">
      <c r="A1708" s="2" t="str">
        <f>IFERROR(__xludf.DUMMYFUNCTION("""COMPUTED_VALUE"""),"PR055")</f>
        <v>PR055</v>
      </c>
      <c r="B1708" s="2" t="str">
        <f>IFERROR(__xludf.DUMMYFUNCTION("""COMPUTED_VALUE"""),"VD030")</f>
        <v>VD030</v>
      </c>
      <c r="C1708" s="2">
        <f>IFERROR(__xludf.DUMMYFUNCTION("""COMPUTED_VALUE"""),2.0)</f>
        <v>2</v>
      </c>
      <c r="D1708" s="2">
        <f>IFERROR(__xludf.DUMMYFUNCTION("""COMPUTED_VALUE"""),190.59)</f>
        <v>190.59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12.63"/>
    <col customWidth="1" min="7" max="7" width="20.5"/>
    <col customWidth="1" min="8" max="8" width="22.25"/>
    <col customWidth="1" min="9" max="9" width="17.75"/>
    <col customWidth="1" min="10" max="10" width="22.13"/>
  </cols>
  <sheetData>
    <row r="1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tr">
        <f>Productos!B1</f>
        <v>Producto</v>
      </c>
      <c r="K1" s="4" t="str">
        <f>Productos!C1</f>
        <v>Talla</v>
      </c>
      <c r="L1" s="4" t="str">
        <f>Productos!D1</f>
        <v>Categoría</v>
      </c>
      <c r="M1" s="4" t="str">
        <f>Productos!E1</f>
        <v>Costo Unitario</v>
      </c>
      <c r="N1" s="4" t="str">
        <f>Productos!F1</f>
        <v>Precio Unitario</v>
      </c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>
      <c r="A2" s="2" t="str">
        <f>IFERROR(__xludf.DUMMYFUNCTION("query('Datos Ventas'!A2:K2000,""SELECT Col7, Col8, Col9, Col10"")"),"PR001")</f>
        <v>PR001</v>
      </c>
      <c r="B2" s="2" t="str">
        <f>IFERROR(__xludf.DUMMYFUNCTION("""COMPUTED_VALUE"""),"VD026")</f>
        <v>VD026</v>
      </c>
      <c r="C2" s="2">
        <f>IFERROR(__xludf.DUMMYFUNCTION("""COMPUTED_VALUE"""),27.0)</f>
        <v>27</v>
      </c>
      <c r="D2" s="6">
        <f>IFERROR(__xludf.DUMMYFUNCTION("""COMPUTED_VALUE"""),1957.23)</f>
        <v>1957.23</v>
      </c>
      <c r="E2" s="6">
        <f>IFERROR(__xludf.DUMMYFUNCTION("GOOGLEFINANCE(""Currency:BRLMXN"")*D2"),6649.688925)</f>
        <v>6649.688925</v>
      </c>
      <c r="F2" s="6">
        <f>IFERROR(__xludf.DUMMYFUNCTION("GOOGLEFINANCE(""Currency:BRLPEN"")*D2"),1283.1599879999999)</f>
        <v>1283.159988</v>
      </c>
      <c r="G2" s="2" t="str">
        <f t="array" ref="G2">_xlfn.XLOOKUP(B2,Vendedores!$A$2:$A$41,Vendedores!$B$2:$B$41,"No hay datos")</f>
        <v>Daniel Fernández</v>
      </c>
      <c r="H2" s="2" t="str">
        <f t="array" ref="H2">_xlfn.XLOOKUP(B2,Vendedores!$A$2:$A$41,Vendedores!$C$2:$C$41,"No hay datos")</f>
        <v>Puerto Esperanza</v>
      </c>
      <c r="I2" s="2" t="str">
        <f t="array" ref="I2">_xlfn.XLOOKUP(B2,Vendedores!$A$2:$A$41,Vendedores!$D$2:$D$41,"No hay datos")</f>
        <v>Región Sur</v>
      </c>
      <c r="J2" s="2" t="str">
        <f t="array" ref="J2:N2">_xlfn.XLOOKUP(A2,Productos!$A$2:$A$61,Productos!$B$2:$F$61)</f>
        <v>Bermuda</v>
      </c>
      <c r="K2" s="2" t="s">
        <v>9</v>
      </c>
      <c r="L2" s="2" t="s">
        <v>10</v>
      </c>
      <c r="M2" s="2" t="s">
        <v>11</v>
      </c>
      <c r="N2" s="2" t="s">
        <v>12</v>
      </c>
    </row>
    <row r="3">
      <c r="A3" s="2" t="str">
        <f>IFERROR(__xludf.DUMMYFUNCTION("""COMPUTED_VALUE"""),"PR058")</f>
        <v>PR058</v>
      </c>
      <c r="B3" s="2" t="str">
        <f>IFERROR(__xludf.DUMMYFUNCTION("""COMPUTED_VALUE"""),"VD037")</f>
        <v>VD037</v>
      </c>
      <c r="C3" s="2">
        <f>IFERROR(__xludf.DUMMYFUNCTION("""COMPUTED_VALUE"""),14.0)</f>
        <v>14</v>
      </c>
      <c r="D3" s="6">
        <f>IFERROR(__xludf.DUMMYFUNCTION("""COMPUTED_VALUE"""),2872.8)</f>
        <v>2872.8</v>
      </c>
      <c r="E3" s="6">
        <f>IFERROR(__xludf.DUMMYFUNCTION("GOOGLEFINANCE(""Currency:BRLMXN"")*D3"),9760.338)</f>
        <v>9760.338</v>
      </c>
      <c r="F3" s="6">
        <f>IFERROR(__xludf.DUMMYFUNCTION("GOOGLEFINANCE(""Currency:BRLPEN"")*D3"),1883.40768)</f>
        <v>1883.40768</v>
      </c>
      <c r="G3" s="2" t="str">
        <f t="array" ref="G3">_xlfn.XLOOKUP(B3,Vendedores!$A$2:$A$41,Vendedores!$B$2:$B$41,"No hay datos")</f>
        <v>Amanda Silva</v>
      </c>
      <c r="H3" s="2" t="str">
        <f t="array" ref="H3">_xlfn.XLOOKUP(B3,Vendedores!$A$2:$A$41,Vendedores!$C$2:$C$41,"No hay datos")</f>
        <v>Villa Esperanza</v>
      </c>
      <c r="I3" s="2" t="str">
        <f t="array" ref="I3">_xlfn.XLOOKUP(B3,Vendedores!$A$2:$A$41,Vendedores!$D$2:$D$41,"No hay datos")</f>
        <v>Región Sur 2</v>
      </c>
      <c r="J3" s="2" t="str">
        <f t="array" ref="J3:N3">_xlfn.XLOOKUP(A3,Productos!$A$2:$A$61,Productos!$B$2:$F$61)</f>
        <v>Pantalón de sastre</v>
      </c>
      <c r="K3" s="2" t="s">
        <v>9</v>
      </c>
      <c r="L3" s="2" t="s">
        <v>10</v>
      </c>
      <c r="M3" s="2" t="s">
        <v>13</v>
      </c>
      <c r="N3" s="2" t="s">
        <v>14</v>
      </c>
    </row>
    <row r="4">
      <c r="A4" s="2" t="str">
        <f>IFERROR(__xludf.DUMMYFUNCTION("""COMPUTED_VALUE"""),"PR020")</f>
        <v>PR020</v>
      </c>
      <c r="B4" s="2" t="str">
        <f>IFERROR(__xludf.DUMMYFUNCTION("""COMPUTED_VALUE"""),"VD034")</f>
        <v>VD034</v>
      </c>
      <c r="C4" s="2">
        <f>IFERROR(__xludf.DUMMYFUNCTION("""COMPUTED_VALUE"""),20.0)</f>
        <v>20</v>
      </c>
      <c r="D4" s="6">
        <f>IFERROR(__xludf.DUMMYFUNCTION("""COMPUTED_VALUE"""),7137.62)</f>
        <v>7137.62</v>
      </c>
      <c r="E4" s="6">
        <f>IFERROR(__xludf.DUMMYFUNCTION("GOOGLEFINANCE(""Currency:BRLMXN"")*D4"),24250.06395)</f>
        <v>24250.06395</v>
      </c>
      <c r="F4" s="6">
        <f>IFERROR(__xludf.DUMMYFUNCTION("GOOGLEFINANCE(""Currency:BRLPEN"")*D4"),4679.423672)</f>
        <v>4679.423672</v>
      </c>
      <c r="G4" s="2" t="str">
        <f t="array" ref="G4">_xlfn.XLOOKUP(B4,Vendedores!$A$2:$A$41,Vendedores!$B$2:$B$41,"No hay datos")</f>
        <v>Felipe Carvajal</v>
      </c>
      <c r="H4" s="2" t="str">
        <f t="array" ref="H4">_xlfn.XLOOKUP(B4,Vendedores!$A$2:$A$41,Vendedores!$C$2:$C$41,"No hay datos")</f>
        <v>San Pedro del Río</v>
      </c>
      <c r="I4" s="2" t="str">
        <f t="array" ref="I4">_xlfn.XLOOKUP(B4,Vendedores!$A$2:$A$41,Vendedores!$D$2:$D$41,"No hay datos")</f>
        <v>Región Sur 2</v>
      </c>
      <c r="J4" s="2" t="str">
        <f t="array" ref="J4:N4">_xlfn.XLOOKUP(A4,Productos!$A$2:$A$61,Productos!$B$2:$F$61)</f>
        <v>Chaqueta de cuero</v>
      </c>
      <c r="K4" s="2" t="s">
        <v>9</v>
      </c>
      <c r="L4" s="2" t="s">
        <v>10</v>
      </c>
      <c r="M4" s="2" t="s">
        <v>15</v>
      </c>
      <c r="N4" s="2" t="s">
        <v>16</v>
      </c>
    </row>
    <row r="5">
      <c r="A5" s="2" t="str">
        <f>IFERROR(__xludf.DUMMYFUNCTION("""COMPUTED_VALUE"""),"PR035")</f>
        <v>PR035</v>
      </c>
      <c r="B5" s="2" t="str">
        <f>IFERROR(__xludf.DUMMYFUNCTION("""COMPUTED_VALUE"""),"VD021")</f>
        <v>VD021</v>
      </c>
      <c r="C5" s="2">
        <f>IFERROR(__xludf.DUMMYFUNCTION("""COMPUTED_VALUE"""),24.0)</f>
        <v>24</v>
      </c>
      <c r="D5" s="7">
        <f>IFERROR(__xludf.DUMMYFUNCTION("""COMPUTED_VALUE"""),2478.77)</f>
        <v>2478.77</v>
      </c>
      <c r="E5" s="6">
        <f>IFERROR(__xludf.DUMMYFUNCTION("GOOGLEFINANCE(""Currency:BRLMXN"")*D5"),8421.621075)</f>
        <v>8421.621075</v>
      </c>
      <c r="F5" s="6">
        <f>IFERROR(__xludf.DUMMYFUNCTION("GOOGLEFINANCE(""Currency:BRLPEN"")*D5"),1625.081612)</f>
        <v>1625.081612</v>
      </c>
      <c r="G5" s="2" t="str">
        <f t="array" ref="G5">_xlfn.XLOOKUP(B5,Vendedores!$A$2:$A$41,Vendedores!$B$2:$B$41,"No hay datos")</f>
        <v>Fernanda Méndez</v>
      </c>
      <c r="H5" s="2" t="str">
        <f t="array" ref="H5">_xlfn.XLOOKUP(B5,Vendedores!$A$2:$A$41,Vendedores!$C$2:$C$41,"No hay datos")</f>
        <v>San Juan de la Sierra</v>
      </c>
      <c r="I5" s="2" t="str">
        <f t="array" ref="I5">_xlfn.XLOOKUP(B5,Vendedores!$A$2:$A$41,Vendedores!$D$2:$D$41,"No hay datos")</f>
        <v>Región Central</v>
      </c>
      <c r="J5" s="2" t="str">
        <f t="array" ref="J5:N5">_xlfn.XLOOKUP(A5,Productos!$A$2:$A$61,Productos!$B$2:$F$61)</f>
        <v>Vestido corto</v>
      </c>
      <c r="K5" s="2" t="s">
        <v>17</v>
      </c>
      <c r="L5" s="2" t="s">
        <v>10</v>
      </c>
      <c r="M5" s="2" t="s">
        <v>18</v>
      </c>
      <c r="N5" s="2" t="s">
        <v>19</v>
      </c>
    </row>
    <row r="6">
      <c r="A6" s="2" t="str">
        <f>IFERROR(__xludf.DUMMYFUNCTION("""COMPUTED_VALUE"""),"PR016")</f>
        <v>PR016</v>
      </c>
      <c r="B6" s="2" t="str">
        <f>IFERROR(__xludf.DUMMYFUNCTION("""COMPUTED_VALUE"""),"VD027")</f>
        <v>VD027</v>
      </c>
      <c r="C6" s="2">
        <f>IFERROR(__xludf.DUMMYFUNCTION("""COMPUTED_VALUE"""),10.0)</f>
        <v>10</v>
      </c>
      <c r="D6" s="6">
        <f>IFERROR(__xludf.DUMMYFUNCTION("""COMPUTED_VALUE"""),303.03)</f>
        <v>303.03</v>
      </c>
      <c r="E6" s="6">
        <f>IFERROR(__xludf.DUMMYFUNCTION("GOOGLEFINANCE(""Currency:BRLMXN"")*D6"),1029.5444249999998)</f>
        <v>1029.544425</v>
      </c>
      <c r="F6" s="6">
        <f>IFERROR(__xludf.DUMMYFUNCTION("GOOGLEFINANCE(""Currency:BRLPEN"")*D6"),198.66646799999998)</f>
        <v>198.666468</v>
      </c>
      <c r="G6" s="2" t="str">
        <f t="array" ref="G6">_xlfn.XLOOKUP(B6,Vendedores!$A$2:$A$41,Vendedores!$B$2:$B$41,"No hay datos")</f>
        <v>Patricia Cortés</v>
      </c>
      <c r="H6" s="2" t="str">
        <f t="array" ref="H6">_xlfn.XLOOKUP(B6,Vendedores!$A$2:$A$41,Vendedores!$C$2:$C$41,"No hay datos")</f>
        <v>Costa Azul</v>
      </c>
      <c r="I6" s="2" t="str">
        <f t="array" ref="I6">_xlfn.XLOOKUP(B6,Vendedores!$A$2:$A$41,Vendedores!$D$2:$D$41,"No hay datos")</f>
        <v>Región Norte</v>
      </c>
      <c r="J6" s="2" t="str">
        <f t="array" ref="J6:N6">_xlfn.XLOOKUP(A6,Productos!$A$2:$A$61,Productos!$B$2:$F$61)</f>
        <v>Playera lisa</v>
      </c>
      <c r="K6" s="2" t="s">
        <v>9</v>
      </c>
      <c r="L6" s="2" t="s">
        <v>10</v>
      </c>
      <c r="M6" s="2" t="s">
        <v>20</v>
      </c>
      <c r="N6" s="2" t="s">
        <v>21</v>
      </c>
    </row>
    <row r="7">
      <c r="A7" s="2" t="str">
        <f>IFERROR(__xludf.DUMMYFUNCTION("""COMPUTED_VALUE"""),"PR051")</f>
        <v>PR051</v>
      </c>
      <c r="B7" s="2" t="str">
        <f>IFERROR(__xludf.DUMMYFUNCTION("""COMPUTED_VALUE"""),"VD048")</f>
        <v>VD048</v>
      </c>
      <c r="C7" s="2">
        <f>IFERROR(__xludf.DUMMYFUNCTION("""COMPUTED_VALUE"""),18.0)</f>
        <v>18</v>
      </c>
      <c r="D7" s="7">
        <f>IFERROR(__xludf.DUMMYFUNCTION("""COMPUTED_VALUE"""),704.72)</f>
        <v>704.72</v>
      </c>
      <c r="E7" s="6">
        <f>IFERROR(__xludf.DUMMYFUNCTION("GOOGLEFINANCE(""Currency:BRLMXN"")*D7"),2394.2862)</f>
        <v>2394.2862</v>
      </c>
      <c r="F7" s="6">
        <f>IFERROR(__xludf.DUMMYFUNCTION("GOOGLEFINANCE(""Currency:BRLPEN"")*D7"),462.014432)</f>
        <v>462.014432</v>
      </c>
      <c r="G7" s="2" t="str">
        <f t="array" ref="G7">_xlfn.XLOOKUP(B7,Vendedores!$A$2:$A$41,Vendedores!$B$2:$B$41,"No hay datos")</f>
        <v>Mariana Castro</v>
      </c>
      <c r="H7" s="2" t="str">
        <f t="array" ref="H7">_xlfn.XLOOKUP(B7,Vendedores!$A$2:$A$41,Vendedores!$C$2:$C$41,"No hay datos")</f>
        <v>San Carlos del Valle</v>
      </c>
      <c r="I7" s="2" t="str">
        <f t="array" ref="I7">_xlfn.XLOOKUP(B7,Vendedores!$A$2:$A$41,Vendedores!$D$2:$D$41,"No hay datos")</f>
        <v>Región Central 2</v>
      </c>
      <c r="J7" s="2" t="str">
        <f t="array" ref="J7:N7">_xlfn.XLOOKUP(A7,Productos!$A$2:$A$61,Productos!$B$2:$F$61)</f>
        <v>Playera a rayas</v>
      </c>
      <c r="K7" s="2" t="s">
        <v>22</v>
      </c>
      <c r="L7" s="2" t="s">
        <v>10</v>
      </c>
      <c r="M7" s="2" t="s">
        <v>23</v>
      </c>
      <c r="N7" s="2" t="s">
        <v>24</v>
      </c>
    </row>
    <row r="8">
      <c r="A8" s="2" t="str">
        <f>IFERROR(__xludf.DUMMYFUNCTION("""COMPUTED_VALUE"""),"PR042")</f>
        <v>PR042</v>
      </c>
      <c r="B8" s="2" t="str">
        <f>IFERROR(__xludf.DUMMYFUNCTION("""COMPUTED_VALUE"""),"VD025")</f>
        <v>VD025</v>
      </c>
      <c r="C8" s="2">
        <f>IFERROR(__xludf.DUMMYFUNCTION("""COMPUTED_VALUE"""),27.0)</f>
        <v>27</v>
      </c>
      <c r="D8" s="6">
        <f>IFERROR(__xludf.DUMMYFUNCTION("""COMPUTED_VALUE"""),1778.76)</f>
        <v>1778.76</v>
      </c>
      <c r="E8" s="6">
        <f>IFERROR(__xludf.DUMMYFUNCTION("GOOGLEFINANCE(""Currency:BRLMXN"")*D8"),6043.3371)</f>
        <v>6043.3371</v>
      </c>
      <c r="F8" s="6">
        <f>IFERROR(__xludf.DUMMYFUNCTION("GOOGLEFINANCE(""Currency:BRLPEN"")*D8"),1166.1550559999998)</f>
        <v>1166.155056</v>
      </c>
      <c r="G8" s="2" t="str">
        <f t="array" ref="G8">_xlfn.XLOOKUP(B8,Vendedores!$A$2:$A$41,Vendedores!$B$2:$B$41,"No hay datos")</f>
        <v>Alina Santana</v>
      </c>
      <c r="H8" s="2" t="str">
        <f t="array" ref="H8">_xlfn.XLOOKUP(B8,Vendedores!$A$2:$A$41,Vendedores!$C$2:$C$41,"No hay datos")</f>
        <v>Playa Blanca</v>
      </c>
      <c r="I8" s="2" t="str">
        <f t="array" ref="I8">_xlfn.XLOOKUP(B8,Vendedores!$A$2:$A$41,Vendedores!$D$2:$D$41,"No hay datos")</f>
        <v>Región Norte</v>
      </c>
      <c r="J8" s="2" t="str">
        <f t="array" ref="J8:N8">_xlfn.XLOOKUP(A8,Productos!$A$2:$A$61,Productos!$B$2:$F$61)</f>
        <v>Playera confort</v>
      </c>
      <c r="K8" s="2" t="s">
        <v>22</v>
      </c>
      <c r="L8" s="2" t="s">
        <v>10</v>
      </c>
      <c r="M8" s="2" t="s">
        <v>25</v>
      </c>
      <c r="N8" s="2" t="s">
        <v>26</v>
      </c>
    </row>
    <row r="9">
      <c r="A9" s="2" t="str">
        <f>IFERROR(__xludf.DUMMYFUNCTION("""COMPUTED_VALUE"""),"PR050")</f>
        <v>PR050</v>
      </c>
      <c r="B9" s="2" t="str">
        <f>IFERROR(__xludf.DUMMYFUNCTION("""COMPUTED_VALUE"""),"VD037")</f>
        <v>VD037</v>
      </c>
      <c r="C9" s="2">
        <f>IFERROR(__xludf.DUMMYFUNCTION("""COMPUTED_VALUE"""),14.0)</f>
        <v>14</v>
      </c>
      <c r="D9" s="6">
        <f>IFERROR(__xludf.DUMMYFUNCTION("""COMPUTED_VALUE"""),511.27)</f>
        <v>511.27</v>
      </c>
      <c r="E9" s="6">
        <f>IFERROR(__xludf.DUMMYFUNCTION("GOOGLEFINANCE(""Currency:BRLMXN"")*D9"),1737.0398249999998)</f>
        <v>1737.039825</v>
      </c>
      <c r="F9" s="6">
        <f>IFERROR(__xludf.DUMMYFUNCTION("GOOGLEFINANCE(""Currency:BRLPEN"")*D9"),335.188612)</f>
        <v>335.188612</v>
      </c>
      <c r="G9" s="2" t="str">
        <f t="array" ref="G9">_xlfn.XLOOKUP(B9,Vendedores!$A$2:$A$41,Vendedores!$B$2:$B$41,"No hay datos")</f>
        <v>Amanda Silva</v>
      </c>
      <c r="H9" s="2" t="str">
        <f t="array" ref="H9">_xlfn.XLOOKUP(B9,Vendedores!$A$2:$A$41,Vendedores!$C$2:$C$41,"No hay datos")</f>
        <v>Villa Esperanza</v>
      </c>
      <c r="I9" s="2" t="str">
        <f t="array" ref="I9">_xlfn.XLOOKUP(B9,Vendedores!$A$2:$A$41,Vendedores!$D$2:$D$41,"No hay datos")</f>
        <v>Región Sur 2</v>
      </c>
      <c r="J9" s="2" t="str">
        <f t="array" ref="J9:N9">_xlfn.XLOOKUP(A9,Productos!$A$2:$A$61,Productos!$B$2:$F$61)</f>
        <v>Playera a rayas</v>
      </c>
      <c r="K9" s="2" t="s">
        <v>17</v>
      </c>
      <c r="L9" s="2" t="s">
        <v>10</v>
      </c>
      <c r="M9" s="2" t="s">
        <v>27</v>
      </c>
      <c r="N9" s="2" t="s">
        <v>24</v>
      </c>
    </row>
    <row r="10">
      <c r="A10" s="2" t="str">
        <f>IFERROR(__xludf.DUMMYFUNCTION("""COMPUTED_VALUE"""),"PR001")</f>
        <v>PR001</v>
      </c>
      <c r="B10" s="2" t="str">
        <f>IFERROR(__xludf.DUMMYFUNCTION("""COMPUTED_VALUE"""),"VD036")</f>
        <v>VD036</v>
      </c>
      <c r="C10" s="2">
        <f>IFERROR(__xludf.DUMMYFUNCTION("""COMPUTED_VALUE"""),12.0)</f>
        <v>12</v>
      </c>
      <c r="D10" s="6">
        <f>IFERROR(__xludf.DUMMYFUNCTION("""COMPUTED_VALUE"""),901.51)</f>
        <v>901.51</v>
      </c>
      <c r="E10" s="6">
        <f>IFERROR(__xludf.DUMMYFUNCTION("GOOGLEFINANCE(""Currency:BRLMXN"")*D10"),3062.880225)</f>
        <v>3062.880225</v>
      </c>
      <c r="F10" s="6">
        <f>IFERROR(__xludf.DUMMYFUNCTION("GOOGLEFINANCE(""Currency:BRLPEN"")*D10"),591.029956)</f>
        <v>591.029956</v>
      </c>
      <c r="G10" s="2" t="str">
        <f t="array" ref="G10">_xlfn.XLOOKUP(B10,Vendedores!$A$2:$A$41,Vendedores!$B$2:$B$41,"No hay datos")</f>
        <v>Ricardo Sosa</v>
      </c>
      <c r="H10" s="2" t="str">
        <f t="array" ref="H10">_xlfn.XLOOKUP(B10,Vendedores!$A$2:$A$41,Vendedores!$C$2:$C$41,"No hay datos")</f>
        <v>Puerto Nuevo</v>
      </c>
      <c r="I10" s="2" t="str">
        <f t="array" ref="I10">_xlfn.XLOOKUP(B10,Vendedores!$A$2:$A$41,Vendedores!$D$2:$D$41,"No hay datos")</f>
        <v>Región Central 2</v>
      </c>
      <c r="J10" s="2" t="str">
        <f t="array" ref="J10:N10">_xlfn.XLOOKUP(A10,Productos!$A$2:$A$61,Productos!$B$2:$F$61)</f>
        <v>Bermuda</v>
      </c>
      <c r="K10" s="2" t="s">
        <v>9</v>
      </c>
      <c r="L10" s="2" t="s">
        <v>10</v>
      </c>
      <c r="M10" s="2" t="s">
        <v>11</v>
      </c>
      <c r="N10" s="2" t="s">
        <v>12</v>
      </c>
    </row>
    <row r="11">
      <c r="A11" s="2" t="str">
        <f>IFERROR(__xludf.DUMMYFUNCTION("""COMPUTED_VALUE"""),"PR059")</f>
        <v>PR059</v>
      </c>
      <c r="B11" s="2" t="str">
        <f>IFERROR(__xludf.DUMMYFUNCTION("""COMPUTED_VALUE"""),"VD049")</f>
        <v>VD049</v>
      </c>
      <c r="C11" s="2">
        <f>IFERROR(__xludf.DUMMYFUNCTION("""COMPUTED_VALUE"""),27.0)</f>
        <v>27</v>
      </c>
      <c r="D11" s="6">
        <f>IFERROR(__xludf.DUMMYFUNCTION("""COMPUTED_VALUE"""),5783.4)</f>
        <v>5783.4</v>
      </c>
      <c r="E11" s="6">
        <f>IFERROR(__xludf.DUMMYFUNCTION("GOOGLEFINANCE(""Currency:BRLMXN"")*D11"),19649.101499999997)</f>
        <v>19649.1015</v>
      </c>
      <c r="F11" s="6">
        <f>IFERROR(__xludf.DUMMYFUNCTION("GOOGLEFINANCE(""Currency:BRLPEN"")*D11"),3791.5970399999997)</f>
        <v>3791.59704</v>
      </c>
      <c r="G11" s="2" t="str">
        <f t="array" ref="G11">_xlfn.XLOOKUP(B11,Vendedores!$A$2:$A$41,Vendedores!$B$2:$B$41,"No hay datos")</f>
        <v>Fernando Navarro</v>
      </c>
      <c r="H11" s="2" t="str">
        <f t="array" ref="H11">_xlfn.XLOOKUP(B11,Vendedores!$A$2:$A$41,Vendedores!$C$2:$C$41,"No hay datos")</f>
        <v>Colinas Verdes</v>
      </c>
      <c r="I11" s="2" t="str">
        <f t="array" ref="I11">_xlfn.XLOOKUP(B11,Vendedores!$A$2:$A$41,Vendedores!$D$2:$D$41,"No hay datos")</f>
        <v>Región Central 2</v>
      </c>
      <c r="J11" s="2" t="str">
        <f t="array" ref="J11:N11">_xlfn.XLOOKUP(A11,Productos!$A$2:$A$61,Productos!$B$2:$F$61)</f>
        <v>Pantalón de sastre</v>
      </c>
      <c r="K11" s="2" t="s">
        <v>17</v>
      </c>
      <c r="L11" s="2" t="s">
        <v>10</v>
      </c>
      <c r="M11" s="2" t="s">
        <v>28</v>
      </c>
      <c r="N11" s="2" t="s">
        <v>14</v>
      </c>
    </row>
    <row r="12">
      <c r="A12" s="2" t="str">
        <f>IFERROR(__xludf.DUMMYFUNCTION("""COMPUTED_VALUE"""),"PR019")</f>
        <v>PR019</v>
      </c>
      <c r="B12" s="2" t="str">
        <f>IFERROR(__xludf.DUMMYFUNCTION("""COMPUTED_VALUE"""),"VD021")</f>
        <v>VD021</v>
      </c>
      <c r="C12" s="2">
        <f>IFERROR(__xludf.DUMMYFUNCTION("""COMPUTED_VALUE"""),15.0)</f>
        <v>15</v>
      </c>
      <c r="D12" s="6">
        <f>IFERROR(__xludf.DUMMYFUNCTION("""COMPUTED_VALUE"""),845.81)</f>
        <v>845.81</v>
      </c>
      <c r="E12" s="6">
        <f>IFERROR(__xludf.DUMMYFUNCTION("GOOGLEFINANCE(""Currency:BRLMXN"")*D12"),2873.639475)</f>
        <v>2873.639475</v>
      </c>
      <c r="F12" s="6">
        <f>IFERROR(__xludf.DUMMYFUNCTION("GOOGLEFINANCE(""Currency:BRLPEN"")*D12"),554.5130359999999)</f>
        <v>554.513036</v>
      </c>
      <c r="G12" s="2" t="str">
        <f t="array" ref="G12">_xlfn.XLOOKUP(B12,Vendedores!$A$2:$A$41,Vendedores!$B$2:$B$41,"No hay datos")</f>
        <v>Fernanda Méndez</v>
      </c>
      <c r="H12" s="2" t="str">
        <f t="array" ref="H12">_xlfn.XLOOKUP(B12,Vendedores!$A$2:$A$41,Vendedores!$C$2:$C$41,"No hay datos")</f>
        <v>San Juan de la Sierra</v>
      </c>
      <c r="I12" s="2" t="str">
        <f t="array" ref="I12">_xlfn.XLOOKUP(B12,Vendedores!$A$2:$A$41,Vendedores!$D$2:$D$41,"No hay datos")</f>
        <v>Región Central</v>
      </c>
      <c r="J12" s="2" t="str">
        <f t="array" ref="J12:N12">_xlfn.XLOOKUP(A12,Productos!$A$2:$A$61,Productos!$B$2:$F$61)</f>
        <v>Cinturón</v>
      </c>
      <c r="K12" s="2" t="s">
        <v>29</v>
      </c>
      <c r="L12" s="2" t="s">
        <v>30</v>
      </c>
      <c r="M12" s="2" t="s">
        <v>31</v>
      </c>
      <c r="N12" s="2" t="s">
        <v>32</v>
      </c>
    </row>
    <row r="13">
      <c r="A13" s="2" t="str">
        <f>IFERROR(__xludf.DUMMYFUNCTION("""COMPUTED_VALUE"""),"PR055")</f>
        <v>PR055</v>
      </c>
      <c r="B13" s="2" t="str">
        <f>IFERROR(__xludf.DUMMYFUNCTION("""COMPUTED_VALUE"""),"VD015")</f>
        <v>VD015</v>
      </c>
      <c r="C13" s="2">
        <f>IFERROR(__xludf.DUMMYFUNCTION("""COMPUTED_VALUE"""),18.0)</f>
        <v>18</v>
      </c>
      <c r="D13" s="6">
        <f>IFERROR(__xludf.DUMMYFUNCTION("""COMPUTED_VALUE"""),1844.75)</f>
        <v>1844.75</v>
      </c>
      <c r="E13" s="6">
        <f>IFERROR(__xludf.DUMMYFUNCTION("GOOGLEFINANCE(""Currency:BRLMXN"")*D13"),6267.538125)</f>
        <v>6267.538125</v>
      </c>
      <c r="F13" s="6">
        <f>IFERROR(__xludf.DUMMYFUNCTION("GOOGLEFINANCE(""Currency:BRLPEN"")*D13"),1209.4180999999999)</f>
        <v>1209.4181</v>
      </c>
      <c r="G13" s="2" t="str">
        <f t="array" ref="G13">_xlfn.XLOOKUP(B13,Vendedores!$A$2:$A$41,Vendedores!$B$2:$B$41,"No hay datos")</f>
        <v>Lucas Castillo</v>
      </c>
      <c r="H13" s="2" t="str">
        <f t="array" ref="H13">_xlfn.XLOOKUP(B13,Vendedores!$A$2:$A$41,Vendedores!$C$2:$C$41,"No hay datos")</f>
        <v>San Miguel de los Pinos</v>
      </c>
      <c r="I13" s="2" t="str">
        <f t="array" ref="I13">_xlfn.XLOOKUP(B13,Vendedores!$A$2:$A$41,Vendedores!$D$2:$D$41,"No hay datos")</f>
        <v>Región Sur</v>
      </c>
      <c r="J13" s="2" t="str">
        <f t="array" ref="J13:N13">_xlfn.XLOOKUP(A13,Productos!$A$2:$A$61,Productos!$B$2:$F$61)</f>
        <v>Sandalia plana</v>
      </c>
      <c r="K13" s="2">
        <v>35.0</v>
      </c>
      <c r="L13" s="2" t="s">
        <v>33</v>
      </c>
      <c r="M13" s="2" t="s">
        <v>34</v>
      </c>
      <c r="N13" s="2" t="s">
        <v>35</v>
      </c>
    </row>
    <row r="14">
      <c r="A14" s="2" t="str">
        <f>IFERROR(__xludf.DUMMYFUNCTION("""COMPUTED_VALUE"""),"PR052")</f>
        <v>PR052</v>
      </c>
      <c r="B14" s="2" t="str">
        <f>IFERROR(__xludf.DUMMYFUNCTION("""COMPUTED_VALUE"""),"VD012")</f>
        <v>VD012</v>
      </c>
      <c r="C14" s="2">
        <f>IFERROR(__xludf.DUMMYFUNCTION("""COMPUTED_VALUE"""),16.0)</f>
        <v>16</v>
      </c>
      <c r="D14" s="6">
        <f>IFERROR(__xludf.DUMMYFUNCTION("""COMPUTED_VALUE"""),950.1)</f>
        <v>950.1</v>
      </c>
      <c r="E14" s="6">
        <f>IFERROR(__xludf.DUMMYFUNCTION("GOOGLEFINANCE(""Currency:BRLMXN"")*D14"),3227.96475)</f>
        <v>3227.96475</v>
      </c>
      <c r="F14" s="6">
        <f>IFERROR(__xludf.DUMMYFUNCTION("GOOGLEFINANCE(""Currency:BRLPEN"")*D14"),622.8855599999999)</f>
        <v>622.88556</v>
      </c>
      <c r="G14" s="2" t="str">
        <f t="array" ref="G14">_xlfn.XLOOKUP(B14,Vendedores!$A$2:$A$41,Vendedores!$B$2:$B$41,"No hay datos")</f>
        <v>Ana Olmedo</v>
      </c>
      <c r="H14" s="2" t="str">
        <f t="array" ref="H14">_xlfn.XLOOKUP(B14,Vendedores!$A$2:$A$41,Vendedores!$C$2:$C$41,"No hay datos")</f>
        <v>Río Claro</v>
      </c>
      <c r="I14" s="2" t="str">
        <f t="array" ref="I14">_xlfn.XLOOKUP(B14,Vendedores!$A$2:$A$41,Vendedores!$D$2:$D$41,"No hay datos")</f>
        <v>Región Central</v>
      </c>
      <c r="J14" s="2" t="str">
        <f t="array" ref="J14:N14">_xlfn.XLOOKUP(A14,Productos!$A$2:$A$61,Productos!$B$2:$F$61)</f>
        <v>Falda plisada</v>
      </c>
      <c r="K14" s="2" t="s">
        <v>9</v>
      </c>
      <c r="L14" s="2" t="s">
        <v>10</v>
      </c>
      <c r="M14" s="2" t="s">
        <v>36</v>
      </c>
      <c r="N14" s="2" t="s">
        <v>32</v>
      </c>
    </row>
    <row r="15">
      <c r="A15" s="2" t="str">
        <f>IFERROR(__xludf.DUMMYFUNCTION("""COMPUTED_VALUE"""),"PR052")</f>
        <v>PR052</v>
      </c>
      <c r="B15" s="2" t="str">
        <f>IFERROR(__xludf.DUMMYFUNCTION("""COMPUTED_VALUE"""),"VD043")</f>
        <v>VD043</v>
      </c>
      <c r="C15" s="2">
        <f>IFERROR(__xludf.DUMMYFUNCTION("""COMPUTED_VALUE"""),9.0)</f>
        <v>9</v>
      </c>
      <c r="D15" s="6">
        <f>IFERROR(__xludf.DUMMYFUNCTION("""COMPUTED_VALUE"""),511.97)</f>
        <v>511.97</v>
      </c>
      <c r="E15" s="6">
        <f>IFERROR(__xludf.DUMMYFUNCTION("GOOGLEFINANCE(""Currency:BRLMXN"")*D15"),1739.418075)</f>
        <v>1739.418075</v>
      </c>
      <c r="F15" s="6">
        <f>IFERROR(__xludf.DUMMYFUNCTION("GOOGLEFINANCE(""Currency:BRLPEN"")*D15"),335.647532)</f>
        <v>335.647532</v>
      </c>
      <c r="G15" s="2" t="str">
        <f t="array" ref="G15">_xlfn.XLOOKUP(B15,Vendedores!$A$2:$A$41,Vendedores!$B$2:$B$41,"No hay datos")</f>
        <v>Carlos Henríquez</v>
      </c>
      <c r="H15" s="2" t="str">
        <f t="array" ref="H15">_xlfn.XLOOKUP(B15,Vendedores!$A$2:$A$41,Vendedores!$C$2:$C$41,"No hay datos")</f>
        <v>Ciudad Aeropuerto</v>
      </c>
      <c r="I15" s="2" t="str">
        <f t="array" ref="I15">_xlfn.XLOOKUP(B15,Vendedores!$A$2:$A$41,Vendedores!$D$2:$D$41,"No hay datos")</f>
        <v>Región Central 2</v>
      </c>
      <c r="J15" s="2" t="str">
        <f t="array" ref="J15:N15">_xlfn.XLOOKUP(A15,Productos!$A$2:$A$61,Productos!$B$2:$F$61)</f>
        <v>Falda plisada</v>
      </c>
      <c r="K15" s="2" t="s">
        <v>9</v>
      </c>
      <c r="L15" s="2" t="s">
        <v>10</v>
      </c>
      <c r="M15" s="2" t="s">
        <v>36</v>
      </c>
      <c r="N15" s="2" t="s">
        <v>32</v>
      </c>
    </row>
    <row r="16">
      <c r="A16" s="2" t="str">
        <f>IFERROR(__xludf.DUMMYFUNCTION("""COMPUTED_VALUE"""),"PR014")</f>
        <v>PR014</v>
      </c>
      <c r="B16" s="2" t="str">
        <f>IFERROR(__xludf.DUMMYFUNCTION("""COMPUTED_VALUE"""),"VD020")</f>
        <v>VD020</v>
      </c>
      <c r="C16" s="2">
        <f>IFERROR(__xludf.DUMMYFUNCTION("""COMPUTED_VALUE"""),9.0)</f>
        <v>9</v>
      </c>
      <c r="D16" s="6">
        <f>IFERROR(__xludf.DUMMYFUNCTION("""COMPUTED_VALUE"""),420.15)</f>
        <v>420.15</v>
      </c>
      <c r="E16" s="6">
        <f>IFERROR(__xludf.DUMMYFUNCTION("GOOGLEFINANCE(""Currency:BRLMXN"")*D16"),1427.459625)</f>
        <v>1427.459625</v>
      </c>
      <c r="F16" s="6">
        <f>IFERROR(__xludf.DUMMYFUNCTION("GOOGLEFINANCE(""Currency:BRLPEN"")*D16"),275.45034)</f>
        <v>275.45034</v>
      </c>
      <c r="G16" s="2" t="str">
        <f t="array" ref="G16">_xlfn.XLOOKUP(B16,Vendedores!$A$2:$A$41,Vendedores!$B$2:$B$41,"No hay datos")</f>
        <v>Gustavo Morales</v>
      </c>
      <c r="H16" s="2" t="str">
        <f t="array" ref="H16">_xlfn.XLOOKUP(B16,Vendedores!$A$2:$A$41,Vendedores!$C$2:$C$41,"No hay datos")</f>
        <v>Villa del Sol</v>
      </c>
      <c r="I16" s="2" t="str">
        <f t="array" ref="I16">_xlfn.XLOOKUP(B16,Vendedores!$A$2:$A$41,Vendedores!$D$2:$D$41,"No hay datos")</f>
        <v>Región Central 2</v>
      </c>
      <c r="J16" s="2" t="str">
        <f t="array" ref="J16:N16">_xlfn.XLOOKUP(A16,Productos!$A$2:$A$61,Productos!$B$2:$F$61)</f>
        <v>Playera estampada</v>
      </c>
      <c r="K16" s="2" t="s">
        <v>17</v>
      </c>
      <c r="L16" s="2" t="s">
        <v>10</v>
      </c>
      <c r="M16" s="2" t="s">
        <v>37</v>
      </c>
      <c r="N16" s="2" t="s">
        <v>38</v>
      </c>
    </row>
    <row r="17">
      <c r="A17" s="2" t="str">
        <f>IFERROR(__xludf.DUMMYFUNCTION("""COMPUTED_VALUE"""),"PR055")</f>
        <v>PR055</v>
      </c>
      <c r="B17" s="2" t="str">
        <f>IFERROR(__xludf.DUMMYFUNCTION("""COMPUTED_VALUE"""),"VD019")</f>
        <v>VD019</v>
      </c>
      <c r="C17" s="2">
        <f>IFERROR(__xludf.DUMMYFUNCTION("""COMPUTED_VALUE"""),9.0)</f>
        <v>9</v>
      </c>
      <c r="D17" s="6">
        <f>IFERROR(__xludf.DUMMYFUNCTION("""COMPUTED_VALUE"""),890.01)</f>
        <v>890.01</v>
      </c>
      <c r="E17" s="6">
        <f>IFERROR(__xludf.DUMMYFUNCTION("GOOGLEFINANCE(""Currency:BRLMXN"")*D17"),3023.808975)</f>
        <v>3023.808975</v>
      </c>
      <c r="F17" s="6">
        <f>IFERROR(__xludf.DUMMYFUNCTION("GOOGLEFINANCE(""Currency:BRLPEN"")*D17"),583.490556)</f>
        <v>583.490556</v>
      </c>
      <c r="G17" s="2" t="str">
        <f t="array" ref="G17">_xlfn.XLOOKUP(B17,Vendedores!$A$2:$A$41,Vendedores!$B$2:$B$41,"No hay datos")</f>
        <v>Rafael Sosa</v>
      </c>
      <c r="H17" s="2" t="str">
        <f t="array" ref="H17">_xlfn.XLOOKUP(B17,Vendedores!$A$2:$A$41,Vendedores!$C$2:$C$41,"No hay datos")</f>
        <v>Selva Verde</v>
      </c>
      <c r="I17" s="2" t="str">
        <f t="array" ref="I17">_xlfn.XLOOKUP(B17,Vendedores!$A$2:$A$41,Vendedores!$D$2:$D$41,"No hay datos")</f>
        <v>Región Amazónica</v>
      </c>
      <c r="J17" s="2" t="str">
        <f t="array" ref="J17:N17">_xlfn.XLOOKUP(A17,Productos!$A$2:$A$61,Productos!$B$2:$F$61)</f>
        <v>Sandalia plana</v>
      </c>
      <c r="K17" s="2">
        <v>35.0</v>
      </c>
      <c r="L17" s="2" t="s">
        <v>33</v>
      </c>
      <c r="M17" s="2" t="s">
        <v>34</v>
      </c>
      <c r="N17" s="2" t="s">
        <v>35</v>
      </c>
    </row>
    <row r="18">
      <c r="A18" s="2" t="str">
        <f>IFERROR(__xludf.DUMMYFUNCTION("""COMPUTED_VALUE"""),"PR045")</f>
        <v>PR045</v>
      </c>
      <c r="B18" s="2" t="str">
        <f>IFERROR(__xludf.DUMMYFUNCTION("""COMPUTED_VALUE"""),"VD041")</f>
        <v>VD041</v>
      </c>
      <c r="C18" s="2">
        <f>IFERROR(__xludf.DUMMYFUNCTION("""COMPUTED_VALUE"""),14.0)</f>
        <v>14</v>
      </c>
      <c r="D18" s="6">
        <f>IFERROR(__xludf.DUMMYFUNCTION("""COMPUTED_VALUE"""),1157.1)</f>
        <v>1157.1</v>
      </c>
      <c r="E18" s="6">
        <f>IFERROR(__xludf.DUMMYFUNCTION("GOOGLEFINANCE(""Currency:BRLMXN"")*D18"),3931.2472499999994)</f>
        <v>3931.24725</v>
      </c>
      <c r="F18" s="6">
        <f>IFERROR(__xludf.DUMMYFUNCTION("GOOGLEFINANCE(""Currency:BRLPEN"")*D18"),758.59476)</f>
        <v>758.59476</v>
      </c>
      <c r="G18" s="2" t="str">
        <f t="array" ref="G18">_xlfn.XLOOKUP(B18,Vendedores!$A$2:$A$41,Vendedores!$B$2:$B$41,"No hay datos")</f>
        <v>Alejandro Ramos</v>
      </c>
      <c r="H18" s="2" t="str">
        <f t="array" ref="H18">_xlfn.XLOOKUP(B18,Vendedores!$A$2:$A$41,Vendedores!$C$2:$C$41,"No hay datos")</f>
        <v>San Martín de las Rosas</v>
      </c>
      <c r="I18" s="2" t="str">
        <f t="array" ref="I18">_xlfn.XLOOKUP(B18,Vendedores!$A$2:$A$41,Vendedores!$D$2:$D$41,"No hay datos")</f>
        <v>Región Central 2</v>
      </c>
      <c r="J18" s="2" t="str">
        <f t="array" ref="J18:N18">_xlfn.XLOOKUP(A18,Productos!$A$2:$A$61,Productos!$B$2:$F$61)</f>
        <v>Vestido floral</v>
      </c>
      <c r="K18" s="2" t="s">
        <v>22</v>
      </c>
      <c r="L18" s="2" t="s">
        <v>10</v>
      </c>
      <c r="M18" s="2" t="s">
        <v>39</v>
      </c>
      <c r="N18" s="2" t="s">
        <v>40</v>
      </c>
    </row>
    <row r="19">
      <c r="A19" s="2" t="str">
        <f>IFERROR(__xludf.DUMMYFUNCTION("""COMPUTED_VALUE"""),"PR053")</f>
        <v>PR053</v>
      </c>
      <c r="B19" s="2" t="str">
        <f>IFERROR(__xludf.DUMMYFUNCTION("""COMPUTED_VALUE"""),"VD013")</f>
        <v>VD013</v>
      </c>
      <c r="C19" s="2">
        <f>IFERROR(__xludf.DUMMYFUNCTION("""COMPUTED_VALUE"""),9.0)</f>
        <v>9</v>
      </c>
      <c r="D19" s="6">
        <f>IFERROR(__xludf.DUMMYFUNCTION("""COMPUTED_VALUE"""),511.97)</f>
        <v>511.97</v>
      </c>
      <c r="E19" s="6">
        <f>IFERROR(__xludf.DUMMYFUNCTION("GOOGLEFINANCE(""Currency:BRLMXN"")*D19"),1739.418075)</f>
        <v>1739.418075</v>
      </c>
      <c r="F19" s="6">
        <f>IFERROR(__xludf.DUMMYFUNCTION("GOOGLEFINANCE(""Currency:BRLPEN"")*D19"),335.647532)</f>
        <v>335.647532</v>
      </c>
      <c r="G19" s="2" t="str">
        <f t="array" ref="G19">_xlfn.XLOOKUP(B19,Vendedores!$A$2:$A$41,Vendedores!$B$2:$B$41,"No hay datos")</f>
        <v>Pedro Almonte</v>
      </c>
      <c r="H19" s="2" t="str">
        <f t="array" ref="H19">_xlfn.XLOOKUP(B19,Vendedores!$A$2:$A$41,Vendedores!$C$2:$C$41,"No hay datos")</f>
        <v>Santa Rosa del Valle</v>
      </c>
      <c r="I19" s="2" t="str">
        <f t="array" ref="I19">_xlfn.XLOOKUP(B19,Vendedores!$A$2:$A$41,Vendedores!$D$2:$D$41,"No hay datos")</f>
        <v>Región Norte</v>
      </c>
      <c r="J19" s="2" t="str">
        <f t="array" ref="J19:N19">_xlfn.XLOOKUP(A19,Productos!$A$2:$A$61,Productos!$B$2:$F$61)</f>
        <v>Falda plisada</v>
      </c>
      <c r="K19" s="2" t="s">
        <v>17</v>
      </c>
      <c r="L19" s="2" t="s">
        <v>10</v>
      </c>
      <c r="M19" s="2" t="s">
        <v>41</v>
      </c>
      <c r="N19" s="2" t="s">
        <v>32</v>
      </c>
    </row>
    <row r="20">
      <c r="A20" s="2" t="str">
        <f>IFERROR(__xludf.DUMMYFUNCTION("""COMPUTED_VALUE"""),"PR054")</f>
        <v>PR054</v>
      </c>
      <c r="B20" s="2" t="str">
        <f>IFERROR(__xludf.DUMMYFUNCTION("""COMPUTED_VALUE"""),"VD028")</f>
        <v>VD028</v>
      </c>
      <c r="C20" s="2">
        <f>IFERROR(__xludf.DUMMYFUNCTION("""COMPUTED_VALUE"""),9.0)</f>
        <v>9</v>
      </c>
      <c r="D20" s="6">
        <f>IFERROR(__xludf.DUMMYFUNCTION("""COMPUTED_VALUE"""),538.92)</f>
        <v>538.92</v>
      </c>
      <c r="E20" s="6">
        <f>IFERROR(__xludf.DUMMYFUNCTION("GOOGLEFINANCE(""Currency:BRLMXN"")*D20"),1830.9806999999998)</f>
        <v>1830.9807</v>
      </c>
      <c r="F20" s="6">
        <f>IFERROR(__xludf.DUMMYFUNCTION("GOOGLEFINANCE(""Currency:BRLPEN"")*D20"),353.3159519999999)</f>
        <v>353.315952</v>
      </c>
      <c r="G20" s="2" t="str">
        <f t="array" ref="G20">_xlfn.XLOOKUP(B20,Vendedores!$A$2:$A$41,Vendedores!$B$2:$B$41,"No hay datos")</f>
        <v>Rodrigo Almonte</v>
      </c>
      <c r="H20" s="2" t="str">
        <f t="array" ref="H20">_xlfn.XLOOKUP(B20,Vendedores!$A$2:$A$41,Vendedores!$C$2:$C$41,"No hay datos")</f>
        <v>Valle Escondido</v>
      </c>
      <c r="I20" s="2" t="str">
        <f t="array" ref="I20">_xlfn.XLOOKUP(B20,Vendedores!$A$2:$A$41,Vendedores!$D$2:$D$41,"No hay datos")</f>
        <v>Región Andina</v>
      </c>
      <c r="J20" s="2" t="str">
        <f t="array" ref="J20:N20">_xlfn.XLOOKUP(A20,Productos!$A$2:$A$61,Productos!$B$2:$F$61)</f>
        <v>Falda plisada</v>
      </c>
      <c r="K20" s="2" t="s">
        <v>22</v>
      </c>
      <c r="L20" s="2" t="s">
        <v>10</v>
      </c>
      <c r="M20" s="2" t="s">
        <v>42</v>
      </c>
      <c r="N20" s="2" t="s">
        <v>32</v>
      </c>
    </row>
    <row r="21">
      <c r="A21" s="2" t="str">
        <f>IFERROR(__xludf.DUMMYFUNCTION("""COMPUTED_VALUE"""),"PR020")</f>
        <v>PR020</v>
      </c>
      <c r="B21" s="2" t="str">
        <f>IFERROR(__xludf.DUMMYFUNCTION("""COMPUTED_VALUE"""),"VD047")</f>
        <v>VD047</v>
      </c>
      <c r="C21" s="2">
        <f>IFERROR(__xludf.DUMMYFUNCTION("""COMPUTED_VALUE"""),27.0)</f>
        <v>27</v>
      </c>
      <c r="D21" s="6">
        <f>IFERROR(__xludf.DUMMYFUNCTION("""COMPUTED_VALUE"""),8907.03)</f>
        <v>8907.03</v>
      </c>
      <c r="E21" s="6">
        <f>IFERROR(__xludf.DUMMYFUNCTION("GOOGLEFINANCE(""Currency:BRLMXN"")*D21"),30261.634425)</f>
        <v>30261.63443</v>
      </c>
      <c r="F21" s="6">
        <f>IFERROR(__xludf.DUMMYFUNCTION("GOOGLEFINANCE(""Currency:BRLPEN"")*D21"),5839.448868)</f>
        <v>5839.448868</v>
      </c>
      <c r="G21" s="2" t="str">
        <f t="array" ref="G21">_xlfn.XLOOKUP(B21,Vendedores!$A$2:$A$41,Vendedores!$B$2:$B$41,"No hay datos")</f>
        <v>Andrés López</v>
      </c>
      <c r="H21" s="2" t="str">
        <f t="array" ref="H21">_xlfn.XLOOKUP(B21,Vendedores!$A$2:$A$41,Vendedores!$C$2:$C$41,"No hay datos")</f>
        <v>Villa Progreso</v>
      </c>
      <c r="I21" s="2" t="str">
        <f t="array" ref="I21">_xlfn.XLOOKUP(B21,Vendedores!$A$2:$A$41,Vendedores!$D$2:$D$41,"No hay datos")</f>
        <v>Región Central 2</v>
      </c>
      <c r="J21" s="2" t="str">
        <f t="array" ref="J21:N21">_xlfn.XLOOKUP(A21,Productos!$A$2:$A$61,Productos!$B$2:$F$61)</f>
        <v>Chaqueta de cuero</v>
      </c>
      <c r="K21" s="2" t="s">
        <v>9</v>
      </c>
      <c r="L21" s="2" t="s">
        <v>10</v>
      </c>
      <c r="M21" s="2" t="s">
        <v>15</v>
      </c>
      <c r="N21" s="2" t="s">
        <v>16</v>
      </c>
    </row>
    <row r="22">
      <c r="A22" s="2" t="str">
        <f>IFERROR(__xludf.DUMMYFUNCTION("""COMPUTED_VALUE"""),"PR047")</f>
        <v>PR047</v>
      </c>
      <c r="B22" s="2" t="str">
        <f>IFERROR(__xludf.DUMMYFUNCTION("""COMPUTED_VALUE"""),"VD017")</f>
        <v>VD017</v>
      </c>
      <c r="C22" s="2">
        <f>IFERROR(__xludf.DUMMYFUNCTION("""COMPUTED_VALUE"""),12.0)</f>
        <v>12</v>
      </c>
      <c r="D22" s="6">
        <f>IFERROR(__xludf.DUMMYFUNCTION("""COMPUTED_VALUE"""),4174.56)</f>
        <v>4174.56</v>
      </c>
      <c r="E22" s="6">
        <f>IFERROR(__xludf.DUMMYFUNCTION("GOOGLEFINANCE(""Currency:BRLMXN"")*D22"),14183.0676)</f>
        <v>14183.0676</v>
      </c>
      <c r="F22" s="6">
        <f>IFERROR(__xludf.DUMMYFUNCTION("GOOGLEFINANCE(""Currency:BRLPEN"")*D22"),2736.841536)</f>
        <v>2736.841536</v>
      </c>
      <c r="G22" s="2" t="str">
        <f t="array" ref="G22">_xlfn.XLOOKUP(B22,Vendedores!$A$2:$A$41,Vendedores!$B$2:$B$41,"No hay datos")</f>
        <v>Bruno Peralta</v>
      </c>
      <c r="H22" s="2" t="str">
        <f t="array" ref="H22">_xlfn.XLOOKUP(B22,Vendedores!$A$2:$A$41,Vendedores!$C$2:$C$41,"No hay datos")</f>
        <v>Costa Azul</v>
      </c>
      <c r="I22" s="2" t="str">
        <f t="array" ref="I22">_xlfn.XLOOKUP(B22,Vendedores!$A$2:$A$41,Vendedores!$D$2:$D$41,"No hay datos")</f>
        <v>Región Norte</v>
      </c>
      <c r="J22" s="2" t="str">
        <f t="array" ref="J22:N22">_xlfn.XLOOKUP(A22,Productos!$A$2:$A$61,Productos!$B$2:$F$61)</f>
        <v>Chaqueta de cuero</v>
      </c>
      <c r="K22" s="2" t="s">
        <v>17</v>
      </c>
      <c r="L22" s="2" t="s">
        <v>10</v>
      </c>
      <c r="M22" s="2" t="s">
        <v>43</v>
      </c>
      <c r="N22" s="2" t="s">
        <v>44</v>
      </c>
    </row>
    <row r="23">
      <c r="A23" s="2" t="str">
        <f>IFERROR(__xludf.DUMMYFUNCTION("""COMPUTED_VALUE"""),"PR047")</f>
        <v>PR047</v>
      </c>
      <c r="B23" s="2" t="str">
        <f>IFERROR(__xludf.DUMMYFUNCTION("""COMPUTED_VALUE"""),"VD040")</f>
        <v>VD040</v>
      </c>
      <c r="C23" s="2">
        <f>IFERROR(__xludf.DUMMYFUNCTION("""COMPUTED_VALUE"""),15.0)</f>
        <v>15</v>
      </c>
      <c r="D23" s="6">
        <f>IFERROR(__xludf.DUMMYFUNCTION("""COMPUTED_VALUE"""),4826.84)</f>
        <v>4826.84</v>
      </c>
      <c r="E23" s="6">
        <f>IFERROR(__xludf.DUMMYFUNCTION("GOOGLEFINANCE(""Currency:BRLMXN"")*D23"),16399.1889)</f>
        <v>16399.1889</v>
      </c>
      <c r="F23" s="6">
        <f>IFERROR(__xludf.DUMMYFUNCTION("GOOGLEFINANCE(""Currency:BRLPEN"")*D23"),3164.476304)</f>
        <v>3164.476304</v>
      </c>
      <c r="G23" s="2" t="str">
        <f t="array" ref="G23">_xlfn.XLOOKUP(B23,Vendedores!$A$2:$A$41,Vendedores!$B$2:$B$41,"No hay datos")</f>
        <v>Tatiana Montero</v>
      </c>
      <c r="H23" s="2" t="str">
        <f t="array" ref="H23">_xlfn.XLOOKUP(B23,Vendedores!$A$2:$A$41,Vendedores!$C$2:$C$41,"No hay datos")</f>
        <v>Ciudad Industrial</v>
      </c>
      <c r="I23" s="2" t="str">
        <f t="array" ref="I23">_xlfn.XLOOKUP(B23,Vendedores!$A$2:$A$41,Vendedores!$D$2:$D$41,"No hay datos")</f>
        <v>Región Central 2</v>
      </c>
      <c r="J23" s="2" t="str">
        <f t="array" ref="J23:N23">_xlfn.XLOOKUP(A23,Productos!$A$2:$A$61,Productos!$B$2:$F$61)</f>
        <v>Chaqueta de cuero</v>
      </c>
      <c r="K23" s="2" t="s">
        <v>17</v>
      </c>
      <c r="L23" s="2" t="s">
        <v>10</v>
      </c>
      <c r="M23" s="2" t="s">
        <v>43</v>
      </c>
      <c r="N23" s="2" t="s">
        <v>44</v>
      </c>
    </row>
    <row r="24">
      <c r="A24" s="2" t="str">
        <f>IFERROR(__xludf.DUMMYFUNCTION("""COMPUTED_VALUE"""),"PR003")</f>
        <v>PR003</v>
      </c>
      <c r="B24" s="2" t="str">
        <f>IFERROR(__xludf.DUMMYFUNCTION("""COMPUTED_VALUE"""),"VD033")</f>
        <v>VD033</v>
      </c>
      <c r="C24" s="2">
        <f>IFERROR(__xludf.DUMMYFUNCTION("""COMPUTED_VALUE"""),8.0)</f>
        <v>8</v>
      </c>
      <c r="D24" s="6">
        <f>IFERROR(__xludf.DUMMYFUNCTION("""COMPUTED_VALUE"""),629.59)</f>
        <v>629.59</v>
      </c>
      <c r="E24" s="6">
        <f>IFERROR(__xludf.DUMMYFUNCTION("GOOGLEFINANCE(""Currency:BRLMXN"")*D24"),2139.032025)</f>
        <v>2139.032025</v>
      </c>
      <c r="F24" s="6">
        <f>IFERROR(__xludf.DUMMYFUNCTION("GOOGLEFINANCE(""Currency:BRLPEN"")*D24"),412.759204)</f>
        <v>412.759204</v>
      </c>
      <c r="G24" s="2" t="str">
        <f t="array" ref="G24">_xlfn.XLOOKUP(B24,Vendedores!$A$2:$A$41,Vendedores!$B$2:$B$41,"No hay datos")</f>
        <v>Renata Flores</v>
      </c>
      <c r="H24" s="2" t="str">
        <f t="array" ref="H24">_xlfn.XLOOKUP(B24,Vendedores!$A$2:$A$41,Vendedores!$C$2:$C$41,"No hay datos")</f>
        <v>Altos del Sur</v>
      </c>
      <c r="I24" s="2" t="str">
        <f t="array" ref="I24">_xlfn.XLOOKUP(B24,Vendedores!$A$2:$A$41,Vendedores!$D$2:$D$41,"No hay datos")</f>
        <v>Región Central 2</v>
      </c>
      <c r="J24" s="2" t="str">
        <f t="array" ref="J24:N24">_xlfn.XLOOKUP(A24,Productos!$A$2:$A$61,Productos!$B$2:$F$61)</f>
        <v>Bermuda</v>
      </c>
      <c r="K24" s="2" t="s">
        <v>22</v>
      </c>
      <c r="L24" s="2" t="s">
        <v>10</v>
      </c>
      <c r="M24" s="2" t="s">
        <v>45</v>
      </c>
      <c r="N24" s="2" t="s">
        <v>46</v>
      </c>
    </row>
    <row r="25">
      <c r="A25" s="2" t="str">
        <f>IFERROR(__xludf.DUMMYFUNCTION("""COMPUTED_VALUE"""),"PR058")</f>
        <v>PR058</v>
      </c>
      <c r="B25" s="2" t="str">
        <f>IFERROR(__xludf.DUMMYFUNCTION("""COMPUTED_VALUE"""),"VD014")</f>
        <v>VD014</v>
      </c>
      <c r="C25" s="2">
        <f>IFERROR(__xludf.DUMMYFUNCTION("""COMPUTED_VALUE"""),21.0)</f>
        <v>21</v>
      </c>
      <c r="D25" s="6">
        <f>IFERROR(__xludf.DUMMYFUNCTION("""COMPUTED_VALUE"""),4536.0)</f>
        <v>4536</v>
      </c>
      <c r="E25" s="6">
        <f>IFERROR(__xludf.DUMMYFUNCTION("GOOGLEFINANCE(""Currency:BRLMXN"")*D25"),15411.06)</f>
        <v>15411.06</v>
      </c>
      <c r="F25" s="6">
        <f>IFERROR(__xludf.DUMMYFUNCTION("GOOGLEFINANCE(""Currency:BRLPEN"")*D25"),2973.8016)</f>
        <v>2973.8016</v>
      </c>
      <c r="G25" s="2" t="str">
        <f t="array" ref="G25">_xlfn.XLOOKUP(B25,Vendedores!$A$2:$A$41,Vendedores!$B$2:$B$41,"No hay datos")</f>
        <v>Carla Flores</v>
      </c>
      <c r="H25" s="2" t="str">
        <f t="array" ref="H25">_xlfn.XLOOKUP(B25,Vendedores!$A$2:$A$41,Vendedores!$C$2:$C$41,"No hay datos")</f>
        <v>Valle Escondido</v>
      </c>
      <c r="I25" s="2" t="str">
        <f t="array" ref="I25">_xlfn.XLOOKUP(B25,Vendedores!$A$2:$A$41,Vendedores!$D$2:$D$41,"No hay datos")</f>
        <v>Región Andina</v>
      </c>
      <c r="J25" s="2" t="str">
        <f t="array" ref="J25:N25">_xlfn.XLOOKUP(A25,Productos!$A$2:$A$61,Productos!$B$2:$F$61)</f>
        <v>Pantalón de sastre</v>
      </c>
      <c r="K25" s="2" t="s">
        <v>9</v>
      </c>
      <c r="L25" s="2" t="s">
        <v>10</v>
      </c>
      <c r="M25" s="2" t="s">
        <v>13</v>
      </c>
      <c r="N25" s="2" t="s">
        <v>14</v>
      </c>
    </row>
    <row r="26">
      <c r="A26" s="2" t="str">
        <f>IFERROR(__xludf.DUMMYFUNCTION("""COMPUTED_VALUE"""),"PR049")</f>
        <v>PR049</v>
      </c>
      <c r="B26" s="2" t="str">
        <f>IFERROR(__xludf.DUMMYFUNCTION("""COMPUTED_VALUE"""),"VD029")</f>
        <v>VD029</v>
      </c>
      <c r="C26" s="2">
        <f>IFERROR(__xludf.DUMMYFUNCTION("""COMPUTED_VALUE"""),12.0)</f>
        <v>12</v>
      </c>
      <c r="D26" s="6">
        <f>IFERROR(__xludf.DUMMYFUNCTION("""COMPUTED_VALUE"""),473.76)</f>
        <v>473.76</v>
      </c>
      <c r="E26" s="6">
        <f>IFERROR(__xludf.DUMMYFUNCTION("GOOGLEFINANCE(""Currency:BRLMXN"")*D26"),1609.5996)</f>
        <v>1609.5996</v>
      </c>
      <c r="F26" s="6">
        <f>IFERROR(__xludf.DUMMYFUNCTION("GOOGLEFINANCE(""Currency:BRLPEN"")*D26"),310.59705599999995)</f>
        <v>310.597056</v>
      </c>
      <c r="G26" s="2" t="str">
        <f t="array" ref="G26">_xlfn.XLOOKUP(B26,Vendedores!$A$2:$A$41,Vendedores!$B$2:$B$41,"No hay datos")</f>
        <v>Gabriela Sosa</v>
      </c>
      <c r="H26" s="2" t="str">
        <f t="array" ref="H26">_xlfn.XLOOKUP(B26,Vendedores!$A$2:$A$41,Vendedores!$C$2:$C$41,"No hay datos")</f>
        <v>Selva Verde</v>
      </c>
      <c r="I26" s="2" t="str">
        <f t="array" ref="I26">_xlfn.XLOOKUP(B26,Vendedores!$A$2:$A$41,Vendedores!$D$2:$D$41,"No hay datos")</f>
        <v>Región Amazónica</v>
      </c>
      <c r="J26" s="2" t="str">
        <f t="array" ref="J26:N26">_xlfn.XLOOKUP(A26,Productos!$A$2:$A$61,Productos!$B$2:$F$61)</f>
        <v>Playera a rayas</v>
      </c>
      <c r="K26" s="2" t="s">
        <v>9</v>
      </c>
      <c r="L26" s="2" t="s">
        <v>10</v>
      </c>
      <c r="M26" s="2" t="s">
        <v>47</v>
      </c>
      <c r="N26" s="2" t="s">
        <v>24</v>
      </c>
    </row>
    <row r="27">
      <c r="A27" s="2" t="str">
        <f>IFERROR(__xludf.DUMMYFUNCTION("""COMPUTED_VALUE"""),"PR035")</f>
        <v>PR035</v>
      </c>
      <c r="B27" s="2" t="str">
        <f>IFERROR(__xludf.DUMMYFUNCTION("""COMPUTED_VALUE"""),"VD010")</f>
        <v>VD010</v>
      </c>
      <c r="C27" s="2">
        <f>IFERROR(__xludf.DUMMYFUNCTION("""COMPUTED_VALUE"""),27.0)</f>
        <v>27</v>
      </c>
      <c r="D27" s="6">
        <f>IFERROR(__xludf.DUMMYFUNCTION("""COMPUTED_VALUE"""),2763.94)</f>
        <v>2763.94</v>
      </c>
      <c r="E27" s="6">
        <f>IFERROR(__xludf.DUMMYFUNCTION("GOOGLEFINANCE(""Currency:BRLMXN"")*D27"),9390.48615)</f>
        <v>9390.48615</v>
      </c>
      <c r="F27" s="6">
        <f>IFERROR(__xludf.DUMMYFUNCTION("GOOGLEFINANCE(""Currency:BRLPEN"")*D27"),1812.0390639999998)</f>
        <v>1812.039064</v>
      </c>
      <c r="G27" s="2" t="str">
        <f t="array" ref="G27">_xlfn.XLOOKUP(B27,Vendedores!$A$2:$A$41,Vendedores!$B$2:$B$41,"No hay datos")</f>
        <v>María Silva</v>
      </c>
      <c r="H27" s="2" t="str">
        <f t="array" ref="H27">_xlfn.XLOOKUP(B27,Vendedores!$A$2:$A$41,Vendedores!$C$2:$C$41,"No hay datos")</f>
        <v>San Juan de la Sierra</v>
      </c>
      <c r="I27" s="2" t="str">
        <f t="array" ref="I27">_xlfn.XLOOKUP(B27,Vendedores!$A$2:$A$41,Vendedores!$D$2:$D$41,"No hay datos")</f>
        <v>Región Central</v>
      </c>
      <c r="J27" s="2" t="str">
        <f t="array" ref="J27:N27">_xlfn.XLOOKUP(A27,Productos!$A$2:$A$61,Productos!$B$2:$F$61)</f>
        <v>Vestido corto</v>
      </c>
      <c r="K27" s="2" t="s">
        <v>17</v>
      </c>
      <c r="L27" s="2" t="s">
        <v>10</v>
      </c>
      <c r="M27" s="2" t="s">
        <v>18</v>
      </c>
      <c r="N27" s="2" t="s">
        <v>19</v>
      </c>
    </row>
    <row r="28">
      <c r="A28" s="2" t="str">
        <f>IFERROR(__xludf.DUMMYFUNCTION("""COMPUTED_VALUE"""),"PR003")</f>
        <v>PR003</v>
      </c>
      <c r="B28" s="2" t="str">
        <f>IFERROR(__xludf.DUMMYFUNCTION("""COMPUTED_VALUE"""),"VD024")</f>
        <v>VD024</v>
      </c>
      <c r="C28" s="2">
        <f>IFERROR(__xludf.DUMMYFUNCTION("""COMPUTED_VALUE"""),18.0)</f>
        <v>18</v>
      </c>
      <c r="D28" s="6">
        <f>IFERROR(__xludf.DUMMYFUNCTION("""COMPUTED_VALUE"""),1480.39)</f>
        <v>1480.39</v>
      </c>
      <c r="E28" s="6">
        <f>IFERROR(__xludf.DUMMYFUNCTION("GOOGLEFINANCE(""Currency:BRLMXN"")*D28"),5029.625025)</f>
        <v>5029.625025</v>
      </c>
      <c r="F28" s="6">
        <f>IFERROR(__xludf.DUMMYFUNCTION("GOOGLEFINANCE(""Currency:BRLPEN"")*D28"),970.543684)</f>
        <v>970.543684</v>
      </c>
      <c r="G28" s="2" t="str">
        <f t="array" ref="G28">_xlfn.XLOOKUP(B28,Vendedores!$A$2:$A$41,Vendedores!$B$2:$B$41,"No hay datos")</f>
        <v>Marcos Rivera</v>
      </c>
      <c r="H28" s="2" t="str">
        <f t="array" ref="H28">_xlfn.XLOOKUP(B28,Vendedores!$A$2:$A$41,Vendedores!$C$2:$C$41,"No hay datos")</f>
        <v>Santa Rosa del Valle</v>
      </c>
      <c r="I28" s="2" t="str">
        <f t="array" ref="I28">_xlfn.XLOOKUP(B28,Vendedores!$A$2:$A$41,Vendedores!$D$2:$D$41,"No hay datos")</f>
        <v>Región Norte</v>
      </c>
      <c r="J28" s="2" t="str">
        <f t="array" ref="J28:N28">_xlfn.XLOOKUP(A28,Productos!$A$2:$A$61,Productos!$B$2:$F$61)</f>
        <v>Bermuda</v>
      </c>
      <c r="K28" s="2" t="s">
        <v>22</v>
      </c>
      <c r="L28" s="2" t="s">
        <v>10</v>
      </c>
      <c r="M28" s="2" t="s">
        <v>45</v>
      </c>
      <c r="N28" s="2" t="s">
        <v>46</v>
      </c>
    </row>
    <row r="29">
      <c r="A29" s="2" t="str">
        <f>IFERROR(__xludf.DUMMYFUNCTION("""COMPUTED_VALUE"""),"PR006")</f>
        <v>PR006</v>
      </c>
      <c r="B29" s="2" t="str">
        <f>IFERROR(__xludf.DUMMYFUNCTION("""COMPUTED_VALUE"""),"VD021")</f>
        <v>VD021</v>
      </c>
      <c r="C29" s="2">
        <f>IFERROR(__xludf.DUMMYFUNCTION("""COMPUTED_VALUE"""),27.0)</f>
        <v>27</v>
      </c>
      <c r="D29" s="6">
        <f>IFERROR(__xludf.DUMMYFUNCTION("""COMPUTED_VALUE"""),1249.67)</f>
        <v>1249.67</v>
      </c>
      <c r="E29" s="6">
        <f>IFERROR(__xludf.DUMMYFUNCTION("GOOGLEFINANCE(""Currency:BRLMXN"")*D29"),4245.753825)</f>
        <v>4245.753825</v>
      </c>
      <c r="F29" s="6">
        <f>IFERROR(__xludf.DUMMYFUNCTION("GOOGLEFINANCE(""Currency:BRLPEN"")*D29"),819.283652)</f>
        <v>819.283652</v>
      </c>
      <c r="G29" s="2" t="str">
        <f t="array" ref="G29">_xlfn.XLOOKUP(B29,Vendedores!$A$2:$A$41,Vendedores!$B$2:$B$41,"No hay datos")</f>
        <v>Fernanda Méndez</v>
      </c>
      <c r="H29" s="2" t="str">
        <f t="array" ref="H29">_xlfn.XLOOKUP(B29,Vendedores!$A$2:$A$41,Vendedores!$C$2:$C$41,"No hay datos")</f>
        <v>San Juan de la Sierra</v>
      </c>
      <c r="I29" s="2" t="str">
        <f t="array" ref="I29">_xlfn.XLOOKUP(B29,Vendedores!$A$2:$A$41,Vendedores!$D$2:$D$41,"No hay datos")</f>
        <v>Región Central</v>
      </c>
      <c r="J29" s="2" t="str">
        <f t="array" ref="J29:N29">_xlfn.XLOOKUP(A29,Productos!$A$2:$A$61,Productos!$B$2:$F$61)</f>
        <v>Gorra</v>
      </c>
      <c r="K29" s="2" t="s">
        <v>29</v>
      </c>
      <c r="L29" s="2" t="s">
        <v>30</v>
      </c>
      <c r="M29" s="2" t="s">
        <v>48</v>
      </c>
      <c r="N29" s="2" t="s">
        <v>38</v>
      </c>
    </row>
    <row r="30">
      <c r="A30" s="2" t="str">
        <f>IFERROR(__xludf.DUMMYFUNCTION("""COMPUTED_VALUE"""),"PR002")</f>
        <v>PR002</v>
      </c>
      <c r="B30" s="2" t="str">
        <f>IFERROR(__xludf.DUMMYFUNCTION("""COMPUTED_VALUE"""),"VD040")</f>
        <v>VD040</v>
      </c>
      <c r="C30" s="2">
        <f>IFERROR(__xludf.DUMMYFUNCTION("""COMPUTED_VALUE"""),24.0)</f>
        <v>24</v>
      </c>
      <c r="D30" s="6">
        <f>IFERROR(__xludf.DUMMYFUNCTION("""COMPUTED_VALUE"""),1996.34)</f>
        <v>1996.34</v>
      </c>
      <c r="E30" s="6">
        <f>IFERROR(__xludf.DUMMYFUNCTION("GOOGLEFINANCE(""Currency:BRLMXN"")*D30"),6782.565149999999)</f>
        <v>6782.56515</v>
      </c>
      <c r="F30" s="6">
        <f>IFERROR(__xludf.DUMMYFUNCTION("GOOGLEFINANCE(""Currency:BRLPEN"")*D30"),1308.8005039999998)</f>
        <v>1308.800504</v>
      </c>
      <c r="G30" s="2" t="str">
        <f t="array" ref="G30">_xlfn.XLOOKUP(B30,Vendedores!$A$2:$A$41,Vendedores!$B$2:$B$41,"No hay datos")</f>
        <v>Tatiana Montero</v>
      </c>
      <c r="H30" s="2" t="str">
        <f t="array" ref="H30">_xlfn.XLOOKUP(B30,Vendedores!$A$2:$A$41,Vendedores!$C$2:$C$41,"No hay datos")</f>
        <v>Ciudad Industrial</v>
      </c>
      <c r="I30" s="2" t="str">
        <f t="array" ref="I30">_xlfn.XLOOKUP(B30,Vendedores!$A$2:$A$41,Vendedores!$D$2:$D$41,"No hay datos")</f>
        <v>Región Central 2</v>
      </c>
      <c r="J30" s="2" t="str">
        <f t="array" ref="J30:N30">_xlfn.XLOOKUP(A30,Productos!$A$2:$A$61,Productos!$B$2:$F$61)</f>
        <v>Bermuda</v>
      </c>
      <c r="K30" s="2" t="s">
        <v>17</v>
      </c>
      <c r="L30" s="2" t="s">
        <v>10</v>
      </c>
      <c r="M30" s="2" t="s">
        <v>49</v>
      </c>
      <c r="N30" s="2" t="s">
        <v>50</v>
      </c>
    </row>
    <row r="31">
      <c r="A31" s="2" t="str">
        <f>IFERROR(__xludf.DUMMYFUNCTION("""COMPUTED_VALUE"""),"PR038")</f>
        <v>PR038</v>
      </c>
      <c r="B31" s="2" t="str">
        <f>IFERROR(__xludf.DUMMYFUNCTION("""COMPUTED_VALUE"""),"VD016")</f>
        <v>VD016</v>
      </c>
      <c r="C31" s="2">
        <f>IFERROR(__xludf.DUMMYFUNCTION("""COMPUTED_VALUE"""),12.0)</f>
        <v>12</v>
      </c>
      <c r="D31" s="6">
        <f>IFERROR(__xludf.DUMMYFUNCTION("""COMPUTED_VALUE"""),1972.02)</f>
        <v>1972.02</v>
      </c>
      <c r="E31" s="6">
        <f>IFERROR(__xludf.DUMMYFUNCTION("GOOGLEFINANCE(""Currency:BRLMXN"")*D31"),6699.93795)</f>
        <v>6699.93795</v>
      </c>
      <c r="F31" s="6">
        <f>IFERROR(__xludf.DUMMYFUNCTION("GOOGLEFINANCE(""Currency:BRLPEN"")*D31"),1292.856312)</f>
        <v>1292.856312</v>
      </c>
      <c r="G31" s="2" t="str">
        <f t="array" ref="G31">_xlfn.XLOOKUP(B31,Vendedores!$A$2:$A$41,Vendedores!$B$2:$B$41,"No hay datos")</f>
        <v>Beatriz Linares</v>
      </c>
      <c r="H31" s="2" t="str">
        <f t="array" ref="H31">_xlfn.XLOOKUP(B31,Vendedores!$A$2:$A$41,Vendedores!$C$2:$C$41,"No hay datos")</f>
        <v>Puerto Esperanza</v>
      </c>
      <c r="I31" s="2" t="str">
        <f t="array" ref="I31">_xlfn.XLOOKUP(B31,Vendedores!$A$2:$A$41,Vendedores!$D$2:$D$41,"No hay datos")</f>
        <v>Región Sur</v>
      </c>
      <c r="J31" s="2" t="str">
        <f t="array" ref="J31:N31">_xlfn.XLOOKUP(A31,Productos!$A$2:$A$61,Productos!$B$2:$F$61)</f>
        <v>Vestido largo</v>
      </c>
      <c r="K31" s="2" t="s">
        <v>17</v>
      </c>
      <c r="L31" s="2" t="s">
        <v>10</v>
      </c>
      <c r="M31" s="2" t="s">
        <v>51</v>
      </c>
      <c r="N31" s="2" t="s">
        <v>52</v>
      </c>
    </row>
    <row r="32">
      <c r="A32" s="2" t="str">
        <f>IFERROR(__xludf.DUMMYFUNCTION("""COMPUTED_VALUE"""),"PR027")</f>
        <v>PR027</v>
      </c>
      <c r="B32" s="2" t="str">
        <f>IFERROR(__xludf.DUMMYFUNCTION("""COMPUTED_VALUE"""),"VD035")</f>
        <v>VD035</v>
      </c>
      <c r="C32" s="2">
        <f>IFERROR(__xludf.DUMMYFUNCTION("""COMPUTED_VALUE"""),30.0)</f>
        <v>30</v>
      </c>
      <c r="D32" s="6">
        <f>IFERROR(__xludf.DUMMYFUNCTION("""COMPUTED_VALUE"""),3996.0)</f>
        <v>3996</v>
      </c>
      <c r="E32" s="6">
        <f>IFERROR(__xludf.DUMMYFUNCTION("GOOGLEFINANCE(""Currency:BRLMXN"")*D32"),13576.41)</f>
        <v>13576.41</v>
      </c>
      <c r="F32" s="6">
        <f>IFERROR(__xludf.DUMMYFUNCTION("GOOGLEFINANCE(""Currency:BRLPEN"")*D32"),2619.7776)</f>
        <v>2619.7776</v>
      </c>
      <c r="G32" s="2" t="str">
        <f t="array" ref="G32">_xlfn.XLOOKUP(B32,Vendedores!$A$2:$A$41,Vendedores!$B$2:$B$41,"No hay datos")</f>
        <v>Carolina Méndez</v>
      </c>
      <c r="H32" s="2" t="str">
        <f t="array" ref="H32">_xlfn.XLOOKUP(B32,Vendedores!$A$2:$A$41,Vendedores!$C$2:$C$41,"No hay datos")</f>
        <v>Valle de los Robles</v>
      </c>
      <c r="I32" s="2" t="str">
        <f t="array" ref="I32">_xlfn.XLOOKUP(B32,Vendedores!$A$2:$A$41,Vendedores!$D$2:$D$41,"No hay datos")</f>
        <v>Región Central 2</v>
      </c>
      <c r="J32" s="2" t="str">
        <f t="array" ref="J32:N32">_xlfn.XLOOKUP(A32,Productos!$A$2:$A$61,Productos!$B$2:$F$61)</f>
        <v>Gafas redondas</v>
      </c>
      <c r="K32" s="2" t="s">
        <v>29</v>
      </c>
      <c r="L32" s="2" t="s">
        <v>30</v>
      </c>
      <c r="M32" s="2" t="s">
        <v>53</v>
      </c>
      <c r="N32" s="2" t="s">
        <v>54</v>
      </c>
    </row>
    <row r="33">
      <c r="A33" s="2" t="str">
        <f>IFERROR(__xludf.DUMMYFUNCTION("""COMPUTED_VALUE"""),"PR059")</f>
        <v>PR059</v>
      </c>
      <c r="B33" s="2" t="str">
        <f>IFERROR(__xludf.DUMMYFUNCTION("""COMPUTED_VALUE"""),"VD049")</f>
        <v>VD049</v>
      </c>
      <c r="C33" s="2">
        <f>IFERROR(__xludf.DUMMYFUNCTION("""COMPUTED_VALUE"""),12.0)</f>
        <v>12</v>
      </c>
      <c r="D33" s="6">
        <f>IFERROR(__xludf.DUMMYFUNCTION("""COMPUTED_VALUE"""),2419.2)</f>
        <v>2419.2</v>
      </c>
      <c r="E33" s="6">
        <f>IFERROR(__xludf.DUMMYFUNCTION("GOOGLEFINANCE(""Currency:BRLMXN"")*D33"),8219.232)</f>
        <v>8219.232</v>
      </c>
      <c r="F33" s="6">
        <f>IFERROR(__xludf.DUMMYFUNCTION("GOOGLEFINANCE(""Currency:BRLPEN"")*D33"),1586.0275199999999)</f>
        <v>1586.02752</v>
      </c>
      <c r="G33" s="2" t="str">
        <f t="array" ref="G33">_xlfn.XLOOKUP(B33,Vendedores!$A$2:$A$41,Vendedores!$B$2:$B$41,"No hay datos")</f>
        <v>Fernando Navarro</v>
      </c>
      <c r="H33" s="2" t="str">
        <f t="array" ref="H33">_xlfn.XLOOKUP(B33,Vendedores!$A$2:$A$41,Vendedores!$C$2:$C$41,"No hay datos")</f>
        <v>Colinas Verdes</v>
      </c>
      <c r="I33" s="2" t="str">
        <f t="array" ref="I33">_xlfn.XLOOKUP(B33,Vendedores!$A$2:$A$41,Vendedores!$D$2:$D$41,"No hay datos")</f>
        <v>Región Central 2</v>
      </c>
      <c r="J33" s="2" t="str">
        <f t="array" ref="J33:N33">_xlfn.XLOOKUP(A33,Productos!$A$2:$A$61,Productos!$B$2:$F$61)</f>
        <v>Pantalón de sastre</v>
      </c>
      <c r="K33" s="2" t="s">
        <v>17</v>
      </c>
      <c r="L33" s="2" t="s">
        <v>10</v>
      </c>
      <c r="M33" s="2" t="s">
        <v>28</v>
      </c>
      <c r="N33" s="2" t="s">
        <v>14</v>
      </c>
    </row>
    <row r="34">
      <c r="A34" s="2" t="str">
        <f>IFERROR(__xludf.DUMMYFUNCTION("""COMPUTED_VALUE"""),"PR035")</f>
        <v>PR035</v>
      </c>
      <c r="B34" s="2" t="str">
        <f>IFERROR(__xludf.DUMMYFUNCTION("""COMPUTED_VALUE"""),"VD019")</f>
        <v>VD019</v>
      </c>
      <c r="C34" s="2">
        <f>IFERROR(__xludf.DUMMYFUNCTION("""COMPUTED_VALUE"""),21.0)</f>
        <v>21</v>
      </c>
      <c r="D34" s="6">
        <f>IFERROR(__xludf.DUMMYFUNCTION("""COMPUTED_VALUE"""),2207.31)</f>
        <v>2207.31</v>
      </c>
      <c r="E34" s="6">
        <f>IFERROR(__xludf.DUMMYFUNCTION("GOOGLEFINANCE(""Currency:BRLMXN"")*D34"),7499.335725)</f>
        <v>7499.335725</v>
      </c>
      <c r="F34" s="6">
        <f>IFERROR(__xludf.DUMMYFUNCTION("GOOGLEFINANCE(""Currency:BRLPEN"")*D34"),1447.112436)</f>
        <v>1447.112436</v>
      </c>
      <c r="G34" s="2" t="str">
        <f t="array" ref="G34">_xlfn.XLOOKUP(B34,Vendedores!$A$2:$A$41,Vendedores!$B$2:$B$41,"No hay datos")</f>
        <v>Rafael Sosa</v>
      </c>
      <c r="H34" s="2" t="str">
        <f t="array" ref="H34">_xlfn.XLOOKUP(B34,Vendedores!$A$2:$A$41,Vendedores!$C$2:$C$41,"No hay datos")</f>
        <v>Selva Verde</v>
      </c>
      <c r="I34" s="2" t="str">
        <f t="array" ref="I34">_xlfn.XLOOKUP(B34,Vendedores!$A$2:$A$41,Vendedores!$D$2:$D$41,"No hay datos")</f>
        <v>Región Amazónica</v>
      </c>
      <c r="J34" s="2" t="str">
        <f t="array" ref="J34:N34">_xlfn.XLOOKUP(A34,Productos!$A$2:$A$61,Productos!$B$2:$F$61)</f>
        <v>Vestido corto</v>
      </c>
      <c r="K34" s="2" t="s">
        <v>17</v>
      </c>
      <c r="L34" s="2" t="s">
        <v>10</v>
      </c>
      <c r="M34" s="2" t="s">
        <v>18</v>
      </c>
      <c r="N34" s="2" t="s">
        <v>19</v>
      </c>
    </row>
    <row r="35">
      <c r="A35" s="2" t="str">
        <f>IFERROR(__xludf.DUMMYFUNCTION("""COMPUTED_VALUE"""),"PR028")</f>
        <v>PR028</v>
      </c>
      <c r="B35" s="2" t="str">
        <f>IFERROR(__xludf.DUMMYFUNCTION("""COMPUTED_VALUE"""),"VD011")</f>
        <v>VD011</v>
      </c>
      <c r="C35" s="2">
        <f>IFERROR(__xludf.DUMMYFUNCTION("""COMPUTED_VALUE"""),16.0)</f>
        <v>16</v>
      </c>
      <c r="D35" s="6">
        <f>IFERROR(__xludf.DUMMYFUNCTION("""COMPUTED_VALUE"""),4718.11)</f>
        <v>4718.11</v>
      </c>
      <c r="E35" s="6">
        <f>IFERROR(__xludf.DUMMYFUNCTION("GOOGLEFINANCE(""Currency:BRLMXN"")*D35"),16029.778724999998)</f>
        <v>16029.77873</v>
      </c>
      <c r="F35" s="6">
        <f>IFERROR(__xludf.DUMMYFUNCTION("GOOGLEFINANCE(""Currency:BRLPEN"")*D35"),3093.1929159999995)</f>
        <v>3093.192916</v>
      </c>
      <c r="G35" s="2" t="str">
        <f t="array" ref="G35">_xlfn.XLOOKUP(B35,Vendedores!$A$2:$A$41,Vendedores!$B$2:$B$41,"No hay datos")</f>
        <v>Juan Santos</v>
      </c>
      <c r="H35" s="2" t="str">
        <f t="array" ref="H35">_xlfn.XLOOKUP(B35,Vendedores!$A$2:$A$41,Vendedores!$C$2:$C$41,"No hay datos")</f>
        <v>Vista Hermosa</v>
      </c>
      <c r="I35" s="2" t="str">
        <f t="array" ref="I35">_xlfn.XLOOKUP(B35,Vendedores!$A$2:$A$41,Vendedores!$D$2:$D$41,"No hay datos")</f>
        <v>Región Central</v>
      </c>
      <c r="J35" s="2" t="str">
        <f t="array" ref="J35:N35">_xlfn.XLOOKUP(A35,Productos!$A$2:$A$61,Productos!$B$2:$F$61)</f>
        <v>Tenis Atitas</v>
      </c>
      <c r="K35" s="2">
        <v>36.0</v>
      </c>
      <c r="L35" s="2" t="s">
        <v>33</v>
      </c>
      <c r="M35" s="2" t="s">
        <v>55</v>
      </c>
      <c r="N35" s="2" t="s">
        <v>56</v>
      </c>
    </row>
    <row r="36">
      <c r="A36" s="2" t="str">
        <f>IFERROR(__xludf.DUMMYFUNCTION("""COMPUTED_VALUE"""),"PR018")</f>
        <v>PR018</v>
      </c>
      <c r="B36" s="2" t="str">
        <f>IFERROR(__xludf.DUMMYFUNCTION("""COMPUTED_VALUE"""),"VD016")</f>
        <v>VD016</v>
      </c>
      <c r="C36" s="2">
        <f>IFERROR(__xludf.DUMMYFUNCTION("""COMPUTED_VALUE"""),10.0)</f>
        <v>10</v>
      </c>
      <c r="D36" s="6">
        <f>IFERROR(__xludf.DUMMYFUNCTION("""COMPUTED_VALUE"""),378.35)</f>
        <v>378.35</v>
      </c>
      <c r="E36" s="6">
        <f>IFERROR(__xludf.DUMMYFUNCTION("GOOGLEFINANCE(""Currency:BRLMXN"")*D36"),1285.444125)</f>
        <v>1285.444125</v>
      </c>
      <c r="F36" s="6">
        <f>IFERROR(__xludf.DUMMYFUNCTION("GOOGLEFINANCE(""Currency:BRLPEN"")*D36"),248.04626)</f>
        <v>248.04626</v>
      </c>
      <c r="G36" s="2" t="str">
        <f t="array" ref="G36">_xlfn.XLOOKUP(B36,Vendedores!$A$2:$A$41,Vendedores!$B$2:$B$41,"No hay datos")</f>
        <v>Beatriz Linares</v>
      </c>
      <c r="H36" s="2" t="str">
        <f t="array" ref="H36">_xlfn.XLOOKUP(B36,Vendedores!$A$2:$A$41,Vendedores!$C$2:$C$41,"No hay datos")</f>
        <v>Puerto Esperanza</v>
      </c>
      <c r="I36" s="2" t="str">
        <f t="array" ref="I36">_xlfn.XLOOKUP(B36,Vendedores!$A$2:$A$41,Vendedores!$D$2:$D$41,"No hay datos")</f>
        <v>Región Sur</v>
      </c>
      <c r="J36" s="2" t="str">
        <f t="array" ref="J36:N36">_xlfn.XLOOKUP(A36,Productos!$A$2:$A$61,Productos!$B$2:$F$61)</f>
        <v>Playera lisa</v>
      </c>
      <c r="K36" s="2" t="s">
        <v>22</v>
      </c>
      <c r="L36" s="2" t="s">
        <v>10</v>
      </c>
      <c r="M36" s="2" t="s">
        <v>57</v>
      </c>
      <c r="N36" s="2" t="s">
        <v>24</v>
      </c>
    </row>
    <row r="37">
      <c r="A37" s="2" t="str">
        <f>IFERROR(__xludf.DUMMYFUNCTION("""COMPUTED_VALUE"""),"PR035")</f>
        <v>PR035</v>
      </c>
      <c r="B37" s="2" t="str">
        <f>IFERROR(__xludf.DUMMYFUNCTION("""COMPUTED_VALUE"""),"VD018")</f>
        <v>VD018</v>
      </c>
      <c r="C37" s="2">
        <f>IFERROR(__xludf.DUMMYFUNCTION("""COMPUTED_VALUE"""),28.0)</f>
        <v>28</v>
      </c>
      <c r="D37" s="6">
        <f>IFERROR(__xludf.DUMMYFUNCTION("""COMPUTED_VALUE"""),2149.73)</f>
        <v>2149.73</v>
      </c>
      <c r="E37" s="6">
        <f>IFERROR(__xludf.DUMMYFUNCTION("GOOGLEFINANCE(""Currency:BRLMXN"")*D37"),7303.707675)</f>
        <v>7303.707675</v>
      </c>
      <c r="F37" s="6">
        <f>IFERROR(__xludf.DUMMYFUNCTION("GOOGLEFINANCE(""Currency:BRLPEN"")*D37"),1409.3629879999999)</f>
        <v>1409.362988</v>
      </c>
      <c r="G37" s="2" t="str">
        <f t="array" ref="G37">_xlfn.XLOOKUP(B37,Vendedores!$A$2:$A$41,Vendedores!$B$2:$B$41,"No hay datos")</f>
        <v>Leticia Rodríguez</v>
      </c>
      <c r="H37" s="2" t="str">
        <f t="array" ref="H37">_xlfn.XLOOKUP(B37,Vendedores!$A$2:$A$41,Vendedores!$C$2:$C$41,"No hay datos")</f>
        <v>Playa Blanca</v>
      </c>
      <c r="I37" s="2" t="str">
        <f t="array" ref="I37">_xlfn.XLOOKUP(B37,Vendedores!$A$2:$A$41,Vendedores!$D$2:$D$41,"No hay datos")</f>
        <v>Región Norte</v>
      </c>
      <c r="J37" s="2" t="str">
        <f t="array" ref="J37:N37">_xlfn.XLOOKUP(A37,Productos!$A$2:$A$61,Productos!$B$2:$F$61)</f>
        <v>Vestido corto</v>
      </c>
      <c r="K37" s="2" t="s">
        <v>17</v>
      </c>
      <c r="L37" s="2" t="s">
        <v>10</v>
      </c>
      <c r="M37" s="2" t="s">
        <v>18</v>
      </c>
      <c r="N37" s="2" t="s">
        <v>19</v>
      </c>
    </row>
    <row r="38">
      <c r="A38" s="2" t="str">
        <f>IFERROR(__xludf.DUMMYFUNCTION("""COMPUTED_VALUE"""),"PR057")</f>
        <v>PR057</v>
      </c>
      <c r="B38" s="2" t="str">
        <f>IFERROR(__xludf.DUMMYFUNCTION("""COMPUTED_VALUE"""),"VD034")</f>
        <v>VD034</v>
      </c>
      <c r="C38" s="2">
        <f>IFERROR(__xludf.DUMMYFUNCTION("""COMPUTED_VALUE"""),9.0)</f>
        <v>9</v>
      </c>
      <c r="D38" s="6">
        <f>IFERROR(__xludf.DUMMYFUNCTION("""COMPUTED_VALUE"""),906.19)</f>
        <v>906.19</v>
      </c>
      <c r="E38" s="6">
        <f>IFERROR(__xludf.DUMMYFUNCTION("GOOGLEFINANCE(""Currency:BRLMXN"")*D38"),3078.780525)</f>
        <v>3078.780525</v>
      </c>
      <c r="F38" s="6">
        <f>IFERROR(__xludf.DUMMYFUNCTION("GOOGLEFINANCE(""Currency:BRLPEN"")*D38"),594.098164)</f>
        <v>594.098164</v>
      </c>
      <c r="G38" s="2" t="str">
        <f t="array" ref="G38">_xlfn.XLOOKUP(B38,Vendedores!$A$2:$A$41,Vendedores!$B$2:$B$41,"No hay datos")</f>
        <v>Felipe Carvajal</v>
      </c>
      <c r="H38" s="2" t="str">
        <f t="array" ref="H38">_xlfn.XLOOKUP(B38,Vendedores!$A$2:$A$41,Vendedores!$C$2:$C$41,"No hay datos")</f>
        <v>San Pedro del Río</v>
      </c>
      <c r="I38" s="2" t="str">
        <f t="array" ref="I38">_xlfn.XLOOKUP(B38,Vendedores!$A$2:$A$41,Vendedores!$D$2:$D$41,"No hay datos")</f>
        <v>Región Sur 2</v>
      </c>
      <c r="J38" s="2" t="str">
        <f t="array" ref="J38:N38">_xlfn.XLOOKUP(A38,Productos!$A$2:$A$61,Productos!$B$2:$F$61)</f>
        <v>Sandalia plana</v>
      </c>
      <c r="K38" s="2">
        <v>37.0</v>
      </c>
      <c r="L38" s="2" t="s">
        <v>33</v>
      </c>
      <c r="M38" s="2" t="s">
        <v>58</v>
      </c>
      <c r="N38" s="2" t="s">
        <v>35</v>
      </c>
    </row>
    <row r="39">
      <c r="A39" s="2" t="str">
        <f>IFERROR(__xludf.DUMMYFUNCTION("""COMPUTED_VALUE"""),"PR004")</f>
        <v>PR004</v>
      </c>
      <c r="B39" s="2" t="str">
        <f>IFERROR(__xludf.DUMMYFUNCTION("""COMPUTED_VALUE"""),"VD024")</f>
        <v>VD024</v>
      </c>
      <c r="C39" s="2">
        <f>IFERROR(__xludf.DUMMYFUNCTION("""COMPUTED_VALUE"""),15.0)</f>
        <v>15</v>
      </c>
      <c r="D39" s="6">
        <f>IFERROR(__xludf.DUMMYFUNCTION("""COMPUTED_VALUE"""),2610.0)</f>
        <v>2610</v>
      </c>
      <c r="E39" s="6">
        <f>IFERROR(__xludf.DUMMYFUNCTION("GOOGLEFINANCE(""Currency:BRLMXN"")*D39"),8867.475)</f>
        <v>8867.475</v>
      </c>
      <c r="F39" s="6">
        <f>IFERROR(__xludf.DUMMYFUNCTION("GOOGLEFINANCE(""Currency:BRLPEN"")*D39"),1711.116)</f>
        <v>1711.116</v>
      </c>
      <c r="G39" s="2" t="str">
        <f t="array" ref="G39">_xlfn.XLOOKUP(B39,Vendedores!$A$2:$A$41,Vendedores!$B$2:$B$41,"No hay datos")</f>
        <v>Marcos Rivera</v>
      </c>
      <c r="H39" s="2" t="str">
        <f t="array" ref="H39">_xlfn.XLOOKUP(B39,Vendedores!$A$2:$A$41,Vendedores!$C$2:$C$41,"No hay datos")</f>
        <v>Santa Rosa del Valle</v>
      </c>
      <c r="I39" s="2" t="str">
        <f t="array" ref="I39">_xlfn.XLOOKUP(B39,Vendedores!$A$2:$A$41,Vendedores!$D$2:$D$41,"No hay datos")</f>
        <v>Región Norte</v>
      </c>
      <c r="J39" s="2" t="str">
        <f t="array" ref="J39:N39">_xlfn.XLOOKUP(A39,Productos!$A$2:$A$61,Productos!$B$2:$F$61)</f>
        <v>Bolso versátil</v>
      </c>
      <c r="K39" s="2" t="s">
        <v>29</v>
      </c>
      <c r="L39" s="2" t="s">
        <v>30</v>
      </c>
      <c r="M39" s="2" t="s">
        <v>59</v>
      </c>
      <c r="N39" s="2" t="s">
        <v>60</v>
      </c>
    </row>
    <row r="40">
      <c r="A40" s="2" t="str">
        <f>IFERROR(__xludf.DUMMYFUNCTION("""COMPUTED_VALUE"""),"PR014")</f>
        <v>PR014</v>
      </c>
      <c r="B40" s="2" t="str">
        <f>IFERROR(__xludf.DUMMYFUNCTION("""COMPUTED_VALUE"""),"VD011")</f>
        <v>VD011</v>
      </c>
      <c r="C40" s="2">
        <f>IFERROR(__xludf.DUMMYFUNCTION("""COMPUTED_VALUE"""),12.0)</f>
        <v>12</v>
      </c>
      <c r="D40" s="6">
        <f>IFERROR(__xludf.DUMMYFUNCTION("""COMPUTED_VALUE"""),560.2)</f>
        <v>560.2</v>
      </c>
      <c r="E40" s="6">
        <f>IFERROR(__xludf.DUMMYFUNCTION("GOOGLEFINANCE(""Currency:BRLMXN"")*D40"),1903.2795)</f>
        <v>1903.2795</v>
      </c>
      <c r="F40" s="6">
        <f>IFERROR(__xludf.DUMMYFUNCTION("GOOGLEFINANCE(""Currency:BRLPEN"")*D40"),367.26712000000003)</f>
        <v>367.26712</v>
      </c>
      <c r="G40" s="2" t="str">
        <f t="array" ref="G40">_xlfn.XLOOKUP(B40,Vendedores!$A$2:$A$41,Vendedores!$B$2:$B$41,"No hay datos")</f>
        <v>Juan Santos</v>
      </c>
      <c r="H40" s="2" t="str">
        <f t="array" ref="H40">_xlfn.XLOOKUP(B40,Vendedores!$A$2:$A$41,Vendedores!$C$2:$C$41,"No hay datos")</f>
        <v>Vista Hermosa</v>
      </c>
      <c r="I40" s="2" t="str">
        <f t="array" ref="I40">_xlfn.XLOOKUP(B40,Vendedores!$A$2:$A$41,Vendedores!$D$2:$D$41,"No hay datos")</f>
        <v>Región Central</v>
      </c>
      <c r="J40" s="2" t="str">
        <f t="array" ref="J40:N40">_xlfn.XLOOKUP(A40,Productos!$A$2:$A$61,Productos!$B$2:$F$61)</f>
        <v>Playera estampada</v>
      </c>
      <c r="K40" s="2" t="s">
        <v>17</v>
      </c>
      <c r="L40" s="2" t="s">
        <v>10</v>
      </c>
      <c r="M40" s="2" t="s">
        <v>37</v>
      </c>
      <c r="N40" s="2" t="s">
        <v>38</v>
      </c>
    </row>
    <row r="41">
      <c r="A41" s="2" t="str">
        <f>IFERROR(__xludf.DUMMYFUNCTION("""COMPUTED_VALUE"""),"PR027")</f>
        <v>PR027</v>
      </c>
      <c r="B41" s="2" t="str">
        <f>IFERROR(__xludf.DUMMYFUNCTION("""COMPUTED_VALUE"""),"VD018")</f>
        <v>VD018</v>
      </c>
      <c r="C41" s="2">
        <f>IFERROR(__xludf.DUMMYFUNCTION("""COMPUTED_VALUE"""),27.0)</f>
        <v>27</v>
      </c>
      <c r="D41" s="6">
        <f>IFERROR(__xludf.DUMMYFUNCTION("""COMPUTED_VALUE"""),3888.0)</f>
        <v>3888</v>
      </c>
      <c r="E41" s="6">
        <f>IFERROR(__xludf.DUMMYFUNCTION("GOOGLEFINANCE(""Currency:BRLMXN"")*D41"),13209.48)</f>
        <v>13209.48</v>
      </c>
      <c r="F41" s="6">
        <f>IFERROR(__xludf.DUMMYFUNCTION("GOOGLEFINANCE(""Currency:BRLPEN"")*D41"),2548.9728)</f>
        <v>2548.9728</v>
      </c>
      <c r="G41" s="2" t="str">
        <f t="array" ref="G41">_xlfn.XLOOKUP(B41,Vendedores!$A$2:$A$41,Vendedores!$B$2:$B$41,"No hay datos")</f>
        <v>Leticia Rodríguez</v>
      </c>
      <c r="H41" s="2" t="str">
        <f t="array" ref="H41">_xlfn.XLOOKUP(B41,Vendedores!$A$2:$A$41,Vendedores!$C$2:$C$41,"No hay datos")</f>
        <v>Playa Blanca</v>
      </c>
      <c r="I41" s="2" t="str">
        <f t="array" ref="I41">_xlfn.XLOOKUP(B41,Vendedores!$A$2:$A$41,Vendedores!$D$2:$D$41,"No hay datos")</f>
        <v>Región Norte</v>
      </c>
      <c r="J41" s="2" t="str">
        <f t="array" ref="J41:N41">_xlfn.XLOOKUP(A41,Productos!$A$2:$A$61,Productos!$B$2:$F$61)</f>
        <v>Gafas redondas</v>
      </c>
      <c r="K41" s="2" t="s">
        <v>29</v>
      </c>
      <c r="L41" s="2" t="s">
        <v>30</v>
      </c>
      <c r="M41" s="2" t="s">
        <v>53</v>
      </c>
      <c r="N41" s="2" t="s">
        <v>54</v>
      </c>
    </row>
    <row r="42">
      <c r="A42" s="2" t="str">
        <f>IFERROR(__xludf.DUMMYFUNCTION("""COMPUTED_VALUE"""),"PR032")</f>
        <v>PR032</v>
      </c>
      <c r="B42" s="2" t="str">
        <f>IFERROR(__xludf.DUMMYFUNCTION("""COMPUTED_VALUE"""),"VD011")</f>
        <v>VD011</v>
      </c>
      <c r="C42" s="2">
        <f>IFERROR(__xludf.DUMMYFUNCTION("""COMPUTED_VALUE"""),24.0)</f>
        <v>24</v>
      </c>
      <c r="D42" s="6">
        <f>IFERROR(__xludf.DUMMYFUNCTION("""COMPUTED_VALUE"""),6600.0)</f>
        <v>6600</v>
      </c>
      <c r="E42" s="6">
        <f>IFERROR(__xludf.DUMMYFUNCTION("GOOGLEFINANCE(""Currency:BRLMXN"")*D42"),22423.5)</f>
        <v>22423.5</v>
      </c>
      <c r="F42" s="6">
        <f>IFERROR(__xludf.DUMMYFUNCTION("GOOGLEFINANCE(""Currency:BRLPEN"")*D42"),4326.96)</f>
        <v>4326.96</v>
      </c>
      <c r="G42" s="2" t="str">
        <f t="array" ref="G42">_xlfn.XLOOKUP(B42,Vendedores!$A$2:$A$41,Vendedores!$B$2:$B$41,"No hay datos")</f>
        <v>Juan Santos</v>
      </c>
      <c r="H42" s="2" t="str">
        <f t="array" ref="H42">_xlfn.XLOOKUP(B42,Vendedores!$A$2:$A$41,Vendedores!$C$2:$C$41,"No hay datos")</f>
        <v>Vista Hermosa</v>
      </c>
      <c r="I42" s="2" t="str">
        <f t="array" ref="I42">_xlfn.XLOOKUP(B42,Vendedores!$A$2:$A$41,Vendedores!$D$2:$D$41,"No hay datos")</f>
        <v>Región Central</v>
      </c>
      <c r="J42" s="2" t="str">
        <f t="array" ref="J42:N42">_xlfn.XLOOKUP(A42,Productos!$A$2:$A$61,Productos!$B$2:$F$61)</f>
        <v>Tenis Chunky</v>
      </c>
      <c r="K42" s="2">
        <v>37.0</v>
      </c>
      <c r="L42" s="2" t="s">
        <v>33</v>
      </c>
      <c r="M42" s="2" t="s">
        <v>61</v>
      </c>
      <c r="N42" s="2" t="s">
        <v>62</v>
      </c>
    </row>
    <row r="43">
      <c r="A43" s="2" t="str">
        <f>IFERROR(__xludf.DUMMYFUNCTION("""COMPUTED_VALUE"""),"PR006")</f>
        <v>PR006</v>
      </c>
      <c r="B43" s="2" t="str">
        <f>IFERROR(__xludf.DUMMYFUNCTION("""COMPUTED_VALUE"""),"VD015")</f>
        <v>VD015</v>
      </c>
      <c r="C43" s="2">
        <f>IFERROR(__xludf.DUMMYFUNCTION("""COMPUTED_VALUE"""),27.0)</f>
        <v>27</v>
      </c>
      <c r="D43" s="6">
        <f>IFERROR(__xludf.DUMMYFUNCTION("""COMPUTED_VALUE"""),1260.44)</f>
        <v>1260.44</v>
      </c>
      <c r="E43" s="6">
        <f>IFERROR(__xludf.DUMMYFUNCTION("GOOGLEFINANCE(""Currency:BRLMXN"")*D43"),4282.3449)</f>
        <v>4282.3449</v>
      </c>
      <c r="F43" s="6">
        <f>IFERROR(__xludf.DUMMYFUNCTION("GOOGLEFINANCE(""Currency:BRLPEN"")*D43"),826.344464)</f>
        <v>826.344464</v>
      </c>
      <c r="G43" s="2" t="str">
        <f t="array" ref="G43">_xlfn.XLOOKUP(B43,Vendedores!$A$2:$A$41,Vendedores!$B$2:$B$41,"No hay datos")</f>
        <v>Lucas Castillo</v>
      </c>
      <c r="H43" s="2" t="str">
        <f t="array" ref="H43">_xlfn.XLOOKUP(B43,Vendedores!$A$2:$A$41,Vendedores!$C$2:$C$41,"No hay datos")</f>
        <v>San Miguel de los Pinos</v>
      </c>
      <c r="I43" s="2" t="str">
        <f t="array" ref="I43">_xlfn.XLOOKUP(B43,Vendedores!$A$2:$A$41,Vendedores!$D$2:$D$41,"No hay datos")</f>
        <v>Región Sur</v>
      </c>
      <c r="J43" s="2" t="str">
        <f t="array" ref="J43:N43">_xlfn.XLOOKUP(A43,Productos!$A$2:$A$61,Productos!$B$2:$F$61)</f>
        <v>Gorra</v>
      </c>
      <c r="K43" s="2" t="s">
        <v>29</v>
      </c>
      <c r="L43" s="2" t="s">
        <v>30</v>
      </c>
      <c r="M43" s="2" t="s">
        <v>48</v>
      </c>
      <c r="N43" s="2" t="s">
        <v>38</v>
      </c>
    </row>
    <row r="44">
      <c r="A44" s="2" t="str">
        <f>IFERROR(__xludf.DUMMYFUNCTION("""COMPUTED_VALUE"""),"PR028")</f>
        <v>PR028</v>
      </c>
      <c r="B44" s="2" t="str">
        <f>IFERROR(__xludf.DUMMYFUNCTION("""COMPUTED_VALUE"""),"VD048")</f>
        <v>VD048</v>
      </c>
      <c r="C44" s="2">
        <f>IFERROR(__xludf.DUMMYFUNCTION("""COMPUTED_VALUE"""),20.0)</f>
        <v>20</v>
      </c>
      <c r="D44" s="6">
        <f>IFERROR(__xludf.DUMMYFUNCTION("""COMPUTED_VALUE"""),5597.76)</f>
        <v>5597.76</v>
      </c>
      <c r="E44" s="6">
        <f>IFERROR(__xludf.DUMMYFUNCTION("GOOGLEFINANCE(""Currency:BRLMXN"")*D44"),19018.389600000002)</f>
        <v>19018.3896</v>
      </c>
      <c r="F44" s="6">
        <f>IFERROR(__xludf.DUMMYFUNCTION("GOOGLEFINANCE(""Currency:BRLPEN"")*D44"),3669.891456)</f>
        <v>3669.891456</v>
      </c>
      <c r="G44" s="2" t="str">
        <f t="array" ref="G44">_xlfn.XLOOKUP(B44,Vendedores!$A$2:$A$41,Vendedores!$B$2:$B$41,"No hay datos")</f>
        <v>Mariana Castro</v>
      </c>
      <c r="H44" s="2" t="str">
        <f t="array" ref="H44">_xlfn.XLOOKUP(B44,Vendedores!$A$2:$A$41,Vendedores!$C$2:$C$41,"No hay datos")</f>
        <v>San Carlos del Valle</v>
      </c>
      <c r="I44" s="2" t="str">
        <f t="array" ref="I44">_xlfn.XLOOKUP(B44,Vendedores!$A$2:$A$41,Vendedores!$D$2:$D$41,"No hay datos")</f>
        <v>Región Central 2</v>
      </c>
      <c r="J44" s="2" t="str">
        <f t="array" ref="J44:N44">_xlfn.XLOOKUP(A44,Productos!$A$2:$A$61,Productos!$B$2:$F$61)</f>
        <v>Tenis Atitas</v>
      </c>
      <c r="K44" s="2">
        <v>36.0</v>
      </c>
      <c r="L44" s="2" t="s">
        <v>33</v>
      </c>
      <c r="M44" s="2" t="s">
        <v>55</v>
      </c>
      <c r="N44" s="2" t="s">
        <v>56</v>
      </c>
    </row>
    <row r="45">
      <c r="A45" s="2" t="str">
        <f>IFERROR(__xludf.DUMMYFUNCTION("""COMPUTED_VALUE"""),"PR033")</f>
        <v>PR033</v>
      </c>
      <c r="B45" s="2" t="str">
        <f>IFERROR(__xludf.DUMMYFUNCTION("""COMPUTED_VALUE"""),"VD024")</f>
        <v>VD024</v>
      </c>
      <c r="C45" s="2">
        <f>IFERROR(__xludf.DUMMYFUNCTION("""COMPUTED_VALUE"""),24.0)</f>
        <v>24</v>
      </c>
      <c r="D45" s="6">
        <f>IFERROR(__xludf.DUMMYFUNCTION("""COMPUTED_VALUE"""),7485.12)</f>
        <v>7485.12</v>
      </c>
      <c r="E45" s="6">
        <f>IFERROR(__xludf.DUMMYFUNCTION("GOOGLEFINANCE(""Currency:BRLMXN"")*D45"),25430.6952)</f>
        <v>25430.6952</v>
      </c>
      <c r="F45" s="6">
        <f>IFERROR(__xludf.DUMMYFUNCTION("GOOGLEFINANCE(""Currency:BRLPEN"")*D45"),4907.244672)</f>
        <v>4907.244672</v>
      </c>
      <c r="G45" s="2" t="str">
        <f t="array" ref="G45">_xlfn.XLOOKUP(B45,Vendedores!$A$2:$A$41,Vendedores!$B$2:$B$41,"No hay datos")</f>
        <v>Marcos Rivera</v>
      </c>
      <c r="H45" s="2" t="str">
        <f t="array" ref="H45">_xlfn.XLOOKUP(B45,Vendedores!$A$2:$A$41,Vendedores!$C$2:$C$41,"No hay datos")</f>
        <v>Santa Rosa del Valle</v>
      </c>
      <c r="I45" s="2" t="str">
        <f t="array" ref="I45">_xlfn.XLOOKUP(B45,Vendedores!$A$2:$A$41,Vendedores!$D$2:$D$41,"No hay datos")</f>
        <v>Región Norte</v>
      </c>
      <c r="J45" s="2" t="str">
        <f t="array" ref="J45:N45">_xlfn.XLOOKUP(A45,Productos!$A$2:$A$61,Productos!$B$2:$F$61)</f>
        <v>Tenis Chunky</v>
      </c>
      <c r="K45" s="2">
        <v>38.0</v>
      </c>
      <c r="L45" s="2" t="s">
        <v>33</v>
      </c>
      <c r="M45" s="2" t="s">
        <v>63</v>
      </c>
      <c r="N45" s="2" t="s">
        <v>64</v>
      </c>
    </row>
    <row r="46">
      <c r="A46" s="2" t="str">
        <f>IFERROR(__xludf.DUMMYFUNCTION("""COMPUTED_VALUE"""),"PR008")</f>
        <v>PR008</v>
      </c>
      <c r="B46" s="2" t="str">
        <f>IFERROR(__xludf.DUMMYFUNCTION("""COMPUTED_VALUE"""),"VD027")</f>
        <v>VD027</v>
      </c>
      <c r="C46" s="2">
        <f>IFERROR(__xludf.DUMMYFUNCTION("""COMPUTED_VALUE"""),20.0)</f>
        <v>20</v>
      </c>
      <c r="D46" s="6">
        <f>IFERROR(__xludf.DUMMYFUNCTION("""COMPUTED_VALUE"""),2049.72)</f>
        <v>2049.72</v>
      </c>
      <c r="E46" s="6">
        <f>IFERROR(__xludf.DUMMYFUNCTION("GOOGLEFINANCE(""Currency:BRLMXN"")*D46"),6963.923699999999)</f>
        <v>6963.9237</v>
      </c>
      <c r="F46" s="6">
        <f>IFERROR(__xludf.DUMMYFUNCTION("GOOGLEFINANCE(""Currency:BRLPEN"")*D46"),1343.7964319999999)</f>
        <v>1343.796432</v>
      </c>
      <c r="G46" s="2" t="str">
        <f t="array" ref="G46">_xlfn.XLOOKUP(B46,Vendedores!$A$2:$A$41,Vendedores!$B$2:$B$41,"No hay datos")</f>
        <v>Patricia Cortés</v>
      </c>
      <c r="H46" s="2" t="str">
        <f t="array" ref="H46">_xlfn.XLOOKUP(B46,Vendedores!$A$2:$A$41,Vendedores!$C$2:$C$41,"No hay datos")</f>
        <v>Costa Azul</v>
      </c>
      <c r="I46" s="2" t="str">
        <f t="array" ref="I46">_xlfn.XLOOKUP(B46,Vendedores!$A$2:$A$41,Vendedores!$D$2:$D$41,"No hay datos")</f>
        <v>Región Norte</v>
      </c>
      <c r="J46" s="2" t="str">
        <f t="array" ref="J46:N46">_xlfn.XLOOKUP(A46,Productos!$A$2:$A$61,Productos!$B$2:$F$61)</f>
        <v>Pantalón de mezclilla</v>
      </c>
      <c r="K46" s="2" t="s">
        <v>17</v>
      </c>
      <c r="L46" s="2" t="s">
        <v>10</v>
      </c>
      <c r="M46" s="2" t="s">
        <v>65</v>
      </c>
      <c r="N46" s="2" t="s">
        <v>35</v>
      </c>
    </row>
    <row r="47">
      <c r="A47" s="2" t="str">
        <f>IFERROR(__xludf.DUMMYFUNCTION("""COMPUTED_VALUE"""),"PR013")</f>
        <v>PR013</v>
      </c>
      <c r="B47" s="2" t="str">
        <f>IFERROR(__xludf.DUMMYFUNCTION("""COMPUTED_VALUE"""),"VD048")</f>
        <v>VD048</v>
      </c>
      <c r="C47" s="2">
        <f>IFERROR(__xludf.DUMMYFUNCTION("""COMPUTED_VALUE"""),27.0)</f>
        <v>27</v>
      </c>
      <c r="D47" s="6">
        <f>IFERROR(__xludf.DUMMYFUNCTION("""COMPUTED_VALUE"""),1238.9)</f>
        <v>1238.9</v>
      </c>
      <c r="E47" s="6">
        <f>IFERROR(__xludf.DUMMYFUNCTION("GOOGLEFINANCE(""Currency:BRLMXN"")*D47"),4209.16275)</f>
        <v>4209.16275</v>
      </c>
      <c r="F47" s="6">
        <f>IFERROR(__xludf.DUMMYFUNCTION("GOOGLEFINANCE(""Currency:BRLPEN"")*D47"),812.22284)</f>
        <v>812.22284</v>
      </c>
      <c r="G47" s="2" t="str">
        <f t="array" ref="G47">_xlfn.XLOOKUP(B47,Vendedores!$A$2:$A$41,Vendedores!$B$2:$B$41,"No hay datos")</f>
        <v>Mariana Castro</v>
      </c>
      <c r="H47" s="2" t="str">
        <f t="array" ref="H47">_xlfn.XLOOKUP(B47,Vendedores!$A$2:$A$41,Vendedores!$C$2:$C$41,"No hay datos")</f>
        <v>San Carlos del Valle</v>
      </c>
      <c r="I47" s="2" t="str">
        <f t="array" ref="I47">_xlfn.XLOOKUP(B47,Vendedores!$A$2:$A$41,Vendedores!$D$2:$D$41,"No hay datos")</f>
        <v>Región Central 2</v>
      </c>
      <c r="J47" s="2" t="str">
        <f t="array" ref="J47:N47">_xlfn.XLOOKUP(A47,Productos!$A$2:$A$61,Productos!$B$2:$F$61)</f>
        <v>Playera estampada</v>
      </c>
      <c r="K47" s="2" t="s">
        <v>9</v>
      </c>
      <c r="L47" s="2" t="s">
        <v>10</v>
      </c>
      <c r="M47" s="2" t="s">
        <v>66</v>
      </c>
      <c r="N47" s="2" t="s">
        <v>38</v>
      </c>
    </row>
    <row r="48">
      <c r="A48" s="2" t="str">
        <f>IFERROR(__xludf.DUMMYFUNCTION("""COMPUTED_VALUE"""),"PR011")</f>
        <v>PR011</v>
      </c>
      <c r="B48" s="2" t="str">
        <f>IFERROR(__xludf.DUMMYFUNCTION("""COMPUTED_VALUE"""),"VD026")</f>
        <v>VD026</v>
      </c>
      <c r="C48" s="2">
        <f>IFERROR(__xludf.DUMMYFUNCTION("""COMPUTED_VALUE"""),18.0)</f>
        <v>18</v>
      </c>
      <c r="D48" s="6">
        <f>IFERROR(__xludf.DUMMYFUNCTION("""COMPUTED_VALUE"""),1013.04)</f>
        <v>1013.04</v>
      </c>
      <c r="E48" s="6">
        <f>IFERROR(__xludf.DUMMYFUNCTION("GOOGLEFINANCE(""Currency:BRLMXN"")*D48"),3441.8034)</f>
        <v>3441.8034</v>
      </c>
      <c r="F48" s="6">
        <f>IFERROR(__xludf.DUMMYFUNCTION("GOOGLEFINANCE(""Currency:BRLPEN"")*D48"),664.1490239999999)</f>
        <v>664.149024</v>
      </c>
      <c r="G48" s="2" t="str">
        <f t="array" ref="G48">_xlfn.XLOOKUP(B48,Vendedores!$A$2:$A$41,Vendedores!$B$2:$B$41,"No hay datos")</f>
        <v>Daniel Fernández</v>
      </c>
      <c r="H48" s="2" t="str">
        <f t="array" ref="H48">_xlfn.XLOOKUP(B48,Vendedores!$A$2:$A$41,Vendedores!$C$2:$C$41,"No hay datos")</f>
        <v>Puerto Esperanza</v>
      </c>
      <c r="I48" s="2" t="str">
        <f t="array" ref="I48">_xlfn.XLOOKUP(B48,Vendedores!$A$2:$A$41,Vendedores!$D$2:$D$41,"No hay datos")</f>
        <v>Región Sur</v>
      </c>
      <c r="J48" s="2" t="str">
        <f t="array" ref="J48:N48">_xlfn.XLOOKUP(A48,Productos!$A$2:$A$61,Productos!$B$2:$F$61)</f>
        <v>Pantalón legging</v>
      </c>
      <c r="K48" s="2" t="s">
        <v>17</v>
      </c>
      <c r="L48" s="2" t="s">
        <v>10</v>
      </c>
      <c r="M48" s="2" t="s">
        <v>67</v>
      </c>
      <c r="N48" s="2" t="s">
        <v>68</v>
      </c>
    </row>
    <row r="49">
      <c r="A49" s="2" t="str">
        <f>IFERROR(__xludf.DUMMYFUNCTION("""COMPUTED_VALUE"""),"PR014")</f>
        <v>PR014</v>
      </c>
      <c r="B49" s="2" t="str">
        <f>IFERROR(__xludf.DUMMYFUNCTION("""COMPUTED_VALUE"""),"VD040")</f>
        <v>VD040</v>
      </c>
      <c r="C49" s="2">
        <f>IFERROR(__xludf.DUMMYFUNCTION("""COMPUTED_VALUE"""),24.0)</f>
        <v>24</v>
      </c>
      <c r="D49" s="6">
        <f>IFERROR(__xludf.DUMMYFUNCTION("""COMPUTED_VALUE"""),1139.54)</f>
        <v>1139.54</v>
      </c>
      <c r="E49" s="6">
        <f>IFERROR(__xludf.DUMMYFUNCTION("GOOGLEFINANCE(""Currency:BRLMXN"")*D49"),3871.58715)</f>
        <v>3871.58715</v>
      </c>
      <c r="F49" s="6">
        <f>IFERROR(__xludf.DUMMYFUNCTION("GOOGLEFINANCE(""Currency:BRLPEN"")*D49"),747.082424)</f>
        <v>747.082424</v>
      </c>
      <c r="G49" s="2" t="str">
        <f t="array" ref="G49">_xlfn.XLOOKUP(B49,Vendedores!$A$2:$A$41,Vendedores!$B$2:$B$41,"No hay datos")</f>
        <v>Tatiana Montero</v>
      </c>
      <c r="H49" s="2" t="str">
        <f t="array" ref="H49">_xlfn.XLOOKUP(B49,Vendedores!$A$2:$A$41,Vendedores!$C$2:$C$41,"No hay datos")</f>
        <v>Ciudad Industrial</v>
      </c>
      <c r="I49" s="2" t="str">
        <f t="array" ref="I49">_xlfn.XLOOKUP(B49,Vendedores!$A$2:$A$41,Vendedores!$D$2:$D$41,"No hay datos")</f>
        <v>Región Central 2</v>
      </c>
      <c r="J49" s="2" t="str">
        <f t="array" ref="J49:N49">_xlfn.XLOOKUP(A49,Productos!$A$2:$A$61,Productos!$B$2:$F$61)</f>
        <v>Playera estampada</v>
      </c>
      <c r="K49" s="2" t="s">
        <v>17</v>
      </c>
      <c r="L49" s="2" t="s">
        <v>10</v>
      </c>
      <c r="M49" s="2" t="s">
        <v>37</v>
      </c>
      <c r="N49" s="2" t="s">
        <v>38</v>
      </c>
    </row>
    <row r="50">
      <c r="A50" s="2" t="str">
        <f>IFERROR(__xludf.DUMMYFUNCTION("""COMPUTED_VALUE"""),"PR043")</f>
        <v>PR043</v>
      </c>
      <c r="B50" s="2" t="str">
        <f>IFERROR(__xludf.DUMMYFUNCTION("""COMPUTED_VALUE"""),"VD035")</f>
        <v>VD035</v>
      </c>
      <c r="C50" s="2">
        <f>IFERROR(__xludf.DUMMYFUNCTION("""COMPUTED_VALUE"""),18.0)</f>
        <v>18</v>
      </c>
      <c r="D50" s="6">
        <f>IFERROR(__xludf.DUMMYFUNCTION("""COMPUTED_VALUE"""),1435.5)</f>
        <v>1435.5</v>
      </c>
      <c r="E50" s="6">
        <f>IFERROR(__xludf.DUMMYFUNCTION("GOOGLEFINANCE(""Currency:BRLMXN"")*D50"),4877.11125)</f>
        <v>4877.11125</v>
      </c>
      <c r="F50" s="6">
        <f>IFERROR(__xludf.DUMMYFUNCTION("GOOGLEFINANCE(""Currency:BRLPEN"")*D50"),941.1138)</f>
        <v>941.1138</v>
      </c>
      <c r="G50" s="2" t="str">
        <f t="array" ref="G50">_xlfn.XLOOKUP(B50,Vendedores!$A$2:$A$41,Vendedores!$B$2:$B$41,"No hay datos")</f>
        <v>Carolina Méndez</v>
      </c>
      <c r="H50" s="2" t="str">
        <f t="array" ref="H50">_xlfn.XLOOKUP(B50,Vendedores!$A$2:$A$41,Vendedores!$C$2:$C$41,"No hay datos")</f>
        <v>Valle de los Robles</v>
      </c>
      <c r="I50" s="2" t="str">
        <f t="array" ref="I50">_xlfn.XLOOKUP(B50,Vendedores!$A$2:$A$41,Vendedores!$D$2:$D$41,"No hay datos")</f>
        <v>Región Central 2</v>
      </c>
      <c r="J50" s="2" t="str">
        <f t="array" ref="J50:N50">_xlfn.XLOOKUP(A50,Productos!$A$2:$A$61,Productos!$B$2:$F$61)</f>
        <v>Vestido floral</v>
      </c>
      <c r="K50" s="2" t="s">
        <v>9</v>
      </c>
      <c r="L50" s="2" t="s">
        <v>10</v>
      </c>
      <c r="M50" s="2" t="s">
        <v>69</v>
      </c>
      <c r="N50" s="2" t="s">
        <v>40</v>
      </c>
    </row>
    <row r="51">
      <c r="A51" s="2" t="str">
        <f>IFERROR(__xludf.DUMMYFUNCTION("""COMPUTED_VALUE"""),"PR037")</f>
        <v>PR037</v>
      </c>
      <c r="B51" s="2" t="str">
        <f>IFERROR(__xludf.DUMMYFUNCTION("""COMPUTED_VALUE"""),"VD036")</f>
        <v>VD036</v>
      </c>
      <c r="C51" s="2">
        <f>IFERROR(__xludf.DUMMYFUNCTION("""COMPUTED_VALUE"""),30.0)</f>
        <v>30</v>
      </c>
      <c r="D51" s="6">
        <f>IFERROR(__xludf.DUMMYFUNCTION("""COMPUTED_VALUE"""),5040.0)</f>
        <v>5040</v>
      </c>
      <c r="E51" s="6">
        <f>IFERROR(__xludf.DUMMYFUNCTION("GOOGLEFINANCE(""Currency:BRLMXN"")*D51"),17123.4)</f>
        <v>17123.4</v>
      </c>
      <c r="F51" s="6">
        <f>IFERROR(__xludf.DUMMYFUNCTION("GOOGLEFINANCE(""Currency:BRLPEN"")*D51"),3304.2239999999997)</f>
        <v>3304.224</v>
      </c>
      <c r="G51" s="2" t="str">
        <f t="array" ref="G51">_xlfn.XLOOKUP(B51,Vendedores!$A$2:$A$41,Vendedores!$B$2:$B$41,"No hay datos")</f>
        <v>Ricardo Sosa</v>
      </c>
      <c r="H51" s="2" t="str">
        <f t="array" ref="H51">_xlfn.XLOOKUP(B51,Vendedores!$A$2:$A$41,Vendedores!$C$2:$C$41,"No hay datos")</f>
        <v>Puerto Nuevo</v>
      </c>
      <c r="I51" s="2" t="str">
        <f t="array" ref="I51">_xlfn.XLOOKUP(B51,Vendedores!$A$2:$A$41,Vendedores!$D$2:$D$41,"No hay datos")</f>
        <v>Región Central 2</v>
      </c>
      <c r="J51" s="2" t="str">
        <f t="array" ref="J51:N51">_xlfn.XLOOKUP(A51,Productos!$A$2:$A$61,Productos!$B$2:$F$61)</f>
        <v>Vestido largo</v>
      </c>
      <c r="K51" s="2" t="s">
        <v>9</v>
      </c>
      <c r="L51" s="2" t="s">
        <v>10</v>
      </c>
      <c r="M51" s="2" t="s">
        <v>70</v>
      </c>
      <c r="N51" s="2" t="s">
        <v>71</v>
      </c>
    </row>
    <row r="52">
      <c r="A52" s="2" t="str">
        <f>IFERROR(__xludf.DUMMYFUNCTION("""COMPUTED_VALUE"""),"PR020")</f>
        <v>PR020</v>
      </c>
      <c r="B52" s="2" t="str">
        <f>IFERROR(__xludf.DUMMYFUNCTION("""COMPUTED_VALUE"""),"VD026")</f>
        <v>VD026</v>
      </c>
      <c r="C52" s="2">
        <f>IFERROR(__xludf.DUMMYFUNCTION("""COMPUTED_VALUE"""),20.0)</f>
        <v>20</v>
      </c>
      <c r="D52" s="6">
        <f>IFERROR(__xludf.DUMMYFUNCTION("""COMPUTED_VALUE"""),6657.78)</f>
        <v>6657.78</v>
      </c>
      <c r="E52" s="6">
        <f>IFERROR(__xludf.DUMMYFUNCTION("GOOGLEFINANCE(""Currency:BRLMXN"")*D52"),22619.807549999998)</f>
        <v>22619.80755</v>
      </c>
      <c r="F52" s="6">
        <f>IFERROR(__xludf.DUMMYFUNCTION("GOOGLEFINANCE(""Currency:BRLPEN"")*D52"),4364.840568)</f>
        <v>4364.840568</v>
      </c>
      <c r="G52" s="2" t="str">
        <f t="array" ref="G52">_xlfn.XLOOKUP(B52,Vendedores!$A$2:$A$41,Vendedores!$B$2:$B$41,"No hay datos")</f>
        <v>Daniel Fernández</v>
      </c>
      <c r="H52" s="2" t="str">
        <f t="array" ref="H52">_xlfn.XLOOKUP(B52,Vendedores!$A$2:$A$41,Vendedores!$C$2:$C$41,"No hay datos")</f>
        <v>Puerto Esperanza</v>
      </c>
      <c r="I52" s="2" t="str">
        <f t="array" ref="I52">_xlfn.XLOOKUP(B52,Vendedores!$A$2:$A$41,Vendedores!$D$2:$D$41,"No hay datos")</f>
        <v>Región Sur</v>
      </c>
      <c r="J52" s="2" t="str">
        <f t="array" ref="J52:N52">_xlfn.XLOOKUP(A52,Productos!$A$2:$A$61,Productos!$B$2:$F$61)</f>
        <v>Chaqueta de cuero</v>
      </c>
      <c r="K52" s="2" t="s">
        <v>9</v>
      </c>
      <c r="L52" s="2" t="s">
        <v>10</v>
      </c>
      <c r="M52" s="2" t="s">
        <v>15</v>
      </c>
      <c r="N52" s="2" t="s">
        <v>16</v>
      </c>
    </row>
    <row r="53">
      <c r="A53" s="2" t="str">
        <f>IFERROR(__xludf.DUMMYFUNCTION("""COMPUTED_VALUE"""),"PR052")</f>
        <v>PR052</v>
      </c>
      <c r="B53" s="2" t="str">
        <f>IFERROR(__xludf.DUMMYFUNCTION("""COMPUTED_VALUE"""),"VD035")</f>
        <v>VD035</v>
      </c>
      <c r="C53" s="2">
        <f>IFERROR(__xludf.DUMMYFUNCTION("""COMPUTED_VALUE"""),12.0)</f>
        <v>12</v>
      </c>
      <c r="D53" s="6">
        <f>IFERROR(__xludf.DUMMYFUNCTION("""COMPUTED_VALUE"""),658.68)</f>
        <v>658.68</v>
      </c>
      <c r="E53" s="6">
        <f>IFERROR(__xludf.DUMMYFUNCTION("GOOGLEFINANCE(""Currency:BRLMXN"")*D53"),2237.8653)</f>
        <v>2237.8653</v>
      </c>
      <c r="F53" s="6">
        <f>IFERROR(__xludf.DUMMYFUNCTION("GOOGLEFINANCE(""Currency:BRLPEN"")*D53"),431.8306079999999)</f>
        <v>431.830608</v>
      </c>
      <c r="G53" s="2" t="str">
        <f t="array" ref="G53">_xlfn.XLOOKUP(B53,Vendedores!$A$2:$A$41,Vendedores!$B$2:$B$41,"No hay datos")</f>
        <v>Carolina Méndez</v>
      </c>
      <c r="H53" s="2" t="str">
        <f t="array" ref="H53">_xlfn.XLOOKUP(B53,Vendedores!$A$2:$A$41,Vendedores!$C$2:$C$41,"No hay datos")</f>
        <v>Valle de los Robles</v>
      </c>
      <c r="I53" s="2" t="str">
        <f t="array" ref="I53">_xlfn.XLOOKUP(B53,Vendedores!$A$2:$A$41,Vendedores!$D$2:$D$41,"No hay datos")</f>
        <v>Región Central 2</v>
      </c>
      <c r="J53" s="2" t="str">
        <f t="array" ref="J53:N53">_xlfn.XLOOKUP(A53,Productos!$A$2:$A$61,Productos!$B$2:$F$61)</f>
        <v>Falda plisada</v>
      </c>
      <c r="K53" s="2" t="s">
        <v>9</v>
      </c>
      <c r="L53" s="2" t="s">
        <v>10</v>
      </c>
      <c r="M53" s="2" t="s">
        <v>36</v>
      </c>
      <c r="N53" s="2" t="s">
        <v>32</v>
      </c>
    </row>
    <row r="54">
      <c r="A54" s="2" t="str">
        <f>IFERROR(__xludf.DUMMYFUNCTION("""COMPUTED_VALUE"""),"PR023")</f>
        <v>PR023</v>
      </c>
      <c r="B54" s="2" t="str">
        <f>IFERROR(__xludf.DUMMYFUNCTION("""COMPUTED_VALUE"""),"VD016")</f>
        <v>VD016</v>
      </c>
      <c r="C54" s="2">
        <f>IFERROR(__xludf.DUMMYFUNCTION("""COMPUTED_VALUE"""),27.0)</f>
        <v>27</v>
      </c>
      <c r="D54" s="6">
        <f>IFERROR(__xludf.DUMMYFUNCTION("""COMPUTED_VALUE"""),7894.34)</f>
        <v>7894.34</v>
      </c>
      <c r="E54" s="6">
        <f>IFERROR(__xludf.DUMMYFUNCTION("GOOGLEFINANCE(""Currency:BRLMXN"")*D54"),26821.02015)</f>
        <v>26821.02015</v>
      </c>
      <c r="F54" s="6">
        <f>IFERROR(__xludf.DUMMYFUNCTION("GOOGLEFINANCE(""Currency:BRLPEN"")*D54"),5175.529304)</f>
        <v>5175.529304</v>
      </c>
      <c r="G54" s="2" t="str">
        <f t="array" ref="G54">_xlfn.XLOOKUP(B54,Vendedores!$A$2:$A$41,Vendedores!$B$2:$B$41,"No hay datos")</f>
        <v>Beatriz Linares</v>
      </c>
      <c r="H54" s="2" t="str">
        <f t="array" ref="H54">_xlfn.XLOOKUP(B54,Vendedores!$A$2:$A$41,Vendedores!$C$2:$C$41,"No hay datos")</f>
        <v>Puerto Esperanza</v>
      </c>
      <c r="I54" s="2" t="str">
        <f t="array" ref="I54">_xlfn.XLOOKUP(B54,Vendedores!$A$2:$A$41,Vendedores!$D$2:$D$41,"No hay datos")</f>
        <v>Región Sur</v>
      </c>
      <c r="J54" s="2" t="str">
        <f t="array" ref="J54:N54">_xlfn.XLOOKUP(A54,Productos!$A$2:$A$61,Productos!$B$2:$F$61)</f>
        <v>Chaqueta de mezclilla</v>
      </c>
      <c r="K54" s="2" t="s">
        <v>9</v>
      </c>
      <c r="L54" s="2" t="s">
        <v>10</v>
      </c>
      <c r="M54" s="2" t="s">
        <v>72</v>
      </c>
      <c r="N54" s="2" t="s">
        <v>56</v>
      </c>
    </row>
    <row r="55">
      <c r="A55" s="2" t="str">
        <f>IFERROR(__xludf.DUMMYFUNCTION("""COMPUTED_VALUE"""),"PR002")</f>
        <v>PR002</v>
      </c>
      <c r="B55" s="2" t="str">
        <f>IFERROR(__xludf.DUMMYFUNCTION("""COMPUTED_VALUE"""),"VD018")</f>
        <v>VD018</v>
      </c>
      <c r="C55" s="2">
        <f>IFERROR(__xludf.DUMMYFUNCTION("""COMPUTED_VALUE"""),9.0)</f>
        <v>9</v>
      </c>
      <c r="D55" s="6">
        <f>IFERROR(__xludf.DUMMYFUNCTION("""COMPUTED_VALUE"""),717.17)</f>
        <v>717.17</v>
      </c>
      <c r="E55" s="6">
        <f>IFERROR(__xludf.DUMMYFUNCTION("GOOGLEFINANCE(""Currency:BRLMXN"")*D55"),2436.585075)</f>
        <v>2436.585075</v>
      </c>
      <c r="F55" s="6">
        <f>IFERROR(__xludf.DUMMYFUNCTION("GOOGLEFINANCE(""Currency:BRLPEN"")*D55"),470.17665199999993)</f>
        <v>470.176652</v>
      </c>
      <c r="G55" s="2" t="str">
        <f t="array" ref="G55">_xlfn.XLOOKUP(B55,Vendedores!$A$2:$A$41,Vendedores!$B$2:$B$41,"No hay datos")</f>
        <v>Leticia Rodríguez</v>
      </c>
      <c r="H55" s="2" t="str">
        <f t="array" ref="H55">_xlfn.XLOOKUP(B55,Vendedores!$A$2:$A$41,Vendedores!$C$2:$C$41,"No hay datos")</f>
        <v>Playa Blanca</v>
      </c>
      <c r="I55" s="2" t="str">
        <f t="array" ref="I55">_xlfn.XLOOKUP(B55,Vendedores!$A$2:$A$41,Vendedores!$D$2:$D$41,"No hay datos")</f>
        <v>Región Norte</v>
      </c>
      <c r="J55" s="2" t="str">
        <f t="array" ref="J55:N55">_xlfn.XLOOKUP(A55,Productos!$A$2:$A$61,Productos!$B$2:$F$61)</f>
        <v>Bermuda</v>
      </c>
      <c r="K55" s="2" t="s">
        <v>17</v>
      </c>
      <c r="L55" s="2" t="s">
        <v>10</v>
      </c>
      <c r="M55" s="2" t="s">
        <v>49</v>
      </c>
      <c r="N55" s="2" t="s">
        <v>50</v>
      </c>
    </row>
    <row r="56">
      <c r="A56" s="2" t="str">
        <f>IFERROR(__xludf.DUMMYFUNCTION("""COMPUTED_VALUE"""),"PR039")</f>
        <v>PR039</v>
      </c>
      <c r="B56" s="2" t="str">
        <f>IFERROR(__xludf.DUMMYFUNCTION("""COMPUTED_VALUE"""),"VD014")</f>
        <v>VD014</v>
      </c>
      <c r="C56" s="2">
        <f>IFERROR(__xludf.DUMMYFUNCTION("""COMPUTED_VALUE"""),16.0)</f>
        <v>16</v>
      </c>
      <c r="D56" s="6">
        <f>IFERROR(__xludf.DUMMYFUNCTION("""COMPUTED_VALUE"""),2663.04)</f>
        <v>2663.04</v>
      </c>
      <c r="E56" s="6">
        <f>IFERROR(__xludf.DUMMYFUNCTION("GOOGLEFINANCE(""Currency:BRLMXN"")*D56"),9047.678399999999)</f>
        <v>9047.6784</v>
      </c>
      <c r="F56" s="6">
        <f>IFERROR(__xludf.DUMMYFUNCTION("GOOGLEFINANCE(""Currency:BRLPEN"")*D56"),1745.8890239999998)</f>
        <v>1745.889024</v>
      </c>
      <c r="G56" s="2" t="str">
        <f t="array" ref="G56">_xlfn.XLOOKUP(B56,Vendedores!$A$2:$A$41,Vendedores!$B$2:$B$41,"No hay datos")</f>
        <v>Carla Flores</v>
      </c>
      <c r="H56" s="2" t="str">
        <f t="array" ref="H56">_xlfn.XLOOKUP(B56,Vendedores!$A$2:$A$41,Vendedores!$C$2:$C$41,"No hay datos")</f>
        <v>Valle Escondido</v>
      </c>
      <c r="I56" s="2" t="str">
        <f t="array" ref="I56">_xlfn.XLOOKUP(B56,Vendedores!$A$2:$A$41,Vendedores!$D$2:$D$41,"No hay datos")</f>
        <v>Región Andina</v>
      </c>
      <c r="J56" s="2" t="str">
        <f t="array" ref="J56:N56">_xlfn.XLOOKUP(A56,Productos!$A$2:$A$61,Productos!$B$2:$F$61)</f>
        <v>Vestido largo</v>
      </c>
      <c r="K56" s="2" t="s">
        <v>22</v>
      </c>
      <c r="L56" s="2" t="s">
        <v>10</v>
      </c>
      <c r="M56" s="2" t="s">
        <v>73</v>
      </c>
      <c r="N56" s="2" t="s">
        <v>74</v>
      </c>
    </row>
    <row r="57">
      <c r="A57" s="2" t="str">
        <f>IFERROR(__xludf.DUMMYFUNCTION("""COMPUTED_VALUE"""),"PR060")</f>
        <v>PR060</v>
      </c>
      <c r="B57" s="2" t="str">
        <f>IFERROR(__xludf.DUMMYFUNCTION("""COMPUTED_VALUE"""),"VD044")</f>
        <v>VD044</v>
      </c>
      <c r="C57" s="2">
        <f>IFERROR(__xludf.DUMMYFUNCTION("""COMPUTED_VALUE"""),6.0)</f>
        <v>6</v>
      </c>
      <c r="D57" s="6">
        <f>IFERROR(__xludf.DUMMYFUNCTION("""COMPUTED_VALUE"""),1252.8)</f>
        <v>1252.8</v>
      </c>
      <c r="E57" s="6">
        <f>IFERROR(__xludf.DUMMYFUNCTION("GOOGLEFINANCE(""Currency:BRLMXN"")*D57"),4256.388)</f>
        <v>4256.388</v>
      </c>
      <c r="F57" s="6">
        <f>IFERROR(__xludf.DUMMYFUNCTION("GOOGLEFINANCE(""Currency:BRLPEN"")*D57"),821.3356799999999)</f>
        <v>821.33568</v>
      </c>
      <c r="G57" s="2" t="str">
        <f t="array" ref="G57">_xlfn.XLOOKUP(B57,Vendedores!$A$2:$A$41,Vendedores!$B$2:$B$41,"No hay datos")</f>
        <v>Silvia Menéndez</v>
      </c>
      <c r="H57" s="2" t="str">
        <f t="array" ref="H57">_xlfn.XLOOKUP(B57,Vendedores!$A$2:$A$41,Vendedores!$C$2:$C$41,"No hay datos")</f>
        <v>San Antonio del Monte</v>
      </c>
      <c r="I57" s="2" t="str">
        <f t="array" ref="I57">_xlfn.XLOOKUP(B57,Vendedores!$A$2:$A$41,Vendedores!$D$2:$D$41,"No hay datos")</f>
        <v>Región Central 2</v>
      </c>
      <c r="J57" s="2" t="str">
        <f t="array" ref="J57:N57">_xlfn.XLOOKUP(A57,Productos!$A$2:$A$61,Productos!$B$2:$F$61)</f>
        <v>Pantalón de sastre</v>
      </c>
      <c r="K57" s="2" t="s">
        <v>22</v>
      </c>
      <c r="L57" s="2" t="s">
        <v>10</v>
      </c>
      <c r="M57" s="2" t="s">
        <v>75</v>
      </c>
      <c r="N57" s="2" t="s">
        <v>14</v>
      </c>
    </row>
    <row r="58">
      <c r="A58" s="2" t="str">
        <f>IFERROR(__xludf.DUMMYFUNCTION("""COMPUTED_VALUE"""),"PR009")</f>
        <v>PR009</v>
      </c>
      <c r="B58" s="2" t="str">
        <f>IFERROR(__xludf.DUMMYFUNCTION("""COMPUTED_VALUE"""),"VD041")</f>
        <v>VD041</v>
      </c>
      <c r="C58" s="2">
        <f>IFERROR(__xludf.DUMMYFUNCTION("""COMPUTED_VALUE"""),15.0)</f>
        <v>15</v>
      </c>
      <c r="D58" s="6">
        <f>IFERROR(__xludf.DUMMYFUNCTION("""COMPUTED_VALUE"""),1560.72)</f>
        <v>1560.72</v>
      </c>
      <c r="E58" s="6">
        <f>IFERROR(__xludf.DUMMYFUNCTION("GOOGLEFINANCE(""Currency:BRLMXN"")*D58"),5302.5462)</f>
        <v>5302.5462</v>
      </c>
      <c r="F58" s="6">
        <f>IFERROR(__xludf.DUMMYFUNCTION("GOOGLEFINANCE(""Currency:BRLPEN"")*D58"),1023.208032)</f>
        <v>1023.208032</v>
      </c>
      <c r="G58" s="2" t="str">
        <f t="array" ref="G58">_xlfn.XLOOKUP(B58,Vendedores!$A$2:$A$41,Vendedores!$B$2:$B$41,"No hay datos")</f>
        <v>Alejandro Ramos</v>
      </c>
      <c r="H58" s="2" t="str">
        <f t="array" ref="H58">_xlfn.XLOOKUP(B58,Vendedores!$A$2:$A$41,Vendedores!$C$2:$C$41,"No hay datos")</f>
        <v>San Martín de las Rosas</v>
      </c>
      <c r="I58" s="2" t="str">
        <f t="array" ref="I58">_xlfn.XLOOKUP(B58,Vendedores!$A$2:$A$41,Vendedores!$D$2:$D$41,"No hay datos")</f>
        <v>Región Central 2</v>
      </c>
      <c r="J58" s="2" t="str">
        <f t="array" ref="J58:N58">_xlfn.XLOOKUP(A58,Productos!$A$2:$A$61,Productos!$B$2:$F$61)</f>
        <v>Pantalón de mezclilla</v>
      </c>
      <c r="K58" s="2" t="s">
        <v>22</v>
      </c>
      <c r="L58" s="2" t="s">
        <v>10</v>
      </c>
      <c r="M58" s="2" t="s">
        <v>76</v>
      </c>
      <c r="N58" s="2" t="s">
        <v>77</v>
      </c>
    </row>
    <row r="59">
      <c r="A59" s="2" t="str">
        <f>IFERROR(__xludf.DUMMYFUNCTION("""COMPUTED_VALUE"""),"PR057")</f>
        <v>PR057</v>
      </c>
      <c r="B59" s="2" t="str">
        <f>IFERROR(__xludf.DUMMYFUNCTION("""COMPUTED_VALUE"""),"VD046")</f>
        <v>VD046</v>
      </c>
      <c r="C59" s="2">
        <f>IFERROR(__xludf.DUMMYFUNCTION("""COMPUTED_VALUE"""),15.0)</f>
        <v>15</v>
      </c>
      <c r="D59" s="6">
        <f>IFERROR(__xludf.DUMMYFUNCTION("""COMPUTED_VALUE"""),1591.23)</f>
        <v>1591.23</v>
      </c>
      <c r="E59" s="6">
        <f>IFERROR(__xludf.DUMMYFUNCTION("GOOGLEFINANCE(""Currency:BRLMXN"")*D59"),5406.203925)</f>
        <v>5406.203925</v>
      </c>
      <c r="F59" s="6">
        <f>IFERROR(__xludf.DUMMYFUNCTION("GOOGLEFINANCE(""Currency:BRLPEN"")*D59"),1043.210388)</f>
        <v>1043.210388</v>
      </c>
      <c r="G59" s="2" t="str">
        <f t="array" ref="G59">_xlfn.XLOOKUP(B59,Vendedores!$A$2:$A$41,Vendedores!$B$2:$B$41,"No hay datos")</f>
        <v>Juliana Pérez</v>
      </c>
      <c r="H59" s="2" t="str">
        <f t="array" ref="H59">_xlfn.XLOOKUP(B59,Vendedores!$A$2:$A$41,Vendedores!$C$2:$C$41,"No hay datos")</f>
        <v>Santa Cruz de la Sierra</v>
      </c>
      <c r="I59" s="2" t="str">
        <f t="array" ref="I59">_xlfn.XLOOKUP(B59,Vendedores!$A$2:$A$41,Vendedores!$D$2:$D$41,"No hay datos")</f>
        <v>Región Central 2</v>
      </c>
      <c r="J59" s="2" t="str">
        <f t="array" ref="J59:N59">_xlfn.XLOOKUP(A59,Productos!$A$2:$A$61,Productos!$B$2:$F$61)</f>
        <v>Sandalia plana</v>
      </c>
      <c r="K59" s="2">
        <v>37.0</v>
      </c>
      <c r="L59" s="2" t="s">
        <v>33</v>
      </c>
      <c r="M59" s="2" t="s">
        <v>58</v>
      </c>
      <c r="N59" s="2" t="s">
        <v>35</v>
      </c>
    </row>
    <row r="60">
      <c r="A60" s="2" t="str">
        <f>IFERROR(__xludf.DUMMYFUNCTION("""COMPUTED_VALUE"""),"PR018")</f>
        <v>PR018</v>
      </c>
      <c r="B60" s="2" t="str">
        <f>IFERROR(__xludf.DUMMYFUNCTION("""COMPUTED_VALUE"""),"VD037")</f>
        <v>VD037</v>
      </c>
      <c r="C60" s="2">
        <f>IFERROR(__xludf.DUMMYFUNCTION("""COMPUTED_VALUE"""),10.0)</f>
        <v>10</v>
      </c>
      <c r="D60" s="6">
        <f>IFERROR(__xludf.DUMMYFUNCTION("""COMPUTED_VALUE"""),361.9)</f>
        <v>361.9</v>
      </c>
      <c r="E60" s="6">
        <f>IFERROR(__xludf.DUMMYFUNCTION("GOOGLEFINANCE(""Currency:BRLMXN"")*D60"),1229.55525)</f>
        <v>1229.55525</v>
      </c>
      <c r="F60" s="6">
        <f>IFERROR(__xludf.DUMMYFUNCTION("GOOGLEFINANCE(""Currency:BRLPEN"")*D60"),237.26163999999997)</f>
        <v>237.26164</v>
      </c>
      <c r="G60" s="2" t="str">
        <f t="array" ref="G60">_xlfn.XLOOKUP(B60,Vendedores!$A$2:$A$41,Vendedores!$B$2:$B$41,"No hay datos")</f>
        <v>Amanda Silva</v>
      </c>
      <c r="H60" s="2" t="str">
        <f t="array" ref="H60">_xlfn.XLOOKUP(B60,Vendedores!$A$2:$A$41,Vendedores!$C$2:$C$41,"No hay datos")</f>
        <v>Villa Esperanza</v>
      </c>
      <c r="I60" s="2" t="str">
        <f t="array" ref="I60">_xlfn.XLOOKUP(B60,Vendedores!$A$2:$A$41,Vendedores!$D$2:$D$41,"No hay datos")</f>
        <v>Región Sur 2</v>
      </c>
      <c r="J60" s="2" t="str">
        <f t="array" ref="J60:N60">_xlfn.XLOOKUP(A60,Productos!$A$2:$A$61,Productos!$B$2:$F$61)</f>
        <v>Playera lisa</v>
      </c>
      <c r="K60" s="2" t="s">
        <v>22</v>
      </c>
      <c r="L60" s="2" t="s">
        <v>10</v>
      </c>
      <c r="M60" s="2" t="s">
        <v>57</v>
      </c>
      <c r="N60" s="2" t="s">
        <v>24</v>
      </c>
    </row>
    <row r="61">
      <c r="A61" s="2" t="str">
        <f>IFERROR(__xludf.DUMMYFUNCTION("""COMPUTED_VALUE"""),"PR022")</f>
        <v>PR022</v>
      </c>
      <c r="B61" s="2" t="str">
        <f>IFERROR(__xludf.DUMMYFUNCTION("""COMPUTED_VALUE"""),"VD023")</f>
        <v>VD023</v>
      </c>
      <c r="C61" s="2">
        <f>IFERROR(__xludf.DUMMYFUNCTION("""COMPUTED_VALUE"""),16.0)</f>
        <v>16</v>
      </c>
      <c r="D61" s="6">
        <f>IFERROR(__xludf.DUMMYFUNCTION("""COMPUTED_VALUE"""),5424.0)</f>
        <v>5424</v>
      </c>
      <c r="E61" s="6">
        <f>IFERROR(__xludf.DUMMYFUNCTION("GOOGLEFINANCE(""Currency:BRLMXN"")*D61"),18428.04)</f>
        <v>18428.04</v>
      </c>
      <c r="F61" s="6">
        <f>IFERROR(__xludf.DUMMYFUNCTION("GOOGLEFINANCE(""Currency:BRLPEN"")*D61"),3555.9743999999996)</f>
        <v>3555.9744</v>
      </c>
      <c r="G61" s="2" t="str">
        <f t="array" ref="G61">_xlfn.XLOOKUP(B61,Vendedores!$A$2:$A$41,Vendedores!$B$2:$B$41,"No hay datos")</f>
        <v>Juliana Castro</v>
      </c>
      <c r="H61" s="2" t="str">
        <f t="array" ref="H61">_xlfn.XLOOKUP(B61,Vendedores!$A$2:$A$41,Vendedores!$C$2:$C$41,"No hay datos")</f>
        <v>San Miguel de los Pinos</v>
      </c>
      <c r="I61" s="2" t="str">
        <f t="array" ref="I61">_xlfn.XLOOKUP(B61,Vendedores!$A$2:$A$41,Vendedores!$D$2:$D$41,"No hay datos")</f>
        <v>Región Sur</v>
      </c>
      <c r="J61" s="2" t="str">
        <f t="array" ref="J61:N61">_xlfn.XLOOKUP(A61,Productos!$A$2:$A$61,Productos!$B$2:$F$61)</f>
        <v>Chaqueta de cuero</v>
      </c>
      <c r="K61" s="2" t="s">
        <v>22</v>
      </c>
      <c r="L61" s="2" t="s">
        <v>10</v>
      </c>
      <c r="M61" s="2" t="s">
        <v>78</v>
      </c>
      <c r="N61" s="2" t="s">
        <v>79</v>
      </c>
    </row>
    <row r="62">
      <c r="A62" s="2" t="str">
        <f>IFERROR(__xludf.DUMMYFUNCTION("""COMPUTED_VALUE"""),"PR020")</f>
        <v>PR020</v>
      </c>
      <c r="B62" s="2" t="str">
        <f>IFERROR(__xludf.DUMMYFUNCTION("""COMPUTED_VALUE"""),"VD023")</f>
        <v>VD023</v>
      </c>
      <c r="C62" s="2">
        <f>IFERROR(__xludf.DUMMYFUNCTION("""COMPUTED_VALUE"""),21.0)</f>
        <v>21</v>
      </c>
      <c r="D62" s="6">
        <f>IFERROR(__xludf.DUMMYFUNCTION("""COMPUTED_VALUE"""),7242.59)</f>
        <v>7242.59</v>
      </c>
      <c r="E62" s="6">
        <f>IFERROR(__xludf.DUMMYFUNCTION("GOOGLEFINANCE(""Currency:BRLMXN"")*D62"),24606.699525)</f>
        <v>24606.69953</v>
      </c>
      <c r="F62" s="6">
        <f>IFERROR(__xludf.DUMMYFUNCTION("GOOGLEFINANCE(""Currency:BRLPEN"")*D62"),4748.242004)</f>
        <v>4748.242004</v>
      </c>
      <c r="G62" s="2" t="str">
        <f t="array" ref="G62">_xlfn.XLOOKUP(B62,Vendedores!$A$2:$A$41,Vendedores!$B$2:$B$41,"No hay datos")</f>
        <v>Juliana Castro</v>
      </c>
      <c r="H62" s="2" t="str">
        <f t="array" ref="H62">_xlfn.XLOOKUP(B62,Vendedores!$A$2:$A$41,Vendedores!$C$2:$C$41,"No hay datos")</f>
        <v>San Miguel de los Pinos</v>
      </c>
      <c r="I62" s="2" t="str">
        <f t="array" ref="I62">_xlfn.XLOOKUP(B62,Vendedores!$A$2:$A$41,Vendedores!$D$2:$D$41,"No hay datos")</f>
        <v>Región Sur</v>
      </c>
      <c r="J62" s="2" t="str">
        <f t="array" ref="J62:N62">_xlfn.XLOOKUP(A62,Productos!$A$2:$A$61,Productos!$B$2:$F$61)</f>
        <v>Chaqueta de cuero</v>
      </c>
      <c r="K62" s="2" t="s">
        <v>9</v>
      </c>
      <c r="L62" s="2" t="s">
        <v>10</v>
      </c>
      <c r="M62" s="2" t="s">
        <v>15</v>
      </c>
      <c r="N62" s="2" t="s">
        <v>16</v>
      </c>
    </row>
    <row r="63">
      <c r="A63" s="2" t="str">
        <f>IFERROR(__xludf.DUMMYFUNCTION("""COMPUTED_VALUE"""),"PR043")</f>
        <v>PR043</v>
      </c>
      <c r="B63" s="2" t="str">
        <f>IFERROR(__xludf.DUMMYFUNCTION("""COMPUTED_VALUE"""),"VD039")</f>
        <v>VD039</v>
      </c>
      <c r="C63" s="2">
        <f>IFERROR(__xludf.DUMMYFUNCTION("""COMPUTED_VALUE"""),16.0)</f>
        <v>16</v>
      </c>
      <c r="D63" s="6">
        <f>IFERROR(__xludf.DUMMYFUNCTION("""COMPUTED_VALUE"""),1368.8)</f>
        <v>1368.8</v>
      </c>
      <c r="E63" s="6">
        <f>IFERROR(__xludf.DUMMYFUNCTION("GOOGLEFINANCE(""Currency:BRLMXN"")*D63"),4650.498)</f>
        <v>4650.498</v>
      </c>
      <c r="F63" s="6">
        <f>IFERROR(__xludf.DUMMYFUNCTION("GOOGLEFINANCE(""Currency:BRLPEN"")*D63"),897.38528)</f>
        <v>897.38528</v>
      </c>
      <c r="G63" s="2" t="str">
        <f t="array" ref="G63">_xlfn.XLOOKUP(B63,Vendedores!$A$2:$A$41,Vendedores!$B$2:$B$41,"No hay datos")</f>
        <v>Daniela Rodríguez</v>
      </c>
      <c r="H63" s="2" t="str">
        <f t="array" ref="H63">_xlfn.XLOOKUP(B63,Vendedores!$A$2:$A$41,Vendedores!$C$2:$C$41,"No hay datos")</f>
        <v>Bahía del Sol</v>
      </c>
      <c r="I63" s="2" t="str">
        <f t="array" ref="I63">_xlfn.XLOOKUP(B63,Vendedores!$A$2:$A$41,Vendedores!$D$2:$D$41,"No hay datos")</f>
        <v>Región Central 2</v>
      </c>
      <c r="J63" s="2" t="str">
        <f t="array" ref="J63:N63">_xlfn.XLOOKUP(A63,Productos!$A$2:$A$61,Productos!$B$2:$F$61)</f>
        <v>Vestido floral</v>
      </c>
      <c r="K63" s="2" t="s">
        <v>9</v>
      </c>
      <c r="L63" s="2" t="s">
        <v>10</v>
      </c>
      <c r="M63" s="2" t="s">
        <v>69</v>
      </c>
      <c r="N63" s="2" t="s">
        <v>40</v>
      </c>
    </row>
    <row r="64">
      <c r="A64" s="2" t="str">
        <f>IFERROR(__xludf.DUMMYFUNCTION("""COMPUTED_VALUE"""),"PR040")</f>
        <v>PR040</v>
      </c>
      <c r="B64" s="2" t="str">
        <f>IFERROR(__xludf.DUMMYFUNCTION("""COMPUTED_VALUE"""),"VD014")</f>
        <v>VD014</v>
      </c>
      <c r="C64" s="2">
        <f>IFERROR(__xludf.DUMMYFUNCTION("""COMPUTED_VALUE"""),20.0)</f>
        <v>20</v>
      </c>
      <c r="D64" s="6">
        <f>IFERROR(__xludf.DUMMYFUNCTION("""COMPUTED_VALUE"""),1624.0)</f>
        <v>1624</v>
      </c>
      <c r="E64" s="6">
        <f>IFERROR(__xludf.DUMMYFUNCTION("GOOGLEFINANCE(""Currency:BRLMXN"")*D64"),5517.54)</f>
        <v>5517.54</v>
      </c>
      <c r="F64" s="6">
        <f>IFERROR(__xludf.DUMMYFUNCTION("GOOGLEFINANCE(""Currency:BRLPEN"")*D64"),1064.6943999999999)</f>
        <v>1064.6944</v>
      </c>
      <c r="G64" s="2" t="str">
        <f t="array" ref="G64">_xlfn.XLOOKUP(B64,Vendedores!$A$2:$A$41,Vendedores!$B$2:$B$41,"No hay datos")</f>
        <v>Carla Flores</v>
      </c>
      <c r="H64" s="2" t="str">
        <f t="array" ref="H64">_xlfn.XLOOKUP(B64,Vendedores!$A$2:$A$41,Vendedores!$C$2:$C$41,"No hay datos")</f>
        <v>Valle Escondido</v>
      </c>
      <c r="I64" s="2" t="str">
        <f t="array" ref="I64">_xlfn.XLOOKUP(B64,Vendedores!$A$2:$A$41,Vendedores!$D$2:$D$41,"No hay datos")</f>
        <v>Región Andina</v>
      </c>
      <c r="J64" s="2" t="str">
        <f t="array" ref="J64:N64">_xlfn.XLOOKUP(A64,Productos!$A$2:$A$61,Productos!$B$2:$F$61)</f>
        <v>Playera confort</v>
      </c>
      <c r="K64" s="2" t="s">
        <v>9</v>
      </c>
      <c r="L64" s="2" t="s">
        <v>10</v>
      </c>
      <c r="M64" s="2" t="s">
        <v>68</v>
      </c>
      <c r="N64" s="2" t="s">
        <v>70</v>
      </c>
    </row>
    <row r="65">
      <c r="A65" s="2" t="str">
        <f>IFERROR(__xludf.DUMMYFUNCTION("""COMPUTED_VALUE"""),"PR052")</f>
        <v>PR052</v>
      </c>
      <c r="B65" s="2" t="str">
        <f>IFERROR(__xludf.DUMMYFUNCTION("""COMPUTED_VALUE"""),"VD035")</f>
        <v>VD035</v>
      </c>
      <c r="C65" s="2">
        <f>IFERROR(__xludf.DUMMYFUNCTION("""COMPUTED_VALUE"""),30.0)</f>
        <v>30</v>
      </c>
      <c r="D65" s="6">
        <f>IFERROR(__xludf.DUMMYFUNCTION("""COMPUTED_VALUE"""),1721.55)</f>
        <v>1721.55</v>
      </c>
      <c r="E65" s="6">
        <f>IFERROR(__xludf.DUMMYFUNCTION("GOOGLEFINANCE(""Currency:BRLMXN"")*D65"),5848.966125)</f>
        <v>5848.966125</v>
      </c>
      <c r="F65" s="6">
        <f>IFERROR(__xludf.DUMMYFUNCTION("GOOGLEFINANCE(""Currency:BRLPEN"")*D65"),1128.64818)</f>
        <v>1128.64818</v>
      </c>
      <c r="G65" s="2" t="str">
        <f t="array" ref="G65">_xlfn.XLOOKUP(B65,Vendedores!$A$2:$A$41,Vendedores!$B$2:$B$41,"No hay datos")</f>
        <v>Carolina Méndez</v>
      </c>
      <c r="H65" s="2" t="str">
        <f t="array" ref="H65">_xlfn.XLOOKUP(B65,Vendedores!$A$2:$A$41,Vendedores!$C$2:$C$41,"No hay datos")</f>
        <v>Valle de los Robles</v>
      </c>
      <c r="I65" s="2" t="str">
        <f t="array" ref="I65">_xlfn.XLOOKUP(B65,Vendedores!$A$2:$A$41,Vendedores!$D$2:$D$41,"No hay datos")</f>
        <v>Región Central 2</v>
      </c>
      <c r="J65" s="2" t="str">
        <f t="array" ref="J65:N65">_xlfn.XLOOKUP(A65,Productos!$A$2:$A$61,Productos!$B$2:$F$61)</f>
        <v>Falda plisada</v>
      </c>
      <c r="K65" s="2" t="s">
        <v>9</v>
      </c>
      <c r="L65" s="2" t="s">
        <v>10</v>
      </c>
      <c r="M65" s="2" t="s">
        <v>36</v>
      </c>
      <c r="N65" s="2" t="s">
        <v>32</v>
      </c>
    </row>
    <row r="66">
      <c r="A66" s="2" t="str">
        <f>IFERROR(__xludf.DUMMYFUNCTION("""COMPUTED_VALUE"""),"PR021")</f>
        <v>PR021</v>
      </c>
      <c r="B66" s="2" t="str">
        <f>IFERROR(__xludf.DUMMYFUNCTION("""COMPUTED_VALUE"""),"VD013")</f>
        <v>VD013</v>
      </c>
      <c r="C66" s="2">
        <f>IFERROR(__xludf.DUMMYFUNCTION("""COMPUTED_VALUE"""),8.0)</f>
        <v>8</v>
      </c>
      <c r="D66" s="6">
        <f>IFERROR(__xludf.DUMMYFUNCTION("""COMPUTED_VALUE"""),2689.75)</f>
        <v>2689.75</v>
      </c>
      <c r="E66" s="6">
        <f>IFERROR(__xludf.DUMMYFUNCTION("GOOGLEFINANCE(""Currency:BRLMXN"")*D66"),9138.425625)</f>
        <v>9138.425625</v>
      </c>
      <c r="F66" s="6">
        <f>IFERROR(__xludf.DUMMYFUNCTION("GOOGLEFINANCE(""Currency:BRLPEN"")*D66"),1763.4000999999998)</f>
        <v>1763.4001</v>
      </c>
      <c r="G66" s="2" t="str">
        <f t="array" ref="G66">_xlfn.XLOOKUP(B66,Vendedores!$A$2:$A$41,Vendedores!$B$2:$B$41,"No hay datos")</f>
        <v>Pedro Almonte</v>
      </c>
      <c r="H66" s="2" t="str">
        <f t="array" ref="H66">_xlfn.XLOOKUP(B66,Vendedores!$A$2:$A$41,Vendedores!$C$2:$C$41,"No hay datos")</f>
        <v>Santa Rosa del Valle</v>
      </c>
      <c r="I66" s="2" t="str">
        <f t="array" ref="I66">_xlfn.XLOOKUP(B66,Vendedores!$A$2:$A$41,Vendedores!$D$2:$D$41,"No hay datos")</f>
        <v>Región Norte</v>
      </c>
      <c r="J66" s="2" t="str">
        <f t="array" ref="J66:N66">_xlfn.XLOOKUP(A66,Productos!$A$2:$A$61,Productos!$B$2:$F$61)</f>
        <v>Chaqueta de cuero</v>
      </c>
      <c r="K66" s="2" t="s">
        <v>17</v>
      </c>
      <c r="L66" s="2" t="s">
        <v>10</v>
      </c>
      <c r="M66" s="2" t="s">
        <v>80</v>
      </c>
      <c r="N66" s="2" t="s">
        <v>81</v>
      </c>
    </row>
    <row r="67">
      <c r="A67" s="2" t="str">
        <f>IFERROR(__xludf.DUMMYFUNCTION("""COMPUTED_VALUE"""),"PR050")</f>
        <v>PR050</v>
      </c>
      <c r="B67" s="2" t="str">
        <f>IFERROR(__xludf.DUMMYFUNCTION("""COMPUTED_VALUE"""),"VD015")</f>
        <v>VD015</v>
      </c>
      <c r="C67" s="2">
        <f>IFERROR(__xludf.DUMMYFUNCTION("""COMPUTED_VALUE"""),24.0)</f>
        <v>24</v>
      </c>
      <c r="D67" s="6">
        <f>IFERROR(__xludf.DUMMYFUNCTION("""COMPUTED_VALUE"""),915.94)</f>
        <v>915.94</v>
      </c>
      <c r="E67" s="6">
        <f>IFERROR(__xludf.DUMMYFUNCTION("GOOGLEFINANCE(""Currency:BRLMXN"")*D67"),3111.9061500000003)</f>
        <v>3111.90615</v>
      </c>
      <c r="F67" s="6">
        <f>IFERROR(__xludf.DUMMYFUNCTION("GOOGLEFINANCE(""Currency:BRLPEN"")*D67"),600.490264)</f>
        <v>600.490264</v>
      </c>
      <c r="G67" s="2" t="str">
        <f t="array" ref="G67">_xlfn.XLOOKUP(B67,Vendedores!$A$2:$A$41,Vendedores!$B$2:$B$41,"No hay datos")</f>
        <v>Lucas Castillo</v>
      </c>
      <c r="H67" s="2" t="str">
        <f t="array" ref="H67">_xlfn.XLOOKUP(B67,Vendedores!$A$2:$A$41,Vendedores!$C$2:$C$41,"No hay datos")</f>
        <v>San Miguel de los Pinos</v>
      </c>
      <c r="I67" s="2" t="str">
        <f t="array" ref="I67">_xlfn.XLOOKUP(B67,Vendedores!$A$2:$A$41,Vendedores!$D$2:$D$41,"No hay datos")</f>
        <v>Región Sur</v>
      </c>
      <c r="J67" s="2" t="str">
        <f t="array" ref="J67:N67">_xlfn.XLOOKUP(A67,Productos!$A$2:$A$61,Productos!$B$2:$F$61)</f>
        <v>Playera a rayas</v>
      </c>
      <c r="K67" s="2" t="s">
        <v>17</v>
      </c>
      <c r="L67" s="2" t="s">
        <v>10</v>
      </c>
      <c r="M67" s="2" t="s">
        <v>27</v>
      </c>
      <c r="N67" s="2" t="s">
        <v>24</v>
      </c>
    </row>
    <row r="68">
      <c r="A68" s="2" t="str">
        <f>IFERROR(__xludf.DUMMYFUNCTION("""COMPUTED_VALUE"""),"PR036")</f>
        <v>PR036</v>
      </c>
      <c r="B68" s="2" t="str">
        <f>IFERROR(__xludf.DUMMYFUNCTION("""COMPUTED_VALUE"""),"VD040")</f>
        <v>VD040</v>
      </c>
      <c r="C68" s="2">
        <f>IFERROR(__xludf.DUMMYFUNCTION("""COMPUTED_VALUE"""),12.0)</f>
        <v>12</v>
      </c>
      <c r="D68" s="6">
        <f>IFERROR(__xludf.DUMMYFUNCTION("""COMPUTED_VALUE"""),1301.52)</f>
        <v>1301.52</v>
      </c>
      <c r="E68" s="6">
        <f>IFERROR(__xludf.DUMMYFUNCTION("GOOGLEFINANCE(""Currency:BRLMXN"")*D68"),4421.9142)</f>
        <v>4421.9142</v>
      </c>
      <c r="F68" s="6">
        <f>IFERROR(__xludf.DUMMYFUNCTION("GOOGLEFINANCE(""Currency:BRLPEN"")*D68"),853.2765119999999)</f>
        <v>853.276512</v>
      </c>
      <c r="G68" s="2" t="str">
        <f t="array" ref="G68">_xlfn.XLOOKUP(B68,Vendedores!$A$2:$A$41,Vendedores!$B$2:$B$41,"No hay datos")</f>
        <v>Tatiana Montero</v>
      </c>
      <c r="H68" s="2" t="str">
        <f t="array" ref="H68">_xlfn.XLOOKUP(B68,Vendedores!$A$2:$A$41,Vendedores!$C$2:$C$41,"No hay datos")</f>
        <v>Ciudad Industrial</v>
      </c>
      <c r="I68" s="2" t="str">
        <f t="array" ref="I68">_xlfn.XLOOKUP(B68,Vendedores!$A$2:$A$41,Vendedores!$D$2:$D$41,"No hay datos")</f>
        <v>Región Central 2</v>
      </c>
      <c r="J68" s="2" t="str">
        <f t="array" ref="J68:N68">_xlfn.XLOOKUP(A68,Productos!$A$2:$A$61,Productos!$B$2:$F$61)</f>
        <v>Vestido corto</v>
      </c>
      <c r="K68" s="2" t="s">
        <v>22</v>
      </c>
      <c r="L68" s="2" t="s">
        <v>10</v>
      </c>
      <c r="M68" s="2" t="s">
        <v>82</v>
      </c>
      <c r="N68" s="2" t="s">
        <v>83</v>
      </c>
    </row>
    <row r="69">
      <c r="A69" s="2" t="str">
        <f>IFERROR(__xludf.DUMMYFUNCTION("""COMPUTED_VALUE"""),"PR023")</f>
        <v>PR023</v>
      </c>
      <c r="B69" s="2" t="str">
        <f>IFERROR(__xludf.DUMMYFUNCTION("""COMPUTED_VALUE"""),"VD037")</f>
        <v>VD037</v>
      </c>
      <c r="C69" s="2">
        <f>IFERROR(__xludf.DUMMYFUNCTION("""COMPUTED_VALUE"""),12.0)</f>
        <v>12</v>
      </c>
      <c r="D69" s="6">
        <f>IFERROR(__xludf.DUMMYFUNCTION("""COMPUTED_VALUE"""),3298.68)</f>
        <v>3298.68</v>
      </c>
      <c r="E69" s="6">
        <f>IFERROR(__xludf.DUMMYFUNCTION("GOOGLEFINANCE(""Currency:BRLMXN"")*D69"),11207.2653)</f>
        <v>11207.2653</v>
      </c>
      <c r="F69" s="6">
        <f>IFERROR(__xludf.DUMMYFUNCTION("GOOGLEFINANCE(""Currency:BRLPEN"")*D69"),2162.614608)</f>
        <v>2162.614608</v>
      </c>
      <c r="G69" s="2" t="str">
        <f t="array" ref="G69">_xlfn.XLOOKUP(B69,Vendedores!$A$2:$A$41,Vendedores!$B$2:$B$41,"No hay datos")</f>
        <v>Amanda Silva</v>
      </c>
      <c r="H69" s="2" t="str">
        <f t="array" ref="H69">_xlfn.XLOOKUP(B69,Vendedores!$A$2:$A$41,Vendedores!$C$2:$C$41,"No hay datos")</f>
        <v>Villa Esperanza</v>
      </c>
      <c r="I69" s="2" t="str">
        <f t="array" ref="I69">_xlfn.XLOOKUP(B69,Vendedores!$A$2:$A$41,Vendedores!$D$2:$D$41,"No hay datos")</f>
        <v>Región Sur 2</v>
      </c>
      <c r="J69" s="2" t="str">
        <f t="array" ref="J69:N69">_xlfn.XLOOKUP(A69,Productos!$A$2:$A$61,Productos!$B$2:$F$61)</f>
        <v>Chaqueta de mezclilla</v>
      </c>
      <c r="K69" s="2" t="s">
        <v>9</v>
      </c>
      <c r="L69" s="2" t="s">
        <v>10</v>
      </c>
      <c r="M69" s="2" t="s">
        <v>72</v>
      </c>
      <c r="N69" s="2" t="s">
        <v>56</v>
      </c>
    </row>
    <row r="70">
      <c r="A70" s="2" t="str">
        <f>IFERROR(__xludf.DUMMYFUNCTION("""COMPUTED_VALUE"""),"PR052")</f>
        <v>PR052</v>
      </c>
      <c r="B70" s="2" t="str">
        <f>IFERROR(__xludf.DUMMYFUNCTION("""COMPUTED_VALUE"""),"VD014")</f>
        <v>VD014</v>
      </c>
      <c r="C70" s="2">
        <f>IFERROR(__xludf.DUMMYFUNCTION("""COMPUTED_VALUE"""),20.0)</f>
        <v>20</v>
      </c>
      <c r="D70" s="6">
        <f>IFERROR(__xludf.DUMMYFUNCTION("""COMPUTED_VALUE"""),1127.74)</f>
        <v>1127.74</v>
      </c>
      <c r="E70" s="6">
        <f>IFERROR(__xludf.DUMMYFUNCTION("GOOGLEFINANCE(""Currency:BRLMXN"")*D70"),3831.49665)</f>
        <v>3831.49665</v>
      </c>
      <c r="F70" s="6">
        <f>IFERROR(__xludf.DUMMYFUNCTION("GOOGLEFINANCE(""Currency:BRLPEN"")*D70"),739.3463439999999)</f>
        <v>739.346344</v>
      </c>
      <c r="G70" s="2" t="str">
        <f t="array" ref="G70">_xlfn.XLOOKUP(B70,Vendedores!$A$2:$A$41,Vendedores!$B$2:$B$41,"No hay datos")</f>
        <v>Carla Flores</v>
      </c>
      <c r="H70" s="2" t="str">
        <f t="array" ref="H70">_xlfn.XLOOKUP(B70,Vendedores!$A$2:$A$41,Vendedores!$C$2:$C$41,"No hay datos")</f>
        <v>Valle Escondido</v>
      </c>
      <c r="I70" s="2" t="str">
        <f t="array" ref="I70">_xlfn.XLOOKUP(B70,Vendedores!$A$2:$A$41,Vendedores!$D$2:$D$41,"No hay datos")</f>
        <v>Región Andina</v>
      </c>
      <c r="J70" s="2" t="str">
        <f t="array" ref="J70:N70">_xlfn.XLOOKUP(A70,Productos!$A$2:$A$61,Productos!$B$2:$F$61)</f>
        <v>Falda plisada</v>
      </c>
      <c r="K70" s="2" t="s">
        <v>9</v>
      </c>
      <c r="L70" s="2" t="s">
        <v>10</v>
      </c>
      <c r="M70" s="2" t="s">
        <v>36</v>
      </c>
      <c r="N70" s="2" t="s">
        <v>32</v>
      </c>
    </row>
    <row r="71">
      <c r="A71" s="2" t="str">
        <f>IFERROR(__xludf.DUMMYFUNCTION("""COMPUTED_VALUE"""),"PR051")</f>
        <v>PR051</v>
      </c>
      <c r="B71" s="2" t="str">
        <f>IFERROR(__xludf.DUMMYFUNCTION("""COMPUTED_VALUE"""),"VD018")</f>
        <v>VD018</v>
      </c>
      <c r="C71" s="2">
        <f>IFERROR(__xludf.DUMMYFUNCTION("""COMPUTED_VALUE"""),6.0)</f>
        <v>6</v>
      </c>
      <c r="D71" s="6">
        <f>IFERROR(__xludf.DUMMYFUNCTION("""COMPUTED_VALUE"""),221.09)</f>
        <v>221.09</v>
      </c>
      <c r="E71" s="6">
        <f>IFERROR(__xludf.DUMMYFUNCTION("GOOGLEFINANCE(""Currency:BRLMXN"")*D71"),751.153275)</f>
        <v>751.153275</v>
      </c>
      <c r="F71" s="6">
        <f>IFERROR(__xludf.DUMMYFUNCTION("GOOGLEFINANCE(""Currency:BRLPEN"")*D71"),144.94660399999998)</f>
        <v>144.946604</v>
      </c>
      <c r="G71" s="2" t="str">
        <f t="array" ref="G71">_xlfn.XLOOKUP(B71,Vendedores!$A$2:$A$41,Vendedores!$B$2:$B$41,"No hay datos")</f>
        <v>Leticia Rodríguez</v>
      </c>
      <c r="H71" s="2" t="str">
        <f t="array" ref="H71">_xlfn.XLOOKUP(B71,Vendedores!$A$2:$A$41,Vendedores!$C$2:$C$41,"No hay datos")</f>
        <v>Playa Blanca</v>
      </c>
      <c r="I71" s="2" t="str">
        <f t="array" ref="I71">_xlfn.XLOOKUP(B71,Vendedores!$A$2:$A$41,Vendedores!$D$2:$D$41,"No hay datos")</f>
        <v>Región Norte</v>
      </c>
      <c r="J71" s="2" t="str">
        <f t="array" ref="J71:N71">_xlfn.XLOOKUP(A71,Productos!$A$2:$A$61,Productos!$B$2:$F$61)</f>
        <v>Playera a rayas</v>
      </c>
      <c r="K71" s="2" t="s">
        <v>22</v>
      </c>
      <c r="L71" s="2" t="s">
        <v>10</v>
      </c>
      <c r="M71" s="2" t="s">
        <v>23</v>
      </c>
      <c r="N71" s="2" t="s">
        <v>24</v>
      </c>
    </row>
    <row r="72">
      <c r="A72" s="2" t="str">
        <f>IFERROR(__xludf.DUMMYFUNCTION("""COMPUTED_VALUE"""),"PR019")</f>
        <v>PR019</v>
      </c>
      <c r="B72" s="2" t="str">
        <f>IFERROR(__xludf.DUMMYFUNCTION("""COMPUTED_VALUE"""),"VD010")</f>
        <v>VD010</v>
      </c>
      <c r="C72" s="2">
        <f>IFERROR(__xludf.DUMMYFUNCTION("""COMPUTED_VALUE"""),20.0)</f>
        <v>20</v>
      </c>
      <c r="D72" s="6">
        <f>IFERROR(__xludf.DUMMYFUNCTION("""COMPUTED_VALUE"""),1197.6)</f>
        <v>1197.6</v>
      </c>
      <c r="E72" s="6">
        <f>IFERROR(__xludf.DUMMYFUNCTION("GOOGLEFINANCE(""Currency:BRLMXN"")*D72"),4068.8459999999995)</f>
        <v>4068.846</v>
      </c>
      <c r="F72" s="6">
        <f>IFERROR(__xludf.DUMMYFUNCTION("GOOGLEFINANCE(""Currency:BRLPEN"")*D72"),785.1465599999999)</f>
        <v>785.14656</v>
      </c>
      <c r="G72" s="2" t="str">
        <f t="array" ref="G72">_xlfn.XLOOKUP(B72,Vendedores!$A$2:$A$41,Vendedores!$B$2:$B$41,"No hay datos")</f>
        <v>María Silva</v>
      </c>
      <c r="H72" s="2" t="str">
        <f t="array" ref="H72">_xlfn.XLOOKUP(B72,Vendedores!$A$2:$A$41,Vendedores!$C$2:$C$41,"No hay datos")</f>
        <v>San Juan de la Sierra</v>
      </c>
      <c r="I72" s="2" t="str">
        <f t="array" ref="I72">_xlfn.XLOOKUP(B72,Vendedores!$A$2:$A$41,Vendedores!$D$2:$D$41,"No hay datos")</f>
        <v>Región Central</v>
      </c>
      <c r="J72" s="2" t="str">
        <f t="array" ref="J72:N72">_xlfn.XLOOKUP(A72,Productos!$A$2:$A$61,Productos!$B$2:$F$61)</f>
        <v>Cinturón</v>
      </c>
      <c r="K72" s="2" t="s">
        <v>29</v>
      </c>
      <c r="L72" s="2" t="s">
        <v>30</v>
      </c>
      <c r="M72" s="2" t="s">
        <v>31</v>
      </c>
      <c r="N72" s="2" t="s">
        <v>32</v>
      </c>
    </row>
    <row r="73">
      <c r="A73" s="2" t="str">
        <f>IFERROR(__xludf.DUMMYFUNCTION("""COMPUTED_VALUE"""),"PR053")</f>
        <v>PR053</v>
      </c>
      <c r="B73" s="2" t="str">
        <f>IFERROR(__xludf.DUMMYFUNCTION("""COMPUTED_VALUE"""),"VD043")</f>
        <v>VD043</v>
      </c>
      <c r="C73" s="2">
        <f>IFERROR(__xludf.DUMMYFUNCTION("""COMPUTED_VALUE"""),16.0)</f>
        <v>16</v>
      </c>
      <c r="D73" s="6">
        <f>IFERROR(__xludf.DUMMYFUNCTION("""COMPUTED_VALUE"""),950.1)</f>
        <v>950.1</v>
      </c>
      <c r="E73" s="6">
        <f>IFERROR(__xludf.DUMMYFUNCTION("GOOGLEFINANCE(""Currency:BRLMXN"")*D73"),3227.96475)</f>
        <v>3227.96475</v>
      </c>
      <c r="F73" s="6">
        <f>IFERROR(__xludf.DUMMYFUNCTION("GOOGLEFINANCE(""Currency:BRLPEN"")*D73"),622.8855599999999)</f>
        <v>622.88556</v>
      </c>
      <c r="G73" s="2" t="str">
        <f t="array" ref="G73">_xlfn.XLOOKUP(B73,Vendedores!$A$2:$A$41,Vendedores!$B$2:$B$41,"No hay datos")</f>
        <v>Carlos Henríquez</v>
      </c>
      <c r="H73" s="2" t="str">
        <f t="array" ref="H73">_xlfn.XLOOKUP(B73,Vendedores!$A$2:$A$41,Vendedores!$C$2:$C$41,"No hay datos")</f>
        <v>Ciudad Aeropuerto</v>
      </c>
      <c r="I73" s="2" t="str">
        <f t="array" ref="I73">_xlfn.XLOOKUP(B73,Vendedores!$A$2:$A$41,Vendedores!$D$2:$D$41,"No hay datos")</f>
        <v>Región Central 2</v>
      </c>
      <c r="J73" s="2" t="str">
        <f t="array" ref="J73:N73">_xlfn.XLOOKUP(A73,Productos!$A$2:$A$61,Productos!$B$2:$F$61)</f>
        <v>Falda plisada</v>
      </c>
      <c r="K73" s="2" t="s">
        <v>17</v>
      </c>
      <c r="L73" s="2" t="s">
        <v>10</v>
      </c>
      <c r="M73" s="2" t="s">
        <v>41</v>
      </c>
      <c r="N73" s="2" t="s">
        <v>32</v>
      </c>
    </row>
    <row r="74">
      <c r="A74" s="2" t="str">
        <f>IFERROR(__xludf.DUMMYFUNCTION("""COMPUTED_VALUE"""),"PR031")</f>
        <v>PR031</v>
      </c>
      <c r="B74" s="2" t="str">
        <f>IFERROR(__xludf.DUMMYFUNCTION("""COMPUTED_VALUE"""),"VD035")</f>
        <v>VD035</v>
      </c>
      <c r="C74" s="2">
        <f>IFERROR(__xludf.DUMMYFUNCTION("""COMPUTED_VALUE"""),21.0)</f>
        <v>21</v>
      </c>
      <c r="D74" s="6">
        <f>IFERROR(__xludf.DUMMYFUNCTION("""COMPUTED_VALUE"""),6122.55)</f>
        <v>6122.55</v>
      </c>
      <c r="E74" s="6">
        <f>IFERROR(__xludf.DUMMYFUNCTION("GOOGLEFINANCE(""Currency:BRLMXN"")*D74"),20801.363625)</f>
        <v>20801.36363</v>
      </c>
      <c r="F74" s="6">
        <f>IFERROR(__xludf.DUMMYFUNCTION("GOOGLEFINANCE(""Currency:BRLPEN"")*D74"),4013.94378)</f>
        <v>4013.94378</v>
      </c>
      <c r="G74" s="2" t="str">
        <f t="array" ref="G74">_xlfn.XLOOKUP(B74,Vendedores!$A$2:$A$41,Vendedores!$B$2:$B$41,"No hay datos")</f>
        <v>Carolina Méndez</v>
      </c>
      <c r="H74" s="2" t="str">
        <f t="array" ref="H74">_xlfn.XLOOKUP(B74,Vendedores!$A$2:$A$41,Vendedores!$C$2:$C$41,"No hay datos")</f>
        <v>Valle de los Robles</v>
      </c>
      <c r="I74" s="2" t="str">
        <f t="array" ref="I74">_xlfn.XLOOKUP(B74,Vendedores!$A$2:$A$41,Vendedores!$D$2:$D$41,"No hay datos")</f>
        <v>Región Central 2</v>
      </c>
      <c r="J74" s="2" t="str">
        <f t="array" ref="J74:N74">_xlfn.XLOOKUP(A74,Productos!$A$2:$A$61,Productos!$B$2:$F$61)</f>
        <v>Tenis Chunky</v>
      </c>
      <c r="K74" s="2">
        <v>36.0</v>
      </c>
      <c r="L74" s="2" t="s">
        <v>33</v>
      </c>
      <c r="M74" s="2" t="s">
        <v>84</v>
      </c>
      <c r="N74" s="2" t="s">
        <v>85</v>
      </c>
    </row>
    <row r="75">
      <c r="A75" s="2" t="str">
        <f>IFERROR(__xludf.DUMMYFUNCTION("""COMPUTED_VALUE"""),"PR008")</f>
        <v>PR008</v>
      </c>
      <c r="B75" s="2" t="str">
        <f>IFERROR(__xludf.DUMMYFUNCTION("""COMPUTED_VALUE"""),"VD037")</f>
        <v>VD037</v>
      </c>
      <c r="C75" s="2">
        <f>IFERROR(__xludf.DUMMYFUNCTION("""COMPUTED_VALUE"""),10.0)</f>
        <v>10</v>
      </c>
      <c r="D75" s="6">
        <f>IFERROR(__xludf.DUMMYFUNCTION("""COMPUTED_VALUE"""),1078.8)</f>
        <v>1078.8</v>
      </c>
      <c r="E75" s="6">
        <f>IFERROR(__xludf.DUMMYFUNCTION("GOOGLEFINANCE(""Currency:BRLMXN"")*D75"),3665.223)</f>
        <v>3665.223</v>
      </c>
      <c r="F75" s="6">
        <f>IFERROR(__xludf.DUMMYFUNCTION("GOOGLEFINANCE(""Currency:BRLPEN"")*D75"),707.2612799999999)</f>
        <v>707.26128</v>
      </c>
      <c r="G75" s="2" t="str">
        <f t="array" ref="G75">_xlfn.XLOOKUP(B75,Vendedores!$A$2:$A$41,Vendedores!$B$2:$B$41,"No hay datos")</f>
        <v>Amanda Silva</v>
      </c>
      <c r="H75" s="2" t="str">
        <f t="array" ref="H75">_xlfn.XLOOKUP(B75,Vendedores!$A$2:$A$41,Vendedores!$C$2:$C$41,"No hay datos")</f>
        <v>Villa Esperanza</v>
      </c>
      <c r="I75" s="2" t="str">
        <f t="array" ref="I75">_xlfn.XLOOKUP(B75,Vendedores!$A$2:$A$41,Vendedores!$D$2:$D$41,"No hay datos")</f>
        <v>Región Sur 2</v>
      </c>
      <c r="J75" s="2" t="str">
        <f t="array" ref="J75:N75">_xlfn.XLOOKUP(A75,Productos!$A$2:$A$61,Productos!$B$2:$F$61)</f>
        <v>Pantalón de mezclilla</v>
      </c>
      <c r="K75" s="2" t="s">
        <v>17</v>
      </c>
      <c r="L75" s="2" t="s">
        <v>10</v>
      </c>
      <c r="M75" s="2" t="s">
        <v>65</v>
      </c>
      <c r="N75" s="2" t="s">
        <v>35</v>
      </c>
    </row>
    <row r="76">
      <c r="A76" s="2" t="str">
        <f>IFERROR(__xludf.DUMMYFUNCTION("""COMPUTED_VALUE"""),"PR010")</f>
        <v>PR010</v>
      </c>
      <c r="B76" s="2" t="str">
        <f>IFERROR(__xludf.DUMMYFUNCTION("""COMPUTED_VALUE"""),"VD023")</f>
        <v>VD023</v>
      </c>
      <c r="C76" s="2">
        <f>IFERROR(__xludf.DUMMYFUNCTION("""COMPUTED_VALUE"""),14.0)</f>
        <v>14</v>
      </c>
      <c r="D76" s="6">
        <f>IFERROR(__xludf.DUMMYFUNCTION("""COMPUTED_VALUE"""),704.03)</f>
        <v>704.03</v>
      </c>
      <c r="E76" s="6">
        <f>IFERROR(__xludf.DUMMYFUNCTION("GOOGLEFINANCE(""Currency:BRLMXN"")*D76"),2391.941925)</f>
        <v>2391.941925</v>
      </c>
      <c r="F76" s="6">
        <f>IFERROR(__xludf.DUMMYFUNCTION("GOOGLEFINANCE(""Currency:BRLPEN"")*D76"),461.56206799999995)</f>
        <v>461.562068</v>
      </c>
      <c r="G76" s="2" t="str">
        <f t="array" ref="G76">_xlfn.XLOOKUP(B76,Vendedores!$A$2:$A$41,Vendedores!$B$2:$B$41,"No hay datos")</f>
        <v>Juliana Castro</v>
      </c>
      <c r="H76" s="2" t="str">
        <f t="array" ref="H76">_xlfn.XLOOKUP(B76,Vendedores!$A$2:$A$41,Vendedores!$C$2:$C$41,"No hay datos")</f>
        <v>San Miguel de los Pinos</v>
      </c>
      <c r="I76" s="2" t="str">
        <f t="array" ref="I76">_xlfn.XLOOKUP(B76,Vendedores!$A$2:$A$41,Vendedores!$D$2:$D$41,"No hay datos")</f>
        <v>Región Sur</v>
      </c>
      <c r="J76" s="2" t="str">
        <f t="array" ref="J76:N76">_xlfn.XLOOKUP(A76,Productos!$A$2:$A$61,Productos!$B$2:$F$61)</f>
        <v>Pantalón legging</v>
      </c>
      <c r="K76" s="2" t="s">
        <v>9</v>
      </c>
      <c r="L76" s="2" t="s">
        <v>10</v>
      </c>
      <c r="M76" s="2" t="s">
        <v>86</v>
      </c>
      <c r="N76" s="2" t="s">
        <v>87</v>
      </c>
    </row>
    <row r="77">
      <c r="A77" s="2" t="str">
        <f>IFERROR(__xludf.DUMMYFUNCTION("""COMPUTED_VALUE"""),"PR012")</f>
        <v>PR012</v>
      </c>
      <c r="B77" s="2" t="str">
        <f>IFERROR(__xludf.DUMMYFUNCTION("""COMPUTED_VALUE"""),"VD018")</f>
        <v>VD018</v>
      </c>
      <c r="C77" s="2">
        <f>IFERROR(__xludf.DUMMYFUNCTION("""COMPUTED_VALUE"""),10.0)</f>
        <v>10</v>
      </c>
      <c r="D77" s="6">
        <f>IFERROR(__xludf.DUMMYFUNCTION("""COMPUTED_VALUE"""),577.02)</f>
        <v>577.02</v>
      </c>
      <c r="E77" s="6">
        <f>IFERROR(__xludf.DUMMYFUNCTION("GOOGLEFINANCE(""Currency:BRLMXN"")*D77"),1960.42545)</f>
        <v>1960.42545</v>
      </c>
      <c r="F77" s="6">
        <f>IFERROR(__xludf.DUMMYFUNCTION("GOOGLEFINANCE(""Currency:BRLPEN"")*D77"),378.294312)</f>
        <v>378.294312</v>
      </c>
      <c r="G77" s="2" t="str">
        <f t="array" ref="G77">_xlfn.XLOOKUP(B77,Vendedores!$A$2:$A$41,Vendedores!$B$2:$B$41,"No hay datos")</f>
        <v>Leticia Rodríguez</v>
      </c>
      <c r="H77" s="2" t="str">
        <f t="array" ref="H77">_xlfn.XLOOKUP(B77,Vendedores!$A$2:$A$41,Vendedores!$C$2:$C$41,"No hay datos")</f>
        <v>Playa Blanca</v>
      </c>
      <c r="I77" s="2" t="str">
        <f t="array" ref="I77">_xlfn.XLOOKUP(B77,Vendedores!$A$2:$A$41,Vendedores!$D$2:$D$41,"No hay datos")</f>
        <v>Región Norte</v>
      </c>
      <c r="J77" s="2" t="str">
        <f t="array" ref="J77:N77">_xlfn.XLOOKUP(A77,Productos!$A$2:$A$61,Productos!$B$2:$F$61)</f>
        <v>Pantalón legging</v>
      </c>
      <c r="K77" s="2" t="s">
        <v>22</v>
      </c>
      <c r="L77" s="2" t="s">
        <v>10</v>
      </c>
      <c r="M77" s="2" t="s">
        <v>88</v>
      </c>
      <c r="N77" s="2" t="s">
        <v>89</v>
      </c>
    </row>
    <row r="78">
      <c r="A78" s="2" t="str">
        <f>IFERROR(__xludf.DUMMYFUNCTION("""COMPUTED_VALUE"""),"PR043")</f>
        <v>PR043</v>
      </c>
      <c r="B78" s="2" t="str">
        <f>IFERROR(__xludf.DUMMYFUNCTION("""COMPUTED_VALUE"""),"VD033")</f>
        <v>VD033</v>
      </c>
      <c r="C78" s="2">
        <f>IFERROR(__xludf.DUMMYFUNCTION("""COMPUTED_VALUE"""),12.0)</f>
        <v>12</v>
      </c>
      <c r="D78" s="6">
        <f>IFERROR(__xludf.DUMMYFUNCTION("""COMPUTED_VALUE"""),983.1)</f>
        <v>983.1</v>
      </c>
      <c r="E78" s="6">
        <f>IFERROR(__xludf.DUMMYFUNCTION("GOOGLEFINANCE(""Currency:BRLMXN"")*D78"),3340.08225)</f>
        <v>3340.08225</v>
      </c>
      <c r="F78" s="6">
        <f>IFERROR(__xludf.DUMMYFUNCTION("GOOGLEFINANCE(""Currency:BRLPEN"")*D78"),644.52036)</f>
        <v>644.52036</v>
      </c>
      <c r="G78" s="2" t="str">
        <f t="array" ref="G78">_xlfn.XLOOKUP(B78,Vendedores!$A$2:$A$41,Vendedores!$B$2:$B$41,"No hay datos")</f>
        <v>Renata Flores</v>
      </c>
      <c r="H78" s="2" t="str">
        <f t="array" ref="H78">_xlfn.XLOOKUP(B78,Vendedores!$A$2:$A$41,Vendedores!$C$2:$C$41,"No hay datos")</f>
        <v>Altos del Sur</v>
      </c>
      <c r="I78" s="2" t="str">
        <f t="array" ref="I78">_xlfn.XLOOKUP(B78,Vendedores!$A$2:$A$41,Vendedores!$D$2:$D$41,"No hay datos")</f>
        <v>Región Central 2</v>
      </c>
      <c r="J78" s="2" t="str">
        <f t="array" ref="J78:N78">_xlfn.XLOOKUP(A78,Productos!$A$2:$A$61,Productos!$B$2:$F$61)</f>
        <v>Vestido floral</v>
      </c>
      <c r="K78" s="2" t="s">
        <v>9</v>
      </c>
      <c r="L78" s="2" t="s">
        <v>10</v>
      </c>
      <c r="M78" s="2" t="s">
        <v>69</v>
      </c>
      <c r="N78" s="2" t="s">
        <v>40</v>
      </c>
    </row>
    <row r="79">
      <c r="A79" s="2" t="str">
        <f>IFERROR(__xludf.DUMMYFUNCTION("""COMPUTED_VALUE"""),"PR004")</f>
        <v>PR004</v>
      </c>
      <c r="B79" s="2" t="str">
        <f>IFERROR(__xludf.DUMMYFUNCTION("""COMPUTED_VALUE"""),"VD015")</f>
        <v>VD015</v>
      </c>
      <c r="C79" s="2">
        <f>IFERROR(__xludf.DUMMYFUNCTION("""COMPUTED_VALUE"""),10.0)</f>
        <v>10</v>
      </c>
      <c r="D79" s="6">
        <f>IFERROR(__xludf.DUMMYFUNCTION("""COMPUTED_VALUE"""),1725.5)</f>
        <v>1725.5</v>
      </c>
      <c r="E79" s="6">
        <f>IFERROR(__xludf.DUMMYFUNCTION("GOOGLEFINANCE(""Currency:BRLMXN"")*D79"),5862.38625)</f>
        <v>5862.38625</v>
      </c>
      <c r="F79" s="6">
        <f>IFERROR(__xludf.DUMMYFUNCTION("GOOGLEFINANCE(""Currency:BRLPEN"")*D79"),1131.2377999999999)</f>
        <v>1131.2378</v>
      </c>
      <c r="G79" s="2" t="str">
        <f t="array" ref="G79">_xlfn.XLOOKUP(B79,Vendedores!$A$2:$A$41,Vendedores!$B$2:$B$41,"No hay datos")</f>
        <v>Lucas Castillo</v>
      </c>
      <c r="H79" s="2" t="str">
        <f t="array" ref="H79">_xlfn.XLOOKUP(B79,Vendedores!$A$2:$A$41,Vendedores!$C$2:$C$41,"No hay datos")</f>
        <v>San Miguel de los Pinos</v>
      </c>
      <c r="I79" s="2" t="str">
        <f t="array" ref="I79">_xlfn.XLOOKUP(B79,Vendedores!$A$2:$A$41,Vendedores!$D$2:$D$41,"No hay datos")</f>
        <v>Región Sur</v>
      </c>
      <c r="J79" s="2" t="str">
        <f t="array" ref="J79:N79">_xlfn.XLOOKUP(A79,Productos!$A$2:$A$61,Productos!$B$2:$F$61)</f>
        <v>Bolso versátil</v>
      </c>
      <c r="K79" s="2" t="s">
        <v>29</v>
      </c>
      <c r="L79" s="2" t="s">
        <v>30</v>
      </c>
      <c r="M79" s="2" t="s">
        <v>59</v>
      </c>
      <c r="N79" s="2" t="s">
        <v>60</v>
      </c>
    </row>
    <row r="80">
      <c r="A80" s="2" t="str">
        <f>IFERROR(__xludf.DUMMYFUNCTION("""COMPUTED_VALUE"""),"PR045")</f>
        <v>PR045</v>
      </c>
      <c r="B80" s="2" t="str">
        <f>IFERROR(__xludf.DUMMYFUNCTION("""COMPUTED_VALUE"""),"VD027")</f>
        <v>VD027</v>
      </c>
      <c r="C80" s="2">
        <f>IFERROR(__xludf.DUMMYFUNCTION("""COMPUTED_VALUE"""),16.0)</f>
        <v>16</v>
      </c>
      <c r="D80" s="6">
        <f>IFERROR(__xludf.DUMMYFUNCTION("""COMPUTED_VALUE"""),1334.0)</f>
        <v>1334</v>
      </c>
      <c r="E80" s="6">
        <f>IFERROR(__xludf.DUMMYFUNCTION("GOOGLEFINANCE(""Currency:BRLMXN"")*D80"),4532.265)</f>
        <v>4532.265</v>
      </c>
      <c r="F80" s="6">
        <f>IFERROR(__xludf.DUMMYFUNCTION("GOOGLEFINANCE(""Currency:BRLPEN"")*D80"),874.5704)</f>
        <v>874.5704</v>
      </c>
      <c r="G80" s="2" t="str">
        <f t="array" ref="G80">_xlfn.XLOOKUP(B80,Vendedores!$A$2:$A$41,Vendedores!$B$2:$B$41,"No hay datos")</f>
        <v>Patricia Cortés</v>
      </c>
      <c r="H80" s="2" t="str">
        <f t="array" ref="H80">_xlfn.XLOOKUP(B80,Vendedores!$A$2:$A$41,Vendedores!$C$2:$C$41,"No hay datos")</f>
        <v>Costa Azul</v>
      </c>
      <c r="I80" s="2" t="str">
        <f t="array" ref="I80">_xlfn.XLOOKUP(B80,Vendedores!$A$2:$A$41,Vendedores!$D$2:$D$41,"No hay datos")</f>
        <v>Región Norte</v>
      </c>
      <c r="J80" s="2" t="str">
        <f t="array" ref="J80:N80">_xlfn.XLOOKUP(A80,Productos!$A$2:$A$61,Productos!$B$2:$F$61)</f>
        <v>Vestido floral</v>
      </c>
      <c r="K80" s="2" t="s">
        <v>22</v>
      </c>
      <c r="L80" s="2" t="s">
        <v>10</v>
      </c>
      <c r="M80" s="2" t="s">
        <v>39</v>
      </c>
      <c r="N80" s="2" t="s">
        <v>40</v>
      </c>
    </row>
    <row r="81">
      <c r="A81" s="2" t="str">
        <f>IFERROR(__xludf.DUMMYFUNCTION("""COMPUTED_VALUE"""),"PR014")</f>
        <v>PR014</v>
      </c>
      <c r="B81" s="2" t="str">
        <f>IFERROR(__xludf.DUMMYFUNCTION("""COMPUTED_VALUE"""),"VD035")</f>
        <v>VD035</v>
      </c>
      <c r="C81" s="2">
        <f>IFERROR(__xludf.DUMMYFUNCTION("""COMPUTED_VALUE"""),20.0)</f>
        <v>20</v>
      </c>
      <c r="D81" s="6">
        <f>IFERROR(__xludf.DUMMYFUNCTION("""COMPUTED_VALUE"""),877.8)</f>
        <v>877.8</v>
      </c>
      <c r="E81" s="6">
        <f>IFERROR(__xludf.DUMMYFUNCTION("GOOGLEFINANCE(""Currency:BRLMXN"")*D81"),2982.3255)</f>
        <v>2982.3255</v>
      </c>
      <c r="F81" s="6">
        <f>IFERROR(__xludf.DUMMYFUNCTION("GOOGLEFINANCE(""Currency:BRLPEN"")*D81"),575.4856799999999)</f>
        <v>575.48568</v>
      </c>
      <c r="G81" s="2" t="str">
        <f t="array" ref="G81">_xlfn.XLOOKUP(B81,Vendedores!$A$2:$A$41,Vendedores!$B$2:$B$41,"No hay datos")</f>
        <v>Carolina Méndez</v>
      </c>
      <c r="H81" s="2" t="str">
        <f t="array" ref="H81">_xlfn.XLOOKUP(B81,Vendedores!$A$2:$A$41,Vendedores!$C$2:$C$41,"No hay datos")</f>
        <v>Valle de los Robles</v>
      </c>
      <c r="I81" s="2" t="str">
        <f t="array" ref="I81">_xlfn.XLOOKUP(B81,Vendedores!$A$2:$A$41,Vendedores!$D$2:$D$41,"No hay datos")</f>
        <v>Región Central 2</v>
      </c>
      <c r="J81" s="2" t="str">
        <f t="array" ref="J81:N81">_xlfn.XLOOKUP(A81,Productos!$A$2:$A$61,Productos!$B$2:$F$61)</f>
        <v>Playera estampada</v>
      </c>
      <c r="K81" s="2" t="s">
        <v>17</v>
      </c>
      <c r="L81" s="2" t="s">
        <v>10</v>
      </c>
      <c r="M81" s="2" t="s">
        <v>37</v>
      </c>
      <c r="N81" s="2" t="s">
        <v>38</v>
      </c>
    </row>
    <row r="82">
      <c r="A82" s="2" t="str">
        <f>IFERROR(__xludf.DUMMYFUNCTION("""COMPUTED_VALUE"""),"PR026")</f>
        <v>PR026</v>
      </c>
      <c r="B82" s="2" t="str">
        <f>IFERROR(__xludf.DUMMYFUNCTION("""COMPUTED_VALUE"""),"VD011")</f>
        <v>VD011</v>
      </c>
      <c r="C82" s="2">
        <f>IFERROR(__xludf.DUMMYFUNCTION("""COMPUTED_VALUE"""),15.0)</f>
        <v>15</v>
      </c>
      <c r="D82" s="6">
        <f>IFERROR(__xludf.DUMMYFUNCTION("""COMPUTED_VALUE"""),6035.78)</f>
        <v>6035.78</v>
      </c>
      <c r="E82" s="6">
        <f>IFERROR(__xludf.DUMMYFUNCTION("GOOGLEFINANCE(""Currency:BRLMXN"")*D82"),20506.56255)</f>
        <v>20506.56255</v>
      </c>
      <c r="F82" s="6">
        <f>IFERROR(__xludf.DUMMYFUNCTION("GOOGLEFINANCE(""Currency:BRLPEN"")*D82"),3957.0573679999998)</f>
        <v>3957.057368</v>
      </c>
      <c r="G82" s="2" t="str">
        <f t="array" ref="G82">_xlfn.XLOOKUP(B82,Vendedores!$A$2:$A$41,Vendedores!$B$2:$B$41,"No hay datos")</f>
        <v>Juan Santos</v>
      </c>
      <c r="H82" s="2" t="str">
        <f t="array" ref="H82">_xlfn.XLOOKUP(B82,Vendedores!$A$2:$A$41,Vendedores!$C$2:$C$41,"No hay datos")</f>
        <v>Vista Hermosa</v>
      </c>
      <c r="I82" s="2" t="str">
        <f t="array" ref="I82">_xlfn.XLOOKUP(B82,Vendedores!$A$2:$A$41,Vendedores!$D$2:$D$41,"No hay datos")</f>
        <v>Región Central</v>
      </c>
      <c r="J82" s="2" t="str">
        <f t="array" ref="J82:N82">_xlfn.XLOOKUP(A82,Productos!$A$2:$A$61,Productos!$B$2:$F$61)</f>
        <v>Gafas cuadradas</v>
      </c>
      <c r="K82" s="2" t="s">
        <v>29</v>
      </c>
      <c r="L82" s="2" t="s">
        <v>30</v>
      </c>
      <c r="M82" s="2" t="s">
        <v>90</v>
      </c>
      <c r="N82" s="2" t="s">
        <v>91</v>
      </c>
    </row>
    <row r="83">
      <c r="A83" s="2" t="str">
        <f>IFERROR(__xludf.DUMMYFUNCTION("""COMPUTED_VALUE"""),"PR014")</f>
        <v>PR014</v>
      </c>
      <c r="B83" s="2" t="str">
        <f>IFERROR(__xludf.DUMMYFUNCTION("""COMPUTED_VALUE"""),"VD028")</f>
        <v>VD028</v>
      </c>
      <c r="C83" s="2">
        <f>IFERROR(__xludf.DUMMYFUNCTION("""COMPUTED_VALUE"""),30.0)</f>
        <v>30</v>
      </c>
      <c r="D83" s="6">
        <f>IFERROR(__xludf.DUMMYFUNCTION("""COMPUTED_VALUE"""),1328.67)</f>
        <v>1328.67</v>
      </c>
      <c r="E83" s="6">
        <f>IFERROR(__xludf.DUMMYFUNCTION("GOOGLEFINANCE(""Currency:BRLMXN"")*D83"),4514.156325)</f>
        <v>4514.156325</v>
      </c>
      <c r="F83" s="6">
        <f>IFERROR(__xludf.DUMMYFUNCTION("GOOGLEFINANCE(""Currency:BRLPEN"")*D83"),871.076052)</f>
        <v>871.076052</v>
      </c>
      <c r="G83" s="2" t="str">
        <f t="array" ref="G83">_xlfn.XLOOKUP(B83,Vendedores!$A$2:$A$41,Vendedores!$B$2:$B$41,"No hay datos")</f>
        <v>Rodrigo Almonte</v>
      </c>
      <c r="H83" s="2" t="str">
        <f t="array" ref="H83">_xlfn.XLOOKUP(B83,Vendedores!$A$2:$A$41,Vendedores!$C$2:$C$41,"No hay datos")</f>
        <v>Valle Escondido</v>
      </c>
      <c r="I83" s="2" t="str">
        <f t="array" ref="I83">_xlfn.XLOOKUP(B83,Vendedores!$A$2:$A$41,Vendedores!$D$2:$D$41,"No hay datos")</f>
        <v>Región Andina</v>
      </c>
      <c r="J83" s="2" t="str">
        <f t="array" ref="J83:N83">_xlfn.XLOOKUP(A83,Productos!$A$2:$A$61,Productos!$B$2:$F$61)</f>
        <v>Playera estampada</v>
      </c>
      <c r="K83" s="2" t="s">
        <v>17</v>
      </c>
      <c r="L83" s="2" t="s">
        <v>10</v>
      </c>
      <c r="M83" s="2" t="s">
        <v>37</v>
      </c>
      <c r="N83" s="2" t="s">
        <v>38</v>
      </c>
    </row>
    <row r="84">
      <c r="A84" s="2" t="str">
        <f>IFERROR(__xludf.DUMMYFUNCTION("""COMPUTED_VALUE"""),"PR024")</f>
        <v>PR024</v>
      </c>
      <c r="B84" s="2" t="str">
        <f>IFERROR(__xludf.DUMMYFUNCTION("""COMPUTED_VALUE"""),"VD019")</f>
        <v>VD019</v>
      </c>
      <c r="C84" s="2">
        <f>IFERROR(__xludf.DUMMYFUNCTION("""COMPUTED_VALUE"""),30.0)</f>
        <v>30</v>
      </c>
      <c r="D84" s="6">
        <f>IFERROR(__xludf.DUMMYFUNCTION("""COMPUTED_VALUE"""),8810.61)</f>
        <v>8810.61</v>
      </c>
      <c r="E84" s="6">
        <f>IFERROR(__xludf.DUMMYFUNCTION("GOOGLEFINANCE(""Currency:BRLMXN"")*D84"),29934.047475000003)</f>
        <v>29934.04748</v>
      </c>
      <c r="F84" s="6">
        <f>IFERROR(__xludf.DUMMYFUNCTION("GOOGLEFINANCE(""Currency:BRLPEN"")*D84"),5776.235916)</f>
        <v>5776.235916</v>
      </c>
      <c r="G84" s="2" t="str">
        <f t="array" ref="G84">_xlfn.XLOOKUP(B84,Vendedores!$A$2:$A$41,Vendedores!$B$2:$B$41,"No hay datos")</f>
        <v>Rafael Sosa</v>
      </c>
      <c r="H84" s="2" t="str">
        <f t="array" ref="H84">_xlfn.XLOOKUP(B84,Vendedores!$A$2:$A$41,Vendedores!$C$2:$C$41,"No hay datos")</f>
        <v>Selva Verde</v>
      </c>
      <c r="I84" s="2" t="str">
        <f t="array" ref="I84">_xlfn.XLOOKUP(B84,Vendedores!$A$2:$A$41,Vendedores!$D$2:$D$41,"No hay datos")</f>
        <v>Región Amazónica</v>
      </c>
      <c r="J84" s="2" t="str">
        <f t="array" ref="J84:N84">_xlfn.XLOOKUP(A84,Productos!$A$2:$A$61,Productos!$B$2:$F$61)</f>
        <v>Chaqueta de mezclilla</v>
      </c>
      <c r="K84" s="2" t="s">
        <v>17</v>
      </c>
      <c r="L84" s="2" t="s">
        <v>10</v>
      </c>
      <c r="M84" s="2" t="s">
        <v>92</v>
      </c>
      <c r="N84" s="2" t="s">
        <v>64</v>
      </c>
    </row>
    <row r="85">
      <c r="A85" s="2" t="str">
        <f>IFERROR(__xludf.DUMMYFUNCTION("""COMPUTED_VALUE"""),"PR023")</f>
        <v>PR023</v>
      </c>
      <c r="B85" s="2" t="str">
        <f>IFERROR(__xludf.DUMMYFUNCTION("""COMPUTED_VALUE"""),"VD034")</f>
        <v>VD034</v>
      </c>
      <c r="C85" s="2">
        <f>IFERROR(__xludf.DUMMYFUNCTION("""COMPUTED_VALUE"""),18.0)</f>
        <v>18</v>
      </c>
      <c r="D85" s="6">
        <f>IFERROR(__xludf.DUMMYFUNCTION("""COMPUTED_VALUE"""),5082.97)</f>
        <v>5082.97</v>
      </c>
      <c r="E85" s="6">
        <f>IFERROR(__xludf.DUMMYFUNCTION("GOOGLEFINANCE(""Currency:BRLMXN"")*D85"),17269.390575)</f>
        <v>17269.39058</v>
      </c>
      <c r="F85" s="6">
        <f>IFERROR(__xludf.DUMMYFUNCTION("GOOGLEFINANCE(""Currency:BRLPEN"")*D85"),3332.395132)</f>
        <v>3332.395132</v>
      </c>
      <c r="G85" s="2" t="str">
        <f t="array" ref="G85">_xlfn.XLOOKUP(B85,Vendedores!$A$2:$A$41,Vendedores!$B$2:$B$41,"No hay datos")</f>
        <v>Felipe Carvajal</v>
      </c>
      <c r="H85" s="2" t="str">
        <f t="array" ref="H85">_xlfn.XLOOKUP(B85,Vendedores!$A$2:$A$41,Vendedores!$C$2:$C$41,"No hay datos")</f>
        <v>San Pedro del Río</v>
      </c>
      <c r="I85" s="2" t="str">
        <f t="array" ref="I85">_xlfn.XLOOKUP(B85,Vendedores!$A$2:$A$41,Vendedores!$D$2:$D$41,"No hay datos")</f>
        <v>Región Sur 2</v>
      </c>
      <c r="J85" s="2" t="str">
        <f t="array" ref="J85:N85">_xlfn.XLOOKUP(A85,Productos!$A$2:$A$61,Productos!$B$2:$F$61)</f>
        <v>Chaqueta de mezclilla</v>
      </c>
      <c r="K85" s="2" t="s">
        <v>9</v>
      </c>
      <c r="L85" s="2" t="s">
        <v>10</v>
      </c>
      <c r="M85" s="2" t="s">
        <v>72</v>
      </c>
      <c r="N85" s="2" t="s">
        <v>56</v>
      </c>
    </row>
    <row r="86">
      <c r="A86" s="2" t="str">
        <f>IFERROR(__xludf.DUMMYFUNCTION("""COMPUTED_VALUE"""),"PR010")</f>
        <v>PR010</v>
      </c>
      <c r="B86" s="2" t="str">
        <f>IFERROR(__xludf.DUMMYFUNCTION("""COMPUTED_VALUE"""),"VD028")</f>
        <v>VD028</v>
      </c>
      <c r="C86" s="2">
        <f>IFERROR(__xludf.DUMMYFUNCTION("""COMPUTED_VALUE"""),20.0)</f>
        <v>20</v>
      </c>
      <c r="D86" s="6">
        <f>IFERROR(__xludf.DUMMYFUNCTION("""COMPUTED_VALUE"""),1050.66)</f>
        <v>1050.66</v>
      </c>
      <c r="E86" s="6">
        <f>IFERROR(__xludf.DUMMYFUNCTION("GOOGLEFINANCE(""Currency:BRLMXN"")*D86"),3569.6173500000004)</f>
        <v>3569.61735</v>
      </c>
      <c r="F86" s="6">
        <f>IFERROR(__xludf.DUMMYFUNCTION("GOOGLEFINANCE(""Currency:BRLPEN"")*D86"),688.812696)</f>
        <v>688.812696</v>
      </c>
      <c r="G86" s="2" t="str">
        <f t="array" ref="G86">_xlfn.XLOOKUP(B86,Vendedores!$A$2:$A$41,Vendedores!$B$2:$B$41,"No hay datos")</f>
        <v>Rodrigo Almonte</v>
      </c>
      <c r="H86" s="2" t="str">
        <f t="array" ref="H86">_xlfn.XLOOKUP(B86,Vendedores!$A$2:$A$41,Vendedores!$C$2:$C$41,"No hay datos")</f>
        <v>Valle Escondido</v>
      </c>
      <c r="I86" s="2" t="str">
        <f t="array" ref="I86">_xlfn.XLOOKUP(B86,Vendedores!$A$2:$A$41,Vendedores!$D$2:$D$41,"No hay datos")</f>
        <v>Región Andina</v>
      </c>
      <c r="J86" s="2" t="str">
        <f t="array" ref="J86:N86">_xlfn.XLOOKUP(A86,Productos!$A$2:$A$61,Productos!$B$2:$F$61)</f>
        <v>Pantalón legging</v>
      </c>
      <c r="K86" s="2" t="s">
        <v>9</v>
      </c>
      <c r="L86" s="2" t="s">
        <v>10</v>
      </c>
      <c r="M86" s="2" t="s">
        <v>86</v>
      </c>
      <c r="N86" s="2" t="s">
        <v>87</v>
      </c>
    </row>
    <row r="87">
      <c r="A87" s="2" t="str">
        <f>IFERROR(__xludf.DUMMYFUNCTION("""COMPUTED_VALUE"""),"PR042")</f>
        <v>PR042</v>
      </c>
      <c r="B87" s="2" t="str">
        <f>IFERROR(__xludf.DUMMYFUNCTION("""COMPUTED_VALUE"""),"VD041")</f>
        <v>VD041</v>
      </c>
      <c r="C87" s="2">
        <f>IFERROR(__xludf.DUMMYFUNCTION("""COMPUTED_VALUE"""),24.0)</f>
        <v>24</v>
      </c>
      <c r="D87" s="6">
        <f>IFERROR(__xludf.DUMMYFUNCTION("""COMPUTED_VALUE"""),1502.06)</f>
        <v>1502.06</v>
      </c>
      <c r="E87" s="6">
        <f>IFERROR(__xludf.DUMMYFUNCTION("GOOGLEFINANCE(""Currency:BRLMXN"")*D87"),5103.24885)</f>
        <v>5103.24885</v>
      </c>
      <c r="F87" s="6">
        <f>IFERROR(__xludf.DUMMYFUNCTION("GOOGLEFINANCE(""Currency:BRLPEN"")*D87"),984.7505359999999)</f>
        <v>984.750536</v>
      </c>
      <c r="G87" s="2" t="str">
        <f t="array" ref="G87">_xlfn.XLOOKUP(B87,Vendedores!$A$2:$A$41,Vendedores!$B$2:$B$41,"No hay datos")</f>
        <v>Alejandro Ramos</v>
      </c>
      <c r="H87" s="2" t="str">
        <f t="array" ref="H87">_xlfn.XLOOKUP(B87,Vendedores!$A$2:$A$41,Vendedores!$C$2:$C$41,"No hay datos")</f>
        <v>San Martín de las Rosas</v>
      </c>
      <c r="I87" s="2" t="str">
        <f t="array" ref="I87">_xlfn.XLOOKUP(B87,Vendedores!$A$2:$A$41,Vendedores!$D$2:$D$41,"No hay datos")</f>
        <v>Región Central 2</v>
      </c>
      <c r="J87" s="2" t="str">
        <f t="array" ref="J87:N87">_xlfn.XLOOKUP(A87,Productos!$A$2:$A$61,Productos!$B$2:$F$61)</f>
        <v>Playera confort</v>
      </c>
      <c r="K87" s="2" t="s">
        <v>22</v>
      </c>
      <c r="L87" s="2" t="s">
        <v>10</v>
      </c>
      <c r="M87" s="2" t="s">
        <v>25</v>
      </c>
      <c r="N87" s="2" t="s">
        <v>26</v>
      </c>
    </row>
    <row r="88">
      <c r="A88" s="2" t="str">
        <f>IFERROR(__xludf.DUMMYFUNCTION("""COMPUTED_VALUE"""),"PR057")</f>
        <v>PR057</v>
      </c>
      <c r="B88" s="2" t="str">
        <f>IFERROR(__xludf.DUMMYFUNCTION("""COMPUTED_VALUE"""),"VD015")</f>
        <v>VD015</v>
      </c>
      <c r="C88" s="2">
        <f>IFERROR(__xludf.DUMMYFUNCTION("""COMPUTED_VALUE"""),24.0)</f>
        <v>24</v>
      </c>
      <c r="D88" s="6">
        <f>IFERROR(__xludf.DUMMYFUNCTION("""COMPUTED_VALUE"""),2373.36)</f>
        <v>2373.36</v>
      </c>
      <c r="E88" s="6">
        <f>IFERROR(__xludf.DUMMYFUNCTION("GOOGLEFINANCE(""Currency:BRLMXN"")*D88"),8063.4906)</f>
        <v>8063.4906</v>
      </c>
      <c r="F88" s="6">
        <f>IFERROR(__xludf.DUMMYFUNCTION("GOOGLEFINANCE(""Currency:BRLPEN"")*D88"),1555.974816)</f>
        <v>1555.974816</v>
      </c>
      <c r="G88" s="2" t="str">
        <f t="array" ref="G88">_xlfn.XLOOKUP(B88,Vendedores!$A$2:$A$41,Vendedores!$B$2:$B$41,"No hay datos")</f>
        <v>Lucas Castillo</v>
      </c>
      <c r="H88" s="2" t="str">
        <f t="array" ref="H88">_xlfn.XLOOKUP(B88,Vendedores!$A$2:$A$41,Vendedores!$C$2:$C$41,"No hay datos")</f>
        <v>San Miguel de los Pinos</v>
      </c>
      <c r="I88" s="2" t="str">
        <f t="array" ref="I88">_xlfn.XLOOKUP(B88,Vendedores!$A$2:$A$41,Vendedores!$D$2:$D$41,"No hay datos")</f>
        <v>Región Sur</v>
      </c>
      <c r="J88" s="2" t="str">
        <f t="array" ref="J88:N88">_xlfn.XLOOKUP(A88,Productos!$A$2:$A$61,Productos!$B$2:$F$61)</f>
        <v>Sandalia plana</v>
      </c>
      <c r="K88" s="2">
        <v>37.0</v>
      </c>
      <c r="L88" s="2" t="s">
        <v>33</v>
      </c>
      <c r="M88" s="2" t="s">
        <v>58</v>
      </c>
      <c r="N88" s="2" t="s">
        <v>35</v>
      </c>
    </row>
    <row r="89">
      <c r="A89" s="2" t="str">
        <f>IFERROR(__xludf.DUMMYFUNCTION("""COMPUTED_VALUE"""),"PR034")</f>
        <v>PR034</v>
      </c>
      <c r="B89" s="2" t="str">
        <f>IFERROR(__xludf.DUMMYFUNCTION("""COMPUTED_VALUE"""),"VD027")</f>
        <v>VD027</v>
      </c>
      <c r="C89" s="2">
        <f>IFERROR(__xludf.DUMMYFUNCTION("""COMPUTED_VALUE"""),6.0)</f>
        <v>6</v>
      </c>
      <c r="D89" s="6">
        <f>IFERROR(__xludf.DUMMYFUNCTION("""COMPUTED_VALUE"""),598.73)</f>
        <v>598.73</v>
      </c>
      <c r="E89" s="6">
        <f>IFERROR(__xludf.DUMMYFUNCTION("GOOGLEFINANCE(""Currency:BRLMXN"")*D89"),2034.185175)</f>
        <v>2034.185175</v>
      </c>
      <c r="F89" s="6">
        <f>IFERROR(__xludf.DUMMYFUNCTION("GOOGLEFINANCE(""Currency:BRLPEN"")*D89"),392.527388)</f>
        <v>392.527388</v>
      </c>
      <c r="G89" s="2" t="str">
        <f t="array" ref="G89">_xlfn.XLOOKUP(B89,Vendedores!$A$2:$A$41,Vendedores!$B$2:$B$41,"No hay datos")</f>
        <v>Patricia Cortés</v>
      </c>
      <c r="H89" s="2" t="str">
        <f t="array" ref="H89">_xlfn.XLOOKUP(B89,Vendedores!$A$2:$A$41,Vendedores!$C$2:$C$41,"No hay datos")</f>
        <v>Costa Azul</v>
      </c>
      <c r="I89" s="2" t="str">
        <f t="array" ref="I89">_xlfn.XLOOKUP(B89,Vendedores!$A$2:$A$41,Vendedores!$D$2:$D$41,"No hay datos")</f>
        <v>Región Norte</v>
      </c>
      <c r="J89" s="2" t="str">
        <f t="array" ref="J89:N89">_xlfn.XLOOKUP(A89,Productos!$A$2:$A$61,Productos!$B$2:$F$61)</f>
        <v>Vestido corto</v>
      </c>
      <c r="K89" s="2" t="s">
        <v>9</v>
      </c>
      <c r="L89" s="2" t="s">
        <v>10</v>
      </c>
      <c r="M89" s="2" t="s">
        <v>93</v>
      </c>
      <c r="N89" s="2" t="s">
        <v>35</v>
      </c>
    </row>
    <row r="90">
      <c r="A90" s="2" t="str">
        <f>IFERROR(__xludf.DUMMYFUNCTION("""COMPUTED_VALUE"""),"PR031")</f>
        <v>PR031</v>
      </c>
      <c r="B90" s="2" t="str">
        <f>IFERROR(__xludf.DUMMYFUNCTION("""COMPUTED_VALUE"""),"VD024")</f>
        <v>VD024</v>
      </c>
      <c r="C90" s="2">
        <f>IFERROR(__xludf.DUMMYFUNCTION("""COMPUTED_VALUE"""),6.0)</f>
        <v>6</v>
      </c>
      <c r="D90" s="6">
        <f>IFERROR(__xludf.DUMMYFUNCTION("""COMPUTED_VALUE"""),1675.8)</f>
        <v>1675.8</v>
      </c>
      <c r="E90" s="6">
        <f>IFERROR(__xludf.DUMMYFUNCTION("GOOGLEFINANCE(""Currency:BRLMXN"")*D90"),5693.5305)</f>
        <v>5693.5305</v>
      </c>
      <c r="F90" s="6">
        <f>IFERROR(__xludf.DUMMYFUNCTION("GOOGLEFINANCE(""Currency:BRLPEN"")*D90"),1098.65448)</f>
        <v>1098.65448</v>
      </c>
      <c r="G90" s="2" t="str">
        <f t="array" ref="G90">_xlfn.XLOOKUP(B90,Vendedores!$A$2:$A$41,Vendedores!$B$2:$B$41,"No hay datos")</f>
        <v>Marcos Rivera</v>
      </c>
      <c r="H90" s="2" t="str">
        <f t="array" ref="H90">_xlfn.XLOOKUP(B90,Vendedores!$A$2:$A$41,Vendedores!$C$2:$C$41,"No hay datos")</f>
        <v>Santa Rosa del Valle</v>
      </c>
      <c r="I90" s="2" t="str">
        <f t="array" ref="I90">_xlfn.XLOOKUP(B90,Vendedores!$A$2:$A$41,Vendedores!$D$2:$D$41,"No hay datos")</f>
        <v>Región Norte</v>
      </c>
      <c r="J90" s="2" t="str">
        <f t="array" ref="J90:N90">_xlfn.XLOOKUP(A90,Productos!$A$2:$A$61,Productos!$B$2:$F$61)</f>
        <v>Tenis Chunky</v>
      </c>
      <c r="K90" s="2">
        <v>36.0</v>
      </c>
      <c r="L90" s="2" t="s">
        <v>33</v>
      </c>
      <c r="M90" s="2" t="s">
        <v>84</v>
      </c>
      <c r="N90" s="2" t="s">
        <v>85</v>
      </c>
    </row>
    <row r="91">
      <c r="A91" s="2" t="str">
        <f>IFERROR(__xludf.DUMMYFUNCTION("""COMPUTED_VALUE"""),"PR046")</f>
        <v>PR046</v>
      </c>
      <c r="B91" s="2" t="str">
        <f>IFERROR(__xludf.DUMMYFUNCTION("""COMPUTED_VALUE"""),"VD038")</f>
        <v>VD038</v>
      </c>
      <c r="C91" s="2">
        <f>IFERROR(__xludf.DUMMYFUNCTION("""COMPUTED_VALUE"""),8.0)</f>
        <v>8</v>
      </c>
      <c r="D91" s="6">
        <f>IFERROR(__xludf.DUMMYFUNCTION("""COMPUTED_VALUE"""),2620.7)</f>
        <v>2620.7</v>
      </c>
      <c r="E91" s="6">
        <f>IFERROR(__xludf.DUMMYFUNCTION("GOOGLEFINANCE(""Currency:BRLMXN"")*D91"),8903.828249999999)</f>
        <v>8903.82825</v>
      </c>
      <c r="F91" s="6">
        <f>IFERROR(__xludf.DUMMYFUNCTION("GOOGLEFINANCE(""Currency:BRLPEN"")*D91"),1718.1309199999998)</f>
        <v>1718.13092</v>
      </c>
      <c r="G91" s="2" t="str">
        <f t="array" ref="G91">_xlfn.XLOOKUP(B91,Vendedores!$A$2:$A$41,Vendedores!$B$2:$B$41,"No hay datos")</f>
        <v>Bruno Olmedo</v>
      </c>
      <c r="H91" s="2" t="str">
        <f t="array" ref="H91">_xlfn.XLOOKUP(B91,Vendedores!$A$2:$A$41,Vendedores!$C$2:$C$41,"No hay datos")</f>
        <v>Tierra Fertil</v>
      </c>
      <c r="I91" s="2" t="str">
        <f t="array" ref="I91">_xlfn.XLOOKUP(B91,Vendedores!$A$2:$A$41,Vendedores!$D$2:$D$41,"No hay datos")</f>
        <v>Región Sur 2</v>
      </c>
      <c r="J91" s="2" t="str">
        <f t="array" ref="J91:N91">_xlfn.XLOOKUP(A91,Productos!$A$2:$A$61,Productos!$B$2:$F$61)</f>
        <v>Chaqueta de cuero</v>
      </c>
      <c r="K91" s="2" t="s">
        <v>9</v>
      </c>
      <c r="L91" s="2" t="s">
        <v>10</v>
      </c>
      <c r="M91" s="2" t="s">
        <v>94</v>
      </c>
      <c r="N91" s="2" t="s">
        <v>44</v>
      </c>
    </row>
    <row r="92">
      <c r="A92" s="2" t="str">
        <f>IFERROR(__xludf.DUMMYFUNCTION("""COMPUTED_VALUE"""),"PR033")</f>
        <v>PR033</v>
      </c>
      <c r="B92" s="2" t="str">
        <f>IFERROR(__xludf.DUMMYFUNCTION("""COMPUTED_VALUE"""),"VD014")</f>
        <v>VD014</v>
      </c>
      <c r="C92" s="2">
        <f>IFERROR(__xludf.DUMMYFUNCTION("""COMPUTED_VALUE"""),12.0)</f>
        <v>12</v>
      </c>
      <c r="D92" s="6">
        <f>IFERROR(__xludf.DUMMYFUNCTION("""COMPUTED_VALUE"""),3649.0)</f>
        <v>3649</v>
      </c>
      <c r="E92" s="6">
        <f>IFERROR(__xludf.DUMMYFUNCTION("GOOGLEFINANCE(""Currency:BRLMXN"")*D92"),12397.477499999999)</f>
        <v>12397.4775</v>
      </c>
      <c r="F92" s="6">
        <f>IFERROR(__xludf.DUMMYFUNCTION("GOOGLEFINANCE(""Currency:BRLPEN"")*D92"),2392.2844)</f>
        <v>2392.2844</v>
      </c>
      <c r="G92" s="2" t="str">
        <f t="array" ref="G92">_xlfn.XLOOKUP(B92,Vendedores!$A$2:$A$41,Vendedores!$B$2:$B$41,"No hay datos")</f>
        <v>Carla Flores</v>
      </c>
      <c r="H92" s="2" t="str">
        <f t="array" ref="H92">_xlfn.XLOOKUP(B92,Vendedores!$A$2:$A$41,Vendedores!$C$2:$C$41,"No hay datos")</f>
        <v>Valle Escondido</v>
      </c>
      <c r="I92" s="2" t="str">
        <f t="array" ref="I92">_xlfn.XLOOKUP(B92,Vendedores!$A$2:$A$41,Vendedores!$D$2:$D$41,"No hay datos")</f>
        <v>Región Andina</v>
      </c>
      <c r="J92" s="2" t="str">
        <f t="array" ref="J92:N92">_xlfn.XLOOKUP(A92,Productos!$A$2:$A$61,Productos!$B$2:$F$61)</f>
        <v>Tenis Chunky</v>
      </c>
      <c r="K92" s="2">
        <v>38.0</v>
      </c>
      <c r="L92" s="2" t="s">
        <v>33</v>
      </c>
      <c r="M92" s="2" t="s">
        <v>63</v>
      </c>
      <c r="N92" s="2" t="s">
        <v>64</v>
      </c>
    </row>
    <row r="93">
      <c r="A93" s="2" t="str">
        <f>IFERROR(__xludf.DUMMYFUNCTION("""COMPUTED_VALUE"""),"PR041")</f>
        <v>PR041</v>
      </c>
      <c r="B93" s="2" t="str">
        <f>IFERROR(__xludf.DUMMYFUNCTION("""COMPUTED_VALUE"""),"VD035")</f>
        <v>VD035</v>
      </c>
      <c r="C93" s="2">
        <f>IFERROR(__xludf.DUMMYFUNCTION("""COMPUTED_VALUE"""),18.0)</f>
        <v>18</v>
      </c>
      <c r="D93" s="6">
        <f>IFERROR(__xludf.DUMMYFUNCTION("""COMPUTED_VALUE"""),1166.08)</f>
        <v>1166.08</v>
      </c>
      <c r="E93" s="6">
        <f>IFERROR(__xludf.DUMMYFUNCTION("GOOGLEFINANCE(""Currency:BRLMXN"")*D93"),3961.7567999999997)</f>
        <v>3961.7568</v>
      </c>
      <c r="F93" s="6">
        <f>IFERROR(__xludf.DUMMYFUNCTION("GOOGLEFINANCE(""Currency:BRLPEN"")*D93"),764.4820479999998)</f>
        <v>764.482048</v>
      </c>
      <c r="G93" s="2" t="str">
        <f t="array" ref="G93">_xlfn.XLOOKUP(B93,Vendedores!$A$2:$A$41,Vendedores!$B$2:$B$41,"No hay datos")</f>
        <v>Carolina Méndez</v>
      </c>
      <c r="H93" s="2" t="str">
        <f t="array" ref="H93">_xlfn.XLOOKUP(B93,Vendedores!$A$2:$A$41,Vendedores!$C$2:$C$41,"No hay datos")</f>
        <v>Valle de los Robles</v>
      </c>
      <c r="I93" s="2" t="str">
        <f t="array" ref="I93">_xlfn.XLOOKUP(B93,Vendedores!$A$2:$A$41,Vendedores!$D$2:$D$41,"No hay datos")</f>
        <v>Región Central 2</v>
      </c>
      <c r="J93" s="2" t="str">
        <f t="array" ref="J93:N93">_xlfn.XLOOKUP(A93,Productos!$A$2:$A$61,Productos!$B$2:$F$61)</f>
        <v>Playera confort</v>
      </c>
      <c r="K93" s="2" t="s">
        <v>17</v>
      </c>
      <c r="L93" s="2" t="s">
        <v>10</v>
      </c>
      <c r="M93" s="2" t="s">
        <v>95</v>
      </c>
      <c r="N93" s="2" t="s">
        <v>26</v>
      </c>
    </row>
    <row r="94">
      <c r="A94" s="2" t="str">
        <f>IFERROR(__xludf.DUMMYFUNCTION("""COMPUTED_VALUE"""),"PR001")</f>
        <v>PR001</v>
      </c>
      <c r="B94" s="2" t="str">
        <f>IFERROR(__xludf.DUMMYFUNCTION("""COMPUTED_VALUE"""),"VD045")</f>
        <v>VD045</v>
      </c>
      <c r="C94" s="2">
        <f>IFERROR(__xludf.DUMMYFUNCTION("""COMPUTED_VALUE"""),12.0)</f>
        <v>12</v>
      </c>
      <c r="D94" s="6">
        <f>IFERROR(__xludf.DUMMYFUNCTION("""COMPUTED_VALUE"""),941.05)</f>
        <v>941.05</v>
      </c>
      <c r="E94" s="6">
        <f>IFERROR(__xludf.DUMMYFUNCTION("GOOGLEFINANCE(""Currency:BRLMXN"")*D94"),3197.2173749999997)</f>
        <v>3197.217375</v>
      </c>
      <c r="F94" s="6">
        <f>IFERROR(__xludf.DUMMYFUNCTION("GOOGLEFINANCE(""Currency:BRLPEN"")*D94"),616.95238)</f>
        <v>616.95238</v>
      </c>
      <c r="G94" s="2" t="str">
        <f t="array" ref="G94">_xlfn.XLOOKUP(B94,Vendedores!$A$2:$A$41,Vendedores!$B$2:$B$41,"No hay datos")</f>
        <v>Rafael Morales</v>
      </c>
      <c r="H94" s="2" t="str">
        <f t="array" ref="H94">_xlfn.XLOOKUP(B94,Vendedores!$A$2:$A$41,Vendedores!$C$2:$C$41,"No hay datos")</f>
        <v>Valle Dorado</v>
      </c>
      <c r="I94" s="2" t="str">
        <f t="array" ref="I94">_xlfn.XLOOKUP(B94,Vendedores!$A$2:$A$41,Vendedores!$D$2:$D$41,"No hay datos")</f>
        <v>Región Central 2</v>
      </c>
      <c r="J94" s="2" t="str">
        <f t="array" ref="J94:N94">_xlfn.XLOOKUP(A94,Productos!$A$2:$A$61,Productos!$B$2:$F$61)</f>
        <v>Bermuda</v>
      </c>
      <c r="K94" s="2" t="s">
        <v>9</v>
      </c>
      <c r="L94" s="2" t="s">
        <v>10</v>
      </c>
      <c r="M94" s="2" t="s">
        <v>11</v>
      </c>
      <c r="N94" s="2" t="s">
        <v>12</v>
      </c>
    </row>
    <row r="95">
      <c r="A95" s="2" t="str">
        <f>IFERROR(__xludf.DUMMYFUNCTION("""COMPUTED_VALUE"""),"PR006")</f>
        <v>PR006</v>
      </c>
      <c r="B95" s="2" t="str">
        <f>IFERROR(__xludf.DUMMYFUNCTION("""COMPUTED_VALUE"""),"VD035")</f>
        <v>VD035</v>
      </c>
      <c r="C95" s="2">
        <f>IFERROR(__xludf.DUMMYFUNCTION("""COMPUTED_VALUE"""),12.0)</f>
        <v>12</v>
      </c>
      <c r="D95" s="6">
        <f>IFERROR(__xludf.DUMMYFUNCTION("""COMPUTED_VALUE"""),541.04)</f>
        <v>541.04</v>
      </c>
      <c r="E95" s="6">
        <f>IFERROR(__xludf.DUMMYFUNCTION("GOOGLEFINANCE(""Currency:BRLMXN"")*D95"),1838.1834)</f>
        <v>1838.1834</v>
      </c>
      <c r="F95" s="6">
        <f>IFERROR(__xludf.DUMMYFUNCTION("GOOGLEFINANCE(""Currency:BRLPEN"")*D95"),354.70582399999995)</f>
        <v>354.705824</v>
      </c>
      <c r="G95" s="2" t="str">
        <f t="array" ref="G95">_xlfn.XLOOKUP(B95,Vendedores!$A$2:$A$41,Vendedores!$B$2:$B$41,"No hay datos")</f>
        <v>Carolina Méndez</v>
      </c>
      <c r="H95" s="2" t="str">
        <f t="array" ref="H95">_xlfn.XLOOKUP(B95,Vendedores!$A$2:$A$41,Vendedores!$C$2:$C$41,"No hay datos")</f>
        <v>Valle de los Robles</v>
      </c>
      <c r="I95" s="2" t="str">
        <f t="array" ref="I95">_xlfn.XLOOKUP(B95,Vendedores!$A$2:$A$41,Vendedores!$D$2:$D$41,"No hay datos")</f>
        <v>Región Central 2</v>
      </c>
      <c r="J95" s="2" t="str">
        <f t="array" ref="J95:N95">_xlfn.XLOOKUP(A95,Productos!$A$2:$A$61,Productos!$B$2:$F$61)</f>
        <v>Gorra</v>
      </c>
      <c r="K95" s="2" t="s">
        <v>29</v>
      </c>
      <c r="L95" s="2" t="s">
        <v>30</v>
      </c>
      <c r="M95" s="2" t="s">
        <v>48</v>
      </c>
      <c r="N95" s="2" t="s">
        <v>38</v>
      </c>
    </row>
    <row r="96">
      <c r="A96" s="2" t="str">
        <f>IFERROR(__xludf.DUMMYFUNCTION("""COMPUTED_VALUE"""),"PR049")</f>
        <v>PR049</v>
      </c>
      <c r="B96" s="2" t="str">
        <f>IFERROR(__xludf.DUMMYFUNCTION("""COMPUTED_VALUE"""),"VD039")</f>
        <v>VD039</v>
      </c>
      <c r="C96" s="2">
        <f>IFERROR(__xludf.DUMMYFUNCTION("""COMPUTED_VALUE"""),10.0)</f>
        <v>10</v>
      </c>
      <c r="D96" s="6">
        <f>IFERROR(__xludf.DUMMYFUNCTION("""COMPUTED_VALUE"""),388.22)</f>
        <v>388.22</v>
      </c>
      <c r="E96" s="6">
        <f>IFERROR(__xludf.DUMMYFUNCTION("GOOGLEFINANCE(""Currency:BRLMXN"")*D96"),1318.97745)</f>
        <v>1318.97745</v>
      </c>
      <c r="F96" s="6">
        <f>IFERROR(__xludf.DUMMYFUNCTION("GOOGLEFINANCE(""Currency:BRLPEN"")*D96"),254.517032)</f>
        <v>254.517032</v>
      </c>
      <c r="G96" s="2" t="str">
        <f t="array" ref="G96">_xlfn.XLOOKUP(B96,Vendedores!$A$2:$A$41,Vendedores!$B$2:$B$41,"No hay datos")</f>
        <v>Daniela Rodríguez</v>
      </c>
      <c r="H96" s="2" t="str">
        <f t="array" ref="H96">_xlfn.XLOOKUP(B96,Vendedores!$A$2:$A$41,Vendedores!$C$2:$C$41,"No hay datos")</f>
        <v>Bahía del Sol</v>
      </c>
      <c r="I96" s="2" t="str">
        <f t="array" ref="I96">_xlfn.XLOOKUP(B96,Vendedores!$A$2:$A$41,Vendedores!$D$2:$D$41,"No hay datos")</f>
        <v>Región Central 2</v>
      </c>
      <c r="J96" s="2" t="str">
        <f t="array" ref="J96:N96">_xlfn.XLOOKUP(A96,Productos!$A$2:$A$61,Productos!$B$2:$F$61)</f>
        <v>Playera a rayas</v>
      </c>
      <c r="K96" s="2" t="s">
        <v>9</v>
      </c>
      <c r="L96" s="2" t="s">
        <v>10</v>
      </c>
      <c r="M96" s="2" t="s">
        <v>47</v>
      </c>
      <c r="N96" s="2" t="s">
        <v>24</v>
      </c>
    </row>
    <row r="97">
      <c r="A97" s="2" t="str">
        <f>IFERROR(__xludf.DUMMYFUNCTION("""COMPUTED_VALUE"""),"PR012")</f>
        <v>PR012</v>
      </c>
      <c r="B97" s="2" t="str">
        <f>IFERROR(__xludf.DUMMYFUNCTION("""COMPUTED_VALUE"""),"VD034")</f>
        <v>VD034</v>
      </c>
      <c r="C97" s="2">
        <f>IFERROR(__xludf.DUMMYFUNCTION("""COMPUTED_VALUE"""),27.0)</f>
        <v>27</v>
      </c>
      <c r="D97" s="6">
        <f>IFERROR(__xludf.DUMMYFUNCTION("""COMPUTED_VALUE"""),1584.36)</f>
        <v>1584.36</v>
      </c>
      <c r="E97" s="6">
        <f>IFERROR(__xludf.DUMMYFUNCTION("GOOGLEFINANCE(""Currency:BRLMXN"")*D97"),5382.8631)</f>
        <v>5382.8631</v>
      </c>
      <c r="F97" s="6">
        <f>IFERROR(__xludf.DUMMYFUNCTION("GOOGLEFINANCE(""Currency:BRLPEN"")*D97"),1038.7064159999998)</f>
        <v>1038.706416</v>
      </c>
      <c r="G97" s="2" t="str">
        <f t="array" ref="G97">_xlfn.XLOOKUP(B97,Vendedores!$A$2:$A$41,Vendedores!$B$2:$B$41,"No hay datos")</f>
        <v>Felipe Carvajal</v>
      </c>
      <c r="H97" s="2" t="str">
        <f t="array" ref="H97">_xlfn.XLOOKUP(B97,Vendedores!$A$2:$A$41,Vendedores!$C$2:$C$41,"No hay datos")</f>
        <v>San Pedro del Río</v>
      </c>
      <c r="I97" s="2" t="str">
        <f t="array" ref="I97">_xlfn.XLOOKUP(B97,Vendedores!$A$2:$A$41,Vendedores!$D$2:$D$41,"No hay datos")</f>
        <v>Región Sur 2</v>
      </c>
      <c r="J97" s="2" t="str">
        <f t="array" ref="J97:N97">_xlfn.XLOOKUP(A97,Productos!$A$2:$A$61,Productos!$B$2:$F$61)</f>
        <v>Pantalón legging</v>
      </c>
      <c r="K97" s="2" t="s">
        <v>22</v>
      </c>
      <c r="L97" s="2" t="s">
        <v>10</v>
      </c>
      <c r="M97" s="2" t="s">
        <v>88</v>
      </c>
      <c r="N97" s="2" t="s">
        <v>89</v>
      </c>
    </row>
    <row r="98">
      <c r="A98" s="2" t="str">
        <f>IFERROR(__xludf.DUMMYFUNCTION("""COMPUTED_VALUE"""),"PR060")</f>
        <v>PR060</v>
      </c>
      <c r="B98" s="2" t="str">
        <f>IFERROR(__xludf.DUMMYFUNCTION("""COMPUTED_VALUE"""),"VD019")</f>
        <v>VD019</v>
      </c>
      <c r="C98" s="2">
        <f>IFERROR(__xludf.DUMMYFUNCTION("""COMPUTED_VALUE"""),18.0)</f>
        <v>18</v>
      </c>
      <c r="D98" s="6">
        <f>IFERROR(__xludf.DUMMYFUNCTION("""COMPUTED_VALUE"""),3628.8)</f>
        <v>3628.8</v>
      </c>
      <c r="E98" s="6">
        <f>IFERROR(__xludf.DUMMYFUNCTION("GOOGLEFINANCE(""Currency:BRLMXN"")*D98"),12328.848)</f>
        <v>12328.848</v>
      </c>
      <c r="F98" s="6">
        <f>IFERROR(__xludf.DUMMYFUNCTION("GOOGLEFINANCE(""Currency:BRLPEN"")*D98"),2379.04128)</f>
        <v>2379.04128</v>
      </c>
      <c r="G98" s="2" t="str">
        <f t="array" ref="G98">_xlfn.XLOOKUP(B98,Vendedores!$A$2:$A$41,Vendedores!$B$2:$B$41,"No hay datos")</f>
        <v>Rafael Sosa</v>
      </c>
      <c r="H98" s="2" t="str">
        <f t="array" ref="H98">_xlfn.XLOOKUP(B98,Vendedores!$A$2:$A$41,Vendedores!$C$2:$C$41,"No hay datos")</f>
        <v>Selva Verde</v>
      </c>
      <c r="I98" s="2" t="str">
        <f t="array" ref="I98">_xlfn.XLOOKUP(B98,Vendedores!$A$2:$A$41,Vendedores!$D$2:$D$41,"No hay datos")</f>
        <v>Región Amazónica</v>
      </c>
      <c r="J98" s="2" t="str">
        <f t="array" ref="J98:N98">_xlfn.XLOOKUP(A98,Productos!$A$2:$A$61,Productos!$B$2:$F$61)</f>
        <v>Pantalón de sastre</v>
      </c>
      <c r="K98" s="2" t="s">
        <v>22</v>
      </c>
      <c r="L98" s="2" t="s">
        <v>10</v>
      </c>
      <c r="M98" s="2" t="s">
        <v>75</v>
      </c>
      <c r="N98" s="2" t="s">
        <v>14</v>
      </c>
    </row>
    <row r="99">
      <c r="A99" s="2" t="str">
        <f>IFERROR(__xludf.DUMMYFUNCTION("""COMPUTED_VALUE"""),"PR060")</f>
        <v>PR060</v>
      </c>
      <c r="B99" s="2" t="str">
        <f>IFERROR(__xludf.DUMMYFUNCTION("""COMPUTED_VALUE"""),"VD042")</f>
        <v>VD042</v>
      </c>
      <c r="C99" s="2">
        <f>IFERROR(__xludf.DUMMYFUNCTION("""COMPUTED_VALUE"""),10.0)</f>
        <v>10</v>
      </c>
      <c r="D99" s="6">
        <f>IFERROR(__xludf.DUMMYFUNCTION("""COMPUTED_VALUE"""),1980.0)</f>
        <v>1980</v>
      </c>
      <c r="E99" s="6">
        <f>IFERROR(__xludf.DUMMYFUNCTION("GOOGLEFINANCE(""Currency:BRLMXN"")*D99"),6727.05)</f>
        <v>6727.05</v>
      </c>
      <c r="F99" s="6">
        <f>IFERROR(__xludf.DUMMYFUNCTION("GOOGLEFINANCE(""Currency:BRLPEN"")*D99"),1298.088)</f>
        <v>1298.088</v>
      </c>
      <c r="G99" s="2" t="str">
        <f t="array" ref="G99">_xlfn.XLOOKUP(B99,Vendedores!$A$2:$A$41,Vendedores!$B$2:$B$41,"No hay datos")</f>
        <v>Priscila Duarte</v>
      </c>
      <c r="H99" s="2" t="str">
        <f t="array" ref="H99">_xlfn.XLOOKUP(B99,Vendedores!$A$2:$A$41,Vendedores!$C$2:$C$41,"No hay datos")</f>
        <v>Villa Comercial</v>
      </c>
      <c r="I99" s="2" t="str">
        <f t="array" ref="I99">_xlfn.XLOOKUP(B99,Vendedores!$A$2:$A$41,Vendedores!$D$2:$D$41,"No hay datos")</f>
        <v>Región Central 2</v>
      </c>
      <c r="J99" s="2" t="str">
        <f t="array" ref="J99:N99">_xlfn.XLOOKUP(A99,Productos!$A$2:$A$61,Productos!$B$2:$F$61)</f>
        <v>Pantalón de sastre</v>
      </c>
      <c r="K99" s="2" t="s">
        <v>22</v>
      </c>
      <c r="L99" s="2" t="s">
        <v>10</v>
      </c>
      <c r="M99" s="2" t="s">
        <v>75</v>
      </c>
      <c r="N99" s="2" t="s">
        <v>14</v>
      </c>
    </row>
    <row r="100">
      <c r="A100" s="2" t="str">
        <f>IFERROR(__xludf.DUMMYFUNCTION("""COMPUTED_VALUE"""),"PR014")</f>
        <v>PR014</v>
      </c>
      <c r="B100" s="2" t="str">
        <f>IFERROR(__xludf.DUMMYFUNCTION("""COMPUTED_VALUE"""),"VD010")</f>
        <v>VD010</v>
      </c>
      <c r="C100" s="2">
        <f>IFERROR(__xludf.DUMMYFUNCTION("""COMPUTED_VALUE"""),18.0)</f>
        <v>18</v>
      </c>
      <c r="D100" s="6">
        <f>IFERROR(__xludf.DUMMYFUNCTION("""COMPUTED_VALUE"""),790.02)</f>
        <v>790.02</v>
      </c>
      <c r="E100" s="6">
        <f>IFERROR(__xludf.DUMMYFUNCTION("GOOGLEFINANCE(""Currency:BRLMXN"")*D100"),2684.0929499999997)</f>
        <v>2684.09295</v>
      </c>
      <c r="F100" s="6">
        <f>IFERROR(__xludf.DUMMYFUNCTION("GOOGLEFINANCE(""Currency:BRLPEN"")*D100"),517.937112)</f>
        <v>517.937112</v>
      </c>
      <c r="G100" s="2" t="str">
        <f t="array" ref="G100">_xlfn.XLOOKUP(B100,Vendedores!$A$2:$A$41,Vendedores!$B$2:$B$41,"No hay datos")</f>
        <v>María Silva</v>
      </c>
      <c r="H100" s="2" t="str">
        <f t="array" ref="H100">_xlfn.XLOOKUP(B100,Vendedores!$A$2:$A$41,Vendedores!$C$2:$C$41,"No hay datos")</f>
        <v>San Juan de la Sierra</v>
      </c>
      <c r="I100" s="2" t="str">
        <f t="array" ref="I100">_xlfn.XLOOKUP(B100,Vendedores!$A$2:$A$41,Vendedores!$D$2:$D$41,"No hay datos")</f>
        <v>Región Central</v>
      </c>
      <c r="J100" s="2" t="str">
        <f t="array" ref="J100:N100">_xlfn.XLOOKUP(A100,Productos!$A$2:$A$61,Productos!$B$2:$F$61)</f>
        <v>Playera estampada</v>
      </c>
      <c r="K100" s="2" t="s">
        <v>17</v>
      </c>
      <c r="L100" s="2" t="s">
        <v>10</v>
      </c>
      <c r="M100" s="2" t="s">
        <v>37</v>
      </c>
      <c r="N100" s="2" t="s">
        <v>38</v>
      </c>
    </row>
    <row r="101">
      <c r="A101" s="2" t="str">
        <f>IFERROR(__xludf.DUMMYFUNCTION("""COMPUTED_VALUE"""),"PR036")</f>
        <v>PR036</v>
      </c>
      <c r="B101" s="2" t="str">
        <f>IFERROR(__xludf.DUMMYFUNCTION("""COMPUTED_VALUE"""),"VD019")</f>
        <v>VD019</v>
      </c>
      <c r="C101" s="2">
        <f>IFERROR(__xludf.DUMMYFUNCTION("""COMPUTED_VALUE"""),27.0)</f>
        <v>27</v>
      </c>
      <c r="D101" s="6">
        <f>IFERROR(__xludf.DUMMYFUNCTION("""COMPUTED_VALUE"""),2953.67)</f>
        <v>2953.67</v>
      </c>
      <c r="E101" s="6">
        <f>IFERROR(__xludf.DUMMYFUNCTION("GOOGLEFINANCE(""Currency:BRLMXN"")*D101"),10035.093825)</f>
        <v>10035.09383</v>
      </c>
      <c r="F101" s="6">
        <f>IFERROR(__xludf.DUMMYFUNCTION("GOOGLEFINANCE(""Currency:BRLPEN"")*D101"),1936.426052)</f>
        <v>1936.426052</v>
      </c>
      <c r="G101" s="2" t="str">
        <f t="array" ref="G101">_xlfn.XLOOKUP(B101,Vendedores!$A$2:$A$41,Vendedores!$B$2:$B$41,"No hay datos")</f>
        <v>Rafael Sosa</v>
      </c>
      <c r="H101" s="2" t="str">
        <f t="array" ref="H101">_xlfn.XLOOKUP(B101,Vendedores!$A$2:$A$41,Vendedores!$C$2:$C$41,"No hay datos")</f>
        <v>Selva Verde</v>
      </c>
      <c r="I101" s="2" t="str">
        <f t="array" ref="I101">_xlfn.XLOOKUP(B101,Vendedores!$A$2:$A$41,Vendedores!$D$2:$D$41,"No hay datos")</f>
        <v>Región Amazónica</v>
      </c>
      <c r="J101" s="2" t="str">
        <f t="array" ref="J101:N101">_xlfn.XLOOKUP(A101,Productos!$A$2:$A$61,Productos!$B$2:$F$61)</f>
        <v>Vestido corto</v>
      </c>
      <c r="K101" s="2" t="s">
        <v>22</v>
      </c>
      <c r="L101" s="2" t="s">
        <v>10</v>
      </c>
      <c r="M101" s="2" t="s">
        <v>82</v>
      </c>
      <c r="N101" s="2" t="s">
        <v>83</v>
      </c>
    </row>
    <row r="102">
      <c r="A102" s="2" t="str">
        <f>IFERROR(__xludf.DUMMYFUNCTION("""COMPUTED_VALUE"""),"PR035")</f>
        <v>PR035</v>
      </c>
      <c r="B102" s="2" t="str">
        <f>IFERROR(__xludf.DUMMYFUNCTION("""COMPUTED_VALUE"""),"VD012")</f>
        <v>VD012</v>
      </c>
      <c r="C102" s="2">
        <f>IFERROR(__xludf.DUMMYFUNCTION("""COMPUTED_VALUE"""),8.0)</f>
        <v>8</v>
      </c>
      <c r="D102" s="6">
        <f>IFERROR(__xludf.DUMMYFUNCTION("""COMPUTED_VALUE"""),862.82)</f>
        <v>862.82</v>
      </c>
      <c r="E102" s="6">
        <f>IFERROR(__xludf.DUMMYFUNCTION("GOOGLEFINANCE(""Currency:BRLMXN"")*D102"),2931.43095)</f>
        <v>2931.43095</v>
      </c>
      <c r="F102" s="6">
        <f>IFERROR(__xludf.DUMMYFUNCTION("GOOGLEFINANCE(""Currency:BRLPEN"")*D102"),565.664792)</f>
        <v>565.664792</v>
      </c>
      <c r="G102" s="2" t="str">
        <f t="array" ref="G102">_xlfn.XLOOKUP(B102,Vendedores!$A$2:$A$41,Vendedores!$B$2:$B$41,"No hay datos")</f>
        <v>Ana Olmedo</v>
      </c>
      <c r="H102" s="2" t="str">
        <f t="array" ref="H102">_xlfn.XLOOKUP(B102,Vendedores!$A$2:$A$41,Vendedores!$C$2:$C$41,"No hay datos")</f>
        <v>Río Claro</v>
      </c>
      <c r="I102" s="2" t="str">
        <f t="array" ref="I102">_xlfn.XLOOKUP(B102,Vendedores!$A$2:$A$41,Vendedores!$D$2:$D$41,"No hay datos")</f>
        <v>Región Central</v>
      </c>
      <c r="J102" s="2" t="str">
        <f t="array" ref="J102:N102">_xlfn.XLOOKUP(A102,Productos!$A$2:$A$61,Productos!$B$2:$F$61)</f>
        <v>Vestido corto</v>
      </c>
      <c r="K102" s="2" t="s">
        <v>17</v>
      </c>
      <c r="L102" s="2" t="s">
        <v>10</v>
      </c>
      <c r="M102" s="2" t="s">
        <v>18</v>
      </c>
      <c r="N102" s="2" t="s">
        <v>19</v>
      </c>
    </row>
    <row r="103">
      <c r="A103" s="2" t="str">
        <f>IFERROR(__xludf.DUMMYFUNCTION("""COMPUTED_VALUE"""),"PR006")</f>
        <v>PR006</v>
      </c>
      <c r="B103" s="2" t="str">
        <f>IFERROR(__xludf.DUMMYFUNCTION("""COMPUTED_VALUE"""),"VD044")</f>
        <v>VD044</v>
      </c>
      <c r="C103" s="2">
        <f>IFERROR(__xludf.DUMMYFUNCTION("""COMPUTED_VALUE"""),16.0)</f>
        <v>16</v>
      </c>
      <c r="D103" s="6">
        <f>IFERROR(__xludf.DUMMYFUNCTION("""COMPUTED_VALUE"""),746.93)</f>
        <v>746.93</v>
      </c>
      <c r="E103" s="6">
        <f>IFERROR(__xludf.DUMMYFUNCTION("GOOGLEFINANCE(""Currency:BRLMXN"")*D103"),2537.6946749999997)</f>
        <v>2537.694675</v>
      </c>
      <c r="F103" s="6">
        <f>IFERROR(__xludf.DUMMYFUNCTION("GOOGLEFINANCE(""Currency:BRLPEN"")*D103"),489.6873079999999)</f>
        <v>489.687308</v>
      </c>
      <c r="G103" s="2" t="str">
        <f t="array" ref="G103">_xlfn.XLOOKUP(B103,Vendedores!$A$2:$A$41,Vendedores!$B$2:$B$41,"No hay datos")</f>
        <v>Silvia Menéndez</v>
      </c>
      <c r="H103" s="2" t="str">
        <f t="array" ref="H103">_xlfn.XLOOKUP(B103,Vendedores!$A$2:$A$41,Vendedores!$C$2:$C$41,"No hay datos")</f>
        <v>San Antonio del Monte</v>
      </c>
      <c r="I103" s="2" t="str">
        <f t="array" ref="I103">_xlfn.XLOOKUP(B103,Vendedores!$A$2:$A$41,Vendedores!$D$2:$D$41,"No hay datos")</f>
        <v>Región Central 2</v>
      </c>
      <c r="J103" s="2" t="str">
        <f t="array" ref="J103:N103">_xlfn.XLOOKUP(A103,Productos!$A$2:$A$61,Productos!$B$2:$F$61)</f>
        <v>Gorra</v>
      </c>
      <c r="K103" s="2" t="s">
        <v>29</v>
      </c>
      <c r="L103" s="2" t="s">
        <v>30</v>
      </c>
      <c r="M103" s="2" t="s">
        <v>48</v>
      </c>
      <c r="N103" s="2" t="s">
        <v>38</v>
      </c>
    </row>
    <row r="104">
      <c r="A104" s="2" t="str">
        <f>IFERROR(__xludf.DUMMYFUNCTION("""COMPUTED_VALUE"""),"PR010")</f>
        <v>PR010</v>
      </c>
      <c r="B104" s="2" t="str">
        <f>IFERROR(__xludf.DUMMYFUNCTION("""COMPUTED_VALUE"""),"VD049")</f>
        <v>VD049</v>
      </c>
      <c r="C104" s="2">
        <f>IFERROR(__xludf.DUMMYFUNCTION("""COMPUTED_VALUE"""),20.0)</f>
        <v>20</v>
      </c>
      <c r="D104" s="6">
        <f>IFERROR(__xludf.DUMMYFUNCTION("""COMPUTED_VALUE"""),1077.6)</f>
        <v>1077.6</v>
      </c>
      <c r="E104" s="6">
        <f>IFERROR(__xludf.DUMMYFUNCTION("GOOGLEFINANCE(""Currency:BRLMXN"")*D104"),3661.1459999999997)</f>
        <v>3661.146</v>
      </c>
      <c r="F104" s="6">
        <f>IFERROR(__xludf.DUMMYFUNCTION("GOOGLEFINANCE(""Currency:BRLPEN"")*D104"),706.4745599999999)</f>
        <v>706.47456</v>
      </c>
      <c r="G104" s="2" t="str">
        <f t="array" ref="G104">_xlfn.XLOOKUP(B104,Vendedores!$A$2:$A$41,Vendedores!$B$2:$B$41,"No hay datos")</f>
        <v>Fernando Navarro</v>
      </c>
      <c r="H104" s="2" t="str">
        <f t="array" ref="H104">_xlfn.XLOOKUP(B104,Vendedores!$A$2:$A$41,Vendedores!$C$2:$C$41,"No hay datos")</f>
        <v>Colinas Verdes</v>
      </c>
      <c r="I104" s="2" t="str">
        <f t="array" ref="I104">_xlfn.XLOOKUP(B104,Vendedores!$A$2:$A$41,Vendedores!$D$2:$D$41,"No hay datos")</f>
        <v>Región Central 2</v>
      </c>
      <c r="J104" s="2" t="str">
        <f t="array" ref="J104:N104">_xlfn.XLOOKUP(A104,Productos!$A$2:$A$61,Productos!$B$2:$F$61)</f>
        <v>Pantalón legging</v>
      </c>
      <c r="K104" s="2" t="s">
        <v>9</v>
      </c>
      <c r="L104" s="2" t="s">
        <v>10</v>
      </c>
      <c r="M104" s="2" t="s">
        <v>86</v>
      </c>
      <c r="N104" s="2" t="s">
        <v>87</v>
      </c>
    </row>
    <row r="105">
      <c r="A105" s="2" t="str">
        <f>IFERROR(__xludf.DUMMYFUNCTION("""COMPUTED_VALUE"""),"PR024")</f>
        <v>PR024</v>
      </c>
      <c r="B105" s="2" t="str">
        <f>IFERROR(__xludf.DUMMYFUNCTION("""COMPUTED_VALUE"""),"VD041")</f>
        <v>VD041</v>
      </c>
      <c r="C105" s="2">
        <f>IFERROR(__xludf.DUMMYFUNCTION("""COMPUTED_VALUE"""),27.0)</f>
        <v>27</v>
      </c>
      <c r="D105" s="6">
        <f>IFERROR(__xludf.DUMMYFUNCTION("""COMPUTED_VALUE"""),8350.59)</f>
        <v>8350.59</v>
      </c>
      <c r="E105" s="6">
        <f>IFERROR(__xludf.DUMMYFUNCTION("GOOGLEFINANCE(""Currency:BRLMXN"")*D105"),28371.129525)</f>
        <v>28371.12953</v>
      </c>
      <c r="F105" s="6">
        <f>IFERROR(__xludf.DUMMYFUNCTION("GOOGLEFINANCE(""Currency:BRLPEN"")*D105"),5474.646804)</f>
        <v>5474.646804</v>
      </c>
      <c r="G105" s="2" t="str">
        <f t="array" ref="G105">_xlfn.XLOOKUP(B105,Vendedores!$A$2:$A$41,Vendedores!$B$2:$B$41,"No hay datos")</f>
        <v>Alejandro Ramos</v>
      </c>
      <c r="H105" s="2" t="str">
        <f t="array" ref="H105">_xlfn.XLOOKUP(B105,Vendedores!$A$2:$A$41,Vendedores!$C$2:$C$41,"No hay datos")</f>
        <v>San Martín de las Rosas</v>
      </c>
      <c r="I105" s="2" t="str">
        <f t="array" ref="I105">_xlfn.XLOOKUP(B105,Vendedores!$A$2:$A$41,Vendedores!$D$2:$D$41,"No hay datos")</f>
        <v>Región Central 2</v>
      </c>
      <c r="J105" s="2" t="str">
        <f t="array" ref="J105:N105">_xlfn.XLOOKUP(A105,Productos!$A$2:$A$61,Productos!$B$2:$F$61)</f>
        <v>Chaqueta de mezclilla</v>
      </c>
      <c r="K105" s="2" t="s">
        <v>17</v>
      </c>
      <c r="L105" s="2" t="s">
        <v>10</v>
      </c>
      <c r="M105" s="2" t="s">
        <v>92</v>
      </c>
      <c r="N105" s="2" t="s">
        <v>64</v>
      </c>
    </row>
    <row r="106">
      <c r="A106" s="2" t="str">
        <f>IFERROR(__xludf.DUMMYFUNCTION("""COMPUTED_VALUE"""),"PR023")</f>
        <v>PR023</v>
      </c>
      <c r="B106" s="2" t="str">
        <f>IFERROR(__xludf.DUMMYFUNCTION("""COMPUTED_VALUE"""),"VD038")</f>
        <v>VD038</v>
      </c>
      <c r="C106" s="2">
        <f>IFERROR(__xludf.DUMMYFUNCTION("""COMPUTED_VALUE"""),30.0)</f>
        <v>30</v>
      </c>
      <c r="D106" s="6">
        <f>IFERROR(__xludf.DUMMYFUNCTION("""COMPUTED_VALUE"""),8846.46)</f>
        <v>8846.46</v>
      </c>
      <c r="E106" s="6">
        <f>IFERROR(__xludf.DUMMYFUNCTION("GOOGLEFINANCE(""Currency:BRLMXN"")*D106"),30055.84785)</f>
        <v>30055.84785</v>
      </c>
      <c r="F106" s="6">
        <f>IFERROR(__xludf.DUMMYFUNCTION("GOOGLEFINANCE(""Currency:BRLPEN"")*D106"),5799.739175999999)</f>
        <v>5799.739176</v>
      </c>
      <c r="G106" s="2" t="str">
        <f t="array" ref="G106">_xlfn.XLOOKUP(B106,Vendedores!$A$2:$A$41,Vendedores!$B$2:$B$41,"No hay datos")</f>
        <v>Bruno Olmedo</v>
      </c>
      <c r="H106" s="2" t="str">
        <f t="array" ref="H106">_xlfn.XLOOKUP(B106,Vendedores!$A$2:$A$41,Vendedores!$C$2:$C$41,"No hay datos")</f>
        <v>Tierra Fertil</v>
      </c>
      <c r="I106" s="2" t="str">
        <f t="array" ref="I106">_xlfn.XLOOKUP(B106,Vendedores!$A$2:$A$41,Vendedores!$D$2:$D$41,"No hay datos")</f>
        <v>Región Sur 2</v>
      </c>
      <c r="J106" s="2" t="str">
        <f t="array" ref="J106:N106">_xlfn.XLOOKUP(A106,Productos!$A$2:$A$61,Productos!$B$2:$F$61)</f>
        <v>Chaqueta de mezclilla</v>
      </c>
      <c r="K106" s="2" t="s">
        <v>9</v>
      </c>
      <c r="L106" s="2" t="s">
        <v>10</v>
      </c>
      <c r="M106" s="2" t="s">
        <v>72</v>
      </c>
      <c r="N106" s="2" t="s">
        <v>56</v>
      </c>
    </row>
    <row r="107">
      <c r="A107" s="2" t="str">
        <f>IFERROR(__xludf.DUMMYFUNCTION("""COMPUTED_VALUE"""),"PR022")</f>
        <v>PR022</v>
      </c>
      <c r="B107" s="2" t="str">
        <f>IFERROR(__xludf.DUMMYFUNCTION("""COMPUTED_VALUE"""),"VD044")</f>
        <v>VD044</v>
      </c>
      <c r="C107" s="2">
        <f>IFERROR(__xludf.DUMMYFUNCTION("""COMPUTED_VALUE"""),12.0)</f>
        <v>12</v>
      </c>
      <c r="D107" s="6">
        <f>IFERROR(__xludf.DUMMYFUNCTION("""COMPUTED_VALUE"""),4032.0)</f>
        <v>4032</v>
      </c>
      <c r="E107" s="6">
        <f>IFERROR(__xludf.DUMMYFUNCTION("GOOGLEFINANCE(""Currency:BRLMXN"")*D107"),13698.72)</f>
        <v>13698.72</v>
      </c>
      <c r="F107" s="6">
        <f>IFERROR(__xludf.DUMMYFUNCTION("GOOGLEFINANCE(""Currency:BRLPEN"")*D107"),2643.3792)</f>
        <v>2643.3792</v>
      </c>
      <c r="G107" s="2" t="str">
        <f t="array" ref="G107">_xlfn.XLOOKUP(B107,Vendedores!$A$2:$A$41,Vendedores!$B$2:$B$41,"No hay datos")</f>
        <v>Silvia Menéndez</v>
      </c>
      <c r="H107" s="2" t="str">
        <f t="array" ref="H107">_xlfn.XLOOKUP(B107,Vendedores!$A$2:$A$41,Vendedores!$C$2:$C$41,"No hay datos")</f>
        <v>San Antonio del Monte</v>
      </c>
      <c r="I107" s="2" t="str">
        <f t="array" ref="I107">_xlfn.XLOOKUP(B107,Vendedores!$A$2:$A$41,Vendedores!$D$2:$D$41,"No hay datos")</f>
        <v>Región Central 2</v>
      </c>
      <c r="J107" s="2" t="str">
        <f t="array" ref="J107:N107">_xlfn.XLOOKUP(A107,Productos!$A$2:$A$61,Productos!$B$2:$F$61)</f>
        <v>Chaqueta de cuero</v>
      </c>
      <c r="K107" s="2" t="s">
        <v>22</v>
      </c>
      <c r="L107" s="2" t="s">
        <v>10</v>
      </c>
      <c r="M107" s="2" t="s">
        <v>78</v>
      </c>
      <c r="N107" s="2" t="s">
        <v>79</v>
      </c>
    </row>
    <row r="108">
      <c r="A108" s="2" t="str">
        <f>IFERROR(__xludf.DUMMYFUNCTION("""COMPUTED_VALUE"""),"PR053")</f>
        <v>PR053</v>
      </c>
      <c r="B108" s="2" t="str">
        <f>IFERROR(__xludf.DUMMYFUNCTION("""COMPUTED_VALUE"""),"VD010")</f>
        <v>VD010</v>
      </c>
      <c r="C108" s="2">
        <f>IFERROR(__xludf.DUMMYFUNCTION("""COMPUTED_VALUE"""),14.0)</f>
        <v>14</v>
      </c>
      <c r="D108" s="6">
        <f>IFERROR(__xludf.DUMMYFUNCTION("""COMPUTED_VALUE"""),810.38)</f>
        <v>810.38</v>
      </c>
      <c r="E108" s="6">
        <f>IFERROR(__xludf.DUMMYFUNCTION("GOOGLEFINANCE(""Currency:BRLMXN"")*D108"),2753.26605)</f>
        <v>2753.26605</v>
      </c>
      <c r="F108" s="6">
        <f>IFERROR(__xludf.DUMMYFUNCTION("GOOGLEFINANCE(""Currency:BRLPEN"")*D108"),531.285128)</f>
        <v>531.285128</v>
      </c>
      <c r="G108" s="2" t="str">
        <f t="array" ref="G108">_xlfn.XLOOKUP(B108,Vendedores!$A$2:$A$41,Vendedores!$B$2:$B$41,"No hay datos")</f>
        <v>María Silva</v>
      </c>
      <c r="H108" s="2" t="str">
        <f t="array" ref="H108">_xlfn.XLOOKUP(B108,Vendedores!$A$2:$A$41,Vendedores!$C$2:$C$41,"No hay datos")</f>
        <v>San Juan de la Sierra</v>
      </c>
      <c r="I108" s="2" t="str">
        <f t="array" ref="I108">_xlfn.XLOOKUP(B108,Vendedores!$A$2:$A$41,Vendedores!$D$2:$D$41,"No hay datos")</f>
        <v>Región Central</v>
      </c>
      <c r="J108" s="2" t="str">
        <f t="array" ref="J108:N108">_xlfn.XLOOKUP(A108,Productos!$A$2:$A$61,Productos!$B$2:$F$61)</f>
        <v>Falda plisada</v>
      </c>
      <c r="K108" s="2" t="s">
        <v>17</v>
      </c>
      <c r="L108" s="2" t="s">
        <v>10</v>
      </c>
      <c r="M108" s="2" t="s">
        <v>41</v>
      </c>
      <c r="N108" s="2" t="s">
        <v>32</v>
      </c>
    </row>
    <row r="109">
      <c r="A109" s="2" t="str">
        <f>IFERROR(__xludf.DUMMYFUNCTION("""COMPUTED_VALUE"""),"PR054")</f>
        <v>PR054</v>
      </c>
      <c r="B109" s="2" t="str">
        <f>IFERROR(__xludf.DUMMYFUNCTION("""COMPUTED_VALUE"""),"VD034")</f>
        <v>VD034</v>
      </c>
      <c r="C109" s="2">
        <f>IFERROR(__xludf.DUMMYFUNCTION("""COMPUTED_VALUE"""),21.0)</f>
        <v>21</v>
      </c>
      <c r="D109" s="6">
        <f>IFERROR(__xludf.DUMMYFUNCTION("""COMPUTED_VALUE"""),1236.52)</f>
        <v>1236.52</v>
      </c>
      <c r="E109" s="6">
        <f>IFERROR(__xludf.DUMMYFUNCTION("GOOGLEFINANCE(""Currency:BRLMXN"")*D109"),4201.0767)</f>
        <v>4201.0767</v>
      </c>
      <c r="F109" s="6">
        <f>IFERROR(__xludf.DUMMYFUNCTION("GOOGLEFINANCE(""Currency:BRLPEN"")*D109"),810.662512)</f>
        <v>810.662512</v>
      </c>
      <c r="G109" s="2" t="str">
        <f t="array" ref="G109">_xlfn.XLOOKUP(B109,Vendedores!$A$2:$A$41,Vendedores!$B$2:$B$41,"No hay datos")</f>
        <v>Felipe Carvajal</v>
      </c>
      <c r="H109" s="2" t="str">
        <f t="array" ref="H109">_xlfn.XLOOKUP(B109,Vendedores!$A$2:$A$41,Vendedores!$C$2:$C$41,"No hay datos")</f>
        <v>San Pedro del Río</v>
      </c>
      <c r="I109" s="2" t="str">
        <f t="array" ref="I109">_xlfn.XLOOKUP(B109,Vendedores!$A$2:$A$41,Vendedores!$D$2:$D$41,"No hay datos")</f>
        <v>Región Sur 2</v>
      </c>
      <c r="J109" s="2" t="str">
        <f t="array" ref="J109:N109">_xlfn.XLOOKUP(A109,Productos!$A$2:$A$61,Productos!$B$2:$F$61)</f>
        <v>Falda plisada</v>
      </c>
      <c r="K109" s="2" t="s">
        <v>22</v>
      </c>
      <c r="L109" s="2" t="s">
        <v>10</v>
      </c>
      <c r="M109" s="2" t="s">
        <v>42</v>
      </c>
      <c r="N109" s="2" t="s">
        <v>32</v>
      </c>
    </row>
    <row r="110">
      <c r="A110" s="2" t="str">
        <f>IFERROR(__xludf.DUMMYFUNCTION("""COMPUTED_VALUE"""),"PR058")</f>
        <v>PR058</v>
      </c>
      <c r="B110" s="2" t="str">
        <f>IFERROR(__xludf.DUMMYFUNCTION("""COMPUTED_VALUE"""),"VD044")</f>
        <v>VD044</v>
      </c>
      <c r="C110" s="2">
        <f>IFERROR(__xludf.DUMMYFUNCTION("""COMPUTED_VALUE"""),15.0)</f>
        <v>15</v>
      </c>
      <c r="D110" s="6">
        <f>IFERROR(__xludf.DUMMYFUNCTION("""COMPUTED_VALUE"""),3240.0)</f>
        <v>3240</v>
      </c>
      <c r="E110" s="6">
        <f>IFERROR(__xludf.DUMMYFUNCTION("GOOGLEFINANCE(""Currency:BRLMXN"")*D110"),11007.9)</f>
        <v>11007.9</v>
      </c>
      <c r="F110" s="6">
        <f>IFERROR(__xludf.DUMMYFUNCTION("GOOGLEFINANCE(""Currency:BRLPEN"")*D110"),2124.144)</f>
        <v>2124.144</v>
      </c>
      <c r="G110" s="2" t="str">
        <f t="array" ref="G110">_xlfn.XLOOKUP(B110,Vendedores!$A$2:$A$41,Vendedores!$B$2:$B$41,"No hay datos")</f>
        <v>Silvia Menéndez</v>
      </c>
      <c r="H110" s="2" t="str">
        <f t="array" ref="H110">_xlfn.XLOOKUP(B110,Vendedores!$A$2:$A$41,Vendedores!$C$2:$C$41,"No hay datos")</f>
        <v>San Antonio del Monte</v>
      </c>
      <c r="I110" s="2" t="str">
        <f t="array" ref="I110">_xlfn.XLOOKUP(B110,Vendedores!$A$2:$A$41,Vendedores!$D$2:$D$41,"No hay datos")</f>
        <v>Región Central 2</v>
      </c>
      <c r="J110" s="2" t="str">
        <f t="array" ref="J110:N110">_xlfn.XLOOKUP(A110,Productos!$A$2:$A$61,Productos!$B$2:$F$61)</f>
        <v>Pantalón de sastre</v>
      </c>
      <c r="K110" s="2" t="s">
        <v>9</v>
      </c>
      <c r="L110" s="2" t="s">
        <v>10</v>
      </c>
      <c r="M110" s="2" t="s">
        <v>13</v>
      </c>
      <c r="N110" s="2" t="s">
        <v>14</v>
      </c>
    </row>
    <row r="111">
      <c r="A111" s="2" t="str">
        <f>IFERROR(__xludf.DUMMYFUNCTION("""COMPUTED_VALUE"""),"PR040")</f>
        <v>PR040</v>
      </c>
      <c r="B111" s="2" t="str">
        <f>IFERROR(__xludf.DUMMYFUNCTION("""COMPUTED_VALUE"""),"VD037")</f>
        <v>VD037</v>
      </c>
      <c r="C111" s="2">
        <f>IFERROR(__xludf.DUMMYFUNCTION("""COMPUTED_VALUE"""),12.0)</f>
        <v>12</v>
      </c>
      <c r="D111" s="6">
        <f>IFERROR(__xludf.DUMMYFUNCTION("""COMPUTED_VALUE"""),974.4)</f>
        <v>974.4</v>
      </c>
      <c r="E111" s="6">
        <f>IFERROR(__xludf.DUMMYFUNCTION("GOOGLEFINANCE(""Currency:BRLMXN"")*D111"),3310.524)</f>
        <v>3310.524</v>
      </c>
      <c r="F111" s="6">
        <f>IFERROR(__xludf.DUMMYFUNCTION("GOOGLEFINANCE(""Currency:BRLPEN"")*D111"),638.8166399999999)</f>
        <v>638.81664</v>
      </c>
      <c r="G111" s="2" t="str">
        <f t="array" ref="G111">_xlfn.XLOOKUP(B111,Vendedores!$A$2:$A$41,Vendedores!$B$2:$B$41,"No hay datos")</f>
        <v>Amanda Silva</v>
      </c>
      <c r="H111" s="2" t="str">
        <f t="array" ref="H111">_xlfn.XLOOKUP(B111,Vendedores!$A$2:$A$41,Vendedores!$C$2:$C$41,"No hay datos")</f>
        <v>Villa Esperanza</v>
      </c>
      <c r="I111" s="2" t="str">
        <f t="array" ref="I111">_xlfn.XLOOKUP(B111,Vendedores!$A$2:$A$41,Vendedores!$D$2:$D$41,"No hay datos")</f>
        <v>Región Sur 2</v>
      </c>
      <c r="J111" s="2" t="str">
        <f t="array" ref="J111:N111">_xlfn.XLOOKUP(A111,Productos!$A$2:$A$61,Productos!$B$2:$F$61)</f>
        <v>Playera confort</v>
      </c>
      <c r="K111" s="2" t="s">
        <v>9</v>
      </c>
      <c r="L111" s="2" t="s">
        <v>10</v>
      </c>
      <c r="M111" s="2" t="s">
        <v>68</v>
      </c>
      <c r="N111" s="2" t="s">
        <v>70</v>
      </c>
    </row>
    <row r="112">
      <c r="A112" s="2" t="str">
        <f>IFERROR(__xludf.DUMMYFUNCTION("""COMPUTED_VALUE"""),"PR031")</f>
        <v>PR031</v>
      </c>
      <c r="B112" s="2" t="str">
        <f>IFERROR(__xludf.DUMMYFUNCTION("""COMPUTED_VALUE"""),"VD037")</f>
        <v>VD037</v>
      </c>
      <c r="C112" s="2">
        <f>IFERROR(__xludf.DUMMYFUNCTION("""COMPUTED_VALUE"""),24.0)</f>
        <v>24</v>
      </c>
      <c r="D112" s="6">
        <f>IFERROR(__xludf.DUMMYFUNCTION("""COMPUTED_VALUE"""),6997.2)</f>
        <v>6997.2</v>
      </c>
      <c r="E112" s="6">
        <f>IFERROR(__xludf.DUMMYFUNCTION("GOOGLEFINANCE(""Currency:BRLMXN"")*D112"),23772.986999999997)</f>
        <v>23772.987</v>
      </c>
      <c r="F112" s="6">
        <f>IFERROR(__xludf.DUMMYFUNCTION("GOOGLEFINANCE(""Currency:BRLPEN"")*D112"),4587.36432)</f>
        <v>4587.36432</v>
      </c>
      <c r="G112" s="2" t="str">
        <f t="array" ref="G112">_xlfn.XLOOKUP(B112,Vendedores!$A$2:$A$41,Vendedores!$B$2:$B$41,"No hay datos")</f>
        <v>Amanda Silva</v>
      </c>
      <c r="H112" s="2" t="str">
        <f t="array" ref="H112">_xlfn.XLOOKUP(B112,Vendedores!$A$2:$A$41,Vendedores!$C$2:$C$41,"No hay datos")</f>
        <v>Villa Esperanza</v>
      </c>
      <c r="I112" s="2" t="str">
        <f t="array" ref="I112">_xlfn.XLOOKUP(B112,Vendedores!$A$2:$A$41,Vendedores!$D$2:$D$41,"No hay datos")</f>
        <v>Región Sur 2</v>
      </c>
      <c r="J112" s="2" t="str">
        <f t="array" ref="J112:N112">_xlfn.XLOOKUP(A112,Productos!$A$2:$A$61,Productos!$B$2:$F$61)</f>
        <v>Tenis Chunky</v>
      </c>
      <c r="K112" s="2">
        <v>36.0</v>
      </c>
      <c r="L112" s="2" t="s">
        <v>33</v>
      </c>
      <c r="M112" s="2" t="s">
        <v>84</v>
      </c>
      <c r="N112" s="2" t="s">
        <v>85</v>
      </c>
    </row>
    <row r="113">
      <c r="A113" s="2" t="str">
        <f>IFERROR(__xludf.DUMMYFUNCTION("""COMPUTED_VALUE"""),"PR009")</f>
        <v>PR009</v>
      </c>
      <c r="B113" s="2" t="str">
        <f>IFERROR(__xludf.DUMMYFUNCTION("""COMPUTED_VALUE"""),"VD011")</f>
        <v>VD011</v>
      </c>
      <c r="C113" s="2">
        <f>IFERROR(__xludf.DUMMYFUNCTION("""COMPUTED_VALUE"""),21.0)</f>
        <v>21</v>
      </c>
      <c r="D113" s="6">
        <f>IFERROR(__xludf.DUMMYFUNCTION("""COMPUTED_VALUE"""),2185.01)</f>
        <v>2185.01</v>
      </c>
      <c r="E113" s="6">
        <f>IFERROR(__xludf.DUMMYFUNCTION("GOOGLEFINANCE(""Currency:BRLMXN"")*D113"),7423.571475000001)</f>
        <v>7423.571475</v>
      </c>
      <c r="F113" s="6">
        <f>IFERROR(__xludf.DUMMYFUNCTION("GOOGLEFINANCE(""Currency:BRLPEN"")*D113"),1432.4925560000001)</f>
        <v>1432.492556</v>
      </c>
      <c r="G113" s="2" t="str">
        <f t="array" ref="G113">_xlfn.XLOOKUP(B113,Vendedores!$A$2:$A$41,Vendedores!$B$2:$B$41,"No hay datos")</f>
        <v>Juan Santos</v>
      </c>
      <c r="H113" s="2" t="str">
        <f t="array" ref="H113">_xlfn.XLOOKUP(B113,Vendedores!$A$2:$A$41,Vendedores!$C$2:$C$41,"No hay datos")</f>
        <v>Vista Hermosa</v>
      </c>
      <c r="I113" s="2" t="str">
        <f t="array" ref="I113">_xlfn.XLOOKUP(B113,Vendedores!$A$2:$A$41,Vendedores!$D$2:$D$41,"No hay datos")</f>
        <v>Región Central</v>
      </c>
      <c r="J113" s="2" t="str">
        <f t="array" ref="J113:N113">_xlfn.XLOOKUP(A113,Productos!$A$2:$A$61,Productos!$B$2:$F$61)</f>
        <v>Pantalón de mezclilla</v>
      </c>
      <c r="K113" s="2" t="s">
        <v>22</v>
      </c>
      <c r="L113" s="2" t="s">
        <v>10</v>
      </c>
      <c r="M113" s="2" t="s">
        <v>76</v>
      </c>
      <c r="N113" s="2" t="s">
        <v>77</v>
      </c>
    </row>
    <row r="114">
      <c r="A114" s="2" t="str">
        <f>IFERROR(__xludf.DUMMYFUNCTION("""COMPUTED_VALUE"""),"PR029")</f>
        <v>PR029</v>
      </c>
      <c r="B114" s="2" t="str">
        <f>IFERROR(__xludf.DUMMYFUNCTION("""COMPUTED_VALUE"""),"VD047")</f>
        <v>VD047</v>
      </c>
      <c r="C114" s="2">
        <f>IFERROR(__xludf.DUMMYFUNCTION("""COMPUTED_VALUE"""),24.0)</f>
        <v>24</v>
      </c>
      <c r="D114" s="6">
        <f>IFERROR(__xludf.DUMMYFUNCTION("""COMPUTED_VALUE"""),6793.2)</f>
        <v>6793.2</v>
      </c>
      <c r="E114" s="6">
        <f>IFERROR(__xludf.DUMMYFUNCTION("GOOGLEFINANCE(""Currency:BRLMXN"")*D114"),23079.897)</f>
        <v>23079.897</v>
      </c>
      <c r="F114" s="6">
        <f>IFERROR(__xludf.DUMMYFUNCTION("GOOGLEFINANCE(""Currency:BRLPEN"")*D114"),4453.62192)</f>
        <v>4453.62192</v>
      </c>
      <c r="G114" s="2" t="str">
        <f t="array" ref="G114">_xlfn.XLOOKUP(B114,Vendedores!$A$2:$A$41,Vendedores!$B$2:$B$41,"No hay datos")</f>
        <v>Andrés López</v>
      </c>
      <c r="H114" s="2" t="str">
        <f t="array" ref="H114">_xlfn.XLOOKUP(B114,Vendedores!$A$2:$A$41,Vendedores!$C$2:$C$41,"No hay datos")</f>
        <v>Villa Progreso</v>
      </c>
      <c r="I114" s="2" t="str">
        <f t="array" ref="I114">_xlfn.XLOOKUP(B114,Vendedores!$A$2:$A$41,Vendedores!$D$2:$D$41,"No hay datos")</f>
        <v>Región Central 2</v>
      </c>
      <c r="J114" s="2" t="str">
        <f t="array" ref="J114:N114">_xlfn.XLOOKUP(A114,Productos!$A$2:$A$61,Productos!$B$2:$F$61)</f>
        <v>Tenis Atitas</v>
      </c>
      <c r="K114" s="2">
        <v>37.0</v>
      </c>
      <c r="L114" s="2" t="s">
        <v>33</v>
      </c>
      <c r="M114" s="2" t="s">
        <v>96</v>
      </c>
      <c r="N114" s="2" t="s">
        <v>97</v>
      </c>
    </row>
    <row r="115">
      <c r="A115" s="2" t="str">
        <f>IFERROR(__xludf.DUMMYFUNCTION("""COMPUTED_VALUE"""),"PR017")</f>
        <v>PR017</v>
      </c>
      <c r="B115" s="2" t="str">
        <f>IFERROR(__xludf.DUMMYFUNCTION("""COMPUTED_VALUE"""),"VD042")</f>
        <v>VD042</v>
      </c>
      <c r="C115" s="2">
        <f>IFERROR(__xludf.DUMMYFUNCTION("""COMPUTED_VALUE"""),27.0)</f>
        <v>27</v>
      </c>
      <c r="D115" s="6">
        <f>IFERROR(__xludf.DUMMYFUNCTION("""COMPUTED_VALUE"""),912.25)</f>
        <v>912.25</v>
      </c>
      <c r="E115" s="6">
        <f>IFERROR(__xludf.DUMMYFUNCTION("GOOGLEFINANCE(""Currency:BRLMXN"")*D115"),3099.3693749999998)</f>
        <v>3099.369375</v>
      </c>
      <c r="F115" s="6">
        <f>IFERROR(__xludf.DUMMYFUNCTION("GOOGLEFINANCE(""Currency:BRLPEN"")*D115"),598.0711)</f>
        <v>598.0711</v>
      </c>
      <c r="G115" s="2" t="str">
        <f t="array" ref="G115">_xlfn.XLOOKUP(B115,Vendedores!$A$2:$A$41,Vendedores!$B$2:$B$41,"No hay datos")</f>
        <v>Priscila Duarte</v>
      </c>
      <c r="H115" s="2" t="str">
        <f t="array" ref="H115">_xlfn.XLOOKUP(B115,Vendedores!$A$2:$A$41,Vendedores!$C$2:$C$41,"No hay datos")</f>
        <v>Villa Comercial</v>
      </c>
      <c r="I115" s="2" t="str">
        <f t="array" ref="I115">_xlfn.XLOOKUP(B115,Vendedores!$A$2:$A$41,Vendedores!$D$2:$D$41,"No hay datos")</f>
        <v>Región Central 2</v>
      </c>
      <c r="J115" s="2" t="str">
        <f t="array" ref="J115:N115">_xlfn.XLOOKUP(A115,Productos!$A$2:$A$61,Productos!$B$2:$F$61)</f>
        <v>Playera lisa</v>
      </c>
      <c r="K115" s="2" t="s">
        <v>17</v>
      </c>
      <c r="L115" s="2" t="s">
        <v>10</v>
      </c>
      <c r="M115" s="2" t="s">
        <v>98</v>
      </c>
      <c r="N115" s="2" t="s">
        <v>99</v>
      </c>
    </row>
    <row r="116">
      <c r="A116" s="2" t="str">
        <f>IFERROR(__xludf.DUMMYFUNCTION("""COMPUTED_VALUE"""),"PR003")</f>
        <v>PR003</v>
      </c>
      <c r="B116" s="2" t="str">
        <f>IFERROR(__xludf.DUMMYFUNCTION("""COMPUTED_VALUE"""),"VD032")</f>
        <v>VD032</v>
      </c>
      <c r="C116" s="2">
        <f>IFERROR(__xludf.DUMMYFUNCTION("""COMPUTED_VALUE"""),24.0)</f>
        <v>24</v>
      </c>
      <c r="D116" s="6">
        <f>IFERROR(__xludf.DUMMYFUNCTION("""COMPUTED_VALUE"""),2041.92)</f>
        <v>2041.92</v>
      </c>
      <c r="E116" s="6">
        <f>IFERROR(__xludf.DUMMYFUNCTION("GOOGLEFINANCE(""Currency:BRLMXN"")*D116"),6937.4232)</f>
        <v>6937.4232</v>
      </c>
      <c r="F116" s="6">
        <f>IFERROR(__xludf.DUMMYFUNCTION("GOOGLEFINANCE(""Currency:BRLPEN"")*D116"),1338.682752)</f>
        <v>1338.682752</v>
      </c>
      <c r="G116" s="2" t="str">
        <f t="array" ref="G116">_xlfn.XLOOKUP(B116,Vendedores!$A$2:$A$41,Vendedores!$B$2:$B$41,"No hay datos")</f>
        <v>Eduardo Almonte</v>
      </c>
      <c r="H116" s="2" t="str">
        <f t="array" ref="H116">_xlfn.XLOOKUP(B116,Vendedores!$A$2:$A$41,Vendedores!$C$2:$C$41,"No hay datos")</f>
        <v>Tierra Colorada</v>
      </c>
      <c r="I116" s="2" t="str">
        <f t="array" ref="I116">_xlfn.XLOOKUP(B116,Vendedores!$A$2:$A$41,Vendedores!$D$2:$D$41,"No hay datos")</f>
        <v>Región Central 2</v>
      </c>
      <c r="J116" s="2" t="str">
        <f t="array" ref="J116:N116">_xlfn.XLOOKUP(A116,Productos!$A$2:$A$61,Productos!$B$2:$F$61)</f>
        <v>Bermuda</v>
      </c>
      <c r="K116" s="2" t="s">
        <v>22</v>
      </c>
      <c r="L116" s="2" t="s">
        <v>10</v>
      </c>
      <c r="M116" s="2" t="s">
        <v>45</v>
      </c>
      <c r="N116" s="2" t="s">
        <v>46</v>
      </c>
    </row>
    <row r="117">
      <c r="A117" s="2" t="str">
        <f>IFERROR(__xludf.DUMMYFUNCTION("""COMPUTED_VALUE"""),"PR041")</f>
        <v>PR041</v>
      </c>
      <c r="B117" s="2" t="str">
        <f>IFERROR(__xludf.DUMMYFUNCTION("""COMPUTED_VALUE"""),"VD023")</f>
        <v>VD023</v>
      </c>
      <c r="C117" s="2">
        <f>IFERROR(__xludf.DUMMYFUNCTION("""COMPUTED_VALUE"""),18.0)</f>
        <v>18</v>
      </c>
      <c r="D117" s="6">
        <f>IFERROR(__xludf.DUMMYFUNCTION("""COMPUTED_VALUE"""),1136.43)</f>
        <v>1136.43</v>
      </c>
      <c r="E117" s="6">
        <f>IFERROR(__xludf.DUMMYFUNCTION("GOOGLEFINANCE(""Currency:BRLMXN"")*D117"),3861.0209250000003)</f>
        <v>3861.020925</v>
      </c>
      <c r="F117" s="6">
        <f>IFERROR(__xludf.DUMMYFUNCTION("GOOGLEFINANCE(""Currency:BRLPEN"")*D117"),745.043508)</f>
        <v>745.043508</v>
      </c>
      <c r="G117" s="2" t="str">
        <f t="array" ref="G117">_xlfn.XLOOKUP(B117,Vendedores!$A$2:$A$41,Vendedores!$B$2:$B$41,"No hay datos")</f>
        <v>Juliana Castro</v>
      </c>
      <c r="H117" s="2" t="str">
        <f t="array" ref="H117">_xlfn.XLOOKUP(B117,Vendedores!$A$2:$A$41,Vendedores!$C$2:$C$41,"No hay datos")</f>
        <v>San Miguel de los Pinos</v>
      </c>
      <c r="I117" s="2" t="str">
        <f t="array" ref="I117">_xlfn.XLOOKUP(B117,Vendedores!$A$2:$A$41,Vendedores!$D$2:$D$41,"No hay datos")</f>
        <v>Región Sur</v>
      </c>
      <c r="J117" s="2" t="str">
        <f t="array" ref="J117:N117">_xlfn.XLOOKUP(A117,Productos!$A$2:$A$61,Productos!$B$2:$F$61)</f>
        <v>Playera confort</v>
      </c>
      <c r="K117" s="2" t="s">
        <v>17</v>
      </c>
      <c r="L117" s="2" t="s">
        <v>10</v>
      </c>
      <c r="M117" s="2" t="s">
        <v>95</v>
      </c>
      <c r="N117" s="2" t="s">
        <v>26</v>
      </c>
    </row>
    <row r="118">
      <c r="A118" s="2" t="str">
        <f>IFERROR(__xludf.DUMMYFUNCTION("""COMPUTED_VALUE"""),"PR029")</f>
        <v>PR029</v>
      </c>
      <c r="B118" s="2" t="str">
        <f>IFERROR(__xludf.DUMMYFUNCTION("""COMPUTED_VALUE"""),"VD036")</f>
        <v>VD036</v>
      </c>
      <c r="C118" s="2">
        <f>IFERROR(__xludf.DUMMYFUNCTION("""COMPUTED_VALUE"""),24.0)</f>
        <v>24</v>
      </c>
      <c r="D118" s="6">
        <f>IFERROR(__xludf.DUMMYFUNCTION("""COMPUTED_VALUE"""),6976.8)</f>
        <v>6976.8</v>
      </c>
      <c r="E118" s="6">
        <f>IFERROR(__xludf.DUMMYFUNCTION("GOOGLEFINANCE(""Currency:BRLMXN"")*D118"),23703.678)</f>
        <v>23703.678</v>
      </c>
      <c r="F118" s="6">
        <f>IFERROR(__xludf.DUMMYFUNCTION("GOOGLEFINANCE(""Currency:BRLPEN"")*D118"),4573.99008)</f>
        <v>4573.99008</v>
      </c>
      <c r="G118" s="2" t="str">
        <f t="array" ref="G118">_xlfn.XLOOKUP(B118,Vendedores!$A$2:$A$41,Vendedores!$B$2:$B$41,"No hay datos")</f>
        <v>Ricardo Sosa</v>
      </c>
      <c r="H118" s="2" t="str">
        <f t="array" ref="H118">_xlfn.XLOOKUP(B118,Vendedores!$A$2:$A$41,Vendedores!$C$2:$C$41,"No hay datos")</f>
        <v>Puerto Nuevo</v>
      </c>
      <c r="I118" s="2" t="str">
        <f t="array" ref="I118">_xlfn.XLOOKUP(B118,Vendedores!$A$2:$A$41,Vendedores!$D$2:$D$41,"No hay datos")</f>
        <v>Región Central 2</v>
      </c>
      <c r="J118" s="2" t="str">
        <f t="array" ref="J118:N118">_xlfn.XLOOKUP(A118,Productos!$A$2:$A$61,Productos!$B$2:$F$61)</f>
        <v>Tenis Atitas</v>
      </c>
      <c r="K118" s="2">
        <v>37.0</v>
      </c>
      <c r="L118" s="2" t="s">
        <v>33</v>
      </c>
      <c r="M118" s="2" t="s">
        <v>96</v>
      </c>
      <c r="N118" s="2" t="s">
        <v>97</v>
      </c>
    </row>
    <row r="119">
      <c r="A119" s="2" t="str">
        <f>IFERROR(__xludf.DUMMYFUNCTION("""COMPUTED_VALUE"""),"PR054")</f>
        <v>PR054</v>
      </c>
      <c r="B119" s="2" t="str">
        <f>IFERROR(__xludf.DUMMYFUNCTION("""COMPUTED_VALUE"""),"VD034")</f>
        <v>VD034</v>
      </c>
      <c r="C119" s="2">
        <f>IFERROR(__xludf.DUMMYFUNCTION("""COMPUTED_VALUE"""),18.0)</f>
        <v>18</v>
      </c>
      <c r="D119" s="6">
        <f>IFERROR(__xludf.DUMMYFUNCTION("""COMPUTED_VALUE"""),1059.88)</f>
        <v>1059.88</v>
      </c>
      <c r="E119" s="6">
        <f>IFERROR(__xludf.DUMMYFUNCTION("GOOGLEFINANCE(""Currency:BRLMXN"")*D119"),3600.9423)</f>
        <v>3600.9423</v>
      </c>
      <c r="F119" s="6">
        <f>IFERROR(__xludf.DUMMYFUNCTION("GOOGLEFINANCE(""Currency:BRLPEN"")*D119"),694.857328)</f>
        <v>694.857328</v>
      </c>
      <c r="G119" s="2" t="str">
        <f t="array" ref="G119">_xlfn.XLOOKUP(B119,Vendedores!$A$2:$A$41,Vendedores!$B$2:$B$41,"No hay datos")</f>
        <v>Felipe Carvajal</v>
      </c>
      <c r="H119" s="2" t="str">
        <f t="array" ref="H119">_xlfn.XLOOKUP(B119,Vendedores!$A$2:$A$41,Vendedores!$C$2:$C$41,"No hay datos")</f>
        <v>San Pedro del Río</v>
      </c>
      <c r="I119" s="2" t="str">
        <f t="array" ref="I119">_xlfn.XLOOKUP(B119,Vendedores!$A$2:$A$41,Vendedores!$D$2:$D$41,"No hay datos")</f>
        <v>Región Sur 2</v>
      </c>
      <c r="J119" s="2" t="str">
        <f t="array" ref="J119:N119">_xlfn.XLOOKUP(A119,Productos!$A$2:$A$61,Productos!$B$2:$F$61)</f>
        <v>Falda plisada</v>
      </c>
      <c r="K119" s="2" t="s">
        <v>22</v>
      </c>
      <c r="L119" s="2" t="s">
        <v>10</v>
      </c>
      <c r="M119" s="2" t="s">
        <v>42</v>
      </c>
      <c r="N119" s="2" t="s">
        <v>32</v>
      </c>
    </row>
    <row r="120">
      <c r="A120" s="2" t="str">
        <f>IFERROR(__xludf.DUMMYFUNCTION("""COMPUTED_VALUE"""),"PR047")</f>
        <v>PR047</v>
      </c>
      <c r="B120" s="2" t="str">
        <f>IFERROR(__xludf.DUMMYFUNCTION("""COMPUTED_VALUE"""),"VD034")</f>
        <v>VD034</v>
      </c>
      <c r="C120" s="2">
        <f>IFERROR(__xludf.DUMMYFUNCTION("""COMPUTED_VALUE"""),21.0)</f>
        <v>21</v>
      </c>
      <c r="D120" s="6">
        <f>IFERROR(__xludf.DUMMYFUNCTION("""COMPUTED_VALUE"""),7122.84)</f>
        <v>7122.84</v>
      </c>
      <c r="E120" s="6">
        <f>IFERROR(__xludf.DUMMYFUNCTION("GOOGLEFINANCE(""Currency:BRLMXN"")*D120"),24199.8489)</f>
        <v>24199.8489</v>
      </c>
      <c r="F120" s="6">
        <f>IFERROR(__xludf.DUMMYFUNCTION("GOOGLEFINANCE(""Currency:BRLPEN"")*D120"),4669.733904)</f>
        <v>4669.733904</v>
      </c>
      <c r="G120" s="2" t="str">
        <f t="array" ref="G120">_xlfn.XLOOKUP(B120,Vendedores!$A$2:$A$41,Vendedores!$B$2:$B$41,"No hay datos")</f>
        <v>Felipe Carvajal</v>
      </c>
      <c r="H120" s="2" t="str">
        <f t="array" ref="H120">_xlfn.XLOOKUP(B120,Vendedores!$A$2:$A$41,Vendedores!$C$2:$C$41,"No hay datos")</f>
        <v>San Pedro del Río</v>
      </c>
      <c r="I120" s="2" t="str">
        <f t="array" ref="I120">_xlfn.XLOOKUP(B120,Vendedores!$A$2:$A$41,Vendedores!$D$2:$D$41,"No hay datos")</f>
        <v>Región Sur 2</v>
      </c>
      <c r="J120" s="2" t="str">
        <f t="array" ref="J120:N120">_xlfn.XLOOKUP(A120,Productos!$A$2:$A$61,Productos!$B$2:$F$61)</f>
        <v>Chaqueta de cuero</v>
      </c>
      <c r="K120" s="2" t="s">
        <v>17</v>
      </c>
      <c r="L120" s="2" t="s">
        <v>10</v>
      </c>
      <c r="M120" s="2" t="s">
        <v>43</v>
      </c>
      <c r="N120" s="2" t="s">
        <v>44</v>
      </c>
    </row>
    <row r="121">
      <c r="A121" s="2" t="str">
        <f>IFERROR(__xludf.DUMMYFUNCTION("""COMPUTED_VALUE"""),"PR023")</f>
        <v>PR023</v>
      </c>
      <c r="B121" s="2" t="str">
        <f>IFERROR(__xludf.DUMMYFUNCTION("""COMPUTED_VALUE"""),"VD018")</f>
        <v>VD018</v>
      </c>
      <c r="C121" s="2">
        <f>IFERROR(__xludf.DUMMYFUNCTION("""COMPUTED_VALUE"""),12.0)</f>
        <v>12</v>
      </c>
      <c r="D121" s="6">
        <f>IFERROR(__xludf.DUMMYFUNCTION("""COMPUTED_VALUE"""),3598.56)</f>
        <v>3598.56</v>
      </c>
      <c r="E121" s="6">
        <f>IFERROR(__xludf.DUMMYFUNCTION("GOOGLEFINANCE(""Currency:BRLMXN"")*D121"),12226.1076)</f>
        <v>12226.1076</v>
      </c>
      <c r="F121" s="6">
        <f>IFERROR(__xludf.DUMMYFUNCTION("GOOGLEFINANCE(""Currency:BRLPEN"")*D121"),2359.2159359999996)</f>
        <v>2359.215936</v>
      </c>
      <c r="G121" s="2" t="str">
        <f t="array" ref="G121">_xlfn.XLOOKUP(B121,Vendedores!$A$2:$A$41,Vendedores!$B$2:$B$41,"No hay datos")</f>
        <v>Leticia Rodríguez</v>
      </c>
      <c r="H121" s="2" t="str">
        <f t="array" ref="H121">_xlfn.XLOOKUP(B121,Vendedores!$A$2:$A$41,Vendedores!$C$2:$C$41,"No hay datos")</f>
        <v>Playa Blanca</v>
      </c>
      <c r="I121" s="2" t="str">
        <f t="array" ref="I121">_xlfn.XLOOKUP(B121,Vendedores!$A$2:$A$41,Vendedores!$D$2:$D$41,"No hay datos")</f>
        <v>Región Norte</v>
      </c>
      <c r="J121" s="2" t="str">
        <f t="array" ref="J121:N121">_xlfn.XLOOKUP(A121,Productos!$A$2:$A$61,Productos!$B$2:$F$61)</f>
        <v>Chaqueta de mezclilla</v>
      </c>
      <c r="K121" s="2" t="s">
        <v>9</v>
      </c>
      <c r="L121" s="2" t="s">
        <v>10</v>
      </c>
      <c r="M121" s="2" t="s">
        <v>72</v>
      </c>
      <c r="N121" s="2" t="s">
        <v>56</v>
      </c>
    </row>
    <row r="122">
      <c r="A122" s="2" t="str">
        <f>IFERROR(__xludf.DUMMYFUNCTION("""COMPUTED_VALUE"""),"PR017")</f>
        <v>PR017</v>
      </c>
      <c r="B122" s="2" t="str">
        <f>IFERROR(__xludf.DUMMYFUNCTION("""COMPUTED_VALUE"""),"VD043")</f>
        <v>VD043</v>
      </c>
      <c r="C122" s="2">
        <f>IFERROR(__xludf.DUMMYFUNCTION("""COMPUTED_VALUE"""),18.0)</f>
        <v>18</v>
      </c>
      <c r="D122" s="6">
        <f>IFERROR(__xludf.DUMMYFUNCTION("""COMPUTED_VALUE"""),592.02)</f>
        <v>592.02</v>
      </c>
      <c r="E122" s="6">
        <f>IFERROR(__xludf.DUMMYFUNCTION("GOOGLEFINANCE(""Currency:BRLMXN"")*D122"),2011.3879499999998)</f>
        <v>2011.38795</v>
      </c>
      <c r="F122" s="6">
        <f>IFERROR(__xludf.DUMMYFUNCTION("GOOGLEFINANCE(""Currency:BRLPEN"")*D122"),388.12831199999994)</f>
        <v>388.128312</v>
      </c>
      <c r="G122" s="2" t="str">
        <f t="array" ref="G122">_xlfn.XLOOKUP(B122,Vendedores!$A$2:$A$41,Vendedores!$B$2:$B$41,"No hay datos")</f>
        <v>Carlos Henríquez</v>
      </c>
      <c r="H122" s="2" t="str">
        <f t="array" ref="H122">_xlfn.XLOOKUP(B122,Vendedores!$A$2:$A$41,Vendedores!$C$2:$C$41,"No hay datos")</f>
        <v>Ciudad Aeropuerto</v>
      </c>
      <c r="I122" s="2" t="str">
        <f t="array" ref="I122">_xlfn.XLOOKUP(B122,Vendedores!$A$2:$A$41,Vendedores!$D$2:$D$41,"No hay datos")</f>
        <v>Región Central 2</v>
      </c>
      <c r="J122" s="2" t="str">
        <f t="array" ref="J122:N122">_xlfn.XLOOKUP(A122,Productos!$A$2:$A$61,Productos!$B$2:$F$61)</f>
        <v>Playera lisa</v>
      </c>
      <c r="K122" s="2" t="s">
        <v>17</v>
      </c>
      <c r="L122" s="2" t="s">
        <v>10</v>
      </c>
      <c r="M122" s="2" t="s">
        <v>98</v>
      </c>
      <c r="N122" s="2" t="s">
        <v>99</v>
      </c>
    </row>
    <row r="123">
      <c r="A123" s="2" t="str">
        <f>IFERROR(__xludf.DUMMYFUNCTION("""COMPUTED_VALUE"""),"PR058")</f>
        <v>PR058</v>
      </c>
      <c r="B123" s="2" t="str">
        <f>IFERROR(__xludf.DUMMYFUNCTION("""COMPUTED_VALUE"""),"VD021")</f>
        <v>VD021</v>
      </c>
      <c r="C123" s="2">
        <f>IFERROR(__xludf.DUMMYFUNCTION("""COMPUTED_VALUE"""),10.0)</f>
        <v>10</v>
      </c>
      <c r="D123" s="6">
        <f>IFERROR(__xludf.DUMMYFUNCTION("""COMPUTED_VALUE"""),2070.0)</f>
        <v>2070</v>
      </c>
      <c r="E123" s="6">
        <f>IFERROR(__xludf.DUMMYFUNCTION("GOOGLEFINANCE(""Currency:BRLMXN"")*D123"),7032.825)</f>
        <v>7032.825</v>
      </c>
      <c r="F123" s="6">
        <f>IFERROR(__xludf.DUMMYFUNCTION("GOOGLEFINANCE(""Currency:BRLPEN"")*D123"),1357.0919999999999)</f>
        <v>1357.092</v>
      </c>
      <c r="G123" s="2" t="str">
        <f t="array" ref="G123">_xlfn.XLOOKUP(B123,Vendedores!$A$2:$A$41,Vendedores!$B$2:$B$41,"No hay datos")</f>
        <v>Fernanda Méndez</v>
      </c>
      <c r="H123" s="2" t="str">
        <f t="array" ref="H123">_xlfn.XLOOKUP(B123,Vendedores!$A$2:$A$41,Vendedores!$C$2:$C$41,"No hay datos")</f>
        <v>San Juan de la Sierra</v>
      </c>
      <c r="I123" s="2" t="str">
        <f t="array" ref="I123">_xlfn.XLOOKUP(B123,Vendedores!$A$2:$A$41,Vendedores!$D$2:$D$41,"No hay datos")</f>
        <v>Región Central</v>
      </c>
      <c r="J123" s="2" t="str">
        <f t="array" ref="J123:N123">_xlfn.XLOOKUP(A123,Productos!$A$2:$A$61,Productos!$B$2:$F$61)</f>
        <v>Pantalón de sastre</v>
      </c>
      <c r="K123" s="2" t="s">
        <v>9</v>
      </c>
      <c r="L123" s="2" t="s">
        <v>10</v>
      </c>
      <c r="M123" s="2" t="s">
        <v>13</v>
      </c>
      <c r="N123" s="2" t="s">
        <v>14</v>
      </c>
    </row>
    <row r="124">
      <c r="A124" s="2" t="str">
        <f>IFERROR(__xludf.DUMMYFUNCTION("""COMPUTED_VALUE"""),"PR012")</f>
        <v>PR012</v>
      </c>
      <c r="B124" s="2" t="str">
        <f>IFERROR(__xludf.DUMMYFUNCTION("""COMPUTED_VALUE"""),"VD031")</f>
        <v>VD031</v>
      </c>
      <c r="C124" s="2">
        <f>IFERROR(__xludf.DUMMYFUNCTION("""COMPUTED_VALUE"""),9.0)</f>
        <v>9</v>
      </c>
      <c r="D124" s="6">
        <f>IFERROR(__xludf.DUMMYFUNCTION("""COMPUTED_VALUE"""),523.72)</f>
        <v>523.72</v>
      </c>
      <c r="E124" s="6">
        <f>IFERROR(__xludf.DUMMYFUNCTION("GOOGLEFINANCE(""Currency:BRLMXN"")*D124"),1779.3387)</f>
        <v>1779.3387</v>
      </c>
      <c r="F124" s="6">
        <f>IFERROR(__xludf.DUMMYFUNCTION("GOOGLEFINANCE(""Currency:BRLPEN"")*D124"),343.350832)</f>
        <v>343.350832</v>
      </c>
      <c r="G124" s="2" t="str">
        <f t="array" ref="G124">_xlfn.XLOOKUP(B124,Vendedores!$A$2:$A$41,Vendedores!$B$2:$B$41,"No hay datos")</f>
        <v>Vanessa Martínez</v>
      </c>
      <c r="H124" s="2" t="str">
        <f t="array" ref="H124">_xlfn.XLOOKUP(B124,Vendedores!$A$2:$A$41,Vendedores!$C$2:$C$41,"No hay datos")</f>
        <v>Monte Verde</v>
      </c>
      <c r="I124" s="2" t="str">
        <f t="array" ref="I124">_xlfn.XLOOKUP(B124,Vendedores!$A$2:$A$41,Vendedores!$D$2:$D$41,"No hay datos")</f>
        <v>Región Central 2</v>
      </c>
      <c r="J124" s="2" t="str">
        <f t="array" ref="J124:N124">_xlfn.XLOOKUP(A124,Productos!$A$2:$A$61,Productos!$B$2:$F$61)</f>
        <v>Pantalón legging</v>
      </c>
      <c r="K124" s="2" t="s">
        <v>22</v>
      </c>
      <c r="L124" s="2" t="s">
        <v>10</v>
      </c>
      <c r="M124" s="2" t="s">
        <v>88</v>
      </c>
      <c r="N124" s="2" t="s">
        <v>89</v>
      </c>
    </row>
    <row r="125">
      <c r="A125" s="2" t="str">
        <f>IFERROR(__xludf.DUMMYFUNCTION("""COMPUTED_VALUE"""),"PR010")</f>
        <v>PR010</v>
      </c>
      <c r="B125" s="2" t="str">
        <f>IFERROR(__xludf.DUMMYFUNCTION("""COMPUTED_VALUE"""),"VD020")</f>
        <v>VD020</v>
      </c>
      <c r="C125" s="2">
        <f>IFERROR(__xludf.DUMMYFUNCTION("""COMPUTED_VALUE"""),27.0)</f>
        <v>27</v>
      </c>
      <c r="D125" s="6">
        <f>IFERROR(__xludf.DUMMYFUNCTION("""COMPUTED_VALUE"""),1357.78)</f>
        <v>1357.78</v>
      </c>
      <c r="E125" s="6">
        <f>IFERROR(__xludf.DUMMYFUNCTION("GOOGLEFINANCE(""Currency:BRLMXN"")*D125"),4613.0575499999995)</f>
        <v>4613.05755</v>
      </c>
      <c r="F125" s="6">
        <f>IFERROR(__xludf.DUMMYFUNCTION("GOOGLEFINANCE(""Currency:BRLPEN"")*D125"),890.1605679999999)</f>
        <v>890.160568</v>
      </c>
      <c r="G125" s="2" t="str">
        <f t="array" ref="G125">_xlfn.XLOOKUP(B125,Vendedores!$A$2:$A$41,Vendedores!$B$2:$B$41,"No hay datos")</f>
        <v>Gustavo Morales</v>
      </c>
      <c r="H125" s="2" t="str">
        <f t="array" ref="H125">_xlfn.XLOOKUP(B125,Vendedores!$A$2:$A$41,Vendedores!$C$2:$C$41,"No hay datos")</f>
        <v>Villa del Sol</v>
      </c>
      <c r="I125" s="2" t="str">
        <f t="array" ref="I125">_xlfn.XLOOKUP(B125,Vendedores!$A$2:$A$41,Vendedores!$D$2:$D$41,"No hay datos")</f>
        <v>Región Central 2</v>
      </c>
      <c r="J125" s="2" t="str">
        <f t="array" ref="J125:N125">_xlfn.XLOOKUP(A125,Productos!$A$2:$A$61,Productos!$B$2:$F$61)</f>
        <v>Pantalón legging</v>
      </c>
      <c r="K125" s="2" t="s">
        <v>9</v>
      </c>
      <c r="L125" s="2" t="s">
        <v>10</v>
      </c>
      <c r="M125" s="2" t="s">
        <v>86</v>
      </c>
      <c r="N125" s="2" t="s">
        <v>87</v>
      </c>
    </row>
    <row r="126">
      <c r="A126" s="2" t="str">
        <f>IFERROR(__xludf.DUMMYFUNCTION("""COMPUTED_VALUE"""),"PR038")</f>
        <v>PR038</v>
      </c>
      <c r="B126" s="2" t="str">
        <f>IFERROR(__xludf.DUMMYFUNCTION("""COMPUTED_VALUE"""),"VD024")</f>
        <v>VD024</v>
      </c>
      <c r="C126" s="2">
        <f>IFERROR(__xludf.DUMMYFUNCTION("""COMPUTED_VALUE"""),24.0)</f>
        <v>24</v>
      </c>
      <c r="D126" s="6">
        <f>IFERROR(__xludf.DUMMYFUNCTION("""COMPUTED_VALUE"""),4081.22)</f>
        <v>4081.22</v>
      </c>
      <c r="E126" s="6">
        <f>IFERROR(__xludf.DUMMYFUNCTION("GOOGLEFINANCE(""Currency:BRLMXN"")*D126"),13865.94495)</f>
        <v>13865.94495</v>
      </c>
      <c r="F126" s="6">
        <f>IFERROR(__xludf.DUMMYFUNCTION("GOOGLEFINANCE(""Currency:BRLPEN"")*D126"),2675.6478319999997)</f>
        <v>2675.647832</v>
      </c>
      <c r="G126" s="2" t="str">
        <f t="array" ref="G126">_xlfn.XLOOKUP(B126,Vendedores!$A$2:$A$41,Vendedores!$B$2:$B$41,"No hay datos")</f>
        <v>Marcos Rivera</v>
      </c>
      <c r="H126" s="2" t="str">
        <f t="array" ref="H126">_xlfn.XLOOKUP(B126,Vendedores!$A$2:$A$41,Vendedores!$C$2:$C$41,"No hay datos")</f>
        <v>Santa Rosa del Valle</v>
      </c>
      <c r="I126" s="2" t="str">
        <f t="array" ref="I126">_xlfn.XLOOKUP(B126,Vendedores!$A$2:$A$41,Vendedores!$D$2:$D$41,"No hay datos")</f>
        <v>Región Norte</v>
      </c>
      <c r="J126" s="2" t="str">
        <f t="array" ref="J126:N126">_xlfn.XLOOKUP(A126,Productos!$A$2:$A$61,Productos!$B$2:$F$61)</f>
        <v>Vestido largo</v>
      </c>
      <c r="K126" s="2" t="s">
        <v>17</v>
      </c>
      <c r="L126" s="2" t="s">
        <v>10</v>
      </c>
      <c r="M126" s="2" t="s">
        <v>51</v>
      </c>
      <c r="N126" s="2" t="s">
        <v>52</v>
      </c>
    </row>
    <row r="127">
      <c r="A127" s="2" t="str">
        <f>IFERROR(__xludf.DUMMYFUNCTION("""COMPUTED_VALUE"""),"PR024")</f>
        <v>PR024</v>
      </c>
      <c r="B127" s="2" t="str">
        <f>IFERROR(__xludf.DUMMYFUNCTION("""COMPUTED_VALUE"""),"VD038")</f>
        <v>VD038</v>
      </c>
      <c r="C127" s="2">
        <f>IFERROR(__xludf.DUMMYFUNCTION("""COMPUTED_VALUE"""),18.0)</f>
        <v>18</v>
      </c>
      <c r="D127" s="6">
        <f>IFERROR(__xludf.DUMMYFUNCTION("""COMPUTED_VALUE"""),5567.06)</f>
        <v>5567.06</v>
      </c>
      <c r="E127" s="6">
        <f>IFERROR(__xludf.DUMMYFUNCTION("GOOGLEFINANCE(""Currency:BRLMXN"")*D127"),18914.08635)</f>
        <v>18914.08635</v>
      </c>
      <c r="F127" s="6">
        <f>IFERROR(__xludf.DUMMYFUNCTION("GOOGLEFINANCE(""Currency:BRLPEN"")*D127"),3649.764536)</f>
        <v>3649.764536</v>
      </c>
      <c r="G127" s="2" t="str">
        <f t="array" ref="G127">_xlfn.XLOOKUP(B127,Vendedores!$A$2:$A$41,Vendedores!$B$2:$B$41,"No hay datos")</f>
        <v>Bruno Olmedo</v>
      </c>
      <c r="H127" s="2" t="str">
        <f t="array" ref="H127">_xlfn.XLOOKUP(B127,Vendedores!$A$2:$A$41,Vendedores!$C$2:$C$41,"No hay datos")</f>
        <v>Tierra Fertil</v>
      </c>
      <c r="I127" s="2" t="str">
        <f t="array" ref="I127">_xlfn.XLOOKUP(B127,Vendedores!$A$2:$A$41,Vendedores!$D$2:$D$41,"No hay datos")</f>
        <v>Región Sur 2</v>
      </c>
      <c r="J127" s="2" t="str">
        <f t="array" ref="J127:N127">_xlfn.XLOOKUP(A127,Productos!$A$2:$A$61,Productos!$B$2:$F$61)</f>
        <v>Chaqueta de mezclilla</v>
      </c>
      <c r="K127" s="2" t="s">
        <v>17</v>
      </c>
      <c r="L127" s="2" t="s">
        <v>10</v>
      </c>
      <c r="M127" s="2" t="s">
        <v>92</v>
      </c>
      <c r="N127" s="2" t="s">
        <v>64</v>
      </c>
    </row>
    <row r="128">
      <c r="A128" s="2" t="str">
        <f>IFERROR(__xludf.DUMMYFUNCTION("""COMPUTED_VALUE"""),"PR029")</f>
        <v>PR029</v>
      </c>
      <c r="B128" s="2" t="str">
        <f>IFERROR(__xludf.DUMMYFUNCTION("""COMPUTED_VALUE"""),"VD048")</f>
        <v>VD048</v>
      </c>
      <c r="C128" s="2">
        <f>IFERROR(__xludf.DUMMYFUNCTION("""COMPUTED_VALUE"""),8.0)</f>
        <v>8</v>
      </c>
      <c r="D128" s="6">
        <f>IFERROR(__xludf.DUMMYFUNCTION("""COMPUTED_VALUE"""),2325.6)</f>
        <v>2325.6</v>
      </c>
      <c r="E128" s="6">
        <f>IFERROR(__xludf.DUMMYFUNCTION("GOOGLEFINANCE(""Currency:BRLMXN"")*D128"),7901.226)</f>
        <v>7901.226</v>
      </c>
      <c r="F128" s="6">
        <f>IFERROR(__xludf.DUMMYFUNCTION("GOOGLEFINANCE(""Currency:BRLPEN"")*D128"),1524.6633599999998)</f>
        <v>1524.66336</v>
      </c>
      <c r="G128" s="2" t="str">
        <f t="array" ref="G128">_xlfn.XLOOKUP(B128,Vendedores!$A$2:$A$41,Vendedores!$B$2:$B$41,"No hay datos")</f>
        <v>Mariana Castro</v>
      </c>
      <c r="H128" s="2" t="str">
        <f t="array" ref="H128">_xlfn.XLOOKUP(B128,Vendedores!$A$2:$A$41,Vendedores!$C$2:$C$41,"No hay datos")</f>
        <v>San Carlos del Valle</v>
      </c>
      <c r="I128" s="2" t="str">
        <f t="array" ref="I128">_xlfn.XLOOKUP(B128,Vendedores!$A$2:$A$41,Vendedores!$D$2:$D$41,"No hay datos")</f>
        <v>Región Central 2</v>
      </c>
      <c r="J128" s="2" t="str">
        <f t="array" ref="J128:N128">_xlfn.XLOOKUP(A128,Productos!$A$2:$A$61,Productos!$B$2:$F$61)</f>
        <v>Tenis Atitas</v>
      </c>
      <c r="K128" s="2">
        <v>37.0</v>
      </c>
      <c r="L128" s="2" t="s">
        <v>33</v>
      </c>
      <c r="M128" s="2" t="s">
        <v>96</v>
      </c>
      <c r="N128" s="2" t="s">
        <v>97</v>
      </c>
    </row>
    <row r="129">
      <c r="A129" s="2" t="str">
        <f>IFERROR(__xludf.DUMMYFUNCTION("""COMPUTED_VALUE"""),"PR040")</f>
        <v>PR040</v>
      </c>
      <c r="B129" s="2" t="str">
        <f>IFERROR(__xludf.DUMMYFUNCTION("""COMPUTED_VALUE"""),"VD022")</f>
        <v>VD022</v>
      </c>
      <c r="C129" s="2">
        <f>IFERROR(__xludf.DUMMYFUNCTION("""COMPUTED_VALUE"""),18.0)</f>
        <v>18</v>
      </c>
      <c r="D129" s="6">
        <f>IFERROR(__xludf.DUMMYFUNCTION("""COMPUTED_VALUE"""),1423.8)</f>
        <v>1423.8</v>
      </c>
      <c r="E129" s="6">
        <f>IFERROR(__xludf.DUMMYFUNCTION("GOOGLEFINANCE(""Currency:BRLMXN"")*D129"),4837.3605)</f>
        <v>4837.3605</v>
      </c>
      <c r="F129" s="6">
        <f>IFERROR(__xludf.DUMMYFUNCTION("GOOGLEFINANCE(""Currency:BRLPEN"")*D129"),933.44328)</f>
        <v>933.44328</v>
      </c>
      <c r="G129" s="2" t="str">
        <f t="array" ref="G129">_xlfn.XLOOKUP(B129,Vendedores!$A$2:$A$41,Vendedores!$B$2:$B$41,"No hay datos")</f>
        <v>Santiago Linares</v>
      </c>
      <c r="H129" s="2" t="str">
        <f t="array" ref="H129">_xlfn.XLOOKUP(B129,Vendedores!$A$2:$A$41,Vendedores!$C$2:$C$41,"No hay datos")</f>
        <v>Vista Hermosa</v>
      </c>
      <c r="I129" s="2" t="str">
        <f t="array" ref="I129">_xlfn.XLOOKUP(B129,Vendedores!$A$2:$A$41,Vendedores!$D$2:$D$41,"No hay datos")</f>
        <v>Región Central</v>
      </c>
      <c r="J129" s="2" t="str">
        <f t="array" ref="J129:N129">_xlfn.XLOOKUP(A129,Productos!$A$2:$A$61,Productos!$B$2:$F$61)</f>
        <v>Playera confort</v>
      </c>
      <c r="K129" s="2" t="s">
        <v>9</v>
      </c>
      <c r="L129" s="2" t="s">
        <v>10</v>
      </c>
      <c r="M129" s="2" t="s">
        <v>68</v>
      </c>
      <c r="N129" s="2" t="s">
        <v>70</v>
      </c>
    </row>
    <row r="130">
      <c r="A130" s="2" t="str">
        <f>IFERROR(__xludf.DUMMYFUNCTION("""COMPUTED_VALUE"""),"PR045")</f>
        <v>PR045</v>
      </c>
      <c r="B130" s="2" t="str">
        <f>IFERROR(__xludf.DUMMYFUNCTION("""COMPUTED_VALUE"""),"VD023")</f>
        <v>VD023</v>
      </c>
      <c r="C130" s="2">
        <f>IFERROR(__xludf.DUMMYFUNCTION("""COMPUTED_VALUE"""),16.0)</f>
        <v>16</v>
      </c>
      <c r="D130" s="6">
        <f>IFERROR(__xludf.DUMMYFUNCTION("""COMPUTED_VALUE"""),1345.6)</f>
        <v>1345.6</v>
      </c>
      <c r="E130" s="6">
        <f>IFERROR(__xludf.DUMMYFUNCTION("GOOGLEFINANCE(""Currency:BRLMXN"")*D130"),4571.6759999999995)</f>
        <v>4571.676</v>
      </c>
      <c r="F130" s="6">
        <f>IFERROR(__xludf.DUMMYFUNCTION("GOOGLEFINANCE(""Currency:BRLPEN"")*D130"),882.1753599999998)</f>
        <v>882.17536</v>
      </c>
      <c r="G130" s="2" t="str">
        <f t="array" ref="G130">_xlfn.XLOOKUP(B130,Vendedores!$A$2:$A$41,Vendedores!$B$2:$B$41,"No hay datos")</f>
        <v>Juliana Castro</v>
      </c>
      <c r="H130" s="2" t="str">
        <f t="array" ref="H130">_xlfn.XLOOKUP(B130,Vendedores!$A$2:$A$41,Vendedores!$C$2:$C$41,"No hay datos")</f>
        <v>San Miguel de los Pinos</v>
      </c>
      <c r="I130" s="2" t="str">
        <f t="array" ref="I130">_xlfn.XLOOKUP(B130,Vendedores!$A$2:$A$41,Vendedores!$D$2:$D$41,"No hay datos")</f>
        <v>Región Sur</v>
      </c>
      <c r="J130" s="2" t="str">
        <f t="array" ref="J130:N130">_xlfn.XLOOKUP(A130,Productos!$A$2:$A$61,Productos!$B$2:$F$61)</f>
        <v>Vestido floral</v>
      </c>
      <c r="K130" s="2" t="s">
        <v>22</v>
      </c>
      <c r="L130" s="2" t="s">
        <v>10</v>
      </c>
      <c r="M130" s="2" t="s">
        <v>39</v>
      </c>
      <c r="N130" s="2" t="s">
        <v>40</v>
      </c>
    </row>
    <row r="131">
      <c r="A131" s="2" t="str">
        <f>IFERROR(__xludf.DUMMYFUNCTION("""COMPUTED_VALUE"""),"PR059")</f>
        <v>PR059</v>
      </c>
      <c r="B131" s="2" t="str">
        <f>IFERROR(__xludf.DUMMYFUNCTION("""COMPUTED_VALUE"""),"VD034")</f>
        <v>VD034</v>
      </c>
      <c r="C131" s="2">
        <f>IFERROR(__xludf.DUMMYFUNCTION("""COMPUTED_VALUE"""),18.0)</f>
        <v>18</v>
      </c>
      <c r="D131" s="6">
        <f>IFERROR(__xludf.DUMMYFUNCTION("""COMPUTED_VALUE"""),3888.0)</f>
        <v>3888</v>
      </c>
      <c r="E131" s="6">
        <f>IFERROR(__xludf.DUMMYFUNCTION("GOOGLEFINANCE(""Currency:BRLMXN"")*D131"),13209.48)</f>
        <v>13209.48</v>
      </c>
      <c r="F131" s="6">
        <f>IFERROR(__xludf.DUMMYFUNCTION("GOOGLEFINANCE(""Currency:BRLPEN"")*D131"),2548.9728)</f>
        <v>2548.9728</v>
      </c>
      <c r="G131" s="2" t="str">
        <f t="array" ref="G131">_xlfn.XLOOKUP(B131,Vendedores!$A$2:$A$41,Vendedores!$B$2:$B$41,"No hay datos")</f>
        <v>Felipe Carvajal</v>
      </c>
      <c r="H131" s="2" t="str">
        <f t="array" ref="H131">_xlfn.XLOOKUP(B131,Vendedores!$A$2:$A$41,Vendedores!$C$2:$C$41,"No hay datos")</f>
        <v>San Pedro del Río</v>
      </c>
      <c r="I131" s="2" t="str">
        <f t="array" ref="I131">_xlfn.XLOOKUP(B131,Vendedores!$A$2:$A$41,Vendedores!$D$2:$D$41,"No hay datos")</f>
        <v>Región Sur 2</v>
      </c>
      <c r="J131" s="2" t="str">
        <f t="array" ref="J131:N131">_xlfn.XLOOKUP(A131,Productos!$A$2:$A$61,Productos!$B$2:$F$61)</f>
        <v>Pantalón de sastre</v>
      </c>
      <c r="K131" s="2" t="s">
        <v>17</v>
      </c>
      <c r="L131" s="2" t="s">
        <v>10</v>
      </c>
      <c r="M131" s="2" t="s">
        <v>28</v>
      </c>
      <c r="N131" s="2" t="s">
        <v>14</v>
      </c>
    </row>
    <row r="132">
      <c r="A132" s="2" t="str">
        <f>IFERROR(__xludf.DUMMYFUNCTION("""COMPUTED_VALUE"""),"PR031")</f>
        <v>PR031</v>
      </c>
      <c r="B132" s="2" t="str">
        <f>IFERROR(__xludf.DUMMYFUNCTION("""COMPUTED_VALUE"""),"VD039")</f>
        <v>VD039</v>
      </c>
      <c r="C132" s="2">
        <f>IFERROR(__xludf.DUMMYFUNCTION("""COMPUTED_VALUE"""),9.0)</f>
        <v>9</v>
      </c>
      <c r="D132" s="6">
        <f>IFERROR(__xludf.DUMMYFUNCTION("""COMPUTED_VALUE"""),2557.8)</f>
        <v>2557.8</v>
      </c>
      <c r="E132" s="6">
        <f>IFERROR(__xludf.DUMMYFUNCTION("GOOGLEFINANCE(""Currency:BRLMXN"")*D132"),8690.1255)</f>
        <v>8690.1255</v>
      </c>
      <c r="F132" s="6">
        <f>IFERROR(__xludf.DUMMYFUNCTION("GOOGLEFINANCE(""Currency:BRLPEN"")*D132"),1676.8936800000001)</f>
        <v>1676.89368</v>
      </c>
      <c r="G132" s="2" t="str">
        <f t="array" ref="G132">_xlfn.XLOOKUP(B132,Vendedores!$A$2:$A$41,Vendedores!$B$2:$B$41,"No hay datos")</f>
        <v>Daniela Rodríguez</v>
      </c>
      <c r="H132" s="2" t="str">
        <f t="array" ref="H132">_xlfn.XLOOKUP(B132,Vendedores!$A$2:$A$41,Vendedores!$C$2:$C$41,"No hay datos")</f>
        <v>Bahía del Sol</v>
      </c>
      <c r="I132" s="2" t="str">
        <f t="array" ref="I132">_xlfn.XLOOKUP(B132,Vendedores!$A$2:$A$41,Vendedores!$D$2:$D$41,"No hay datos")</f>
        <v>Región Central 2</v>
      </c>
      <c r="J132" s="2" t="str">
        <f t="array" ref="J132:N132">_xlfn.XLOOKUP(A132,Productos!$A$2:$A$61,Productos!$B$2:$F$61)</f>
        <v>Tenis Chunky</v>
      </c>
      <c r="K132" s="2">
        <v>36.0</v>
      </c>
      <c r="L132" s="2" t="s">
        <v>33</v>
      </c>
      <c r="M132" s="2" t="s">
        <v>84</v>
      </c>
      <c r="N132" s="2" t="s">
        <v>85</v>
      </c>
    </row>
    <row r="133">
      <c r="A133" s="2" t="str">
        <f>IFERROR(__xludf.DUMMYFUNCTION("""COMPUTED_VALUE"""),"PR059")</f>
        <v>PR059</v>
      </c>
      <c r="B133" s="2" t="str">
        <f>IFERROR(__xludf.DUMMYFUNCTION("""COMPUTED_VALUE"""),"VD036")</f>
        <v>VD036</v>
      </c>
      <c r="C133" s="2">
        <f>IFERROR(__xludf.DUMMYFUNCTION("""COMPUTED_VALUE"""),15.0)</f>
        <v>15</v>
      </c>
      <c r="D133" s="6">
        <f>IFERROR(__xludf.DUMMYFUNCTION("""COMPUTED_VALUE"""),2997.0)</f>
        <v>2997</v>
      </c>
      <c r="E133" s="6">
        <f>IFERROR(__xludf.DUMMYFUNCTION("GOOGLEFINANCE(""Currency:BRLMXN"")*D133"),10182.3075)</f>
        <v>10182.3075</v>
      </c>
      <c r="F133" s="6">
        <f>IFERROR(__xludf.DUMMYFUNCTION("GOOGLEFINANCE(""Currency:BRLPEN"")*D133"),1964.8331999999998)</f>
        <v>1964.8332</v>
      </c>
      <c r="G133" s="2" t="str">
        <f t="array" ref="G133">_xlfn.XLOOKUP(B133,Vendedores!$A$2:$A$41,Vendedores!$B$2:$B$41,"No hay datos")</f>
        <v>Ricardo Sosa</v>
      </c>
      <c r="H133" s="2" t="str">
        <f t="array" ref="H133">_xlfn.XLOOKUP(B133,Vendedores!$A$2:$A$41,Vendedores!$C$2:$C$41,"No hay datos")</f>
        <v>Puerto Nuevo</v>
      </c>
      <c r="I133" s="2" t="str">
        <f t="array" ref="I133">_xlfn.XLOOKUP(B133,Vendedores!$A$2:$A$41,Vendedores!$D$2:$D$41,"No hay datos")</f>
        <v>Región Central 2</v>
      </c>
      <c r="J133" s="2" t="str">
        <f t="array" ref="J133:N133">_xlfn.XLOOKUP(A133,Productos!$A$2:$A$61,Productos!$B$2:$F$61)</f>
        <v>Pantalón de sastre</v>
      </c>
      <c r="K133" s="2" t="s">
        <v>17</v>
      </c>
      <c r="L133" s="2" t="s">
        <v>10</v>
      </c>
      <c r="M133" s="2" t="s">
        <v>28</v>
      </c>
      <c r="N133" s="2" t="s">
        <v>14</v>
      </c>
    </row>
    <row r="134">
      <c r="A134" s="2" t="str">
        <f>IFERROR(__xludf.DUMMYFUNCTION("""COMPUTED_VALUE"""),"PR058")</f>
        <v>PR058</v>
      </c>
      <c r="B134" s="2" t="str">
        <f>IFERROR(__xludf.DUMMYFUNCTION("""COMPUTED_VALUE"""),"VD027")</f>
        <v>VD027</v>
      </c>
      <c r="C134" s="2">
        <f>IFERROR(__xludf.DUMMYFUNCTION("""COMPUTED_VALUE"""),15.0)</f>
        <v>15</v>
      </c>
      <c r="D134" s="6">
        <f>IFERROR(__xludf.DUMMYFUNCTION("""COMPUTED_VALUE"""),3186.0)</f>
        <v>3186</v>
      </c>
      <c r="E134" s="6">
        <f>IFERROR(__xludf.DUMMYFUNCTION("GOOGLEFINANCE(""Currency:BRLMXN"")*D134"),10824.435)</f>
        <v>10824.435</v>
      </c>
      <c r="F134" s="6">
        <f>IFERROR(__xludf.DUMMYFUNCTION("GOOGLEFINANCE(""Currency:BRLPEN"")*D134"),2088.7416)</f>
        <v>2088.7416</v>
      </c>
      <c r="G134" s="2" t="str">
        <f t="array" ref="G134">_xlfn.XLOOKUP(B134,Vendedores!$A$2:$A$41,Vendedores!$B$2:$B$41,"No hay datos")</f>
        <v>Patricia Cortés</v>
      </c>
      <c r="H134" s="2" t="str">
        <f t="array" ref="H134">_xlfn.XLOOKUP(B134,Vendedores!$A$2:$A$41,Vendedores!$C$2:$C$41,"No hay datos")</f>
        <v>Costa Azul</v>
      </c>
      <c r="I134" s="2" t="str">
        <f t="array" ref="I134">_xlfn.XLOOKUP(B134,Vendedores!$A$2:$A$41,Vendedores!$D$2:$D$41,"No hay datos")</f>
        <v>Región Norte</v>
      </c>
      <c r="J134" s="2" t="str">
        <f t="array" ref="J134:N134">_xlfn.XLOOKUP(A134,Productos!$A$2:$A$61,Productos!$B$2:$F$61)</f>
        <v>Pantalón de sastre</v>
      </c>
      <c r="K134" s="2" t="s">
        <v>9</v>
      </c>
      <c r="L134" s="2" t="s">
        <v>10</v>
      </c>
      <c r="M134" s="2" t="s">
        <v>13</v>
      </c>
      <c r="N134" s="2" t="s">
        <v>14</v>
      </c>
    </row>
    <row r="135">
      <c r="A135" s="2" t="str">
        <f>IFERROR(__xludf.DUMMYFUNCTION("""COMPUTED_VALUE"""),"PR005")</f>
        <v>PR005</v>
      </c>
      <c r="B135" s="2" t="str">
        <f>IFERROR(__xludf.DUMMYFUNCTION("""COMPUTED_VALUE"""),"VD036")</f>
        <v>VD036</v>
      </c>
      <c r="C135" s="2">
        <f>IFERROR(__xludf.DUMMYFUNCTION("""COMPUTED_VALUE"""),27.0)</f>
        <v>27</v>
      </c>
      <c r="D135" s="6">
        <f>IFERROR(__xludf.DUMMYFUNCTION("""COMPUTED_VALUE"""),7929.55)</f>
        <v>7929.55</v>
      </c>
      <c r="E135" s="6">
        <f>IFERROR(__xludf.DUMMYFUNCTION("GOOGLEFINANCE(""Currency:BRLMXN"")*D135"),26940.646125)</f>
        <v>26940.64613</v>
      </c>
      <c r="F135" s="6">
        <f>IFERROR(__xludf.DUMMYFUNCTION("GOOGLEFINANCE(""Currency:BRLPEN"")*D135"),5198.61298)</f>
        <v>5198.61298</v>
      </c>
      <c r="G135" s="2" t="str">
        <f t="array" ref="G135">_xlfn.XLOOKUP(B135,Vendedores!$A$2:$A$41,Vendedores!$B$2:$B$41,"No hay datos")</f>
        <v>Ricardo Sosa</v>
      </c>
      <c r="H135" s="2" t="str">
        <f t="array" ref="H135">_xlfn.XLOOKUP(B135,Vendedores!$A$2:$A$41,Vendedores!$C$2:$C$41,"No hay datos")</f>
        <v>Puerto Nuevo</v>
      </c>
      <c r="I135" s="2" t="str">
        <f t="array" ref="I135">_xlfn.XLOOKUP(B135,Vendedores!$A$2:$A$41,Vendedores!$D$2:$D$41,"No hay datos")</f>
        <v>Región Central 2</v>
      </c>
      <c r="J135" s="2" t="str">
        <f t="array" ref="J135:N135">_xlfn.XLOOKUP(A135,Productos!$A$2:$A$61,Productos!$B$2:$F$61)</f>
        <v>Bolso de cuero</v>
      </c>
      <c r="K135" s="2" t="s">
        <v>29</v>
      </c>
      <c r="L135" s="2" t="s">
        <v>30</v>
      </c>
      <c r="M135" s="2" t="s">
        <v>100</v>
      </c>
      <c r="N135" s="2" t="s">
        <v>64</v>
      </c>
    </row>
    <row r="136">
      <c r="A136" s="2" t="str">
        <f>IFERROR(__xludf.DUMMYFUNCTION("""COMPUTED_VALUE"""),"PR017")</f>
        <v>PR017</v>
      </c>
      <c r="B136" s="2" t="str">
        <f>IFERROR(__xludf.DUMMYFUNCTION("""COMPUTED_VALUE"""),"VD022")</f>
        <v>VD022</v>
      </c>
      <c r="C136" s="2">
        <f>IFERROR(__xludf.DUMMYFUNCTION("""COMPUTED_VALUE"""),18.0)</f>
        <v>18</v>
      </c>
      <c r="D136" s="6">
        <f>IFERROR(__xludf.DUMMYFUNCTION("""COMPUTED_VALUE"""),592.02)</f>
        <v>592.02</v>
      </c>
      <c r="E136" s="6">
        <f>IFERROR(__xludf.DUMMYFUNCTION("GOOGLEFINANCE(""Currency:BRLMXN"")*D136"),2011.3879499999998)</f>
        <v>2011.38795</v>
      </c>
      <c r="F136" s="6">
        <f>IFERROR(__xludf.DUMMYFUNCTION("GOOGLEFINANCE(""Currency:BRLPEN"")*D136"),388.12831199999994)</f>
        <v>388.128312</v>
      </c>
      <c r="G136" s="2" t="str">
        <f t="array" ref="G136">_xlfn.XLOOKUP(B136,Vendedores!$A$2:$A$41,Vendedores!$B$2:$B$41,"No hay datos")</f>
        <v>Santiago Linares</v>
      </c>
      <c r="H136" s="2" t="str">
        <f t="array" ref="H136">_xlfn.XLOOKUP(B136,Vendedores!$A$2:$A$41,Vendedores!$C$2:$C$41,"No hay datos")</f>
        <v>Vista Hermosa</v>
      </c>
      <c r="I136" s="2" t="str">
        <f t="array" ref="I136">_xlfn.XLOOKUP(B136,Vendedores!$A$2:$A$41,Vendedores!$D$2:$D$41,"No hay datos")</f>
        <v>Región Central</v>
      </c>
      <c r="J136" s="2" t="str">
        <f t="array" ref="J136:N136">_xlfn.XLOOKUP(A136,Productos!$A$2:$A$61,Productos!$B$2:$F$61)</f>
        <v>Playera lisa</v>
      </c>
      <c r="K136" s="2" t="s">
        <v>17</v>
      </c>
      <c r="L136" s="2" t="s">
        <v>10</v>
      </c>
      <c r="M136" s="2" t="s">
        <v>98</v>
      </c>
      <c r="N136" s="2" t="s">
        <v>99</v>
      </c>
    </row>
    <row r="137">
      <c r="A137" s="2" t="str">
        <f>IFERROR(__xludf.DUMMYFUNCTION("""COMPUTED_VALUE"""),"PR005")</f>
        <v>PR005</v>
      </c>
      <c r="B137" s="2" t="str">
        <f>IFERROR(__xludf.DUMMYFUNCTION("""COMPUTED_VALUE"""),"VD047")</f>
        <v>VD047</v>
      </c>
      <c r="C137" s="2">
        <f>IFERROR(__xludf.DUMMYFUNCTION("""COMPUTED_VALUE"""),15.0)</f>
        <v>15</v>
      </c>
      <c r="D137" s="6">
        <f>IFERROR(__xludf.DUMMYFUNCTION("""COMPUTED_VALUE"""),4561.25)</f>
        <v>4561.25</v>
      </c>
      <c r="E137" s="6">
        <f>IFERROR(__xludf.DUMMYFUNCTION("GOOGLEFINANCE(""Currency:BRLMXN"")*D137"),15496.846875)</f>
        <v>15496.84688</v>
      </c>
      <c r="F137" s="6">
        <f>IFERROR(__xludf.DUMMYFUNCTION("GOOGLEFINANCE(""Currency:BRLPEN"")*D137"),2990.3554999999997)</f>
        <v>2990.3555</v>
      </c>
      <c r="G137" s="2" t="str">
        <f t="array" ref="G137">_xlfn.XLOOKUP(B137,Vendedores!$A$2:$A$41,Vendedores!$B$2:$B$41,"No hay datos")</f>
        <v>Andrés López</v>
      </c>
      <c r="H137" s="2" t="str">
        <f t="array" ref="H137">_xlfn.XLOOKUP(B137,Vendedores!$A$2:$A$41,Vendedores!$C$2:$C$41,"No hay datos")</f>
        <v>Villa Progreso</v>
      </c>
      <c r="I137" s="2" t="str">
        <f t="array" ref="I137">_xlfn.XLOOKUP(B137,Vendedores!$A$2:$A$41,Vendedores!$D$2:$D$41,"No hay datos")</f>
        <v>Región Central 2</v>
      </c>
      <c r="J137" s="2" t="str">
        <f t="array" ref="J137:N137">_xlfn.XLOOKUP(A137,Productos!$A$2:$A$61,Productos!$B$2:$F$61)</f>
        <v>Bolso de cuero</v>
      </c>
      <c r="K137" s="2" t="s">
        <v>29</v>
      </c>
      <c r="L137" s="2" t="s">
        <v>30</v>
      </c>
      <c r="M137" s="2" t="s">
        <v>100</v>
      </c>
      <c r="N137" s="2" t="s">
        <v>64</v>
      </c>
    </row>
    <row r="138">
      <c r="A138" s="2" t="str">
        <f>IFERROR(__xludf.DUMMYFUNCTION("""COMPUTED_VALUE"""),"PR015")</f>
        <v>PR015</v>
      </c>
      <c r="B138" s="2" t="str">
        <f>IFERROR(__xludf.DUMMYFUNCTION("""COMPUTED_VALUE"""),"VD022")</f>
        <v>VD022</v>
      </c>
      <c r="C138" s="2">
        <f>IFERROR(__xludf.DUMMYFUNCTION("""COMPUTED_VALUE"""),6.0)</f>
        <v>6</v>
      </c>
      <c r="D138" s="6">
        <f>IFERROR(__xludf.DUMMYFUNCTION("""COMPUTED_VALUE"""),306.0)</f>
        <v>306</v>
      </c>
      <c r="E138" s="6">
        <f>IFERROR(__xludf.DUMMYFUNCTION("GOOGLEFINANCE(""Currency:BRLMXN"")*D138"),1039.635)</f>
        <v>1039.635</v>
      </c>
      <c r="F138" s="6">
        <f>IFERROR(__xludf.DUMMYFUNCTION("GOOGLEFINANCE(""Currency:BRLPEN"")*D138"),200.6136)</f>
        <v>200.6136</v>
      </c>
      <c r="G138" s="2" t="str">
        <f t="array" ref="G138">_xlfn.XLOOKUP(B138,Vendedores!$A$2:$A$41,Vendedores!$B$2:$B$41,"No hay datos")</f>
        <v>Santiago Linares</v>
      </c>
      <c r="H138" s="2" t="str">
        <f t="array" ref="H138">_xlfn.XLOOKUP(B138,Vendedores!$A$2:$A$41,Vendedores!$C$2:$C$41,"No hay datos")</f>
        <v>Vista Hermosa</v>
      </c>
      <c r="I138" s="2" t="str">
        <f t="array" ref="I138">_xlfn.XLOOKUP(B138,Vendedores!$A$2:$A$41,Vendedores!$D$2:$D$41,"No hay datos")</f>
        <v>Región Central</v>
      </c>
      <c r="J138" s="2" t="str">
        <f t="array" ref="J138:N138">_xlfn.XLOOKUP(A138,Productos!$A$2:$A$61,Productos!$B$2:$F$61)</f>
        <v>Playera estampada</v>
      </c>
      <c r="K138" s="2" t="s">
        <v>22</v>
      </c>
      <c r="L138" s="2" t="s">
        <v>10</v>
      </c>
      <c r="M138" s="2" t="s">
        <v>101</v>
      </c>
      <c r="N138" s="2" t="s">
        <v>102</v>
      </c>
    </row>
    <row r="139">
      <c r="A139" s="2" t="str">
        <f>IFERROR(__xludf.DUMMYFUNCTION("""COMPUTED_VALUE"""),"PR010")</f>
        <v>PR010</v>
      </c>
      <c r="B139" s="2" t="str">
        <f>IFERROR(__xludf.DUMMYFUNCTION("""COMPUTED_VALUE"""),"VD013")</f>
        <v>VD013</v>
      </c>
      <c r="C139" s="2">
        <f>IFERROR(__xludf.DUMMYFUNCTION("""COMPUTED_VALUE"""),8.0)</f>
        <v>8</v>
      </c>
      <c r="D139" s="6">
        <f>IFERROR(__xludf.DUMMYFUNCTION("""COMPUTED_VALUE"""),423.86)</f>
        <v>423.86</v>
      </c>
      <c r="E139" s="6">
        <f>IFERROR(__xludf.DUMMYFUNCTION("GOOGLEFINANCE(""Currency:BRLMXN"")*D139"),1440.06435)</f>
        <v>1440.06435</v>
      </c>
      <c r="F139" s="6">
        <f>IFERROR(__xludf.DUMMYFUNCTION("GOOGLEFINANCE(""Currency:BRLPEN"")*D139"),277.882616)</f>
        <v>277.882616</v>
      </c>
      <c r="G139" s="2" t="str">
        <f t="array" ref="G139">_xlfn.XLOOKUP(B139,Vendedores!$A$2:$A$41,Vendedores!$B$2:$B$41,"No hay datos")</f>
        <v>Pedro Almonte</v>
      </c>
      <c r="H139" s="2" t="str">
        <f t="array" ref="H139">_xlfn.XLOOKUP(B139,Vendedores!$A$2:$A$41,Vendedores!$C$2:$C$41,"No hay datos")</f>
        <v>Santa Rosa del Valle</v>
      </c>
      <c r="I139" s="2" t="str">
        <f t="array" ref="I139">_xlfn.XLOOKUP(B139,Vendedores!$A$2:$A$41,Vendedores!$D$2:$D$41,"No hay datos")</f>
        <v>Región Norte</v>
      </c>
      <c r="J139" s="2" t="str">
        <f t="array" ref="J139:N139">_xlfn.XLOOKUP(A139,Productos!$A$2:$A$61,Productos!$B$2:$F$61)</f>
        <v>Pantalón legging</v>
      </c>
      <c r="K139" s="2" t="s">
        <v>9</v>
      </c>
      <c r="L139" s="2" t="s">
        <v>10</v>
      </c>
      <c r="M139" s="2" t="s">
        <v>86</v>
      </c>
      <c r="N139" s="2" t="s">
        <v>87</v>
      </c>
    </row>
    <row r="140">
      <c r="A140" s="2" t="str">
        <f>IFERROR(__xludf.DUMMYFUNCTION("""COMPUTED_VALUE"""),"PR057")</f>
        <v>PR057</v>
      </c>
      <c r="B140" s="2" t="str">
        <f>IFERROR(__xludf.DUMMYFUNCTION("""COMPUTED_VALUE"""),"VD023")</f>
        <v>VD023</v>
      </c>
      <c r="C140" s="2">
        <f>IFERROR(__xludf.DUMMYFUNCTION("""COMPUTED_VALUE"""),27.0)</f>
        <v>27</v>
      </c>
      <c r="D140" s="6">
        <f>IFERROR(__xludf.DUMMYFUNCTION("""COMPUTED_VALUE"""),2670.03)</f>
        <v>2670.03</v>
      </c>
      <c r="E140" s="6">
        <f>IFERROR(__xludf.DUMMYFUNCTION("GOOGLEFINANCE(""Currency:BRLMXN"")*D140"),9071.426925)</f>
        <v>9071.426925</v>
      </c>
      <c r="F140" s="6">
        <f>IFERROR(__xludf.DUMMYFUNCTION("GOOGLEFINANCE(""Currency:BRLPEN"")*D140"),1750.4716680000001)</f>
        <v>1750.471668</v>
      </c>
      <c r="G140" s="2" t="str">
        <f t="array" ref="G140">_xlfn.XLOOKUP(B140,Vendedores!$A$2:$A$41,Vendedores!$B$2:$B$41,"No hay datos")</f>
        <v>Juliana Castro</v>
      </c>
      <c r="H140" s="2" t="str">
        <f t="array" ref="H140">_xlfn.XLOOKUP(B140,Vendedores!$A$2:$A$41,Vendedores!$C$2:$C$41,"No hay datos")</f>
        <v>San Miguel de los Pinos</v>
      </c>
      <c r="I140" s="2" t="str">
        <f t="array" ref="I140">_xlfn.XLOOKUP(B140,Vendedores!$A$2:$A$41,Vendedores!$D$2:$D$41,"No hay datos")</f>
        <v>Región Sur</v>
      </c>
      <c r="J140" s="2" t="str">
        <f t="array" ref="J140:N140">_xlfn.XLOOKUP(A140,Productos!$A$2:$A$61,Productos!$B$2:$F$61)</f>
        <v>Sandalia plana</v>
      </c>
      <c r="K140" s="2">
        <v>37.0</v>
      </c>
      <c r="L140" s="2" t="s">
        <v>33</v>
      </c>
      <c r="M140" s="2" t="s">
        <v>58</v>
      </c>
      <c r="N140" s="2" t="s">
        <v>35</v>
      </c>
    </row>
    <row r="141">
      <c r="A141" s="2" t="str">
        <f>IFERROR(__xludf.DUMMYFUNCTION("""COMPUTED_VALUE"""),"PR024")</f>
        <v>PR024</v>
      </c>
      <c r="B141" s="2" t="str">
        <f>IFERROR(__xludf.DUMMYFUNCTION("""COMPUTED_VALUE"""),"VD048")</f>
        <v>VD048</v>
      </c>
      <c r="C141" s="2">
        <f>IFERROR(__xludf.DUMMYFUNCTION("""COMPUTED_VALUE"""),16.0)</f>
        <v>16</v>
      </c>
      <c r="D141" s="6">
        <f>IFERROR(__xludf.DUMMYFUNCTION("""COMPUTED_VALUE"""),4823.74)</f>
        <v>4823.74</v>
      </c>
      <c r="E141" s="6">
        <f>IFERROR(__xludf.DUMMYFUNCTION("GOOGLEFINANCE(""Currency:BRLMXN"")*D141"),16388.65665)</f>
        <v>16388.65665</v>
      </c>
      <c r="F141" s="6">
        <f>IFERROR(__xludf.DUMMYFUNCTION("GOOGLEFINANCE(""Currency:BRLPEN"")*D141"),3162.4439439999996)</f>
        <v>3162.443944</v>
      </c>
      <c r="G141" s="2" t="str">
        <f t="array" ref="G141">_xlfn.XLOOKUP(B141,Vendedores!$A$2:$A$41,Vendedores!$B$2:$B$41,"No hay datos")</f>
        <v>Mariana Castro</v>
      </c>
      <c r="H141" s="2" t="str">
        <f t="array" ref="H141">_xlfn.XLOOKUP(B141,Vendedores!$A$2:$A$41,Vendedores!$C$2:$C$41,"No hay datos")</f>
        <v>San Carlos del Valle</v>
      </c>
      <c r="I141" s="2" t="str">
        <f t="array" ref="I141">_xlfn.XLOOKUP(B141,Vendedores!$A$2:$A$41,Vendedores!$D$2:$D$41,"No hay datos")</f>
        <v>Región Central 2</v>
      </c>
      <c r="J141" s="2" t="str">
        <f t="array" ref="J141:N141">_xlfn.XLOOKUP(A141,Productos!$A$2:$A$61,Productos!$B$2:$F$61)</f>
        <v>Chaqueta de mezclilla</v>
      </c>
      <c r="K141" s="2" t="s">
        <v>17</v>
      </c>
      <c r="L141" s="2" t="s">
        <v>10</v>
      </c>
      <c r="M141" s="2" t="s">
        <v>92</v>
      </c>
      <c r="N141" s="2" t="s">
        <v>64</v>
      </c>
    </row>
    <row r="142">
      <c r="A142" s="2" t="str">
        <f>IFERROR(__xludf.DUMMYFUNCTION("""COMPUTED_VALUE"""),"PR050")</f>
        <v>PR050</v>
      </c>
      <c r="B142" s="2" t="str">
        <f>IFERROR(__xludf.DUMMYFUNCTION("""COMPUTED_VALUE"""),"VD019")</f>
        <v>VD019</v>
      </c>
      <c r="C142" s="2">
        <f>IFERROR(__xludf.DUMMYFUNCTION("""COMPUTED_VALUE"""),18.0)</f>
        <v>18</v>
      </c>
      <c r="D142" s="6">
        <f>IFERROR(__xludf.DUMMYFUNCTION("""COMPUTED_VALUE"""),681.03)</f>
        <v>681.03</v>
      </c>
      <c r="E142" s="6">
        <f>IFERROR(__xludf.DUMMYFUNCTION("GOOGLEFINANCE(""Currency:BRLMXN"")*D142"),2313.7994249999997)</f>
        <v>2313.799425</v>
      </c>
      <c r="F142" s="6">
        <f>IFERROR(__xludf.DUMMYFUNCTION("GOOGLEFINANCE(""Currency:BRLPEN"")*D142"),446.48326799999995)</f>
        <v>446.483268</v>
      </c>
      <c r="G142" s="2" t="str">
        <f t="array" ref="G142">_xlfn.XLOOKUP(B142,Vendedores!$A$2:$A$41,Vendedores!$B$2:$B$41,"No hay datos")</f>
        <v>Rafael Sosa</v>
      </c>
      <c r="H142" s="2" t="str">
        <f t="array" ref="H142">_xlfn.XLOOKUP(B142,Vendedores!$A$2:$A$41,Vendedores!$C$2:$C$41,"No hay datos")</f>
        <v>Selva Verde</v>
      </c>
      <c r="I142" s="2" t="str">
        <f t="array" ref="I142">_xlfn.XLOOKUP(B142,Vendedores!$A$2:$A$41,Vendedores!$D$2:$D$41,"No hay datos")</f>
        <v>Región Amazónica</v>
      </c>
      <c r="J142" s="2" t="str">
        <f t="array" ref="J142:N142">_xlfn.XLOOKUP(A142,Productos!$A$2:$A$61,Productos!$B$2:$F$61)</f>
        <v>Playera a rayas</v>
      </c>
      <c r="K142" s="2" t="s">
        <v>17</v>
      </c>
      <c r="L142" s="2" t="s">
        <v>10</v>
      </c>
      <c r="M142" s="2" t="s">
        <v>27</v>
      </c>
      <c r="N142" s="2" t="s">
        <v>24</v>
      </c>
    </row>
    <row r="143">
      <c r="A143" s="2" t="str">
        <f>IFERROR(__xludf.DUMMYFUNCTION("""COMPUTED_VALUE"""),"PR012")</f>
        <v>PR012</v>
      </c>
      <c r="B143" s="2" t="str">
        <f>IFERROR(__xludf.DUMMYFUNCTION("""COMPUTED_VALUE"""),"VD028")</f>
        <v>VD028</v>
      </c>
      <c r="C143" s="2">
        <f>IFERROR(__xludf.DUMMYFUNCTION("""COMPUTED_VALUE"""),12.0)</f>
        <v>12</v>
      </c>
      <c r="D143" s="6">
        <f>IFERROR(__xludf.DUMMYFUNCTION("""COMPUTED_VALUE"""),692.42)</f>
        <v>692.42</v>
      </c>
      <c r="E143" s="6">
        <f>IFERROR(__xludf.DUMMYFUNCTION("GOOGLEFINANCE(""Currency:BRLMXN"")*D143"),2352.4969499999997)</f>
        <v>2352.49695</v>
      </c>
      <c r="F143" s="6">
        <f>IFERROR(__xludf.DUMMYFUNCTION("GOOGLEFINANCE(""Currency:BRLPEN"")*D143"),453.95055199999996)</f>
        <v>453.950552</v>
      </c>
      <c r="G143" s="2" t="str">
        <f t="array" ref="G143">_xlfn.XLOOKUP(B143,Vendedores!$A$2:$A$41,Vendedores!$B$2:$B$41,"No hay datos")</f>
        <v>Rodrigo Almonte</v>
      </c>
      <c r="H143" s="2" t="str">
        <f t="array" ref="H143">_xlfn.XLOOKUP(B143,Vendedores!$A$2:$A$41,Vendedores!$C$2:$C$41,"No hay datos")</f>
        <v>Valle Escondido</v>
      </c>
      <c r="I143" s="2" t="str">
        <f t="array" ref="I143">_xlfn.XLOOKUP(B143,Vendedores!$A$2:$A$41,Vendedores!$D$2:$D$41,"No hay datos")</f>
        <v>Región Andina</v>
      </c>
      <c r="J143" s="2" t="str">
        <f t="array" ref="J143:N143">_xlfn.XLOOKUP(A143,Productos!$A$2:$A$61,Productos!$B$2:$F$61)</f>
        <v>Pantalón legging</v>
      </c>
      <c r="K143" s="2" t="s">
        <v>22</v>
      </c>
      <c r="L143" s="2" t="s">
        <v>10</v>
      </c>
      <c r="M143" s="2" t="s">
        <v>88</v>
      </c>
      <c r="N143" s="2" t="s">
        <v>89</v>
      </c>
    </row>
    <row r="144">
      <c r="A144" s="2" t="str">
        <f>IFERROR(__xludf.DUMMYFUNCTION("""COMPUTED_VALUE"""),"PR010")</f>
        <v>PR010</v>
      </c>
      <c r="B144" s="2" t="str">
        <f>IFERROR(__xludf.DUMMYFUNCTION("""COMPUTED_VALUE"""),"VD011")</f>
        <v>VD011</v>
      </c>
      <c r="C144" s="2">
        <f>IFERROR(__xludf.DUMMYFUNCTION("""COMPUTED_VALUE"""),12.0)</f>
        <v>12</v>
      </c>
      <c r="D144" s="6">
        <f>IFERROR(__xludf.DUMMYFUNCTION("""COMPUTED_VALUE"""),646.56)</f>
        <v>646.56</v>
      </c>
      <c r="E144" s="6">
        <f>IFERROR(__xludf.DUMMYFUNCTION("GOOGLEFINANCE(""Currency:BRLMXN"")*D144"),2196.6875999999997)</f>
        <v>2196.6876</v>
      </c>
      <c r="F144" s="6">
        <f>IFERROR(__xludf.DUMMYFUNCTION("GOOGLEFINANCE(""Currency:BRLPEN"")*D144"),423.8847359999999)</f>
        <v>423.884736</v>
      </c>
      <c r="G144" s="2" t="str">
        <f t="array" ref="G144">_xlfn.XLOOKUP(B144,Vendedores!$A$2:$A$41,Vendedores!$B$2:$B$41,"No hay datos")</f>
        <v>Juan Santos</v>
      </c>
      <c r="H144" s="2" t="str">
        <f t="array" ref="H144">_xlfn.XLOOKUP(B144,Vendedores!$A$2:$A$41,Vendedores!$C$2:$C$41,"No hay datos")</f>
        <v>Vista Hermosa</v>
      </c>
      <c r="I144" s="2" t="str">
        <f t="array" ref="I144">_xlfn.XLOOKUP(B144,Vendedores!$A$2:$A$41,Vendedores!$D$2:$D$41,"No hay datos")</f>
        <v>Región Central</v>
      </c>
      <c r="J144" s="2" t="str">
        <f t="array" ref="J144:N144">_xlfn.XLOOKUP(A144,Productos!$A$2:$A$61,Productos!$B$2:$F$61)</f>
        <v>Pantalón legging</v>
      </c>
      <c r="K144" s="2" t="s">
        <v>9</v>
      </c>
      <c r="L144" s="2" t="s">
        <v>10</v>
      </c>
      <c r="M144" s="2" t="s">
        <v>86</v>
      </c>
      <c r="N144" s="2" t="s">
        <v>87</v>
      </c>
    </row>
    <row r="145">
      <c r="A145" s="2" t="str">
        <f>IFERROR(__xludf.DUMMYFUNCTION("""COMPUTED_VALUE"""),"PR054")</f>
        <v>PR054</v>
      </c>
      <c r="B145" s="2" t="str">
        <f>IFERROR(__xludf.DUMMYFUNCTION("""COMPUTED_VALUE"""),"VD033")</f>
        <v>VD033</v>
      </c>
      <c r="C145" s="2">
        <f>IFERROR(__xludf.DUMMYFUNCTION("""COMPUTED_VALUE"""),20.0)</f>
        <v>20</v>
      </c>
      <c r="D145" s="6">
        <f>IFERROR(__xludf.DUMMYFUNCTION("""COMPUTED_VALUE"""),1147.7)</f>
        <v>1147.7</v>
      </c>
      <c r="E145" s="6">
        <f>IFERROR(__xludf.DUMMYFUNCTION("GOOGLEFINANCE(""Currency:BRLMXN"")*D145"),3899.31075)</f>
        <v>3899.31075</v>
      </c>
      <c r="F145" s="6">
        <f>IFERROR(__xludf.DUMMYFUNCTION("GOOGLEFINANCE(""Currency:BRLPEN"")*D145"),752.4321199999999)</f>
        <v>752.43212</v>
      </c>
      <c r="G145" s="2" t="str">
        <f t="array" ref="G145">_xlfn.XLOOKUP(B145,Vendedores!$A$2:$A$41,Vendedores!$B$2:$B$41,"No hay datos")</f>
        <v>Renata Flores</v>
      </c>
      <c r="H145" s="2" t="str">
        <f t="array" ref="H145">_xlfn.XLOOKUP(B145,Vendedores!$A$2:$A$41,Vendedores!$C$2:$C$41,"No hay datos")</f>
        <v>Altos del Sur</v>
      </c>
      <c r="I145" s="2" t="str">
        <f t="array" ref="I145">_xlfn.XLOOKUP(B145,Vendedores!$A$2:$A$41,Vendedores!$D$2:$D$41,"No hay datos")</f>
        <v>Región Central 2</v>
      </c>
      <c r="J145" s="2" t="str">
        <f t="array" ref="J145:N145">_xlfn.XLOOKUP(A145,Productos!$A$2:$A$61,Productos!$B$2:$F$61)</f>
        <v>Falda plisada</v>
      </c>
      <c r="K145" s="2" t="s">
        <v>22</v>
      </c>
      <c r="L145" s="2" t="s">
        <v>10</v>
      </c>
      <c r="M145" s="2" t="s">
        <v>42</v>
      </c>
      <c r="N145" s="2" t="s">
        <v>32</v>
      </c>
    </row>
    <row r="146">
      <c r="A146" s="2" t="str">
        <f>IFERROR(__xludf.DUMMYFUNCTION("""COMPUTED_VALUE"""),"PR007")</f>
        <v>PR007</v>
      </c>
      <c r="B146" s="2" t="str">
        <f>IFERROR(__xludf.DUMMYFUNCTION("""COMPUTED_VALUE"""),"VD031")</f>
        <v>VD031</v>
      </c>
      <c r="C146" s="2">
        <f>IFERROR(__xludf.DUMMYFUNCTION("""COMPUTED_VALUE"""),20.0)</f>
        <v>20</v>
      </c>
      <c r="D146" s="6">
        <f>IFERROR(__xludf.DUMMYFUNCTION("""COMPUTED_VALUE"""),1924.16)</f>
        <v>1924.16</v>
      </c>
      <c r="E146" s="6">
        <f>IFERROR(__xludf.DUMMYFUNCTION("GOOGLEFINANCE(""Currency:BRLMXN"")*D146"),6537.3336)</f>
        <v>6537.3336</v>
      </c>
      <c r="F146" s="6">
        <f>IFERROR(__xludf.DUMMYFUNCTION("GOOGLEFINANCE(""Currency:BRLPEN"")*D146"),1261.479296)</f>
        <v>1261.479296</v>
      </c>
      <c r="G146" s="2" t="str">
        <f t="array" ref="G146">_xlfn.XLOOKUP(B146,Vendedores!$A$2:$A$41,Vendedores!$B$2:$B$41,"No hay datos")</f>
        <v>Vanessa Martínez</v>
      </c>
      <c r="H146" s="2" t="str">
        <f t="array" ref="H146">_xlfn.XLOOKUP(B146,Vendedores!$A$2:$A$41,Vendedores!$C$2:$C$41,"No hay datos")</f>
        <v>Monte Verde</v>
      </c>
      <c r="I146" s="2" t="str">
        <f t="array" ref="I146">_xlfn.XLOOKUP(B146,Vendedores!$A$2:$A$41,Vendedores!$D$2:$D$41,"No hay datos")</f>
        <v>Región Central 2</v>
      </c>
      <c r="J146" s="2" t="str">
        <f t="array" ref="J146:N146">_xlfn.XLOOKUP(A146,Productos!$A$2:$A$61,Productos!$B$2:$F$61)</f>
        <v>Pantalón de mezclilla</v>
      </c>
      <c r="K146" s="2" t="s">
        <v>9</v>
      </c>
      <c r="L146" s="2" t="s">
        <v>10</v>
      </c>
      <c r="M146" s="2" t="s">
        <v>103</v>
      </c>
      <c r="N146" s="2" t="s">
        <v>104</v>
      </c>
    </row>
    <row r="147">
      <c r="A147" s="2" t="str">
        <f>IFERROR(__xludf.DUMMYFUNCTION("""COMPUTED_VALUE"""),"PR057")</f>
        <v>PR057</v>
      </c>
      <c r="B147" s="2" t="str">
        <f>IFERROR(__xludf.DUMMYFUNCTION("""COMPUTED_VALUE"""),"VD031")</f>
        <v>VD031</v>
      </c>
      <c r="C147" s="2">
        <f>IFERROR(__xludf.DUMMYFUNCTION("""COMPUTED_VALUE"""),30.0)</f>
        <v>30</v>
      </c>
      <c r="D147" s="6">
        <f>IFERROR(__xludf.DUMMYFUNCTION("""COMPUTED_VALUE"""),3020.64)</f>
        <v>3020.64</v>
      </c>
      <c r="E147" s="6">
        <f>IFERROR(__xludf.DUMMYFUNCTION("GOOGLEFINANCE(""Currency:BRLMXN"")*D147"),10262.624399999999)</f>
        <v>10262.6244</v>
      </c>
      <c r="F147" s="6">
        <f>IFERROR(__xludf.DUMMYFUNCTION("GOOGLEFINANCE(""Currency:BRLPEN"")*D147"),1980.3315839999998)</f>
        <v>1980.331584</v>
      </c>
      <c r="G147" s="2" t="str">
        <f t="array" ref="G147">_xlfn.XLOOKUP(B147,Vendedores!$A$2:$A$41,Vendedores!$B$2:$B$41,"No hay datos")</f>
        <v>Vanessa Martínez</v>
      </c>
      <c r="H147" s="2" t="str">
        <f t="array" ref="H147">_xlfn.XLOOKUP(B147,Vendedores!$A$2:$A$41,Vendedores!$C$2:$C$41,"No hay datos")</f>
        <v>Monte Verde</v>
      </c>
      <c r="I147" s="2" t="str">
        <f t="array" ref="I147">_xlfn.XLOOKUP(B147,Vendedores!$A$2:$A$41,Vendedores!$D$2:$D$41,"No hay datos")</f>
        <v>Región Central 2</v>
      </c>
      <c r="J147" s="2" t="str">
        <f t="array" ref="J147:N147">_xlfn.XLOOKUP(A147,Productos!$A$2:$A$61,Productos!$B$2:$F$61)</f>
        <v>Sandalia plana</v>
      </c>
      <c r="K147" s="2">
        <v>37.0</v>
      </c>
      <c r="L147" s="2" t="s">
        <v>33</v>
      </c>
      <c r="M147" s="2" t="s">
        <v>58</v>
      </c>
      <c r="N147" s="2" t="s">
        <v>35</v>
      </c>
    </row>
    <row r="148">
      <c r="A148" s="2" t="str">
        <f>IFERROR(__xludf.DUMMYFUNCTION("""COMPUTED_VALUE"""),"PR020")</f>
        <v>PR020</v>
      </c>
      <c r="B148" s="2" t="str">
        <f>IFERROR(__xludf.DUMMYFUNCTION("""COMPUTED_VALUE"""),"VD040")</f>
        <v>VD040</v>
      </c>
      <c r="C148" s="2">
        <f>IFERROR(__xludf.DUMMYFUNCTION("""COMPUTED_VALUE"""),18.0)</f>
        <v>18</v>
      </c>
      <c r="D148" s="6">
        <f>IFERROR(__xludf.DUMMYFUNCTION("""COMPUTED_VALUE"""),5938.02)</f>
        <v>5938.02</v>
      </c>
      <c r="E148" s="6">
        <f>IFERROR(__xludf.DUMMYFUNCTION("GOOGLEFINANCE(""Currency:BRLMXN"")*D148"),20174.42295)</f>
        <v>20174.42295</v>
      </c>
      <c r="F148" s="6">
        <f>IFERROR(__xludf.DUMMYFUNCTION("GOOGLEFINANCE(""Currency:BRLPEN"")*D148"),3892.965912)</f>
        <v>3892.965912</v>
      </c>
      <c r="G148" s="2" t="str">
        <f t="array" ref="G148">_xlfn.XLOOKUP(B148,Vendedores!$A$2:$A$41,Vendedores!$B$2:$B$41,"No hay datos")</f>
        <v>Tatiana Montero</v>
      </c>
      <c r="H148" s="2" t="str">
        <f t="array" ref="H148">_xlfn.XLOOKUP(B148,Vendedores!$A$2:$A$41,Vendedores!$C$2:$C$41,"No hay datos")</f>
        <v>Ciudad Industrial</v>
      </c>
      <c r="I148" s="2" t="str">
        <f t="array" ref="I148">_xlfn.XLOOKUP(B148,Vendedores!$A$2:$A$41,Vendedores!$D$2:$D$41,"No hay datos")</f>
        <v>Región Central 2</v>
      </c>
      <c r="J148" s="2" t="str">
        <f t="array" ref="J148:N148">_xlfn.XLOOKUP(A148,Productos!$A$2:$A$61,Productos!$B$2:$F$61)</f>
        <v>Chaqueta de cuero</v>
      </c>
      <c r="K148" s="2" t="s">
        <v>9</v>
      </c>
      <c r="L148" s="2" t="s">
        <v>10</v>
      </c>
      <c r="M148" s="2" t="s">
        <v>15</v>
      </c>
      <c r="N148" s="2" t="s">
        <v>16</v>
      </c>
    </row>
    <row r="149">
      <c r="A149" s="2" t="str">
        <f>IFERROR(__xludf.DUMMYFUNCTION("""COMPUTED_VALUE"""),"PR053")</f>
        <v>PR053</v>
      </c>
      <c r="B149" s="2" t="str">
        <f>IFERROR(__xludf.DUMMYFUNCTION("""COMPUTED_VALUE"""),"VD019")</f>
        <v>VD019</v>
      </c>
      <c r="C149" s="2">
        <f>IFERROR(__xludf.DUMMYFUNCTION("""COMPUTED_VALUE"""),12.0)</f>
        <v>12</v>
      </c>
      <c r="D149" s="6">
        <f>IFERROR(__xludf.DUMMYFUNCTION("""COMPUTED_VALUE"""),670.66)</f>
        <v>670.66</v>
      </c>
      <c r="E149" s="6">
        <f>IFERROR(__xludf.DUMMYFUNCTION("GOOGLEFINANCE(""Currency:BRLMXN"")*D149"),2278.56735)</f>
        <v>2278.56735</v>
      </c>
      <c r="F149" s="6">
        <f>IFERROR(__xludf.DUMMYFUNCTION("GOOGLEFINANCE(""Currency:BRLPEN"")*D149"),439.684696)</f>
        <v>439.684696</v>
      </c>
      <c r="G149" s="2" t="str">
        <f t="array" ref="G149">_xlfn.XLOOKUP(B149,Vendedores!$A$2:$A$41,Vendedores!$B$2:$B$41,"No hay datos")</f>
        <v>Rafael Sosa</v>
      </c>
      <c r="H149" s="2" t="str">
        <f t="array" ref="H149">_xlfn.XLOOKUP(B149,Vendedores!$A$2:$A$41,Vendedores!$C$2:$C$41,"No hay datos")</f>
        <v>Selva Verde</v>
      </c>
      <c r="I149" s="2" t="str">
        <f t="array" ref="I149">_xlfn.XLOOKUP(B149,Vendedores!$A$2:$A$41,Vendedores!$D$2:$D$41,"No hay datos")</f>
        <v>Región Amazónica</v>
      </c>
      <c r="J149" s="2" t="str">
        <f t="array" ref="J149:N149">_xlfn.XLOOKUP(A149,Productos!$A$2:$A$61,Productos!$B$2:$F$61)</f>
        <v>Falda plisada</v>
      </c>
      <c r="K149" s="2" t="s">
        <v>17</v>
      </c>
      <c r="L149" s="2" t="s">
        <v>10</v>
      </c>
      <c r="M149" s="2" t="s">
        <v>41</v>
      </c>
      <c r="N149" s="2" t="s">
        <v>32</v>
      </c>
    </row>
    <row r="150">
      <c r="A150" s="2" t="str">
        <f>IFERROR(__xludf.DUMMYFUNCTION("""COMPUTED_VALUE"""),"PR049")</f>
        <v>PR049</v>
      </c>
      <c r="B150" s="2" t="str">
        <f>IFERROR(__xludf.DUMMYFUNCTION("""COMPUTED_VALUE"""),"VD016")</f>
        <v>VD016</v>
      </c>
      <c r="C150" s="2">
        <f>IFERROR(__xludf.DUMMYFUNCTION("""COMPUTED_VALUE"""),21.0)</f>
        <v>21</v>
      </c>
      <c r="D150" s="6">
        <f>IFERROR(__xludf.DUMMYFUNCTION("""COMPUTED_VALUE"""),766.9)</f>
        <v>766.9</v>
      </c>
      <c r="E150" s="6">
        <f>IFERROR(__xludf.DUMMYFUNCTION("GOOGLEFINANCE(""Currency:BRLMXN"")*D150"),2605.54275)</f>
        <v>2605.54275</v>
      </c>
      <c r="F150" s="6">
        <f>IFERROR(__xludf.DUMMYFUNCTION("GOOGLEFINANCE(""Currency:BRLPEN"")*D150"),502.77964)</f>
        <v>502.77964</v>
      </c>
      <c r="G150" s="2" t="str">
        <f t="array" ref="G150">_xlfn.XLOOKUP(B150,Vendedores!$A$2:$A$41,Vendedores!$B$2:$B$41,"No hay datos")</f>
        <v>Beatriz Linares</v>
      </c>
      <c r="H150" s="2" t="str">
        <f t="array" ref="H150">_xlfn.XLOOKUP(B150,Vendedores!$A$2:$A$41,Vendedores!$C$2:$C$41,"No hay datos")</f>
        <v>Puerto Esperanza</v>
      </c>
      <c r="I150" s="2" t="str">
        <f t="array" ref="I150">_xlfn.XLOOKUP(B150,Vendedores!$A$2:$A$41,Vendedores!$D$2:$D$41,"No hay datos")</f>
        <v>Región Sur</v>
      </c>
      <c r="J150" s="2" t="str">
        <f t="array" ref="J150:N150">_xlfn.XLOOKUP(A150,Productos!$A$2:$A$61,Productos!$B$2:$F$61)</f>
        <v>Playera a rayas</v>
      </c>
      <c r="K150" s="2" t="s">
        <v>9</v>
      </c>
      <c r="L150" s="2" t="s">
        <v>10</v>
      </c>
      <c r="M150" s="2" t="s">
        <v>47</v>
      </c>
      <c r="N150" s="2" t="s">
        <v>24</v>
      </c>
    </row>
    <row r="151">
      <c r="A151" s="2" t="str">
        <f>IFERROR(__xludf.DUMMYFUNCTION("""COMPUTED_VALUE"""),"PR026")</f>
        <v>PR026</v>
      </c>
      <c r="B151" s="2" t="str">
        <f>IFERROR(__xludf.DUMMYFUNCTION("""COMPUTED_VALUE"""),"VD018")</f>
        <v>VD018</v>
      </c>
      <c r="C151" s="2">
        <f>IFERROR(__xludf.DUMMYFUNCTION("""COMPUTED_VALUE"""),9.0)</f>
        <v>9</v>
      </c>
      <c r="D151" s="6">
        <f>IFERROR(__xludf.DUMMYFUNCTION("""COMPUTED_VALUE"""),3589.97)</f>
        <v>3589.97</v>
      </c>
      <c r="E151" s="6">
        <f>IFERROR(__xludf.DUMMYFUNCTION("GOOGLEFINANCE(""Currency:BRLMXN"")*D151"),12196.923074999999)</f>
        <v>12196.92308</v>
      </c>
      <c r="F151" s="6">
        <f>IFERROR(__xludf.DUMMYFUNCTION("GOOGLEFINANCE(""Currency:BRLPEN"")*D151"),2353.584332)</f>
        <v>2353.584332</v>
      </c>
      <c r="G151" s="2" t="str">
        <f t="array" ref="G151">_xlfn.XLOOKUP(B151,Vendedores!$A$2:$A$41,Vendedores!$B$2:$B$41,"No hay datos")</f>
        <v>Leticia Rodríguez</v>
      </c>
      <c r="H151" s="2" t="str">
        <f t="array" ref="H151">_xlfn.XLOOKUP(B151,Vendedores!$A$2:$A$41,Vendedores!$C$2:$C$41,"No hay datos")</f>
        <v>Playa Blanca</v>
      </c>
      <c r="I151" s="2" t="str">
        <f t="array" ref="I151">_xlfn.XLOOKUP(B151,Vendedores!$A$2:$A$41,Vendedores!$D$2:$D$41,"No hay datos")</f>
        <v>Región Norte</v>
      </c>
      <c r="J151" s="2" t="str">
        <f t="array" ref="J151:N151">_xlfn.XLOOKUP(A151,Productos!$A$2:$A$61,Productos!$B$2:$F$61)</f>
        <v>Gafas cuadradas</v>
      </c>
      <c r="K151" s="2" t="s">
        <v>29</v>
      </c>
      <c r="L151" s="2" t="s">
        <v>30</v>
      </c>
      <c r="M151" s="2" t="s">
        <v>90</v>
      </c>
      <c r="N151" s="2" t="s">
        <v>91</v>
      </c>
    </row>
    <row r="152">
      <c r="A152" s="2" t="str">
        <f>IFERROR(__xludf.DUMMYFUNCTION("""COMPUTED_VALUE"""),"PR055")</f>
        <v>PR055</v>
      </c>
      <c r="B152" s="2" t="str">
        <f>IFERROR(__xludf.DUMMYFUNCTION("""COMPUTED_VALUE"""),"VD045")</f>
        <v>VD045</v>
      </c>
      <c r="C152" s="2">
        <f>IFERROR(__xludf.DUMMYFUNCTION("""COMPUTED_VALUE"""),27.0)</f>
        <v>27</v>
      </c>
      <c r="D152" s="6">
        <f>IFERROR(__xludf.DUMMYFUNCTION("""COMPUTED_VALUE"""),2815.67)</f>
        <v>2815.67</v>
      </c>
      <c r="E152" s="6">
        <f>IFERROR(__xludf.DUMMYFUNCTION("GOOGLEFINANCE(""Currency:BRLMXN"")*D152"),9566.238825)</f>
        <v>9566.238825</v>
      </c>
      <c r="F152" s="6">
        <f>IFERROR(__xludf.DUMMYFUNCTION("GOOGLEFINANCE(""Currency:BRLPEN"")*D152"),1845.953252)</f>
        <v>1845.953252</v>
      </c>
      <c r="G152" s="2" t="str">
        <f t="array" ref="G152">_xlfn.XLOOKUP(B152,Vendedores!$A$2:$A$41,Vendedores!$B$2:$B$41,"No hay datos")</f>
        <v>Rafael Morales</v>
      </c>
      <c r="H152" s="2" t="str">
        <f t="array" ref="H152">_xlfn.XLOOKUP(B152,Vendedores!$A$2:$A$41,Vendedores!$C$2:$C$41,"No hay datos")</f>
        <v>Valle Dorado</v>
      </c>
      <c r="I152" s="2" t="str">
        <f t="array" ref="I152">_xlfn.XLOOKUP(B152,Vendedores!$A$2:$A$41,Vendedores!$D$2:$D$41,"No hay datos")</f>
        <v>Región Central 2</v>
      </c>
      <c r="J152" s="2" t="str">
        <f t="array" ref="J152:N152">_xlfn.XLOOKUP(A152,Productos!$A$2:$A$61,Productos!$B$2:$F$61)</f>
        <v>Sandalia plana</v>
      </c>
      <c r="K152" s="2">
        <v>35.0</v>
      </c>
      <c r="L152" s="2" t="s">
        <v>33</v>
      </c>
      <c r="M152" s="2" t="s">
        <v>34</v>
      </c>
      <c r="N152" s="2" t="s">
        <v>35</v>
      </c>
    </row>
    <row r="153">
      <c r="A153" s="2" t="str">
        <f>IFERROR(__xludf.DUMMYFUNCTION("""COMPUTED_VALUE"""),"PR016")</f>
        <v>PR016</v>
      </c>
      <c r="B153" s="2" t="str">
        <f>IFERROR(__xludf.DUMMYFUNCTION("""COMPUTED_VALUE"""),"VD041")</f>
        <v>VD041</v>
      </c>
      <c r="C153" s="2">
        <f>IFERROR(__xludf.DUMMYFUNCTION("""COMPUTED_VALUE"""),30.0)</f>
        <v>30</v>
      </c>
      <c r="D153" s="6">
        <f>IFERROR(__xludf.DUMMYFUNCTION("""COMPUTED_VALUE"""),901.32)</f>
        <v>901.32</v>
      </c>
      <c r="E153" s="6">
        <f>IFERROR(__xludf.DUMMYFUNCTION("GOOGLEFINANCE(""Currency:BRLMXN"")*D153"),3062.2347)</f>
        <v>3062.2347</v>
      </c>
      <c r="F153" s="6">
        <f>IFERROR(__xludf.DUMMYFUNCTION("GOOGLEFINANCE(""Currency:BRLPEN"")*D153"),590.905392)</f>
        <v>590.905392</v>
      </c>
      <c r="G153" s="2" t="str">
        <f t="array" ref="G153">_xlfn.XLOOKUP(B153,Vendedores!$A$2:$A$41,Vendedores!$B$2:$B$41,"No hay datos")</f>
        <v>Alejandro Ramos</v>
      </c>
      <c r="H153" s="2" t="str">
        <f t="array" ref="H153">_xlfn.XLOOKUP(B153,Vendedores!$A$2:$A$41,Vendedores!$C$2:$C$41,"No hay datos")</f>
        <v>San Martín de las Rosas</v>
      </c>
      <c r="I153" s="2" t="str">
        <f t="array" ref="I153">_xlfn.XLOOKUP(B153,Vendedores!$A$2:$A$41,Vendedores!$D$2:$D$41,"No hay datos")</f>
        <v>Región Central 2</v>
      </c>
      <c r="J153" s="2" t="str">
        <f t="array" ref="J153:N153">_xlfn.XLOOKUP(A153,Productos!$A$2:$A$61,Productos!$B$2:$F$61)</f>
        <v>Playera lisa</v>
      </c>
      <c r="K153" s="2" t="s">
        <v>9</v>
      </c>
      <c r="L153" s="2" t="s">
        <v>10</v>
      </c>
      <c r="M153" s="2" t="s">
        <v>20</v>
      </c>
      <c r="N153" s="2" t="s">
        <v>21</v>
      </c>
    </row>
    <row r="154">
      <c r="A154" s="2" t="str">
        <f>IFERROR(__xludf.DUMMYFUNCTION("""COMPUTED_VALUE"""),"PR002")</f>
        <v>PR002</v>
      </c>
      <c r="B154" s="2" t="str">
        <f>IFERROR(__xludf.DUMMYFUNCTION("""COMPUTED_VALUE"""),"VD018")</f>
        <v>VD018</v>
      </c>
      <c r="C154" s="2">
        <f>IFERROR(__xludf.DUMMYFUNCTION("""COMPUTED_VALUE"""),18.0)</f>
        <v>18</v>
      </c>
      <c r="D154" s="6">
        <f>IFERROR(__xludf.DUMMYFUNCTION("""COMPUTED_VALUE"""),1421.77)</f>
        <v>1421.77</v>
      </c>
      <c r="E154" s="6">
        <f>IFERROR(__xludf.DUMMYFUNCTION("GOOGLEFINANCE(""Currency:BRLMXN"")*D154"),4830.463575)</f>
        <v>4830.463575</v>
      </c>
      <c r="F154" s="6">
        <f>IFERROR(__xludf.DUMMYFUNCTION("GOOGLEFINANCE(""Currency:BRLPEN"")*D154"),932.112412)</f>
        <v>932.112412</v>
      </c>
      <c r="G154" s="2" t="str">
        <f t="array" ref="G154">_xlfn.XLOOKUP(B154,Vendedores!$A$2:$A$41,Vendedores!$B$2:$B$41,"No hay datos")</f>
        <v>Leticia Rodríguez</v>
      </c>
      <c r="H154" s="2" t="str">
        <f t="array" ref="H154">_xlfn.XLOOKUP(B154,Vendedores!$A$2:$A$41,Vendedores!$C$2:$C$41,"No hay datos")</f>
        <v>Playa Blanca</v>
      </c>
      <c r="I154" s="2" t="str">
        <f t="array" ref="I154">_xlfn.XLOOKUP(B154,Vendedores!$A$2:$A$41,Vendedores!$D$2:$D$41,"No hay datos")</f>
        <v>Región Norte</v>
      </c>
      <c r="J154" s="2" t="str">
        <f t="array" ref="J154:N154">_xlfn.XLOOKUP(A154,Productos!$A$2:$A$61,Productos!$B$2:$F$61)</f>
        <v>Bermuda</v>
      </c>
      <c r="K154" s="2" t="s">
        <v>17</v>
      </c>
      <c r="L154" s="2" t="s">
        <v>10</v>
      </c>
      <c r="M154" s="2" t="s">
        <v>49</v>
      </c>
      <c r="N154" s="2" t="s">
        <v>50</v>
      </c>
    </row>
    <row r="155">
      <c r="A155" s="2" t="str">
        <f>IFERROR(__xludf.DUMMYFUNCTION("""COMPUTED_VALUE"""),"PR021")</f>
        <v>PR021</v>
      </c>
      <c r="B155" s="2" t="str">
        <f>IFERROR(__xludf.DUMMYFUNCTION("""COMPUTED_VALUE"""),"VD013")</f>
        <v>VD013</v>
      </c>
      <c r="C155" s="2">
        <f>IFERROR(__xludf.DUMMYFUNCTION("""COMPUTED_VALUE"""),20.0)</f>
        <v>20</v>
      </c>
      <c r="D155" s="6">
        <f>IFERROR(__xludf.DUMMYFUNCTION("""COMPUTED_VALUE"""),7209.02)</f>
        <v>7209.02</v>
      </c>
      <c r="E155" s="6">
        <f>IFERROR(__xludf.DUMMYFUNCTION("GOOGLEFINANCE(""Currency:BRLMXN"")*D155"),24492.64545)</f>
        <v>24492.64545</v>
      </c>
      <c r="F155" s="6">
        <f>IFERROR(__xludf.DUMMYFUNCTION("GOOGLEFINANCE(""Currency:BRLPEN"")*D155"),4726.233512)</f>
        <v>4726.233512</v>
      </c>
      <c r="G155" s="2" t="str">
        <f t="array" ref="G155">_xlfn.XLOOKUP(B155,Vendedores!$A$2:$A$41,Vendedores!$B$2:$B$41,"No hay datos")</f>
        <v>Pedro Almonte</v>
      </c>
      <c r="H155" s="2" t="str">
        <f t="array" ref="H155">_xlfn.XLOOKUP(B155,Vendedores!$A$2:$A$41,Vendedores!$C$2:$C$41,"No hay datos")</f>
        <v>Santa Rosa del Valle</v>
      </c>
      <c r="I155" s="2" t="str">
        <f t="array" ref="I155">_xlfn.XLOOKUP(B155,Vendedores!$A$2:$A$41,Vendedores!$D$2:$D$41,"No hay datos")</f>
        <v>Región Norte</v>
      </c>
      <c r="J155" s="2" t="str">
        <f t="array" ref="J155:N155">_xlfn.XLOOKUP(A155,Productos!$A$2:$A$61,Productos!$B$2:$F$61)</f>
        <v>Chaqueta de cuero</v>
      </c>
      <c r="K155" s="2" t="s">
        <v>17</v>
      </c>
      <c r="L155" s="2" t="s">
        <v>10</v>
      </c>
      <c r="M155" s="2" t="s">
        <v>80</v>
      </c>
      <c r="N155" s="2" t="s">
        <v>81</v>
      </c>
    </row>
    <row r="156">
      <c r="A156" s="2" t="str">
        <f>IFERROR(__xludf.DUMMYFUNCTION("""COMPUTED_VALUE"""),"PR042")</f>
        <v>PR042</v>
      </c>
      <c r="B156" s="2" t="str">
        <f>IFERROR(__xludf.DUMMYFUNCTION("""COMPUTED_VALUE"""),"VD046")</f>
        <v>VD046</v>
      </c>
      <c r="C156" s="2">
        <f>IFERROR(__xludf.DUMMYFUNCTION("""COMPUTED_VALUE"""),30.0)</f>
        <v>30</v>
      </c>
      <c r="D156" s="6">
        <f>IFERROR(__xludf.DUMMYFUNCTION("""COMPUTED_VALUE"""),1811.7)</f>
        <v>1811.7</v>
      </c>
      <c r="E156" s="6">
        <f>IFERROR(__xludf.DUMMYFUNCTION("GOOGLEFINANCE(""Currency:BRLMXN"")*D156"),6155.25075)</f>
        <v>6155.25075</v>
      </c>
      <c r="F156" s="6">
        <f>IFERROR(__xludf.DUMMYFUNCTION("GOOGLEFINANCE(""Currency:BRLPEN"")*D156"),1187.75052)</f>
        <v>1187.75052</v>
      </c>
      <c r="G156" s="2" t="str">
        <f t="array" ref="G156">_xlfn.XLOOKUP(B156,Vendedores!$A$2:$A$41,Vendedores!$B$2:$B$41,"No hay datos")</f>
        <v>Juliana Pérez</v>
      </c>
      <c r="H156" s="2" t="str">
        <f t="array" ref="H156">_xlfn.XLOOKUP(B156,Vendedores!$A$2:$A$41,Vendedores!$C$2:$C$41,"No hay datos")</f>
        <v>Santa Cruz de la Sierra</v>
      </c>
      <c r="I156" s="2" t="str">
        <f t="array" ref="I156">_xlfn.XLOOKUP(B156,Vendedores!$A$2:$A$41,Vendedores!$D$2:$D$41,"No hay datos")</f>
        <v>Región Central 2</v>
      </c>
      <c r="J156" s="2" t="str">
        <f t="array" ref="J156:N156">_xlfn.XLOOKUP(A156,Productos!$A$2:$A$61,Productos!$B$2:$F$61)</f>
        <v>Playera confort</v>
      </c>
      <c r="K156" s="2" t="s">
        <v>22</v>
      </c>
      <c r="L156" s="2" t="s">
        <v>10</v>
      </c>
      <c r="M156" s="2" t="s">
        <v>25</v>
      </c>
      <c r="N156" s="2" t="s">
        <v>26</v>
      </c>
    </row>
    <row r="157">
      <c r="A157" s="2" t="str">
        <f>IFERROR(__xludf.DUMMYFUNCTION("""COMPUTED_VALUE"""),"PR015")</f>
        <v>PR015</v>
      </c>
      <c r="B157" s="2" t="str">
        <f>IFERROR(__xludf.DUMMYFUNCTION("""COMPUTED_VALUE"""),"VD026")</f>
        <v>VD026</v>
      </c>
      <c r="C157" s="2">
        <f>IFERROR(__xludf.DUMMYFUNCTION("""COMPUTED_VALUE"""),24.0)</f>
        <v>24</v>
      </c>
      <c r="D157" s="6">
        <f>IFERROR(__xludf.DUMMYFUNCTION("""COMPUTED_VALUE"""),1183.2)</f>
        <v>1183.2</v>
      </c>
      <c r="E157" s="6">
        <f>IFERROR(__xludf.DUMMYFUNCTION("GOOGLEFINANCE(""Currency:BRLMXN"")*D157"),4019.922)</f>
        <v>4019.922</v>
      </c>
      <c r="F157" s="6">
        <f>IFERROR(__xludf.DUMMYFUNCTION("GOOGLEFINANCE(""Currency:BRLPEN"")*D157"),775.70592)</f>
        <v>775.70592</v>
      </c>
      <c r="G157" s="2" t="str">
        <f t="array" ref="G157">_xlfn.XLOOKUP(B157,Vendedores!$A$2:$A$41,Vendedores!$B$2:$B$41,"No hay datos")</f>
        <v>Daniel Fernández</v>
      </c>
      <c r="H157" s="2" t="str">
        <f t="array" ref="H157">_xlfn.XLOOKUP(B157,Vendedores!$A$2:$A$41,Vendedores!$C$2:$C$41,"No hay datos")</f>
        <v>Puerto Esperanza</v>
      </c>
      <c r="I157" s="2" t="str">
        <f t="array" ref="I157">_xlfn.XLOOKUP(B157,Vendedores!$A$2:$A$41,Vendedores!$D$2:$D$41,"No hay datos")</f>
        <v>Región Sur</v>
      </c>
      <c r="J157" s="2" t="str">
        <f t="array" ref="J157:N157">_xlfn.XLOOKUP(A157,Productos!$A$2:$A$61,Productos!$B$2:$F$61)</f>
        <v>Playera estampada</v>
      </c>
      <c r="K157" s="2" t="s">
        <v>22</v>
      </c>
      <c r="L157" s="2" t="s">
        <v>10</v>
      </c>
      <c r="M157" s="2" t="s">
        <v>101</v>
      </c>
      <c r="N157" s="2" t="s">
        <v>102</v>
      </c>
    </row>
    <row r="158">
      <c r="A158" s="2" t="str">
        <f>IFERROR(__xludf.DUMMYFUNCTION("""COMPUTED_VALUE"""),"PR015")</f>
        <v>PR015</v>
      </c>
      <c r="B158" s="2" t="str">
        <f>IFERROR(__xludf.DUMMYFUNCTION("""COMPUTED_VALUE"""),"VD044")</f>
        <v>VD044</v>
      </c>
      <c r="C158" s="2">
        <f>IFERROR(__xludf.DUMMYFUNCTION("""COMPUTED_VALUE"""),18.0)</f>
        <v>18</v>
      </c>
      <c r="D158" s="6">
        <f>IFERROR(__xludf.DUMMYFUNCTION("""COMPUTED_VALUE"""),918.0)</f>
        <v>918</v>
      </c>
      <c r="E158" s="6">
        <f>IFERROR(__xludf.DUMMYFUNCTION("GOOGLEFINANCE(""Currency:BRLMXN"")*D158"),3118.9049999999997)</f>
        <v>3118.905</v>
      </c>
      <c r="F158" s="6">
        <f>IFERROR(__xludf.DUMMYFUNCTION("GOOGLEFINANCE(""Currency:BRLPEN"")*D158"),601.8408)</f>
        <v>601.8408</v>
      </c>
      <c r="G158" s="2" t="str">
        <f t="array" ref="G158">_xlfn.XLOOKUP(B158,Vendedores!$A$2:$A$41,Vendedores!$B$2:$B$41,"No hay datos")</f>
        <v>Silvia Menéndez</v>
      </c>
      <c r="H158" s="2" t="str">
        <f t="array" ref="H158">_xlfn.XLOOKUP(B158,Vendedores!$A$2:$A$41,Vendedores!$C$2:$C$41,"No hay datos")</f>
        <v>San Antonio del Monte</v>
      </c>
      <c r="I158" s="2" t="str">
        <f t="array" ref="I158">_xlfn.XLOOKUP(B158,Vendedores!$A$2:$A$41,Vendedores!$D$2:$D$41,"No hay datos")</f>
        <v>Región Central 2</v>
      </c>
      <c r="J158" s="2" t="str">
        <f t="array" ref="J158:N158">_xlfn.XLOOKUP(A158,Productos!$A$2:$A$61,Productos!$B$2:$F$61)</f>
        <v>Playera estampada</v>
      </c>
      <c r="K158" s="2" t="s">
        <v>22</v>
      </c>
      <c r="L158" s="2" t="s">
        <v>10</v>
      </c>
      <c r="M158" s="2" t="s">
        <v>101</v>
      </c>
      <c r="N158" s="2" t="s">
        <v>102</v>
      </c>
    </row>
    <row r="159">
      <c r="A159" s="2" t="str">
        <f>IFERROR(__xludf.DUMMYFUNCTION("""COMPUTED_VALUE"""),"PR036")</f>
        <v>PR036</v>
      </c>
      <c r="B159" s="2" t="str">
        <f>IFERROR(__xludf.DUMMYFUNCTION("""COMPUTED_VALUE"""),"VD035")</f>
        <v>VD035</v>
      </c>
      <c r="C159" s="2">
        <f>IFERROR(__xludf.DUMMYFUNCTION("""COMPUTED_VALUE"""),20.0)</f>
        <v>20</v>
      </c>
      <c r="D159" s="6">
        <f>IFERROR(__xludf.DUMMYFUNCTION("""COMPUTED_VALUE"""),2187.9)</f>
        <v>2187.9</v>
      </c>
      <c r="E159" s="6">
        <f>IFERROR(__xludf.DUMMYFUNCTION("GOOGLEFINANCE(""Currency:BRLMXN"")*D159"),7433.39025)</f>
        <v>7433.39025</v>
      </c>
      <c r="F159" s="6">
        <f>IFERROR(__xludf.DUMMYFUNCTION("GOOGLEFINANCE(""Currency:BRLPEN"")*D159"),1434.38724)</f>
        <v>1434.38724</v>
      </c>
      <c r="G159" s="2" t="str">
        <f t="array" ref="G159">_xlfn.XLOOKUP(B159,Vendedores!$A$2:$A$41,Vendedores!$B$2:$B$41,"No hay datos")</f>
        <v>Carolina Méndez</v>
      </c>
      <c r="H159" s="2" t="str">
        <f t="array" ref="H159">_xlfn.XLOOKUP(B159,Vendedores!$A$2:$A$41,Vendedores!$C$2:$C$41,"No hay datos")</f>
        <v>Valle de los Robles</v>
      </c>
      <c r="I159" s="2" t="str">
        <f t="array" ref="I159">_xlfn.XLOOKUP(B159,Vendedores!$A$2:$A$41,Vendedores!$D$2:$D$41,"No hay datos")</f>
        <v>Región Central 2</v>
      </c>
      <c r="J159" s="2" t="str">
        <f t="array" ref="J159:N159">_xlfn.XLOOKUP(A159,Productos!$A$2:$A$61,Productos!$B$2:$F$61)</f>
        <v>Vestido corto</v>
      </c>
      <c r="K159" s="2" t="s">
        <v>22</v>
      </c>
      <c r="L159" s="2" t="s">
        <v>10</v>
      </c>
      <c r="M159" s="2" t="s">
        <v>82</v>
      </c>
      <c r="N159" s="2" t="s">
        <v>83</v>
      </c>
    </row>
    <row r="160">
      <c r="A160" s="2" t="str">
        <f>IFERROR(__xludf.DUMMYFUNCTION("""COMPUTED_VALUE"""),"PR029")</f>
        <v>PR029</v>
      </c>
      <c r="B160" s="2" t="str">
        <f>IFERROR(__xludf.DUMMYFUNCTION("""COMPUTED_VALUE"""),"VD040")</f>
        <v>VD040</v>
      </c>
      <c r="C160" s="2">
        <f>IFERROR(__xludf.DUMMYFUNCTION("""COMPUTED_VALUE"""),12.0)</f>
        <v>12</v>
      </c>
      <c r="D160" s="6">
        <f>IFERROR(__xludf.DUMMYFUNCTION("""COMPUTED_VALUE"""),3610.8)</f>
        <v>3610.8</v>
      </c>
      <c r="E160" s="6">
        <f>IFERROR(__xludf.DUMMYFUNCTION("GOOGLEFINANCE(""Currency:BRLMXN"")*D160"),12267.693000000001)</f>
        <v>12267.693</v>
      </c>
      <c r="F160" s="6">
        <f>IFERROR(__xludf.DUMMYFUNCTION("GOOGLEFINANCE(""Currency:BRLPEN"")*D160"),2367.24048)</f>
        <v>2367.24048</v>
      </c>
      <c r="G160" s="2" t="str">
        <f t="array" ref="G160">_xlfn.XLOOKUP(B160,Vendedores!$A$2:$A$41,Vendedores!$B$2:$B$41,"No hay datos")</f>
        <v>Tatiana Montero</v>
      </c>
      <c r="H160" s="2" t="str">
        <f t="array" ref="H160">_xlfn.XLOOKUP(B160,Vendedores!$A$2:$A$41,Vendedores!$C$2:$C$41,"No hay datos")</f>
        <v>Ciudad Industrial</v>
      </c>
      <c r="I160" s="2" t="str">
        <f t="array" ref="I160">_xlfn.XLOOKUP(B160,Vendedores!$A$2:$A$41,Vendedores!$D$2:$D$41,"No hay datos")</f>
        <v>Región Central 2</v>
      </c>
      <c r="J160" s="2" t="str">
        <f t="array" ref="J160:N160">_xlfn.XLOOKUP(A160,Productos!$A$2:$A$61,Productos!$B$2:$F$61)</f>
        <v>Tenis Atitas</v>
      </c>
      <c r="K160" s="2">
        <v>37.0</v>
      </c>
      <c r="L160" s="2" t="s">
        <v>33</v>
      </c>
      <c r="M160" s="2" t="s">
        <v>96</v>
      </c>
      <c r="N160" s="2" t="s">
        <v>97</v>
      </c>
    </row>
    <row r="161">
      <c r="A161" s="2" t="str">
        <f>IFERROR(__xludf.DUMMYFUNCTION("""COMPUTED_VALUE"""),"PR050")</f>
        <v>PR050</v>
      </c>
      <c r="B161" s="2" t="str">
        <f>IFERROR(__xludf.DUMMYFUNCTION("""COMPUTED_VALUE"""),"VD011")</f>
        <v>VD011</v>
      </c>
      <c r="C161" s="2">
        <f>IFERROR(__xludf.DUMMYFUNCTION("""COMPUTED_VALUE"""),18.0)</f>
        <v>18</v>
      </c>
      <c r="D161" s="6">
        <f>IFERROR(__xludf.DUMMYFUNCTION("""COMPUTED_VALUE"""),651.42)</f>
        <v>651.42</v>
      </c>
      <c r="E161" s="6">
        <f>IFERROR(__xludf.DUMMYFUNCTION("GOOGLEFINANCE(""Currency:BRLMXN"")*D161"),2213.1994499999996)</f>
        <v>2213.19945</v>
      </c>
      <c r="F161" s="6">
        <f>IFERROR(__xludf.DUMMYFUNCTION("GOOGLEFINANCE(""Currency:BRLPEN"")*D161"),427.0709519999999)</f>
        <v>427.070952</v>
      </c>
      <c r="G161" s="2" t="str">
        <f t="array" ref="G161">_xlfn.XLOOKUP(B161,Vendedores!$A$2:$A$41,Vendedores!$B$2:$B$41,"No hay datos")</f>
        <v>Juan Santos</v>
      </c>
      <c r="H161" s="2" t="str">
        <f t="array" ref="H161">_xlfn.XLOOKUP(B161,Vendedores!$A$2:$A$41,Vendedores!$C$2:$C$41,"No hay datos")</f>
        <v>Vista Hermosa</v>
      </c>
      <c r="I161" s="2" t="str">
        <f t="array" ref="I161">_xlfn.XLOOKUP(B161,Vendedores!$A$2:$A$41,Vendedores!$D$2:$D$41,"No hay datos")</f>
        <v>Región Central</v>
      </c>
      <c r="J161" s="2" t="str">
        <f t="array" ref="J161:N161">_xlfn.XLOOKUP(A161,Productos!$A$2:$A$61,Productos!$B$2:$F$61)</f>
        <v>Playera a rayas</v>
      </c>
      <c r="K161" s="2" t="s">
        <v>17</v>
      </c>
      <c r="L161" s="2" t="s">
        <v>10</v>
      </c>
      <c r="M161" s="2" t="s">
        <v>27</v>
      </c>
      <c r="N161" s="2" t="s">
        <v>24</v>
      </c>
    </row>
    <row r="162">
      <c r="A162" s="2" t="str">
        <f>IFERROR(__xludf.DUMMYFUNCTION("""COMPUTED_VALUE"""),"PR034")</f>
        <v>PR034</v>
      </c>
      <c r="B162" s="2" t="str">
        <f>IFERROR(__xludf.DUMMYFUNCTION("""COMPUTED_VALUE"""),"VD018")</f>
        <v>VD018</v>
      </c>
      <c r="C162" s="2">
        <f>IFERROR(__xludf.DUMMYFUNCTION("""COMPUTED_VALUE"""),9.0)</f>
        <v>9</v>
      </c>
      <c r="D162" s="6">
        <f>IFERROR(__xludf.DUMMYFUNCTION("""COMPUTED_VALUE"""),954.74)</f>
        <v>954.74</v>
      </c>
      <c r="E162" s="6">
        <f>IFERROR(__xludf.DUMMYFUNCTION("GOOGLEFINANCE(""Currency:BRLMXN"")*D162"),3243.72915)</f>
        <v>3243.72915</v>
      </c>
      <c r="F162" s="6">
        <f>IFERROR(__xludf.DUMMYFUNCTION("GOOGLEFINANCE(""Currency:BRLPEN"")*D162"),625.927544)</f>
        <v>625.927544</v>
      </c>
      <c r="G162" s="2" t="str">
        <f t="array" ref="G162">_xlfn.XLOOKUP(B162,Vendedores!$A$2:$A$41,Vendedores!$B$2:$B$41,"No hay datos")</f>
        <v>Leticia Rodríguez</v>
      </c>
      <c r="H162" s="2" t="str">
        <f t="array" ref="H162">_xlfn.XLOOKUP(B162,Vendedores!$A$2:$A$41,Vendedores!$C$2:$C$41,"No hay datos")</f>
        <v>Playa Blanca</v>
      </c>
      <c r="I162" s="2" t="str">
        <f t="array" ref="I162">_xlfn.XLOOKUP(B162,Vendedores!$A$2:$A$41,Vendedores!$D$2:$D$41,"No hay datos")</f>
        <v>Región Norte</v>
      </c>
      <c r="J162" s="2" t="str">
        <f t="array" ref="J162:N162">_xlfn.XLOOKUP(A162,Productos!$A$2:$A$61,Productos!$B$2:$F$61)</f>
        <v>Vestido corto</v>
      </c>
      <c r="K162" s="2" t="s">
        <v>9</v>
      </c>
      <c r="L162" s="2" t="s">
        <v>10</v>
      </c>
      <c r="M162" s="2" t="s">
        <v>93</v>
      </c>
      <c r="N162" s="2" t="s">
        <v>35</v>
      </c>
    </row>
    <row r="163">
      <c r="A163" s="2" t="str">
        <f>IFERROR(__xludf.DUMMYFUNCTION("""COMPUTED_VALUE"""),"PR027")</f>
        <v>PR027</v>
      </c>
      <c r="B163" s="2" t="str">
        <f>IFERROR(__xludf.DUMMYFUNCTION("""COMPUTED_VALUE"""),"VD016")</f>
        <v>VD016</v>
      </c>
      <c r="C163" s="2">
        <f>IFERROR(__xludf.DUMMYFUNCTION("""COMPUTED_VALUE"""),10.0)</f>
        <v>10</v>
      </c>
      <c r="D163" s="6">
        <f>IFERROR(__xludf.DUMMYFUNCTION("""COMPUTED_VALUE"""),1428.0)</f>
        <v>1428</v>
      </c>
      <c r="E163" s="6">
        <f>IFERROR(__xludf.DUMMYFUNCTION("GOOGLEFINANCE(""Currency:BRLMXN"")*D163"),4851.63)</f>
        <v>4851.63</v>
      </c>
      <c r="F163" s="6">
        <f>IFERROR(__xludf.DUMMYFUNCTION("GOOGLEFINANCE(""Currency:BRLPEN"")*D163"),936.1967999999999)</f>
        <v>936.1968</v>
      </c>
      <c r="G163" s="2" t="str">
        <f t="array" ref="G163">_xlfn.XLOOKUP(B163,Vendedores!$A$2:$A$41,Vendedores!$B$2:$B$41,"No hay datos")</f>
        <v>Beatriz Linares</v>
      </c>
      <c r="H163" s="2" t="str">
        <f t="array" ref="H163">_xlfn.XLOOKUP(B163,Vendedores!$A$2:$A$41,Vendedores!$C$2:$C$41,"No hay datos")</f>
        <v>Puerto Esperanza</v>
      </c>
      <c r="I163" s="2" t="str">
        <f t="array" ref="I163">_xlfn.XLOOKUP(B163,Vendedores!$A$2:$A$41,Vendedores!$D$2:$D$41,"No hay datos")</f>
        <v>Región Sur</v>
      </c>
      <c r="J163" s="2" t="str">
        <f t="array" ref="J163:N163">_xlfn.XLOOKUP(A163,Productos!$A$2:$A$61,Productos!$B$2:$F$61)</f>
        <v>Gafas redondas</v>
      </c>
      <c r="K163" s="2" t="s">
        <v>29</v>
      </c>
      <c r="L163" s="2" t="s">
        <v>30</v>
      </c>
      <c r="M163" s="2" t="s">
        <v>53</v>
      </c>
      <c r="N163" s="2" t="s">
        <v>54</v>
      </c>
    </row>
    <row r="164">
      <c r="A164" s="2" t="str">
        <f>IFERROR(__xludf.DUMMYFUNCTION("""COMPUTED_VALUE"""),"PR015")</f>
        <v>PR015</v>
      </c>
      <c r="B164" s="2" t="str">
        <f>IFERROR(__xludf.DUMMYFUNCTION("""COMPUTED_VALUE"""),"VD043")</f>
        <v>VD043</v>
      </c>
      <c r="C164" s="2">
        <f>IFERROR(__xludf.DUMMYFUNCTION("""COMPUTED_VALUE"""),18.0)</f>
        <v>18</v>
      </c>
      <c r="D164" s="6">
        <f>IFERROR(__xludf.DUMMYFUNCTION("""COMPUTED_VALUE"""),872.1)</f>
        <v>872.1</v>
      </c>
      <c r="E164" s="6">
        <f>IFERROR(__xludf.DUMMYFUNCTION("GOOGLEFINANCE(""Currency:BRLMXN"")*D164"),2962.95975)</f>
        <v>2962.95975</v>
      </c>
      <c r="F164" s="6">
        <f>IFERROR(__xludf.DUMMYFUNCTION("GOOGLEFINANCE(""Currency:BRLPEN"")*D164"),571.74876)</f>
        <v>571.74876</v>
      </c>
      <c r="G164" s="2" t="str">
        <f t="array" ref="G164">_xlfn.XLOOKUP(B164,Vendedores!$A$2:$A$41,Vendedores!$B$2:$B$41,"No hay datos")</f>
        <v>Carlos Henríquez</v>
      </c>
      <c r="H164" s="2" t="str">
        <f t="array" ref="H164">_xlfn.XLOOKUP(B164,Vendedores!$A$2:$A$41,Vendedores!$C$2:$C$41,"No hay datos")</f>
        <v>Ciudad Aeropuerto</v>
      </c>
      <c r="I164" s="2" t="str">
        <f t="array" ref="I164">_xlfn.XLOOKUP(B164,Vendedores!$A$2:$A$41,Vendedores!$D$2:$D$41,"No hay datos")</f>
        <v>Región Central 2</v>
      </c>
      <c r="J164" s="2" t="str">
        <f t="array" ref="J164:N164">_xlfn.XLOOKUP(A164,Productos!$A$2:$A$61,Productos!$B$2:$F$61)</f>
        <v>Playera estampada</v>
      </c>
      <c r="K164" s="2" t="s">
        <v>22</v>
      </c>
      <c r="L164" s="2" t="s">
        <v>10</v>
      </c>
      <c r="M164" s="2" t="s">
        <v>101</v>
      </c>
      <c r="N164" s="2" t="s">
        <v>102</v>
      </c>
    </row>
    <row r="165">
      <c r="A165" s="2" t="str">
        <f>IFERROR(__xludf.DUMMYFUNCTION("""COMPUTED_VALUE"""),"PR003")</f>
        <v>PR003</v>
      </c>
      <c r="B165" s="2" t="str">
        <f>IFERROR(__xludf.DUMMYFUNCTION("""COMPUTED_VALUE"""),"VD031")</f>
        <v>VD031</v>
      </c>
      <c r="C165" s="2">
        <f>IFERROR(__xludf.DUMMYFUNCTION("""COMPUTED_VALUE"""),9.0)</f>
        <v>9</v>
      </c>
      <c r="D165" s="6">
        <f>IFERROR(__xludf.DUMMYFUNCTION("""COMPUTED_VALUE"""),708.29)</f>
        <v>708.29</v>
      </c>
      <c r="E165" s="6">
        <f>IFERROR(__xludf.DUMMYFUNCTION("GOOGLEFINANCE(""Currency:BRLMXN"")*D165"),2406.415275)</f>
        <v>2406.415275</v>
      </c>
      <c r="F165" s="6">
        <f>IFERROR(__xludf.DUMMYFUNCTION("GOOGLEFINANCE(""Currency:BRLPEN"")*D165"),464.3549239999999)</f>
        <v>464.354924</v>
      </c>
      <c r="G165" s="2" t="str">
        <f t="array" ref="G165">_xlfn.XLOOKUP(B165,Vendedores!$A$2:$A$41,Vendedores!$B$2:$B$41,"No hay datos")</f>
        <v>Vanessa Martínez</v>
      </c>
      <c r="H165" s="2" t="str">
        <f t="array" ref="H165">_xlfn.XLOOKUP(B165,Vendedores!$A$2:$A$41,Vendedores!$C$2:$C$41,"No hay datos")</f>
        <v>Monte Verde</v>
      </c>
      <c r="I165" s="2" t="str">
        <f t="array" ref="I165">_xlfn.XLOOKUP(B165,Vendedores!$A$2:$A$41,Vendedores!$D$2:$D$41,"No hay datos")</f>
        <v>Región Central 2</v>
      </c>
      <c r="J165" s="2" t="str">
        <f t="array" ref="J165:N165">_xlfn.XLOOKUP(A165,Productos!$A$2:$A$61,Productos!$B$2:$F$61)</f>
        <v>Bermuda</v>
      </c>
      <c r="K165" s="2" t="s">
        <v>22</v>
      </c>
      <c r="L165" s="2" t="s">
        <v>10</v>
      </c>
      <c r="M165" s="2" t="s">
        <v>45</v>
      </c>
      <c r="N165" s="2" t="s">
        <v>46</v>
      </c>
    </row>
    <row r="166">
      <c r="A166" s="2" t="str">
        <f>IFERROR(__xludf.DUMMYFUNCTION("""COMPUTED_VALUE"""),"PR026")</f>
        <v>PR026</v>
      </c>
      <c r="B166" s="2" t="str">
        <f>IFERROR(__xludf.DUMMYFUNCTION("""COMPUTED_VALUE"""),"VD032")</f>
        <v>VD032</v>
      </c>
      <c r="C166" s="2">
        <f>IFERROR(__xludf.DUMMYFUNCTION("""COMPUTED_VALUE"""),10.0)</f>
        <v>10</v>
      </c>
      <c r="D166" s="6">
        <f>IFERROR(__xludf.DUMMYFUNCTION("""COMPUTED_VALUE"""),4128.82)</f>
        <v>4128.82</v>
      </c>
      <c r="E166" s="6">
        <f>IFERROR(__xludf.DUMMYFUNCTION("GOOGLEFINANCE(""Currency:BRLMXN"")*D166"),14027.665949999999)</f>
        <v>14027.66595</v>
      </c>
      <c r="F166" s="6">
        <f>IFERROR(__xludf.DUMMYFUNCTION("GOOGLEFINANCE(""Currency:BRLPEN"")*D166"),2706.8543919999997)</f>
        <v>2706.854392</v>
      </c>
      <c r="G166" s="2" t="str">
        <f t="array" ref="G166">_xlfn.XLOOKUP(B166,Vendedores!$A$2:$A$41,Vendedores!$B$2:$B$41,"No hay datos")</f>
        <v>Eduardo Almonte</v>
      </c>
      <c r="H166" s="2" t="str">
        <f t="array" ref="H166">_xlfn.XLOOKUP(B166,Vendedores!$A$2:$A$41,Vendedores!$C$2:$C$41,"No hay datos")</f>
        <v>Tierra Colorada</v>
      </c>
      <c r="I166" s="2" t="str">
        <f t="array" ref="I166">_xlfn.XLOOKUP(B166,Vendedores!$A$2:$A$41,Vendedores!$D$2:$D$41,"No hay datos")</f>
        <v>Región Central 2</v>
      </c>
      <c r="J166" s="2" t="str">
        <f t="array" ref="J166:N166">_xlfn.XLOOKUP(A166,Productos!$A$2:$A$61,Productos!$B$2:$F$61)</f>
        <v>Gafas cuadradas</v>
      </c>
      <c r="K166" s="2" t="s">
        <v>29</v>
      </c>
      <c r="L166" s="2" t="s">
        <v>30</v>
      </c>
      <c r="M166" s="2" t="s">
        <v>90</v>
      </c>
      <c r="N166" s="2" t="s">
        <v>91</v>
      </c>
    </row>
    <row r="167">
      <c r="A167" s="2" t="str">
        <f>IFERROR(__xludf.DUMMYFUNCTION("""COMPUTED_VALUE"""),"PR006")</f>
        <v>PR006</v>
      </c>
      <c r="B167" s="2" t="str">
        <f>IFERROR(__xludf.DUMMYFUNCTION("""COMPUTED_VALUE"""),"VD017")</f>
        <v>VD017</v>
      </c>
      <c r="C167" s="2">
        <f>IFERROR(__xludf.DUMMYFUNCTION("""COMPUTED_VALUE"""),16.0)</f>
        <v>16</v>
      </c>
      <c r="D167" s="6">
        <f>IFERROR(__xludf.DUMMYFUNCTION("""COMPUTED_VALUE"""),766.08)</f>
        <v>766.08</v>
      </c>
      <c r="E167" s="6">
        <f>IFERROR(__xludf.DUMMYFUNCTION("GOOGLEFINANCE(""Currency:BRLMXN"")*D167"),2602.7568)</f>
        <v>2602.7568</v>
      </c>
      <c r="F167" s="6">
        <f>IFERROR(__xludf.DUMMYFUNCTION("GOOGLEFINANCE(""Currency:BRLPEN"")*D167"),502.242048)</f>
        <v>502.242048</v>
      </c>
      <c r="G167" s="2" t="str">
        <f t="array" ref="G167">_xlfn.XLOOKUP(B167,Vendedores!$A$2:$A$41,Vendedores!$B$2:$B$41,"No hay datos")</f>
        <v>Bruno Peralta</v>
      </c>
      <c r="H167" s="2" t="str">
        <f t="array" ref="H167">_xlfn.XLOOKUP(B167,Vendedores!$A$2:$A$41,Vendedores!$C$2:$C$41,"No hay datos")</f>
        <v>Costa Azul</v>
      </c>
      <c r="I167" s="2" t="str">
        <f t="array" ref="I167">_xlfn.XLOOKUP(B167,Vendedores!$A$2:$A$41,Vendedores!$D$2:$D$41,"No hay datos")</f>
        <v>Región Norte</v>
      </c>
      <c r="J167" s="2" t="str">
        <f t="array" ref="J167:N167">_xlfn.XLOOKUP(A167,Productos!$A$2:$A$61,Productos!$B$2:$F$61)</f>
        <v>Gorra</v>
      </c>
      <c r="K167" s="2" t="s">
        <v>29</v>
      </c>
      <c r="L167" s="2" t="s">
        <v>30</v>
      </c>
      <c r="M167" s="2" t="s">
        <v>48</v>
      </c>
      <c r="N167" s="2" t="s">
        <v>38</v>
      </c>
    </row>
    <row r="168">
      <c r="A168" s="2" t="str">
        <f>IFERROR(__xludf.DUMMYFUNCTION("""COMPUTED_VALUE"""),"PR050")</f>
        <v>PR050</v>
      </c>
      <c r="B168" s="2" t="str">
        <f>IFERROR(__xludf.DUMMYFUNCTION("""COMPUTED_VALUE"""),"VD015")</f>
        <v>VD015</v>
      </c>
      <c r="C168" s="2">
        <f>IFERROR(__xludf.DUMMYFUNCTION("""COMPUTED_VALUE"""),27.0)</f>
        <v>27</v>
      </c>
      <c r="D168" s="6">
        <f>IFERROR(__xludf.DUMMYFUNCTION("""COMPUTED_VALUE"""),1012.66)</f>
        <v>1012.66</v>
      </c>
      <c r="E168" s="6">
        <f>IFERROR(__xludf.DUMMYFUNCTION("GOOGLEFINANCE(""Currency:BRLMXN"")*D168"),3440.51235)</f>
        <v>3440.51235</v>
      </c>
      <c r="F168" s="6">
        <f>IFERROR(__xludf.DUMMYFUNCTION("GOOGLEFINANCE(""Currency:BRLPEN"")*D168"),663.8998959999999)</f>
        <v>663.899896</v>
      </c>
      <c r="G168" s="2" t="str">
        <f t="array" ref="G168">_xlfn.XLOOKUP(B168,Vendedores!$A$2:$A$41,Vendedores!$B$2:$B$41,"No hay datos")</f>
        <v>Lucas Castillo</v>
      </c>
      <c r="H168" s="2" t="str">
        <f t="array" ref="H168">_xlfn.XLOOKUP(B168,Vendedores!$A$2:$A$41,Vendedores!$C$2:$C$41,"No hay datos")</f>
        <v>San Miguel de los Pinos</v>
      </c>
      <c r="I168" s="2" t="str">
        <f t="array" ref="I168">_xlfn.XLOOKUP(B168,Vendedores!$A$2:$A$41,Vendedores!$D$2:$D$41,"No hay datos")</f>
        <v>Región Sur</v>
      </c>
      <c r="J168" s="2" t="str">
        <f t="array" ref="J168:N168">_xlfn.XLOOKUP(A168,Productos!$A$2:$A$61,Productos!$B$2:$F$61)</f>
        <v>Playera a rayas</v>
      </c>
      <c r="K168" s="2" t="s">
        <v>17</v>
      </c>
      <c r="L168" s="2" t="s">
        <v>10</v>
      </c>
      <c r="M168" s="2" t="s">
        <v>27</v>
      </c>
      <c r="N168" s="2" t="s">
        <v>24</v>
      </c>
    </row>
    <row r="169">
      <c r="A169" s="2" t="str">
        <f>IFERROR(__xludf.DUMMYFUNCTION("""COMPUTED_VALUE"""),"PR009")</f>
        <v>PR009</v>
      </c>
      <c r="B169" s="2" t="str">
        <f>IFERROR(__xludf.DUMMYFUNCTION("""COMPUTED_VALUE"""),"VD040")</f>
        <v>VD040</v>
      </c>
      <c r="C169" s="2">
        <f>IFERROR(__xludf.DUMMYFUNCTION("""COMPUTED_VALUE"""),30.0)</f>
        <v>30</v>
      </c>
      <c r="D169" s="6">
        <f>IFERROR(__xludf.DUMMYFUNCTION("""COMPUTED_VALUE"""),3065.7)</f>
        <v>3065.7</v>
      </c>
      <c r="E169" s="6">
        <f>IFERROR(__xludf.DUMMYFUNCTION("GOOGLEFINANCE(""Currency:BRLMXN"")*D169"),10415.71575)</f>
        <v>10415.71575</v>
      </c>
      <c r="F169" s="6">
        <f>IFERROR(__xludf.DUMMYFUNCTION("GOOGLEFINANCE(""Currency:BRLPEN"")*D169"),2009.8729199999998)</f>
        <v>2009.87292</v>
      </c>
      <c r="G169" s="2" t="str">
        <f t="array" ref="G169">_xlfn.XLOOKUP(B169,Vendedores!$A$2:$A$41,Vendedores!$B$2:$B$41,"No hay datos")</f>
        <v>Tatiana Montero</v>
      </c>
      <c r="H169" s="2" t="str">
        <f t="array" ref="H169">_xlfn.XLOOKUP(B169,Vendedores!$A$2:$A$41,Vendedores!$C$2:$C$41,"No hay datos")</f>
        <v>Ciudad Industrial</v>
      </c>
      <c r="I169" s="2" t="str">
        <f t="array" ref="I169">_xlfn.XLOOKUP(B169,Vendedores!$A$2:$A$41,Vendedores!$D$2:$D$41,"No hay datos")</f>
        <v>Región Central 2</v>
      </c>
      <c r="J169" s="2" t="str">
        <f t="array" ref="J169:N169">_xlfn.XLOOKUP(A169,Productos!$A$2:$A$61,Productos!$B$2:$F$61)</f>
        <v>Pantalón de mezclilla</v>
      </c>
      <c r="K169" s="2" t="s">
        <v>22</v>
      </c>
      <c r="L169" s="2" t="s">
        <v>10</v>
      </c>
      <c r="M169" s="2" t="s">
        <v>76</v>
      </c>
      <c r="N169" s="2" t="s">
        <v>77</v>
      </c>
    </row>
    <row r="170">
      <c r="A170" s="2" t="str">
        <f>IFERROR(__xludf.DUMMYFUNCTION("""COMPUTED_VALUE"""),"PR013")</f>
        <v>PR013</v>
      </c>
      <c r="B170" s="2" t="str">
        <f>IFERROR(__xludf.DUMMYFUNCTION("""COMPUTED_VALUE"""),"VD021")</f>
        <v>VD021</v>
      </c>
      <c r="C170" s="2">
        <f>IFERROR(__xludf.DUMMYFUNCTION("""COMPUTED_VALUE"""),15.0)</f>
        <v>15</v>
      </c>
      <c r="D170" s="6">
        <f>IFERROR(__xludf.DUMMYFUNCTION("""COMPUTED_VALUE"""),706.23)</f>
        <v>706.23</v>
      </c>
      <c r="E170" s="6">
        <f>IFERROR(__xludf.DUMMYFUNCTION("GOOGLEFINANCE(""Currency:BRLMXN"")*D170"),2399.416425)</f>
        <v>2399.416425</v>
      </c>
      <c r="F170" s="6">
        <f>IFERROR(__xludf.DUMMYFUNCTION("GOOGLEFINANCE(""Currency:BRLPEN"")*D170"),463.004388)</f>
        <v>463.004388</v>
      </c>
      <c r="G170" s="2" t="str">
        <f t="array" ref="G170">_xlfn.XLOOKUP(B170,Vendedores!$A$2:$A$41,Vendedores!$B$2:$B$41,"No hay datos")</f>
        <v>Fernanda Méndez</v>
      </c>
      <c r="H170" s="2" t="str">
        <f t="array" ref="H170">_xlfn.XLOOKUP(B170,Vendedores!$A$2:$A$41,Vendedores!$C$2:$C$41,"No hay datos")</f>
        <v>San Juan de la Sierra</v>
      </c>
      <c r="I170" s="2" t="str">
        <f t="array" ref="I170">_xlfn.XLOOKUP(B170,Vendedores!$A$2:$A$41,Vendedores!$D$2:$D$41,"No hay datos")</f>
        <v>Región Central</v>
      </c>
      <c r="J170" s="2" t="str">
        <f t="array" ref="J170:N170">_xlfn.XLOOKUP(A170,Productos!$A$2:$A$61,Productos!$B$2:$F$61)</f>
        <v>Playera estampada</v>
      </c>
      <c r="K170" s="2" t="s">
        <v>9</v>
      </c>
      <c r="L170" s="2" t="s">
        <v>10</v>
      </c>
      <c r="M170" s="2" t="s">
        <v>66</v>
      </c>
      <c r="N170" s="2" t="s">
        <v>38</v>
      </c>
    </row>
    <row r="171">
      <c r="A171" s="2" t="str">
        <f>IFERROR(__xludf.DUMMYFUNCTION("""COMPUTED_VALUE"""),"PR049")</f>
        <v>PR049</v>
      </c>
      <c r="B171" s="2" t="str">
        <f>IFERROR(__xludf.DUMMYFUNCTION("""COMPUTED_VALUE"""),"VD049")</f>
        <v>VD049</v>
      </c>
      <c r="C171" s="2">
        <f>IFERROR(__xludf.DUMMYFUNCTION("""COMPUTED_VALUE"""),21.0)</f>
        <v>21</v>
      </c>
      <c r="D171" s="6">
        <f>IFERROR(__xludf.DUMMYFUNCTION("""COMPUTED_VALUE"""),759.99)</f>
        <v>759.99</v>
      </c>
      <c r="E171" s="6">
        <f>IFERROR(__xludf.DUMMYFUNCTION("GOOGLEFINANCE(""Currency:BRLMXN"")*D171"),2582.066025)</f>
        <v>2582.066025</v>
      </c>
      <c r="F171" s="6">
        <f>IFERROR(__xludf.DUMMYFUNCTION("GOOGLEFINANCE(""Currency:BRLPEN"")*D171"),498.249444)</f>
        <v>498.249444</v>
      </c>
      <c r="G171" s="2" t="str">
        <f t="array" ref="G171">_xlfn.XLOOKUP(B171,Vendedores!$A$2:$A$41,Vendedores!$B$2:$B$41,"No hay datos")</f>
        <v>Fernando Navarro</v>
      </c>
      <c r="H171" s="2" t="str">
        <f t="array" ref="H171">_xlfn.XLOOKUP(B171,Vendedores!$A$2:$A$41,Vendedores!$C$2:$C$41,"No hay datos")</f>
        <v>Colinas Verdes</v>
      </c>
      <c r="I171" s="2" t="str">
        <f t="array" ref="I171">_xlfn.XLOOKUP(B171,Vendedores!$A$2:$A$41,Vendedores!$D$2:$D$41,"No hay datos")</f>
        <v>Región Central 2</v>
      </c>
      <c r="J171" s="2" t="str">
        <f t="array" ref="J171:N171">_xlfn.XLOOKUP(A171,Productos!$A$2:$A$61,Productos!$B$2:$F$61)</f>
        <v>Playera a rayas</v>
      </c>
      <c r="K171" s="2" t="s">
        <v>9</v>
      </c>
      <c r="L171" s="2" t="s">
        <v>10</v>
      </c>
      <c r="M171" s="2" t="s">
        <v>47</v>
      </c>
      <c r="N171" s="2" t="s">
        <v>24</v>
      </c>
    </row>
    <row r="172">
      <c r="A172" s="2" t="str">
        <f>IFERROR(__xludf.DUMMYFUNCTION("""COMPUTED_VALUE"""),"PR004")</f>
        <v>PR004</v>
      </c>
      <c r="B172" s="2" t="str">
        <f>IFERROR(__xludf.DUMMYFUNCTION("""COMPUTED_VALUE"""),"VD035")</f>
        <v>VD035</v>
      </c>
      <c r="C172" s="2">
        <f>IFERROR(__xludf.DUMMYFUNCTION("""COMPUTED_VALUE"""),18.0)</f>
        <v>18</v>
      </c>
      <c r="D172" s="6">
        <f>IFERROR(__xludf.DUMMYFUNCTION("""COMPUTED_VALUE"""),2923.2)</f>
        <v>2923.2</v>
      </c>
      <c r="E172" s="6">
        <f>IFERROR(__xludf.DUMMYFUNCTION("GOOGLEFINANCE(""Currency:BRLMXN"")*D172"),9931.572)</f>
        <v>9931.572</v>
      </c>
      <c r="F172" s="6">
        <f>IFERROR(__xludf.DUMMYFUNCTION("GOOGLEFINANCE(""Currency:BRLPEN"")*D172"),1916.4499199999998)</f>
        <v>1916.44992</v>
      </c>
      <c r="G172" s="2" t="str">
        <f t="array" ref="G172">_xlfn.XLOOKUP(B172,Vendedores!$A$2:$A$41,Vendedores!$B$2:$B$41,"No hay datos")</f>
        <v>Carolina Méndez</v>
      </c>
      <c r="H172" s="2" t="str">
        <f t="array" ref="H172">_xlfn.XLOOKUP(B172,Vendedores!$A$2:$A$41,Vendedores!$C$2:$C$41,"No hay datos")</f>
        <v>Valle de los Robles</v>
      </c>
      <c r="I172" s="2" t="str">
        <f t="array" ref="I172">_xlfn.XLOOKUP(B172,Vendedores!$A$2:$A$41,Vendedores!$D$2:$D$41,"No hay datos")</f>
        <v>Región Central 2</v>
      </c>
      <c r="J172" s="2" t="str">
        <f t="array" ref="J172:N172">_xlfn.XLOOKUP(A172,Productos!$A$2:$A$61,Productos!$B$2:$F$61)</f>
        <v>Bolso versátil</v>
      </c>
      <c r="K172" s="2" t="s">
        <v>29</v>
      </c>
      <c r="L172" s="2" t="s">
        <v>30</v>
      </c>
      <c r="M172" s="2" t="s">
        <v>59</v>
      </c>
      <c r="N172" s="2" t="s">
        <v>60</v>
      </c>
    </row>
    <row r="173">
      <c r="A173" s="2" t="str">
        <f>IFERROR(__xludf.DUMMYFUNCTION("""COMPUTED_VALUE"""),"PR046")</f>
        <v>PR046</v>
      </c>
      <c r="B173" s="2" t="str">
        <f>IFERROR(__xludf.DUMMYFUNCTION("""COMPUTED_VALUE"""),"VD019")</f>
        <v>VD019</v>
      </c>
      <c r="C173" s="2">
        <f>IFERROR(__xludf.DUMMYFUNCTION("""COMPUTED_VALUE"""),20.0)</f>
        <v>20</v>
      </c>
      <c r="D173" s="6">
        <f>IFERROR(__xludf.DUMMYFUNCTION("""COMPUTED_VALUE"""),6725.68)</f>
        <v>6725.68</v>
      </c>
      <c r="E173" s="6">
        <f>IFERROR(__xludf.DUMMYFUNCTION("GOOGLEFINANCE(""Currency:BRLMXN"")*D173"),22850.4978)</f>
        <v>22850.4978</v>
      </c>
      <c r="F173" s="6">
        <f>IFERROR(__xludf.DUMMYFUNCTION("GOOGLEFINANCE(""Currency:BRLPEN"")*D173"),4409.355808)</f>
        <v>4409.355808</v>
      </c>
      <c r="G173" s="2" t="str">
        <f t="array" ref="G173">_xlfn.XLOOKUP(B173,Vendedores!$A$2:$A$41,Vendedores!$B$2:$B$41,"No hay datos")</f>
        <v>Rafael Sosa</v>
      </c>
      <c r="H173" s="2" t="str">
        <f t="array" ref="H173">_xlfn.XLOOKUP(B173,Vendedores!$A$2:$A$41,Vendedores!$C$2:$C$41,"No hay datos")</f>
        <v>Selva Verde</v>
      </c>
      <c r="I173" s="2" t="str">
        <f t="array" ref="I173">_xlfn.XLOOKUP(B173,Vendedores!$A$2:$A$41,Vendedores!$D$2:$D$41,"No hay datos")</f>
        <v>Región Amazónica</v>
      </c>
      <c r="J173" s="2" t="str">
        <f t="array" ref="J173:N173">_xlfn.XLOOKUP(A173,Productos!$A$2:$A$61,Productos!$B$2:$F$61)</f>
        <v>Chaqueta de cuero</v>
      </c>
      <c r="K173" s="2" t="s">
        <v>9</v>
      </c>
      <c r="L173" s="2" t="s">
        <v>10</v>
      </c>
      <c r="M173" s="2" t="s">
        <v>94</v>
      </c>
      <c r="N173" s="2" t="s">
        <v>44</v>
      </c>
    </row>
    <row r="174">
      <c r="A174" s="2" t="str">
        <f>IFERROR(__xludf.DUMMYFUNCTION("""COMPUTED_VALUE"""),"PR047")</f>
        <v>PR047</v>
      </c>
      <c r="B174" s="2" t="str">
        <f>IFERROR(__xludf.DUMMYFUNCTION("""COMPUTED_VALUE"""),"VD046")</f>
        <v>VD046</v>
      </c>
      <c r="C174" s="2">
        <f>IFERROR(__xludf.DUMMYFUNCTION("""COMPUTED_VALUE"""),27.0)</f>
        <v>27</v>
      </c>
      <c r="D174" s="6">
        <f>IFERROR(__xludf.DUMMYFUNCTION("""COMPUTED_VALUE"""),8844.85)</f>
        <v>8844.85</v>
      </c>
      <c r="E174" s="6">
        <f>IFERROR(__xludf.DUMMYFUNCTION("GOOGLEFINANCE(""Currency:BRLMXN"")*D174"),30050.377875000002)</f>
        <v>30050.37788</v>
      </c>
      <c r="F174" s="6">
        <f>IFERROR(__xludf.DUMMYFUNCTION("GOOGLEFINANCE(""Currency:BRLPEN"")*D174"),5798.68366)</f>
        <v>5798.68366</v>
      </c>
      <c r="G174" s="2" t="str">
        <f t="array" ref="G174">_xlfn.XLOOKUP(B174,Vendedores!$A$2:$A$41,Vendedores!$B$2:$B$41,"No hay datos")</f>
        <v>Juliana Pérez</v>
      </c>
      <c r="H174" s="2" t="str">
        <f t="array" ref="H174">_xlfn.XLOOKUP(B174,Vendedores!$A$2:$A$41,Vendedores!$C$2:$C$41,"No hay datos")</f>
        <v>Santa Cruz de la Sierra</v>
      </c>
      <c r="I174" s="2" t="str">
        <f t="array" ref="I174">_xlfn.XLOOKUP(B174,Vendedores!$A$2:$A$41,Vendedores!$D$2:$D$41,"No hay datos")</f>
        <v>Región Central 2</v>
      </c>
      <c r="J174" s="2" t="str">
        <f t="array" ref="J174:N174">_xlfn.XLOOKUP(A174,Productos!$A$2:$A$61,Productos!$B$2:$F$61)</f>
        <v>Chaqueta de cuero</v>
      </c>
      <c r="K174" s="2" t="s">
        <v>17</v>
      </c>
      <c r="L174" s="2" t="s">
        <v>10</v>
      </c>
      <c r="M174" s="2" t="s">
        <v>43</v>
      </c>
      <c r="N174" s="2" t="s">
        <v>44</v>
      </c>
    </row>
    <row r="175">
      <c r="A175" s="2" t="str">
        <f>IFERROR(__xludf.DUMMYFUNCTION("""COMPUTED_VALUE"""),"PR054")</f>
        <v>PR054</v>
      </c>
      <c r="B175" s="2" t="str">
        <f>IFERROR(__xludf.DUMMYFUNCTION("""COMPUTED_VALUE"""),"VD019")</f>
        <v>VD019</v>
      </c>
      <c r="C175" s="2">
        <f>IFERROR(__xludf.DUMMYFUNCTION("""COMPUTED_VALUE"""),18.0)</f>
        <v>18</v>
      </c>
      <c r="D175" s="6">
        <f>IFERROR(__xludf.DUMMYFUNCTION("""COMPUTED_VALUE"""),1077.84)</f>
        <v>1077.84</v>
      </c>
      <c r="E175" s="6">
        <f>IFERROR(__xludf.DUMMYFUNCTION("GOOGLEFINANCE(""Currency:BRLMXN"")*D175"),3661.9613999999997)</f>
        <v>3661.9614</v>
      </c>
      <c r="F175" s="6">
        <f>IFERROR(__xludf.DUMMYFUNCTION("GOOGLEFINANCE(""Currency:BRLPEN"")*D175"),706.6319039999998)</f>
        <v>706.631904</v>
      </c>
      <c r="G175" s="2" t="str">
        <f t="array" ref="G175">_xlfn.XLOOKUP(B175,Vendedores!$A$2:$A$41,Vendedores!$B$2:$B$41,"No hay datos")</f>
        <v>Rafael Sosa</v>
      </c>
      <c r="H175" s="2" t="str">
        <f t="array" ref="H175">_xlfn.XLOOKUP(B175,Vendedores!$A$2:$A$41,Vendedores!$C$2:$C$41,"No hay datos")</f>
        <v>Selva Verde</v>
      </c>
      <c r="I175" s="2" t="str">
        <f t="array" ref="I175">_xlfn.XLOOKUP(B175,Vendedores!$A$2:$A$41,Vendedores!$D$2:$D$41,"No hay datos")</f>
        <v>Región Amazónica</v>
      </c>
      <c r="J175" s="2" t="str">
        <f t="array" ref="J175:N175">_xlfn.XLOOKUP(A175,Productos!$A$2:$A$61,Productos!$B$2:$F$61)</f>
        <v>Falda plisada</v>
      </c>
      <c r="K175" s="2" t="s">
        <v>22</v>
      </c>
      <c r="L175" s="2" t="s">
        <v>10</v>
      </c>
      <c r="M175" s="2" t="s">
        <v>42</v>
      </c>
      <c r="N175" s="2" t="s">
        <v>32</v>
      </c>
    </row>
    <row r="176">
      <c r="A176" s="2" t="str">
        <f>IFERROR(__xludf.DUMMYFUNCTION("""COMPUTED_VALUE"""),"PR041")</f>
        <v>PR041</v>
      </c>
      <c r="B176" s="2" t="str">
        <f>IFERROR(__xludf.DUMMYFUNCTION("""COMPUTED_VALUE"""),"VD033")</f>
        <v>VD033</v>
      </c>
      <c r="C176" s="2">
        <f>IFERROR(__xludf.DUMMYFUNCTION("""COMPUTED_VALUE"""),27.0)</f>
        <v>27</v>
      </c>
      <c r="D176" s="6">
        <f>IFERROR(__xludf.DUMMYFUNCTION("""COMPUTED_VALUE"""),1778.76)</f>
        <v>1778.76</v>
      </c>
      <c r="E176" s="6">
        <f>IFERROR(__xludf.DUMMYFUNCTION("GOOGLEFINANCE(""Currency:BRLMXN"")*D176"),6043.3371)</f>
        <v>6043.3371</v>
      </c>
      <c r="F176" s="6">
        <f>IFERROR(__xludf.DUMMYFUNCTION("GOOGLEFINANCE(""Currency:BRLPEN"")*D176"),1166.1550559999998)</f>
        <v>1166.155056</v>
      </c>
      <c r="G176" s="2" t="str">
        <f t="array" ref="G176">_xlfn.XLOOKUP(B176,Vendedores!$A$2:$A$41,Vendedores!$B$2:$B$41,"No hay datos")</f>
        <v>Renata Flores</v>
      </c>
      <c r="H176" s="2" t="str">
        <f t="array" ref="H176">_xlfn.XLOOKUP(B176,Vendedores!$A$2:$A$41,Vendedores!$C$2:$C$41,"No hay datos")</f>
        <v>Altos del Sur</v>
      </c>
      <c r="I176" s="2" t="str">
        <f t="array" ref="I176">_xlfn.XLOOKUP(B176,Vendedores!$A$2:$A$41,Vendedores!$D$2:$D$41,"No hay datos")</f>
        <v>Región Central 2</v>
      </c>
      <c r="J176" s="2" t="str">
        <f t="array" ref="J176:N176">_xlfn.XLOOKUP(A176,Productos!$A$2:$A$61,Productos!$B$2:$F$61)</f>
        <v>Playera confort</v>
      </c>
      <c r="K176" s="2" t="s">
        <v>17</v>
      </c>
      <c r="L176" s="2" t="s">
        <v>10</v>
      </c>
      <c r="M176" s="2" t="s">
        <v>95</v>
      </c>
      <c r="N176" s="2" t="s">
        <v>26</v>
      </c>
    </row>
    <row r="177">
      <c r="A177" s="2" t="str">
        <f>IFERROR(__xludf.DUMMYFUNCTION("""COMPUTED_VALUE"""),"PR024")</f>
        <v>PR024</v>
      </c>
      <c r="B177" s="2" t="str">
        <f>IFERROR(__xludf.DUMMYFUNCTION("""COMPUTED_VALUE"""),"VD018")</f>
        <v>VD018</v>
      </c>
      <c r="C177" s="2">
        <f>IFERROR(__xludf.DUMMYFUNCTION("""COMPUTED_VALUE"""),8.0)</f>
        <v>8</v>
      </c>
      <c r="D177" s="6">
        <f>IFERROR(__xludf.DUMMYFUNCTION("""COMPUTED_VALUE"""),2453.46)</f>
        <v>2453.46</v>
      </c>
      <c r="E177" s="6">
        <f>IFERROR(__xludf.DUMMYFUNCTION("GOOGLEFINANCE(""Currency:BRLMXN"")*D177"),8335.63035)</f>
        <v>8335.63035</v>
      </c>
      <c r="F177" s="6">
        <f>IFERROR(__xludf.DUMMYFUNCTION("GOOGLEFINANCE(""Currency:BRLPEN"")*D177"),1608.488376)</f>
        <v>1608.488376</v>
      </c>
      <c r="G177" s="2" t="str">
        <f t="array" ref="G177">_xlfn.XLOOKUP(B177,Vendedores!$A$2:$A$41,Vendedores!$B$2:$B$41,"No hay datos")</f>
        <v>Leticia Rodríguez</v>
      </c>
      <c r="H177" s="2" t="str">
        <f t="array" ref="H177">_xlfn.XLOOKUP(B177,Vendedores!$A$2:$A$41,Vendedores!$C$2:$C$41,"No hay datos")</f>
        <v>Playa Blanca</v>
      </c>
      <c r="I177" s="2" t="str">
        <f t="array" ref="I177">_xlfn.XLOOKUP(B177,Vendedores!$A$2:$A$41,Vendedores!$D$2:$D$41,"No hay datos")</f>
        <v>Región Norte</v>
      </c>
      <c r="J177" s="2" t="str">
        <f t="array" ref="J177:N177">_xlfn.XLOOKUP(A177,Productos!$A$2:$A$61,Productos!$B$2:$F$61)</f>
        <v>Chaqueta de mezclilla</v>
      </c>
      <c r="K177" s="2" t="s">
        <v>17</v>
      </c>
      <c r="L177" s="2" t="s">
        <v>10</v>
      </c>
      <c r="M177" s="2" t="s">
        <v>92</v>
      </c>
      <c r="N177" s="2" t="s">
        <v>64</v>
      </c>
    </row>
    <row r="178">
      <c r="A178" s="2" t="str">
        <f>IFERROR(__xludf.DUMMYFUNCTION("""COMPUTED_VALUE"""),"PR024")</f>
        <v>PR024</v>
      </c>
      <c r="B178" s="2" t="str">
        <f>IFERROR(__xludf.DUMMYFUNCTION("""COMPUTED_VALUE"""),"VD048")</f>
        <v>VD048</v>
      </c>
      <c r="C178" s="2">
        <f>IFERROR(__xludf.DUMMYFUNCTION("""COMPUTED_VALUE"""),15.0)</f>
        <v>15</v>
      </c>
      <c r="D178" s="6">
        <f>IFERROR(__xludf.DUMMYFUNCTION("""COMPUTED_VALUE"""),4678.2)</f>
        <v>4678.2</v>
      </c>
      <c r="E178" s="6">
        <f>IFERROR(__xludf.DUMMYFUNCTION("GOOGLEFINANCE(""Currency:BRLMXN"")*D178"),15894.1845)</f>
        <v>15894.1845</v>
      </c>
      <c r="F178" s="6">
        <f>IFERROR(__xludf.DUMMYFUNCTION("GOOGLEFINANCE(""Currency:BRLPEN"")*D178"),3067.0279199999995)</f>
        <v>3067.02792</v>
      </c>
      <c r="G178" s="2" t="str">
        <f t="array" ref="G178">_xlfn.XLOOKUP(B178,Vendedores!$A$2:$A$41,Vendedores!$B$2:$B$41,"No hay datos")</f>
        <v>Mariana Castro</v>
      </c>
      <c r="H178" s="2" t="str">
        <f t="array" ref="H178">_xlfn.XLOOKUP(B178,Vendedores!$A$2:$A$41,Vendedores!$C$2:$C$41,"No hay datos")</f>
        <v>San Carlos del Valle</v>
      </c>
      <c r="I178" s="2" t="str">
        <f t="array" ref="I178">_xlfn.XLOOKUP(B178,Vendedores!$A$2:$A$41,Vendedores!$D$2:$D$41,"No hay datos")</f>
        <v>Región Central 2</v>
      </c>
      <c r="J178" s="2" t="str">
        <f t="array" ref="J178:N178">_xlfn.XLOOKUP(A178,Productos!$A$2:$A$61,Productos!$B$2:$F$61)</f>
        <v>Chaqueta de mezclilla</v>
      </c>
      <c r="K178" s="2" t="s">
        <v>17</v>
      </c>
      <c r="L178" s="2" t="s">
        <v>10</v>
      </c>
      <c r="M178" s="2" t="s">
        <v>92</v>
      </c>
      <c r="N178" s="2" t="s">
        <v>64</v>
      </c>
    </row>
    <row r="179">
      <c r="A179" s="2" t="str">
        <f>IFERROR(__xludf.DUMMYFUNCTION("""COMPUTED_VALUE"""),"PR039")</f>
        <v>PR039</v>
      </c>
      <c r="B179" s="2" t="str">
        <f>IFERROR(__xludf.DUMMYFUNCTION("""COMPUTED_VALUE"""),"VD015")</f>
        <v>VD015</v>
      </c>
      <c r="C179" s="2">
        <f>IFERROR(__xludf.DUMMYFUNCTION("""COMPUTED_VALUE"""),15.0)</f>
        <v>15</v>
      </c>
      <c r="D179" s="6">
        <f>IFERROR(__xludf.DUMMYFUNCTION("""COMPUTED_VALUE"""),2430.9)</f>
        <v>2430.9</v>
      </c>
      <c r="E179" s="6">
        <f>IFERROR(__xludf.DUMMYFUNCTION("GOOGLEFINANCE(""Currency:BRLMXN"")*D179"),8258.982750000001)</f>
        <v>8258.98275</v>
      </c>
      <c r="F179" s="6">
        <f>IFERROR(__xludf.DUMMYFUNCTION("GOOGLEFINANCE(""Currency:BRLPEN"")*D179"),1593.69804)</f>
        <v>1593.69804</v>
      </c>
      <c r="G179" s="2" t="str">
        <f t="array" ref="G179">_xlfn.XLOOKUP(B179,Vendedores!$A$2:$A$41,Vendedores!$B$2:$B$41,"No hay datos")</f>
        <v>Lucas Castillo</v>
      </c>
      <c r="H179" s="2" t="str">
        <f t="array" ref="H179">_xlfn.XLOOKUP(B179,Vendedores!$A$2:$A$41,Vendedores!$C$2:$C$41,"No hay datos")</f>
        <v>San Miguel de los Pinos</v>
      </c>
      <c r="I179" s="2" t="str">
        <f t="array" ref="I179">_xlfn.XLOOKUP(B179,Vendedores!$A$2:$A$41,Vendedores!$D$2:$D$41,"No hay datos")</f>
        <v>Región Sur</v>
      </c>
      <c r="J179" s="2" t="str">
        <f t="array" ref="J179:N179">_xlfn.XLOOKUP(A179,Productos!$A$2:$A$61,Productos!$B$2:$F$61)</f>
        <v>Vestido largo</v>
      </c>
      <c r="K179" s="2" t="s">
        <v>22</v>
      </c>
      <c r="L179" s="2" t="s">
        <v>10</v>
      </c>
      <c r="M179" s="2" t="s">
        <v>73</v>
      </c>
      <c r="N179" s="2" t="s">
        <v>74</v>
      </c>
    </row>
    <row r="180">
      <c r="A180" s="2" t="str">
        <f>IFERROR(__xludf.DUMMYFUNCTION("""COMPUTED_VALUE"""),"PR032")</f>
        <v>PR032</v>
      </c>
      <c r="B180" s="2" t="str">
        <f>IFERROR(__xludf.DUMMYFUNCTION("""COMPUTED_VALUE"""),"VD016")</f>
        <v>VD016</v>
      </c>
      <c r="C180" s="2">
        <f>IFERROR(__xludf.DUMMYFUNCTION("""COMPUTED_VALUE"""),27.0)</f>
        <v>27</v>
      </c>
      <c r="D180" s="6">
        <f>IFERROR(__xludf.DUMMYFUNCTION("""COMPUTED_VALUE"""),7897.5)</f>
        <v>7897.5</v>
      </c>
      <c r="E180" s="6">
        <f>IFERROR(__xludf.DUMMYFUNCTION("GOOGLEFINANCE(""Currency:BRLMXN"")*D180"),26831.75625)</f>
        <v>26831.75625</v>
      </c>
      <c r="F180" s="6">
        <f>IFERROR(__xludf.DUMMYFUNCTION("GOOGLEFINANCE(""Currency:BRLPEN"")*D180"),5177.601)</f>
        <v>5177.601</v>
      </c>
      <c r="G180" s="2" t="str">
        <f t="array" ref="G180">_xlfn.XLOOKUP(B180,Vendedores!$A$2:$A$41,Vendedores!$B$2:$B$41,"No hay datos")</f>
        <v>Beatriz Linares</v>
      </c>
      <c r="H180" s="2" t="str">
        <f t="array" ref="H180">_xlfn.XLOOKUP(B180,Vendedores!$A$2:$A$41,Vendedores!$C$2:$C$41,"No hay datos")</f>
        <v>Puerto Esperanza</v>
      </c>
      <c r="I180" s="2" t="str">
        <f t="array" ref="I180">_xlfn.XLOOKUP(B180,Vendedores!$A$2:$A$41,Vendedores!$D$2:$D$41,"No hay datos")</f>
        <v>Región Sur</v>
      </c>
      <c r="J180" s="2" t="str">
        <f t="array" ref="J180:N180">_xlfn.XLOOKUP(A180,Productos!$A$2:$A$61,Productos!$B$2:$F$61)</f>
        <v>Tenis Chunky</v>
      </c>
      <c r="K180" s="2">
        <v>37.0</v>
      </c>
      <c r="L180" s="2" t="s">
        <v>33</v>
      </c>
      <c r="M180" s="2" t="s">
        <v>61</v>
      </c>
      <c r="N180" s="2" t="s">
        <v>62</v>
      </c>
    </row>
    <row r="181">
      <c r="A181" s="2" t="str">
        <f>IFERROR(__xludf.DUMMYFUNCTION("""COMPUTED_VALUE"""),"PR006")</f>
        <v>PR006</v>
      </c>
      <c r="B181" s="2" t="str">
        <f>IFERROR(__xludf.DUMMYFUNCTION("""COMPUTED_VALUE"""),"VD015")</f>
        <v>VD015</v>
      </c>
      <c r="C181" s="2">
        <f>IFERROR(__xludf.DUMMYFUNCTION("""COMPUTED_VALUE"""),24.0)</f>
        <v>24</v>
      </c>
      <c r="D181" s="6">
        <f>IFERROR(__xludf.DUMMYFUNCTION("""COMPUTED_VALUE"""),1139.54)</f>
        <v>1139.54</v>
      </c>
      <c r="E181" s="6">
        <f>IFERROR(__xludf.DUMMYFUNCTION("GOOGLEFINANCE(""Currency:BRLMXN"")*D181"),3871.58715)</f>
        <v>3871.58715</v>
      </c>
      <c r="F181" s="6">
        <f>IFERROR(__xludf.DUMMYFUNCTION("GOOGLEFINANCE(""Currency:BRLPEN"")*D181"),747.082424)</f>
        <v>747.082424</v>
      </c>
      <c r="G181" s="2" t="str">
        <f t="array" ref="G181">_xlfn.XLOOKUP(B181,Vendedores!$A$2:$A$41,Vendedores!$B$2:$B$41,"No hay datos")</f>
        <v>Lucas Castillo</v>
      </c>
      <c r="H181" s="2" t="str">
        <f t="array" ref="H181">_xlfn.XLOOKUP(B181,Vendedores!$A$2:$A$41,Vendedores!$C$2:$C$41,"No hay datos")</f>
        <v>San Miguel de los Pinos</v>
      </c>
      <c r="I181" s="2" t="str">
        <f t="array" ref="I181">_xlfn.XLOOKUP(B181,Vendedores!$A$2:$A$41,Vendedores!$D$2:$D$41,"No hay datos")</f>
        <v>Región Sur</v>
      </c>
      <c r="J181" s="2" t="str">
        <f t="array" ref="J181:N181">_xlfn.XLOOKUP(A181,Productos!$A$2:$A$61,Productos!$B$2:$F$61)</f>
        <v>Gorra</v>
      </c>
      <c r="K181" s="2" t="s">
        <v>29</v>
      </c>
      <c r="L181" s="2" t="s">
        <v>30</v>
      </c>
      <c r="M181" s="2" t="s">
        <v>48</v>
      </c>
      <c r="N181" s="2" t="s">
        <v>38</v>
      </c>
    </row>
    <row r="182">
      <c r="A182" s="2" t="str">
        <f>IFERROR(__xludf.DUMMYFUNCTION("""COMPUTED_VALUE"""),"PR006")</f>
        <v>PR006</v>
      </c>
      <c r="B182" s="2" t="str">
        <f>IFERROR(__xludf.DUMMYFUNCTION("""COMPUTED_VALUE"""),"VD035")</f>
        <v>VD035</v>
      </c>
      <c r="C182" s="2">
        <f>IFERROR(__xludf.DUMMYFUNCTION("""COMPUTED_VALUE"""),30.0)</f>
        <v>30</v>
      </c>
      <c r="D182" s="6">
        <f>IFERROR(__xludf.DUMMYFUNCTION("""COMPUTED_VALUE"""),1340.64)</f>
        <v>1340.64</v>
      </c>
      <c r="E182" s="6">
        <f>IFERROR(__xludf.DUMMYFUNCTION("GOOGLEFINANCE(""Currency:BRLMXN"")*D182"),4554.8244)</f>
        <v>4554.8244</v>
      </c>
      <c r="F182" s="6">
        <f>IFERROR(__xludf.DUMMYFUNCTION("GOOGLEFINANCE(""Currency:BRLPEN"")*D182"),878.923584)</f>
        <v>878.923584</v>
      </c>
      <c r="G182" s="2" t="str">
        <f t="array" ref="G182">_xlfn.XLOOKUP(B182,Vendedores!$A$2:$A$41,Vendedores!$B$2:$B$41,"No hay datos")</f>
        <v>Carolina Méndez</v>
      </c>
      <c r="H182" s="2" t="str">
        <f t="array" ref="H182">_xlfn.XLOOKUP(B182,Vendedores!$A$2:$A$41,Vendedores!$C$2:$C$41,"No hay datos")</f>
        <v>Valle de los Robles</v>
      </c>
      <c r="I182" s="2" t="str">
        <f t="array" ref="I182">_xlfn.XLOOKUP(B182,Vendedores!$A$2:$A$41,Vendedores!$D$2:$D$41,"No hay datos")</f>
        <v>Región Central 2</v>
      </c>
      <c r="J182" s="2" t="str">
        <f t="array" ref="J182:N182">_xlfn.XLOOKUP(A182,Productos!$A$2:$A$61,Productos!$B$2:$F$61)</f>
        <v>Gorra</v>
      </c>
      <c r="K182" s="2" t="s">
        <v>29</v>
      </c>
      <c r="L182" s="2" t="s">
        <v>30</v>
      </c>
      <c r="M182" s="2" t="s">
        <v>48</v>
      </c>
      <c r="N182" s="2" t="s">
        <v>38</v>
      </c>
    </row>
    <row r="183">
      <c r="A183" s="2" t="str">
        <f>IFERROR(__xludf.DUMMYFUNCTION("""COMPUTED_VALUE"""),"PR051")</f>
        <v>PR051</v>
      </c>
      <c r="B183" s="2" t="str">
        <f>IFERROR(__xludf.DUMMYFUNCTION("""COMPUTED_VALUE"""),"VD024")</f>
        <v>VD024</v>
      </c>
      <c r="C183" s="2">
        <f>IFERROR(__xludf.DUMMYFUNCTION("""COMPUTED_VALUE"""),30.0)</f>
        <v>30</v>
      </c>
      <c r="D183" s="6">
        <f>IFERROR(__xludf.DUMMYFUNCTION("""COMPUTED_VALUE"""),1135.05)</f>
        <v>1135.05</v>
      </c>
      <c r="E183" s="6">
        <f>IFERROR(__xludf.DUMMYFUNCTION("GOOGLEFINANCE(""Currency:BRLMXN"")*D183"),3856.332375)</f>
        <v>3856.332375</v>
      </c>
      <c r="F183" s="6">
        <f>IFERROR(__xludf.DUMMYFUNCTION("GOOGLEFINANCE(""Currency:BRLPEN"")*D183"),744.1387799999999)</f>
        <v>744.13878</v>
      </c>
      <c r="G183" s="2" t="str">
        <f t="array" ref="G183">_xlfn.XLOOKUP(B183,Vendedores!$A$2:$A$41,Vendedores!$B$2:$B$41,"No hay datos")</f>
        <v>Marcos Rivera</v>
      </c>
      <c r="H183" s="2" t="str">
        <f t="array" ref="H183">_xlfn.XLOOKUP(B183,Vendedores!$A$2:$A$41,Vendedores!$C$2:$C$41,"No hay datos")</f>
        <v>Santa Rosa del Valle</v>
      </c>
      <c r="I183" s="2" t="str">
        <f t="array" ref="I183">_xlfn.XLOOKUP(B183,Vendedores!$A$2:$A$41,Vendedores!$D$2:$D$41,"No hay datos")</f>
        <v>Región Norte</v>
      </c>
      <c r="J183" s="2" t="str">
        <f t="array" ref="J183:N183">_xlfn.XLOOKUP(A183,Productos!$A$2:$A$61,Productos!$B$2:$F$61)</f>
        <v>Playera a rayas</v>
      </c>
      <c r="K183" s="2" t="s">
        <v>22</v>
      </c>
      <c r="L183" s="2" t="s">
        <v>10</v>
      </c>
      <c r="M183" s="2" t="s">
        <v>23</v>
      </c>
      <c r="N183" s="2" t="s">
        <v>24</v>
      </c>
    </row>
    <row r="184">
      <c r="A184" s="2" t="str">
        <f>IFERROR(__xludf.DUMMYFUNCTION("""COMPUTED_VALUE"""),"PR047")</f>
        <v>PR047</v>
      </c>
      <c r="B184" s="2" t="str">
        <f>IFERROR(__xludf.DUMMYFUNCTION("""COMPUTED_VALUE"""),"VD019")</f>
        <v>VD019</v>
      </c>
      <c r="C184" s="2">
        <f>IFERROR(__xludf.DUMMYFUNCTION("""COMPUTED_VALUE"""),27.0)</f>
        <v>27</v>
      </c>
      <c r="D184" s="6">
        <f>IFERROR(__xludf.DUMMYFUNCTION("""COMPUTED_VALUE"""),9157.94)</f>
        <v>9157.94</v>
      </c>
      <c r="E184" s="6">
        <f>IFERROR(__xludf.DUMMYFUNCTION("GOOGLEFINANCE(""Currency:BRLMXN"")*D184"),31114.101150000002)</f>
        <v>31114.10115</v>
      </c>
      <c r="F184" s="6">
        <f>IFERROR(__xludf.DUMMYFUNCTION("GOOGLEFINANCE(""Currency:BRLPEN"")*D184"),6003.945464)</f>
        <v>6003.945464</v>
      </c>
      <c r="G184" s="2" t="str">
        <f t="array" ref="G184">_xlfn.XLOOKUP(B184,Vendedores!$A$2:$A$41,Vendedores!$B$2:$B$41,"No hay datos")</f>
        <v>Rafael Sosa</v>
      </c>
      <c r="H184" s="2" t="str">
        <f t="array" ref="H184">_xlfn.XLOOKUP(B184,Vendedores!$A$2:$A$41,Vendedores!$C$2:$C$41,"No hay datos")</f>
        <v>Selva Verde</v>
      </c>
      <c r="I184" s="2" t="str">
        <f t="array" ref="I184">_xlfn.XLOOKUP(B184,Vendedores!$A$2:$A$41,Vendedores!$D$2:$D$41,"No hay datos")</f>
        <v>Región Amazónica</v>
      </c>
      <c r="J184" s="2" t="str">
        <f t="array" ref="J184:N184">_xlfn.XLOOKUP(A184,Productos!$A$2:$A$61,Productos!$B$2:$F$61)</f>
        <v>Chaqueta de cuero</v>
      </c>
      <c r="K184" s="2" t="s">
        <v>17</v>
      </c>
      <c r="L184" s="2" t="s">
        <v>10</v>
      </c>
      <c r="M184" s="2" t="s">
        <v>43</v>
      </c>
      <c r="N184" s="2" t="s">
        <v>44</v>
      </c>
    </row>
    <row r="185">
      <c r="A185" s="2" t="str">
        <f>IFERROR(__xludf.DUMMYFUNCTION("""COMPUTED_VALUE"""),"PR006")</f>
        <v>PR006</v>
      </c>
      <c r="B185" s="2" t="str">
        <f>IFERROR(__xludf.DUMMYFUNCTION("""COMPUTED_VALUE"""),"VD030")</f>
        <v>VD030</v>
      </c>
      <c r="C185" s="2">
        <f>IFERROR(__xludf.DUMMYFUNCTION("""COMPUTED_VALUE"""),9.0)</f>
        <v>9</v>
      </c>
      <c r="D185" s="6">
        <f>IFERROR(__xludf.DUMMYFUNCTION("""COMPUTED_VALUE"""),395.01)</f>
        <v>395.01</v>
      </c>
      <c r="E185" s="6">
        <f>IFERROR(__xludf.DUMMYFUNCTION("GOOGLEFINANCE(""Currency:BRLMXN"")*D185"),1342.0464749999999)</f>
        <v>1342.046475</v>
      </c>
      <c r="F185" s="6">
        <f>IFERROR(__xludf.DUMMYFUNCTION("GOOGLEFINANCE(""Currency:BRLPEN"")*D185"),258.968556)</f>
        <v>258.968556</v>
      </c>
      <c r="G185" s="2" t="str">
        <f t="array" ref="G185">_xlfn.XLOOKUP(B185,Vendedores!$A$2:$A$41,Vendedores!$B$2:$B$41,"No hay datos")</f>
        <v>Leonardo Rojas</v>
      </c>
      <c r="H185" s="2" t="str">
        <f t="array" ref="H185">_xlfn.XLOOKUP(B185,Vendedores!$A$2:$A$41,Vendedores!$C$2:$C$41,"No hay datos")</f>
        <v>Villa del Sol</v>
      </c>
      <c r="I185" s="2" t="str">
        <f t="array" ref="I185">_xlfn.XLOOKUP(B185,Vendedores!$A$2:$A$41,Vendedores!$D$2:$D$41,"No hay datos")</f>
        <v>Región Central 2</v>
      </c>
      <c r="J185" s="2" t="str">
        <f t="array" ref="J185:N185">_xlfn.XLOOKUP(A185,Productos!$A$2:$A$61,Productos!$B$2:$F$61)</f>
        <v>Gorra</v>
      </c>
      <c r="K185" s="2" t="s">
        <v>29</v>
      </c>
      <c r="L185" s="2" t="s">
        <v>30</v>
      </c>
      <c r="M185" s="2" t="s">
        <v>48</v>
      </c>
      <c r="N185" s="2" t="s">
        <v>38</v>
      </c>
    </row>
    <row r="186">
      <c r="A186" s="2" t="str">
        <f>IFERROR(__xludf.DUMMYFUNCTION("""COMPUTED_VALUE"""),"PR050")</f>
        <v>PR050</v>
      </c>
      <c r="B186" s="2" t="str">
        <f>IFERROR(__xludf.DUMMYFUNCTION("""COMPUTED_VALUE"""),"VD016")</f>
        <v>VD016</v>
      </c>
      <c r="C186" s="2">
        <f>IFERROR(__xludf.DUMMYFUNCTION("""COMPUTED_VALUE"""),27.0)</f>
        <v>27</v>
      </c>
      <c r="D186" s="6">
        <f>IFERROR(__xludf.DUMMYFUNCTION("""COMPUTED_VALUE"""),1030.43)</f>
        <v>1030.43</v>
      </c>
      <c r="E186" s="6">
        <f>IFERROR(__xludf.DUMMYFUNCTION("GOOGLEFINANCE(""Currency:BRLMXN"")*D186"),3500.885925)</f>
        <v>3500.885925</v>
      </c>
      <c r="F186" s="6">
        <f>IFERROR(__xludf.DUMMYFUNCTION("GOOGLEFINANCE(""Currency:BRLPEN"")*D186"),675.549908)</f>
        <v>675.549908</v>
      </c>
      <c r="G186" s="2" t="str">
        <f t="array" ref="G186">_xlfn.XLOOKUP(B186,Vendedores!$A$2:$A$41,Vendedores!$B$2:$B$41,"No hay datos")</f>
        <v>Beatriz Linares</v>
      </c>
      <c r="H186" s="2" t="str">
        <f t="array" ref="H186">_xlfn.XLOOKUP(B186,Vendedores!$A$2:$A$41,Vendedores!$C$2:$C$41,"No hay datos")</f>
        <v>Puerto Esperanza</v>
      </c>
      <c r="I186" s="2" t="str">
        <f t="array" ref="I186">_xlfn.XLOOKUP(B186,Vendedores!$A$2:$A$41,Vendedores!$D$2:$D$41,"No hay datos")</f>
        <v>Región Sur</v>
      </c>
      <c r="J186" s="2" t="str">
        <f t="array" ref="J186:N186">_xlfn.XLOOKUP(A186,Productos!$A$2:$A$61,Productos!$B$2:$F$61)</f>
        <v>Playera a rayas</v>
      </c>
      <c r="K186" s="2" t="s">
        <v>17</v>
      </c>
      <c r="L186" s="2" t="s">
        <v>10</v>
      </c>
      <c r="M186" s="2" t="s">
        <v>27</v>
      </c>
      <c r="N186" s="2" t="s">
        <v>24</v>
      </c>
    </row>
    <row r="187">
      <c r="A187" s="2" t="str">
        <f>IFERROR(__xludf.DUMMYFUNCTION("""COMPUTED_VALUE"""),"PR019")</f>
        <v>PR019</v>
      </c>
      <c r="B187" s="2" t="str">
        <f>IFERROR(__xludf.DUMMYFUNCTION("""COMPUTED_VALUE"""),"VD042")</f>
        <v>VD042</v>
      </c>
      <c r="C187" s="2">
        <f>IFERROR(__xludf.DUMMYFUNCTION("""COMPUTED_VALUE"""),18.0)</f>
        <v>18</v>
      </c>
      <c r="D187" s="6">
        <f>IFERROR(__xludf.DUMMYFUNCTION("""COMPUTED_VALUE"""),1014.97)</f>
        <v>1014.97</v>
      </c>
      <c r="E187" s="6">
        <f>IFERROR(__xludf.DUMMYFUNCTION("GOOGLEFINANCE(""Currency:BRLMXN"")*D187"),3448.360575)</f>
        <v>3448.360575</v>
      </c>
      <c r="F187" s="6">
        <f>IFERROR(__xludf.DUMMYFUNCTION("GOOGLEFINANCE(""Currency:BRLPEN"")*D187"),665.414332)</f>
        <v>665.414332</v>
      </c>
      <c r="G187" s="2" t="str">
        <f t="array" ref="G187">_xlfn.XLOOKUP(B187,Vendedores!$A$2:$A$41,Vendedores!$B$2:$B$41,"No hay datos")</f>
        <v>Priscila Duarte</v>
      </c>
      <c r="H187" s="2" t="str">
        <f t="array" ref="H187">_xlfn.XLOOKUP(B187,Vendedores!$A$2:$A$41,Vendedores!$C$2:$C$41,"No hay datos")</f>
        <v>Villa Comercial</v>
      </c>
      <c r="I187" s="2" t="str">
        <f t="array" ref="I187">_xlfn.XLOOKUP(B187,Vendedores!$A$2:$A$41,Vendedores!$D$2:$D$41,"No hay datos")</f>
        <v>Región Central 2</v>
      </c>
      <c r="J187" s="2" t="str">
        <f t="array" ref="J187:N187">_xlfn.XLOOKUP(A187,Productos!$A$2:$A$61,Productos!$B$2:$F$61)</f>
        <v>Cinturón</v>
      </c>
      <c r="K187" s="2" t="s">
        <v>29</v>
      </c>
      <c r="L187" s="2" t="s">
        <v>30</v>
      </c>
      <c r="M187" s="2" t="s">
        <v>31</v>
      </c>
      <c r="N187" s="2" t="s">
        <v>32</v>
      </c>
    </row>
    <row r="188">
      <c r="A188" s="2" t="str">
        <f>IFERROR(__xludf.DUMMYFUNCTION("""COMPUTED_VALUE"""),"PR044")</f>
        <v>PR044</v>
      </c>
      <c r="B188" s="2" t="str">
        <f>IFERROR(__xludf.DUMMYFUNCTION("""COMPUTED_VALUE"""),"VD011")</f>
        <v>VD011</v>
      </c>
      <c r="C188" s="2">
        <f>IFERROR(__xludf.DUMMYFUNCTION("""COMPUTED_VALUE"""),27.0)</f>
        <v>27</v>
      </c>
      <c r="D188" s="6">
        <f>IFERROR(__xludf.DUMMYFUNCTION("""COMPUTED_VALUE"""),2153.25)</f>
        <v>2153.25</v>
      </c>
      <c r="E188" s="6">
        <f>IFERROR(__xludf.DUMMYFUNCTION("GOOGLEFINANCE(""Currency:BRLMXN"")*D188"),7315.666875)</f>
        <v>7315.666875</v>
      </c>
      <c r="F188" s="6">
        <f>IFERROR(__xludf.DUMMYFUNCTION("GOOGLEFINANCE(""Currency:BRLPEN"")*D188"),1411.6707)</f>
        <v>1411.6707</v>
      </c>
      <c r="G188" s="2" t="str">
        <f t="array" ref="G188">_xlfn.XLOOKUP(B188,Vendedores!$A$2:$A$41,Vendedores!$B$2:$B$41,"No hay datos")</f>
        <v>Juan Santos</v>
      </c>
      <c r="H188" s="2" t="str">
        <f t="array" ref="H188">_xlfn.XLOOKUP(B188,Vendedores!$A$2:$A$41,Vendedores!$C$2:$C$41,"No hay datos")</f>
        <v>Vista Hermosa</v>
      </c>
      <c r="I188" s="2" t="str">
        <f t="array" ref="I188">_xlfn.XLOOKUP(B188,Vendedores!$A$2:$A$41,Vendedores!$D$2:$D$41,"No hay datos")</f>
        <v>Región Central</v>
      </c>
      <c r="J188" s="2" t="str">
        <f t="array" ref="J188:N188">_xlfn.XLOOKUP(A188,Productos!$A$2:$A$61,Productos!$B$2:$F$61)</f>
        <v>Vestido floral</v>
      </c>
      <c r="K188" s="2" t="s">
        <v>17</v>
      </c>
      <c r="L188" s="2" t="s">
        <v>10</v>
      </c>
      <c r="M188" s="2" t="s">
        <v>105</v>
      </c>
      <c r="N188" s="2" t="s">
        <v>40</v>
      </c>
    </row>
    <row r="189">
      <c r="A189" s="2" t="str">
        <f>IFERROR(__xludf.DUMMYFUNCTION("""COMPUTED_VALUE"""),"PR017")</f>
        <v>PR017</v>
      </c>
      <c r="B189" s="2" t="str">
        <f>IFERROR(__xludf.DUMMYFUNCTION("""COMPUTED_VALUE"""),"VD019")</f>
        <v>VD019</v>
      </c>
      <c r="C189" s="2">
        <f>IFERROR(__xludf.DUMMYFUNCTION("""COMPUTED_VALUE"""),18.0)</f>
        <v>18</v>
      </c>
      <c r="D189" s="6">
        <f>IFERROR(__xludf.DUMMYFUNCTION("""COMPUTED_VALUE"""),613.55)</f>
        <v>613.55</v>
      </c>
      <c r="E189" s="6">
        <f>IFERROR(__xludf.DUMMYFUNCTION("GOOGLEFINANCE(""Currency:BRLMXN"")*D189"),2084.5361249999996)</f>
        <v>2084.536125</v>
      </c>
      <c r="F189" s="6">
        <f>IFERROR(__xludf.DUMMYFUNCTION("GOOGLEFINANCE(""Currency:BRLPEN"")*D189"),402.24337999999995)</f>
        <v>402.24338</v>
      </c>
      <c r="G189" s="2" t="str">
        <f t="array" ref="G189">_xlfn.XLOOKUP(B189,Vendedores!$A$2:$A$41,Vendedores!$B$2:$B$41,"No hay datos")</f>
        <v>Rafael Sosa</v>
      </c>
      <c r="H189" s="2" t="str">
        <f t="array" ref="H189">_xlfn.XLOOKUP(B189,Vendedores!$A$2:$A$41,Vendedores!$C$2:$C$41,"No hay datos")</f>
        <v>Selva Verde</v>
      </c>
      <c r="I189" s="2" t="str">
        <f t="array" ref="I189">_xlfn.XLOOKUP(B189,Vendedores!$A$2:$A$41,Vendedores!$D$2:$D$41,"No hay datos")</f>
        <v>Región Amazónica</v>
      </c>
      <c r="J189" s="2" t="str">
        <f t="array" ref="J189:N189">_xlfn.XLOOKUP(A189,Productos!$A$2:$A$61,Productos!$B$2:$F$61)</f>
        <v>Playera lisa</v>
      </c>
      <c r="K189" s="2" t="s">
        <v>17</v>
      </c>
      <c r="L189" s="2" t="s">
        <v>10</v>
      </c>
      <c r="M189" s="2" t="s">
        <v>98</v>
      </c>
      <c r="N189" s="2" t="s">
        <v>99</v>
      </c>
    </row>
    <row r="190">
      <c r="A190" s="2" t="str">
        <f>IFERROR(__xludf.DUMMYFUNCTION("""COMPUTED_VALUE"""),"PR004")</f>
        <v>PR004</v>
      </c>
      <c r="B190" s="2" t="str">
        <f>IFERROR(__xludf.DUMMYFUNCTION("""COMPUTED_VALUE"""),"VD033")</f>
        <v>VD033</v>
      </c>
      <c r="C190" s="2">
        <f>IFERROR(__xludf.DUMMYFUNCTION("""COMPUTED_VALUE"""),24.0)</f>
        <v>24</v>
      </c>
      <c r="D190" s="6">
        <f>IFERROR(__xludf.DUMMYFUNCTION("""COMPUTED_VALUE"""),4141.2)</f>
        <v>4141.2</v>
      </c>
      <c r="E190" s="6">
        <f>IFERROR(__xludf.DUMMYFUNCTION("GOOGLEFINANCE(""Currency:BRLMXN"")*D190"),14069.726999999999)</f>
        <v>14069.727</v>
      </c>
      <c r="F190" s="6">
        <f>IFERROR(__xludf.DUMMYFUNCTION("GOOGLEFINANCE(""Currency:BRLPEN"")*D190"),2714.97072)</f>
        <v>2714.97072</v>
      </c>
      <c r="G190" s="2" t="str">
        <f t="array" ref="G190">_xlfn.XLOOKUP(B190,Vendedores!$A$2:$A$41,Vendedores!$B$2:$B$41,"No hay datos")</f>
        <v>Renata Flores</v>
      </c>
      <c r="H190" s="2" t="str">
        <f t="array" ref="H190">_xlfn.XLOOKUP(B190,Vendedores!$A$2:$A$41,Vendedores!$C$2:$C$41,"No hay datos")</f>
        <v>Altos del Sur</v>
      </c>
      <c r="I190" s="2" t="str">
        <f t="array" ref="I190">_xlfn.XLOOKUP(B190,Vendedores!$A$2:$A$41,Vendedores!$D$2:$D$41,"No hay datos")</f>
        <v>Región Central 2</v>
      </c>
      <c r="J190" s="2" t="str">
        <f t="array" ref="J190:N190">_xlfn.XLOOKUP(A190,Productos!$A$2:$A$61,Productos!$B$2:$F$61)</f>
        <v>Bolso versátil</v>
      </c>
      <c r="K190" s="2" t="s">
        <v>29</v>
      </c>
      <c r="L190" s="2" t="s">
        <v>30</v>
      </c>
      <c r="M190" s="2" t="s">
        <v>59</v>
      </c>
      <c r="N190" s="2" t="s">
        <v>60</v>
      </c>
    </row>
    <row r="191">
      <c r="A191" s="2" t="str">
        <f>IFERROR(__xludf.DUMMYFUNCTION("""COMPUTED_VALUE"""),"PR059")</f>
        <v>PR059</v>
      </c>
      <c r="B191" s="2" t="str">
        <f>IFERROR(__xludf.DUMMYFUNCTION("""COMPUTED_VALUE"""),"VD028")</f>
        <v>VD028</v>
      </c>
      <c r="C191" s="2">
        <f>IFERROR(__xludf.DUMMYFUNCTION("""COMPUTED_VALUE"""),12.0)</f>
        <v>12</v>
      </c>
      <c r="D191" s="6">
        <f>IFERROR(__xludf.DUMMYFUNCTION("""COMPUTED_VALUE"""),2527.2)</f>
        <v>2527.2</v>
      </c>
      <c r="E191" s="6">
        <f>IFERROR(__xludf.DUMMYFUNCTION("GOOGLEFINANCE(""Currency:BRLMXN"")*D191"),8586.161999999998)</f>
        <v>8586.162</v>
      </c>
      <c r="F191" s="6">
        <f>IFERROR(__xludf.DUMMYFUNCTION("GOOGLEFINANCE(""Currency:BRLPEN"")*D191"),1656.8323199999998)</f>
        <v>1656.83232</v>
      </c>
      <c r="G191" s="2" t="str">
        <f t="array" ref="G191">_xlfn.XLOOKUP(B191,Vendedores!$A$2:$A$41,Vendedores!$B$2:$B$41,"No hay datos")</f>
        <v>Rodrigo Almonte</v>
      </c>
      <c r="H191" s="2" t="str">
        <f t="array" ref="H191">_xlfn.XLOOKUP(B191,Vendedores!$A$2:$A$41,Vendedores!$C$2:$C$41,"No hay datos")</f>
        <v>Valle Escondido</v>
      </c>
      <c r="I191" s="2" t="str">
        <f t="array" ref="I191">_xlfn.XLOOKUP(B191,Vendedores!$A$2:$A$41,Vendedores!$D$2:$D$41,"No hay datos")</f>
        <v>Región Andina</v>
      </c>
      <c r="J191" s="2" t="str">
        <f t="array" ref="J191:N191">_xlfn.XLOOKUP(A191,Productos!$A$2:$A$61,Productos!$B$2:$F$61)</f>
        <v>Pantalón de sastre</v>
      </c>
      <c r="K191" s="2" t="s">
        <v>17</v>
      </c>
      <c r="L191" s="2" t="s">
        <v>10</v>
      </c>
      <c r="M191" s="2" t="s">
        <v>28</v>
      </c>
      <c r="N191" s="2" t="s">
        <v>14</v>
      </c>
    </row>
    <row r="192">
      <c r="A192" s="2" t="str">
        <f>IFERROR(__xludf.DUMMYFUNCTION("""COMPUTED_VALUE"""),"PR003")</f>
        <v>PR003</v>
      </c>
      <c r="B192" s="2" t="str">
        <f>IFERROR(__xludf.DUMMYFUNCTION("""COMPUTED_VALUE"""),"VD040")</f>
        <v>VD040</v>
      </c>
      <c r="C192" s="2">
        <f>IFERROR(__xludf.DUMMYFUNCTION("""COMPUTED_VALUE"""),16.0)</f>
        <v>16</v>
      </c>
      <c r="D192" s="6">
        <f>IFERROR(__xludf.DUMMYFUNCTION("""COMPUTED_VALUE"""),1247.84)</f>
        <v>1247.84</v>
      </c>
      <c r="E192" s="6">
        <f>IFERROR(__xludf.DUMMYFUNCTION("GOOGLEFINANCE(""Currency:BRLMXN"")*D192"),4239.5364)</f>
        <v>4239.5364</v>
      </c>
      <c r="F192" s="6">
        <f>IFERROR(__xludf.DUMMYFUNCTION("GOOGLEFINANCE(""Currency:BRLPEN"")*D192"),818.0839039999998)</f>
        <v>818.083904</v>
      </c>
      <c r="G192" s="2" t="str">
        <f t="array" ref="G192">_xlfn.XLOOKUP(B192,Vendedores!$A$2:$A$41,Vendedores!$B$2:$B$41,"No hay datos")</f>
        <v>Tatiana Montero</v>
      </c>
      <c r="H192" s="2" t="str">
        <f t="array" ref="H192">_xlfn.XLOOKUP(B192,Vendedores!$A$2:$A$41,Vendedores!$C$2:$C$41,"No hay datos")</f>
        <v>Ciudad Industrial</v>
      </c>
      <c r="I192" s="2" t="str">
        <f t="array" ref="I192">_xlfn.XLOOKUP(B192,Vendedores!$A$2:$A$41,Vendedores!$D$2:$D$41,"No hay datos")</f>
        <v>Región Central 2</v>
      </c>
      <c r="J192" s="2" t="str">
        <f t="array" ref="J192:N192">_xlfn.XLOOKUP(A192,Productos!$A$2:$A$61,Productos!$B$2:$F$61)</f>
        <v>Bermuda</v>
      </c>
      <c r="K192" s="2" t="s">
        <v>22</v>
      </c>
      <c r="L192" s="2" t="s">
        <v>10</v>
      </c>
      <c r="M192" s="2" t="s">
        <v>45</v>
      </c>
      <c r="N192" s="2" t="s">
        <v>46</v>
      </c>
    </row>
    <row r="193">
      <c r="A193" s="2" t="str">
        <f>IFERROR(__xludf.DUMMYFUNCTION("""COMPUTED_VALUE"""),"PR055")</f>
        <v>PR055</v>
      </c>
      <c r="B193" s="2" t="str">
        <f>IFERROR(__xludf.DUMMYFUNCTION("""COMPUTED_VALUE"""),"VD018")</f>
        <v>VD018</v>
      </c>
      <c r="C193" s="2">
        <f>IFERROR(__xludf.DUMMYFUNCTION("""COMPUTED_VALUE"""),14.0)</f>
        <v>14</v>
      </c>
      <c r="D193" s="6">
        <f>IFERROR(__xludf.DUMMYFUNCTION("""COMPUTED_VALUE"""),1485.15)</f>
        <v>1485.15</v>
      </c>
      <c r="E193" s="6">
        <f>IFERROR(__xludf.DUMMYFUNCTION("GOOGLEFINANCE(""Currency:BRLMXN"")*D193"),5045.797125)</f>
        <v>5045.797125</v>
      </c>
      <c r="F193" s="6">
        <f>IFERROR(__xludf.DUMMYFUNCTION("GOOGLEFINANCE(""Currency:BRLPEN"")*D193"),973.66434)</f>
        <v>973.66434</v>
      </c>
      <c r="G193" s="2" t="str">
        <f t="array" ref="G193">_xlfn.XLOOKUP(B193,Vendedores!$A$2:$A$41,Vendedores!$B$2:$B$41,"No hay datos")</f>
        <v>Leticia Rodríguez</v>
      </c>
      <c r="H193" s="2" t="str">
        <f t="array" ref="H193">_xlfn.XLOOKUP(B193,Vendedores!$A$2:$A$41,Vendedores!$C$2:$C$41,"No hay datos")</f>
        <v>Playa Blanca</v>
      </c>
      <c r="I193" s="2" t="str">
        <f t="array" ref="I193">_xlfn.XLOOKUP(B193,Vendedores!$A$2:$A$41,Vendedores!$D$2:$D$41,"No hay datos")</f>
        <v>Región Norte</v>
      </c>
      <c r="J193" s="2" t="str">
        <f t="array" ref="J193:N193">_xlfn.XLOOKUP(A193,Productos!$A$2:$A$61,Productos!$B$2:$F$61)</f>
        <v>Sandalia plana</v>
      </c>
      <c r="K193" s="2">
        <v>35.0</v>
      </c>
      <c r="L193" s="2" t="s">
        <v>33</v>
      </c>
      <c r="M193" s="2" t="s">
        <v>34</v>
      </c>
      <c r="N193" s="2" t="s">
        <v>35</v>
      </c>
    </row>
    <row r="194">
      <c r="A194" s="2" t="str">
        <f>IFERROR(__xludf.DUMMYFUNCTION("""COMPUTED_VALUE"""),"PR041")</f>
        <v>PR041</v>
      </c>
      <c r="B194" s="2" t="str">
        <f>IFERROR(__xludf.DUMMYFUNCTION("""COMPUTED_VALUE"""),"VD031")</f>
        <v>VD031</v>
      </c>
      <c r="C194" s="2">
        <f>IFERROR(__xludf.DUMMYFUNCTION("""COMPUTED_VALUE"""),21.0)</f>
        <v>21</v>
      </c>
      <c r="D194" s="6">
        <f>IFERROR(__xludf.DUMMYFUNCTION("""COMPUTED_VALUE"""),1314.31)</f>
        <v>1314.31</v>
      </c>
      <c r="E194" s="6">
        <f>IFERROR(__xludf.DUMMYFUNCTION("GOOGLEFINANCE(""Currency:BRLMXN"")*D194"),4465.368225)</f>
        <v>4465.368225</v>
      </c>
      <c r="F194" s="6">
        <f>IFERROR(__xludf.DUMMYFUNCTION("GOOGLEFINANCE(""Currency:BRLPEN"")*D194"),861.6616359999999)</f>
        <v>861.661636</v>
      </c>
      <c r="G194" s="2" t="str">
        <f t="array" ref="G194">_xlfn.XLOOKUP(B194,Vendedores!$A$2:$A$41,Vendedores!$B$2:$B$41,"No hay datos")</f>
        <v>Vanessa Martínez</v>
      </c>
      <c r="H194" s="2" t="str">
        <f t="array" ref="H194">_xlfn.XLOOKUP(B194,Vendedores!$A$2:$A$41,Vendedores!$C$2:$C$41,"No hay datos")</f>
        <v>Monte Verde</v>
      </c>
      <c r="I194" s="2" t="str">
        <f t="array" ref="I194">_xlfn.XLOOKUP(B194,Vendedores!$A$2:$A$41,Vendedores!$D$2:$D$41,"No hay datos")</f>
        <v>Región Central 2</v>
      </c>
      <c r="J194" s="2" t="str">
        <f t="array" ref="J194:N194">_xlfn.XLOOKUP(A194,Productos!$A$2:$A$61,Productos!$B$2:$F$61)</f>
        <v>Playera confort</v>
      </c>
      <c r="K194" s="2" t="s">
        <v>17</v>
      </c>
      <c r="L194" s="2" t="s">
        <v>10</v>
      </c>
      <c r="M194" s="2" t="s">
        <v>95</v>
      </c>
      <c r="N194" s="2" t="s">
        <v>26</v>
      </c>
    </row>
    <row r="195">
      <c r="A195" s="2" t="str">
        <f>IFERROR(__xludf.DUMMYFUNCTION("""COMPUTED_VALUE"""),"PR056")</f>
        <v>PR056</v>
      </c>
      <c r="B195" s="2" t="str">
        <f>IFERROR(__xludf.DUMMYFUNCTION("""COMPUTED_VALUE"""),"VD040")</f>
        <v>VD040</v>
      </c>
      <c r="C195" s="2">
        <f>IFERROR(__xludf.DUMMYFUNCTION("""COMPUTED_VALUE"""),16.0)</f>
        <v>16</v>
      </c>
      <c r="D195" s="6">
        <f>IFERROR(__xludf.DUMMYFUNCTION("""COMPUTED_VALUE"""),1639.78)</f>
        <v>1639.78</v>
      </c>
      <c r="E195" s="6">
        <f>IFERROR(__xludf.DUMMYFUNCTION("GOOGLEFINANCE(""Currency:BRLMXN"")*D195"),5571.15255)</f>
        <v>5571.15255</v>
      </c>
      <c r="F195" s="6">
        <f>IFERROR(__xludf.DUMMYFUNCTION("GOOGLEFINANCE(""Currency:BRLPEN"")*D195"),1075.0397679999999)</f>
        <v>1075.039768</v>
      </c>
      <c r="G195" s="2" t="str">
        <f t="array" ref="G195">_xlfn.XLOOKUP(B195,Vendedores!$A$2:$A$41,Vendedores!$B$2:$B$41,"No hay datos")</f>
        <v>Tatiana Montero</v>
      </c>
      <c r="H195" s="2" t="str">
        <f t="array" ref="H195">_xlfn.XLOOKUP(B195,Vendedores!$A$2:$A$41,Vendedores!$C$2:$C$41,"No hay datos")</f>
        <v>Ciudad Industrial</v>
      </c>
      <c r="I195" s="2" t="str">
        <f t="array" ref="I195">_xlfn.XLOOKUP(B195,Vendedores!$A$2:$A$41,Vendedores!$D$2:$D$41,"No hay datos")</f>
        <v>Región Central 2</v>
      </c>
      <c r="J195" s="2" t="str">
        <f t="array" ref="J195:N195">_xlfn.XLOOKUP(A195,Productos!$A$2:$A$61,Productos!$B$2:$F$61)</f>
        <v>Sandalia plana</v>
      </c>
      <c r="K195" s="2">
        <v>36.0</v>
      </c>
      <c r="L195" s="2" t="s">
        <v>33</v>
      </c>
      <c r="M195" s="2" t="s">
        <v>106</v>
      </c>
      <c r="N195" s="2" t="s">
        <v>35</v>
      </c>
    </row>
    <row r="196">
      <c r="A196" s="2" t="str">
        <f>IFERROR(__xludf.DUMMYFUNCTION("""COMPUTED_VALUE"""),"PR038")</f>
        <v>PR038</v>
      </c>
      <c r="B196" s="2" t="str">
        <f>IFERROR(__xludf.DUMMYFUNCTION("""COMPUTED_VALUE"""),"VD028")</f>
        <v>VD028</v>
      </c>
      <c r="C196" s="2">
        <f>IFERROR(__xludf.DUMMYFUNCTION("""COMPUTED_VALUE"""),24.0)</f>
        <v>24</v>
      </c>
      <c r="D196" s="6">
        <f>IFERROR(__xludf.DUMMYFUNCTION("""COMPUTED_VALUE"""),3772.56)</f>
        <v>3772.56</v>
      </c>
      <c r="E196" s="6">
        <f>IFERROR(__xludf.DUMMYFUNCTION("GOOGLEFINANCE(""Currency:BRLMXN"")*D196"),12817.2726)</f>
        <v>12817.2726</v>
      </c>
      <c r="F196" s="6">
        <f>IFERROR(__xludf.DUMMYFUNCTION("GOOGLEFINANCE(""Currency:BRLPEN"")*D196"),2473.290336)</f>
        <v>2473.290336</v>
      </c>
      <c r="G196" s="2" t="str">
        <f t="array" ref="G196">_xlfn.XLOOKUP(B196,Vendedores!$A$2:$A$41,Vendedores!$B$2:$B$41,"No hay datos")</f>
        <v>Rodrigo Almonte</v>
      </c>
      <c r="H196" s="2" t="str">
        <f t="array" ref="H196">_xlfn.XLOOKUP(B196,Vendedores!$A$2:$A$41,Vendedores!$C$2:$C$41,"No hay datos")</f>
        <v>Valle Escondido</v>
      </c>
      <c r="I196" s="2" t="str">
        <f t="array" ref="I196">_xlfn.XLOOKUP(B196,Vendedores!$A$2:$A$41,Vendedores!$D$2:$D$41,"No hay datos")</f>
        <v>Región Andina</v>
      </c>
      <c r="J196" s="2" t="str">
        <f t="array" ref="J196:N196">_xlfn.XLOOKUP(A196,Productos!$A$2:$A$61,Productos!$B$2:$F$61)</f>
        <v>Vestido largo</v>
      </c>
      <c r="K196" s="2" t="s">
        <v>17</v>
      </c>
      <c r="L196" s="2" t="s">
        <v>10</v>
      </c>
      <c r="M196" s="2" t="s">
        <v>51</v>
      </c>
      <c r="N196" s="2" t="s">
        <v>52</v>
      </c>
    </row>
    <row r="197">
      <c r="A197" s="2" t="str">
        <f>IFERROR(__xludf.DUMMYFUNCTION("""COMPUTED_VALUE"""),"PR022")</f>
        <v>PR022</v>
      </c>
      <c r="B197" s="2" t="str">
        <f>IFERROR(__xludf.DUMMYFUNCTION("""COMPUTED_VALUE"""),"VD045")</f>
        <v>VD045</v>
      </c>
      <c r="C197" s="2">
        <f>IFERROR(__xludf.DUMMYFUNCTION("""COMPUTED_VALUE"""),21.0)</f>
        <v>21</v>
      </c>
      <c r="D197" s="6">
        <f>IFERROR(__xludf.DUMMYFUNCTION("""COMPUTED_VALUE"""),7371.0)</f>
        <v>7371</v>
      </c>
      <c r="E197" s="6">
        <f>IFERROR(__xludf.DUMMYFUNCTION("GOOGLEFINANCE(""Currency:BRLMXN"")*D197"),25042.9725)</f>
        <v>25042.9725</v>
      </c>
      <c r="F197" s="6">
        <f>IFERROR(__xludf.DUMMYFUNCTION("GOOGLEFINANCE(""Currency:BRLPEN"")*D197"),4832.4276)</f>
        <v>4832.4276</v>
      </c>
      <c r="G197" s="2" t="str">
        <f t="array" ref="G197">_xlfn.XLOOKUP(B197,Vendedores!$A$2:$A$41,Vendedores!$B$2:$B$41,"No hay datos")</f>
        <v>Rafael Morales</v>
      </c>
      <c r="H197" s="2" t="str">
        <f t="array" ref="H197">_xlfn.XLOOKUP(B197,Vendedores!$A$2:$A$41,Vendedores!$C$2:$C$41,"No hay datos")</f>
        <v>Valle Dorado</v>
      </c>
      <c r="I197" s="2" t="str">
        <f t="array" ref="I197">_xlfn.XLOOKUP(B197,Vendedores!$A$2:$A$41,Vendedores!$D$2:$D$41,"No hay datos")</f>
        <v>Región Central 2</v>
      </c>
      <c r="J197" s="2" t="str">
        <f t="array" ref="J197:N197">_xlfn.XLOOKUP(A197,Productos!$A$2:$A$61,Productos!$B$2:$F$61)</f>
        <v>Chaqueta de cuero</v>
      </c>
      <c r="K197" s="2" t="s">
        <v>22</v>
      </c>
      <c r="L197" s="2" t="s">
        <v>10</v>
      </c>
      <c r="M197" s="2" t="s">
        <v>78</v>
      </c>
      <c r="N197" s="2" t="s">
        <v>79</v>
      </c>
    </row>
    <row r="198">
      <c r="A198" s="2" t="str">
        <f>IFERROR(__xludf.DUMMYFUNCTION("""COMPUTED_VALUE"""),"PR023")</f>
        <v>PR023</v>
      </c>
      <c r="B198" s="2" t="str">
        <f>IFERROR(__xludf.DUMMYFUNCTION("""COMPUTED_VALUE"""),"VD024")</f>
        <v>VD024</v>
      </c>
      <c r="C198" s="2">
        <f>IFERROR(__xludf.DUMMYFUNCTION("""COMPUTED_VALUE"""),14.0)</f>
        <v>14</v>
      </c>
      <c r="D198" s="6">
        <f>IFERROR(__xludf.DUMMYFUNCTION("""COMPUTED_VALUE"""),4093.36)</f>
        <v>4093.36</v>
      </c>
      <c r="E198" s="6">
        <f>IFERROR(__xludf.DUMMYFUNCTION("GOOGLEFINANCE(""Currency:BRLMXN"")*D198"),13907.1906)</f>
        <v>13907.1906</v>
      </c>
      <c r="F198" s="6">
        <f>IFERROR(__xludf.DUMMYFUNCTION("GOOGLEFINANCE(""Currency:BRLPEN"")*D198"),2683.606816)</f>
        <v>2683.606816</v>
      </c>
      <c r="G198" s="2" t="str">
        <f t="array" ref="G198">_xlfn.XLOOKUP(B198,Vendedores!$A$2:$A$41,Vendedores!$B$2:$B$41,"No hay datos")</f>
        <v>Marcos Rivera</v>
      </c>
      <c r="H198" s="2" t="str">
        <f t="array" ref="H198">_xlfn.XLOOKUP(B198,Vendedores!$A$2:$A$41,Vendedores!$C$2:$C$41,"No hay datos")</f>
        <v>Santa Rosa del Valle</v>
      </c>
      <c r="I198" s="2" t="str">
        <f t="array" ref="I198">_xlfn.XLOOKUP(B198,Vendedores!$A$2:$A$41,Vendedores!$D$2:$D$41,"No hay datos")</f>
        <v>Región Norte</v>
      </c>
      <c r="J198" s="2" t="str">
        <f t="array" ref="J198:N198">_xlfn.XLOOKUP(A198,Productos!$A$2:$A$61,Productos!$B$2:$F$61)</f>
        <v>Chaqueta de mezclilla</v>
      </c>
      <c r="K198" s="2" t="s">
        <v>9</v>
      </c>
      <c r="L198" s="2" t="s">
        <v>10</v>
      </c>
      <c r="M198" s="2" t="s">
        <v>72</v>
      </c>
      <c r="N198" s="2" t="s">
        <v>56</v>
      </c>
    </row>
    <row r="199">
      <c r="A199" s="2" t="str">
        <f>IFERROR(__xludf.DUMMYFUNCTION("""COMPUTED_VALUE"""),"PR053")</f>
        <v>PR053</v>
      </c>
      <c r="B199" s="2" t="str">
        <f>IFERROR(__xludf.DUMMYFUNCTION("""COMPUTED_VALUE"""),"VD019")</f>
        <v>VD019</v>
      </c>
      <c r="C199" s="2">
        <f>IFERROR(__xludf.DUMMYFUNCTION("""COMPUTED_VALUE"""),21.0)</f>
        <v>21</v>
      </c>
      <c r="D199" s="6">
        <f>IFERROR(__xludf.DUMMYFUNCTION("""COMPUTED_VALUE"""),1152.69)</f>
        <v>1152.69</v>
      </c>
      <c r="E199" s="6">
        <f>IFERROR(__xludf.DUMMYFUNCTION("GOOGLEFINANCE(""Currency:BRLMXN"")*D199"),3916.264275)</f>
        <v>3916.264275</v>
      </c>
      <c r="F199" s="6">
        <f>IFERROR(__xludf.DUMMYFUNCTION("GOOGLEFINANCE(""Currency:BRLPEN"")*D199"),755.703564)</f>
        <v>755.703564</v>
      </c>
      <c r="G199" s="2" t="str">
        <f t="array" ref="G199">_xlfn.XLOOKUP(B199,Vendedores!$A$2:$A$41,Vendedores!$B$2:$B$41,"No hay datos")</f>
        <v>Rafael Sosa</v>
      </c>
      <c r="H199" s="2" t="str">
        <f t="array" ref="H199">_xlfn.XLOOKUP(B199,Vendedores!$A$2:$A$41,Vendedores!$C$2:$C$41,"No hay datos")</f>
        <v>Selva Verde</v>
      </c>
      <c r="I199" s="2" t="str">
        <f t="array" ref="I199">_xlfn.XLOOKUP(B199,Vendedores!$A$2:$A$41,Vendedores!$D$2:$D$41,"No hay datos")</f>
        <v>Región Amazónica</v>
      </c>
      <c r="J199" s="2" t="str">
        <f t="array" ref="J199:N199">_xlfn.XLOOKUP(A199,Productos!$A$2:$A$61,Productos!$B$2:$F$61)</f>
        <v>Falda plisada</v>
      </c>
      <c r="K199" s="2" t="s">
        <v>17</v>
      </c>
      <c r="L199" s="2" t="s">
        <v>10</v>
      </c>
      <c r="M199" s="2" t="s">
        <v>41</v>
      </c>
      <c r="N199" s="2" t="s">
        <v>32</v>
      </c>
    </row>
    <row r="200">
      <c r="A200" s="2" t="str">
        <f>IFERROR(__xludf.DUMMYFUNCTION("""COMPUTED_VALUE"""),"PR046")</f>
        <v>PR046</v>
      </c>
      <c r="B200" s="2" t="str">
        <f>IFERROR(__xludf.DUMMYFUNCTION("""COMPUTED_VALUE"""),"VD047")</f>
        <v>VD047</v>
      </c>
      <c r="C200" s="2">
        <f>IFERROR(__xludf.DUMMYFUNCTION("""COMPUTED_VALUE"""),16.0)</f>
        <v>16</v>
      </c>
      <c r="D200" s="6">
        <f>IFERROR(__xludf.DUMMYFUNCTION("""COMPUTED_VALUE"""),5566.08)</f>
        <v>5566.08</v>
      </c>
      <c r="E200" s="6">
        <f>IFERROR(__xludf.DUMMYFUNCTION("GOOGLEFINANCE(""Currency:BRLMXN"")*D200"),18910.7568)</f>
        <v>18910.7568</v>
      </c>
      <c r="F200" s="6">
        <f>IFERROR(__xludf.DUMMYFUNCTION("GOOGLEFINANCE(""Currency:BRLPEN"")*D200"),3649.1220479999997)</f>
        <v>3649.122048</v>
      </c>
      <c r="G200" s="2" t="str">
        <f t="array" ref="G200">_xlfn.XLOOKUP(B200,Vendedores!$A$2:$A$41,Vendedores!$B$2:$B$41,"No hay datos")</f>
        <v>Andrés López</v>
      </c>
      <c r="H200" s="2" t="str">
        <f t="array" ref="H200">_xlfn.XLOOKUP(B200,Vendedores!$A$2:$A$41,Vendedores!$C$2:$C$41,"No hay datos")</f>
        <v>Villa Progreso</v>
      </c>
      <c r="I200" s="2" t="str">
        <f t="array" ref="I200">_xlfn.XLOOKUP(B200,Vendedores!$A$2:$A$41,Vendedores!$D$2:$D$41,"No hay datos")</f>
        <v>Región Central 2</v>
      </c>
      <c r="J200" s="2" t="str">
        <f t="array" ref="J200:N200">_xlfn.XLOOKUP(A200,Productos!$A$2:$A$61,Productos!$B$2:$F$61)</f>
        <v>Chaqueta de cuero</v>
      </c>
      <c r="K200" s="2" t="s">
        <v>9</v>
      </c>
      <c r="L200" s="2" t="s">
        <v>10</v>
      </c>
      <c r="M200" s="2" t="s">
        <v>94</v>
      </c>
      <c r="N200" s="2" t="s">
        <v>44</v>
      </c>
    </row>
    <row r="201">
      <c r="A201" s="2" t="str">
        <f>IFERROR(__xludf.DUMMYFUNCTION("""COMPUTED_VALUE"""),"PR048")</f>
        <v>PR048</v>
      </c>
      <c r="B201" s="2" t="str">
        <f>IFERROR(__xludf.DUMMYFUNCTION("""COMPUTED_VALUE"""),"VD027")</f>
        <v>VD027</v>
      </c>
      <c r="C201" s="2">
        <f>IFERROR(__xludf.DUMMYFUNCTION("""COMPUTED_VALUE"""),27.0)</f>
        <v>27</v>
      </c>
      <c r="D201" s="6">
        <f>IFERROR(__xludf.DUMMYFUNCTION("""COMPUTED_VALUE"""),9392.76)</f>
        <v>9392.76</v>
      </c>
      <c r="E201" s="6">
        <f>IFERROR(__xludf.DUMMYFUNCTION("GOOGLEFINANCE(""Currency:BRLMXN"")*D201"),31911.9021)</f>
        <v>31911.9021</v>
      </c>
      <c r="F201" s="6">
        <f>IFERROR(__xludf.DUMMYFUNCTION("GOOGLEFINANCE(""Currency:BRLPEN"")*D201"),6157.893456)</f>
        <v>6157.893456</v>
      </c>
      <c r="G201" s="2" t="str">
        <f t="array" ref="G201">_xlfn.XLOOKUP(B201,Vendedores!$A$2:$A$41,Vendedores!$B$2:$B$41,"No hay datos")</f>
        <v>Patricia Cortés</v>
      </c>
      <c r="H201" s="2" t="str">
        <f t="array" ref="H201">_xlfn.XLOOKUP(B201,Vendedores!$A$2:$A$41,Vendedores!$C$2:$C$41,"No hay datos")</f>
        <v>Costa Azul</v>
      </c>
      <c r="I201" s="2" t="str">
        <f t="array" ref="I201">_xlfn.XLOOKUP(B201,Vendedores!$A$2:$A$41,Vendedores!$D$2:$D$41,"No hay datos")</f>
        <v>Región Norte</v>
      </c>
      <c r="J201" s="2" t="str">
        <f t="array" ref="J201:N201">_xlfn.XLOOKUP(A201,Productos!$A$2:$A$61,Productos!$B$2:$F$61)</f>
        <v>Chaqueta de cuero</v>
      </c>
      <c r="K201" s="2" t="s">
        <v>22</v>
      </c>
      <c r="L201" s="2" t="s">
        <v>10</v>
      </c>
      <c r="M201" s="2" t="s">
        <v>94</v>
      </c>
      <c r="N201" s="2" t="s">
        <v>44</v>
      </c>
    </row>
    <row r="202">
      <c r="A202" s="2" t="str">
        <f>IFERROR(__xludf.DUMMYFUNCTION("""COMPUTED_VALUE"""),"PR055")</f>
        <v>PR055</v>
      </c>
      <c r="B202" s="2" t="str">
        <f>IFERROR(__xludf.DUMMYFUNCTION("""COMPUTED_VALUE"""),"VD033")</f>
        <v>VD033</v>
      </c>
      <c r="C202" s="2">
        <f>IFERROR(__xludf.DUMMYFUNCTION("""COMPUTED_VALUE"""),14.0)</f>
        <v>14</v>
      </c>
      <c r="D202" s="6">
        <f>IFERROR(__xludf.DUMMYFUNCTION("""COMPUTED_VALUE"""),1397.05)</f>
        <v>1397.05</v>
      </c>
      <c r="E202" s="6">
        <f>IFERROR(__xludf.DUMMYFUNCTION("GOOGLEFINANCE(""Currency:BRLMXN"")*D202"),4746.4773749999995)</f>
        <v>4746.477375</v>
      </c>
      <c r="F202" s="6">
        <f>IFERROR(__xludf.DUMMYFUNCTION("GOOGLEFINANCE(""Currency:BRLPEN"")*D202"),915.9059799999999)</f>
        <v>915.90598</v>
      </c>
      <c r="G202" s="2" t="str">
        <f t="array" ref="G202">_xlfn.XLOOKUP(B202,Vendedores!$A$2:$A$41,Vendedores!$B$2:$B$41,"No hay datos")</f>
        <v>Renata Flores</v>
      </c>
      <c r="H202" s="2" t="str">
        <f t="array" ref="H202">_xlfn.XLOOKUP(B202,Vendedores!$A$2:$A$41,Vendedores!$C$2:$C$41,"No hay datos")</f>
        <v>Altos del Sur</v>
      </c>
      <c r="I202" s="2" t="str">
        <f t="array" ref="I202">_xlfn.XLOOKUP(B202,Vendedores!$A$2:$A$41,Vendedores!$D$2:$D$41,"No hay datos")</f>
        <v>Región Central 2</v>
      </c>
      <c r="J202" s="2" t="str">
        <f t="array" ref="J202:N202">_xlfn.XLOOKUP(A202,Productos!$A$2:$A$61,Productos!$B$2:$F$61)</f>
        <v>Sandalia plana</v>
      </c>
      <c r="K202" s="2">
        <v>35.0</v>
      </c>
      <c r="L202" s="2" t="s">
        <v>33</v>
      </c>
      <c r="M202" s="2" t="s">
        <v>34</v>
      </c>
      <c r="N202" s="2" t="s">
        <v>35</v>
      </c>
    </row>
    <row r="203">
      <c r="A203" s="2" t="str">
        <f>IFERROR(__xludf.DUMMYFUNCTION("""COMPUTED_VALUE"""),"PR017")</f>
        <v>PR017</v>
      </c>
      <c r="B203" s="2" t="str">
        <f>IFERROR(__xludf.DUMMYFUNCTION("""COMPUTED_VALUE"""),"VD036")</f>
        <v>VD036</v>
      </c>
      <c r="C203" s="2">
        <f>IFERROR(__xludf.DUMMYFUNCTION("""COMPUTED_VALUE"""),21.0)</f>
        <v>21</v>
      </c>
      <c r="D203" s="6">
        <f>IFERROR(__xludf.DUMMYFUNCTION("""COMPUTED_VALUE"""),753.48)</f>
        <v>753.48</v>
      </c>
      <c r="E203" s="6">
        <f>IFERROR(__xludf.DUMMYFUNCTION("GOOGLEFINANCE(""Currency:BRLMXN"")*D203"),2559.9483)</f>
        <v>2559.9483</v>
      </c>
      <c r="F203" s="6">
        <f>IFERROR(__xludf.DUMMYFUNCTION("GOOGLEFINANCE(""Currency:BRLPEN"")*D203"),493.98148799999996)</f>
        <v>493.981488</v>
      </c>
      <c r="G203" s="2" t="str">
        <f t="array" ref="G203">_xlfn.XLOOKUP(B203,Vendedores!$A$2:$A$41,Vendedores!$B$2:$B$41,"No hay datos")</f>
        <v>Ricardo Sosa</v>
      </c>
      <c r="H203" s="2" t="str">
        <f t="array" ref="H203">_xlfn.XLOOKUP(B203,Vendedores!$A$2:$A$41,Vendedores!$C$2:$C$41,"No hay datos")</f>
        <v>Puerto Nuevo</v>
      </c>
      <c r="I203" s="2" t="str">
        <f t="array" ref="I203">_xlfn.XLOOKUP(B203,Vendedores!$A$2:$A$41,Vendedores!$D$2:$D$41,"No hay datos")</f>
        <v>Región Central 2</v>
      </c>
      <c r="J203" s="2" t="str">
        <f t="array" ref="J203:N203">_xlfn.XLOOKUP(A203,Productos!$A$2:$A$61,Productos!$B$2:$F$61)</f>
        <v>Playera lisa</v>
      </c>
      <c r="K203" s="2" t="s">
        <v>17</v>
      </c>
      <c r="L203" s="2" t="s">
        <v>10</v>
      </c>
      <c r="M203" s="2" t="s">
        <v>98</v>
      </c>
      <c r="N203" s="2" t="s">
        <v>99</v>
      </c>
    </row>
    <row r="204">
      <c r="A204" s="2" t="str">
        <f>IFERROR(__xludf.DUMMYFUNCTION("""COMPUTED_VALUE"""),"PR029")</f>
        <v>PR029</v>
      </c>
      <c r="B204" s="2" t="str">
        <f>IFERROR(__xludf.DUMMYFUNCTION("""COMPUTED_VALUE"""),"VD035")</f>
        <v>VD035</v>
      </c>
      <c r="C204" s="2">
        <f>IFERROR(__xludf.DUMMYFUNCTION("""COMPUTED_VALUE"""),12.0)</f>
        <v>12</v>
      </c>
      <c r="D204" s="6">
        <f>IFERROR(__xludf.DUMMYFUNCTION("""COMPUTED_VALUE"""),3610.8)</f>
        <v>3610.8</v>
      </c>
      <c r="E204" s="6">
        <f>IFERROR(__xludf.DUMMYFUNCTION("GOOGLEFINANCE(""Currency:BRLMXN"")*D204"),12267.693000000001)</f>
        <v>12267.693</v>
      </c>
      <c r="F204" s="6">
        <f>IFERROR(__xludf.DUMMYFUNCTION("GOOGLEFINANCE(""Currency:BRLPEN"")*D204"),2367.24048)</f>
        <v>2367.24048</v>
      </c>
      <c r="G204" s="2" t="str">
        <f t="array" ref="G204">_xlfn.XLOOKUP(B204,Vendedores!$A$2:$A$41,Vendedores!$B$2:$B$41,"No hay datos")</f>
        <v>Carolina Méndez</v>
      </c>
      <c r="H204" s="2" t="str">
        <f t="array" ref="H204">_xlfn.XLOOKUP(B204,Vendedores!$A$2:$A$41,Vendedores!$C$2:$C$41,"No hay datos")</f>
        <v>Valle de los Robles</v>
      </c>
      <c r="I204" s="2" t="str">
        <f t="array" ref="I204">_xlfn.XLOOKUP(B204,Vendedores!$A$2:$A$41,Vendedores!$D$2:$D$41,"No hay datos")</f>
        <v>Región Central 2</v>
      </c>
      <c r="J204" s="2" t="str">
        <f t="array" ref="J204:N204">_xlfn.XLOOKUP(A204,Productos!$A$2:$A$61,Productos!$B$2:$F$61)</f>
        <v>Tenis Atitas</v>
      </c>
      <c r="K204" s="2">
        <v>37.0</v>
      </c>
      <c r="L204" s="2" t="s">
        <v>33</v>
      </c>
      <c r="M204" s="2" t="s">
        <v>96</v>
      </c>
      <c r="N204" s="2" t="s">
        <v>97</v>
      </c>
    </row>
    <row r="205">
      <c r="A205" s="2" t="str">
        <f>IFERROR(__xludf.DUMMYFUNCTION("""COMPUTED_VALUE"""),"PR005")</f>
        <v>PR005</v>
      </c>
      <c r="B205" s="2" t="str">
        <f>IFERROR(__xludf.DUMMYFUNCTION("""COMPUTED_VALUE"""),"VD037")</f>
        <v>VD037</v>
      </c>
      <c r="C205" s="2">
        <f>IFERROR(__xludf.DUMMYFUNCTION("""COMPUTED_VALUE"""),20.0)</f>
        <v>20</v>
      </c>
      <c r="D205" s="6">
        <f>IFERROR(__xludf.DUMMYFUNCTION("""COMPUTED_VALUE"""),6185.62)</f>
        <v>6185.62</v>
      </c>
      <c r="E205" s="6">
        <f>IFERROR(__xludf.DUMMYFUNCTION("GOOGLEFINANCE(""Currency:BRLMXN"")*D205"),21015.643949999998)</f>
        <v>21015.64395</v>
      </c>
      <c r="F205" s="6">
        <f>IFERROR(__xludf.DUMMYFUNCTION("GOOGLEFINANCE(""Currency:BRLPEN"")*D205"),4055.2924719999996)</f>
        <v>4055.292472</v>
      </c>
      <c r="G205" s="2" t="str">
        <f t="array" ref="G205">_xlfn.XLOOKUP(B205,Vendedores!$A$2:$A$41,Vendedores!$B$2:$B$41,"No hay datos")</f>
        <v>Amanda Silva</v>
      </c>
      <c r="H205" s="2" t="str">
        <f t="array" ref="H205">_xlfn.XLOOKUP(B205,Vendedores!$A$2:$A$41,Vendedores!$C$2:$C$41,"No hay datos")</f>
        <v>Villa Esperanza</v>
      </c>
      <c r="I205" s="2" t="str">
        <f t="array" ref="I205">_xlfn.XLOOKUP(B205,Vendedores!$A$2:$A$41,Vendedores!$D$2:$D$41,"No hay datos")</f>
        <v>Región Sur 2</v>
      </c>
      <c r="J205" s="2" t="str">
        <f t="array" ref="J205:N205">_xlfn.XLOOKUP(A205,Productos!$A$2:$A$61,Productos!$B$2:$F$61)</f>
        <v>Bolso de cuero</v>
      </c>
      <c r="K205" s="2" t="s">
        <v>29</v>
      </c>
      <c r="L205" s="2" t="s">
        <v>30</v>
      </c>
      <c r="M205" s="2" t="s">
        <v>100</v>
      </c>
      <c r="N205" s="2" t="s">
        <v>64</v>
      </c>
    </row>
    <row r="206">
      <c r="A206" s="2" t="str">
        <f>IFERROR(__xludf.DUMMYFUNCTION("""COMPUTED_VALUE"""),"PR058")</f>
        <v>PR058</v>
      </c>
      <c r="B206" s="2" t="str">
        <f>IFERROR(__xludf.DUMMYFUNCTION("""COMPUTED_VALUE"""),"VD048")</f>
        <v>VD048</v>
      </c>
      <c r="C206" s="2">
        <f>IFERROR(__xludf.DUMMYFUNCTION("""COMPUTED_VALUE"""),15.0)</f>
        <v>15</v>
      </c>
      <c r="D206" s="6">
        <f>IFERROR(__xludf.DUMMYFUNCTION("""COMPUTED_VALUE"""),3105.0)</f>
        <v>3105</v>
      </c>
      <c r="E206" s="6">
        <f>IFERROR(__xludf.DUMMYFUNCTION("GOOGLEFINANCE(""Currency:BRLMXN"")*D206"),10549.2375)</f>
        <v>10549.2375</v>
      </c>
      <c r="F206" s="6">
        <f>IFERROR(__xludf.DUMMYFUNCTION("GOOGLEFINANCE(""Currency:BRLPEN"")*D206"),2035.638)</f>
        <v>2035.638</v>
      </c>
      <c r="G206" s="2" t="str">
        <f t="array" ref="G206">_xlfn.XLOOKUP(B206,Vendedores!$A$2:$A$41,Vendedores!$B$2:$B$41,"No hay datos")</f>
        <v>Mariana Castro</v>
      </c>
      <c r="H206" s="2" t="str">
        <f t="array" ref="H206">_xlfn.XLOOKUP(B206,Vendedores!$A$2:$A$41,Vendedores!$C$2:$C$41,"No hay datos")</f>
        <v>San Carlos del Valle</v>
      </c>
      <c r="I206" s="2" t="str">
        <f t="array" ref="I206">_xlfn.XLOOKUP(B206,Vendedores!$A$2:$A$41,Vendedores!$D$2:$D$41,"No hay datos")</f>
        <v>Región Central 2</v>
      </c>
      <c r="J206" s="2" t="str">
        <f t="array" ref="J206:N206">_xlfn.XLOOKUP(A206,Productos!$A$2:$A$61,Productos!$B$2:$F$61)</f>
        <v>Pantalón de sastre</v>
      </c>
      <c r="K206" s="2" t="s">
        <v>9</v>
      </c>
      <c r="L206" s="2" t="s">
        <v>10</v>
      </c>
      <c r="M206" s="2" t="s">
        <v>13</v>
      </c>
      <c r="N206" s="2" t="s">
        <v>14</v>
      </c>
    </row>
    <row r="207">
      <c r="A207" s="2" t="str">
        <f>IFERROR(__xludf.DUMMYFUNCTION("""COMPUTED_VALUE"""),"PR025")</f>
        <v>PR025</v>
      </c>
      <c r="B207" s="2" t="str">
        <f>IFERROR(__xludf.DUMMYFUNCTION("""COMPUTED_VALUE"""),"VD035")</f>
        <v>VD035</v>
      </c>
      <c r="C207" s="2">
        <f>IFERROR(__xludf.DUMMYFUNCTION("""COMPUTED_VALUE"""),12.0)</f>
        <v>12</v>
      </c>
      <c r="D207" s="6">
        <f>IFERROR(__xludf.DUMMYFUNCTION("""COMPUTED_VALUE"""),4102.63)</f>
        <v>4102.63</v>
      </c>
      <c r="E207" s="6">
        <f>IFERROR(__xludf.DUMMYFUNCTION("GOOGLEFINANCE(""Currency:BRLMXN"")*D207"),13938.685425)</f>
        <v>13938.68543</v>
      </c>
      <c r="F207" s="6">
        <f>IFERROR(__xludf.DUMMYFUNCTION("GOOGLEFINANCE(""Currency:BRLPEN"")*D207"),2689.684228)</f>
        <v>2689.684228</v>
      </c>
      <c r="G207" s="2" t="str">
        <f t="array" ref="G207">_xlfn.XLOOKUP(B207,Vendedores!$A$2:$A$41,Vendedores!$B$2:$B$41,"No hay datos")</f>
        <v>Carolina Méndez</v>
      </c>
      <c r="H207" s="2" t="str">
        <f t="array" ref="H207">_xlfn.XLOOKUP(B207,Vendedores!$A$2:$A$41,Vendedores!$C$2:$C$41,"No hay datos")</f>
        <v>Valle de los Robles</v>
      </c>
      <c r="I207" s="2" t="str">
        <f t="array" ref="I207">_xlfn.XLOOKUP(B207,Vendedores!$A$2:$A$41,Vendedores!$D$2:$D$41,"No hay datos")</f>
        <v>Región Central 2</v>
      </c>
      <c r="J207" s="2" t="str">
        <f t="array" ref="J207:N207">_xlfn.XLOOKUP(A207,Productos!$A$2:$A$61,Productos!$B$2:$F$61)</f>
        <v>Chaqueta de mezclilla</v>
      </c>
      <c r="K207" s="2" t="s">
        <v>22</v>
      </c>
      <c r="L207" s="2" t="s">
        <v>10</v>
      </c>
      <c r="M207" s="2" t="s">
        <v>107</v>
      </c>
      <c r="N207" s="2" t="s">
        <v>16</v>
      </c>
    </row>
    <row r="208">
      <c r="A208" s="2" t="str">
        <f>IFERROR(__xludf.DUMMYFUNCTION("""COMPUTED_VALUE"""),"PR042")</f>
        <v>PR042</v>
      </c>
      <c r="B208" s="2" t="str">
        <f>IFERROR(__xludf.DUMMYFUNCTION("""COMPUTED_VALUE"""),"VD017")</f>
        <v>VD017</v>
      </c>
      <c r="C208" s="2">
        <f>IFERROR(__xludf.DUMMYFUNCTION("""COMPUTED_VALUE"""),3.0)</f>
        <v>3</v>
      </c>
      <c r="D208" s="6">
        <f>IFERROR(__xludf.DUMMYFUNCTION("""COMPUTED_VALUE"""),197.64)</f>
        <v>197.64</v>
      </c>
      <c r="E208" s="6">
        <f>IFERROR(__xludf.DUMMYFUNCTION("GOOGLEFINANCE(""Currency:BRLMXN"")*D208"),671.4819)</f>
        <v>671.4819</v>
      </c>
      <c r="F208" s="6">
        <f>IFERROR(__xludf.DUMMYFUNCTION("GOOGLEFINANCE(""Currency:BRLPEN"")*D208"),129.57278399999998)</f>
        <v>129.572784</v>
      </c>
      <c r="G208" s="2" t="str">
        <f t="array" ref="G208">_xlfn.XLOOKUP(B208,Vendedores!$A$2:$A$41,Vendedores!$B$2:$B$41,"No hay datos")</f>
        <v>Bruno Peralta</v>
      </c>
      <c r="H208" s="2" t="str">
        <f t="array" ref="H208">_xlfn.XLOOKUP(B208,Vendedores!$A$2:$A$41,Vendedores!$C$2:$C$41,"No hay datos")</f>
        <v>Costa Azul</v>
      </c>
      <c r="I208" s="2" t="str">
        <f t="array" ref="I208">_xlfn.XLOOKUP(B208,Vendedores!$A$2:$A$41,Vendedores!$D$2:$D$41,"No hay datos")</f>
        <v>Región Norte</v>
      </c>
      <c r="J208" s="2" t="str">
        <f t="array" ref="J208:N208">_xlfn.XLOOKUP(A208,Productos!$A$2:$A$61,Productos!$B$2:$F$61)</f>
        <v>Playera confort</v>
      </c>
      <c r="K208" s="2" t="s">
        <v>22</v>
      </c>
      <c r="L208" s="2" t="s">
        <v>10</v>
      </c>
      <c r="M208" s="2" t="s">
        <v>25</v>
      </c>
      <c r="N208" s="2" t="s">
        <v>26</v>
      </c>
    </row>
    <row r="209">
      <c r="A209" s="2" t="str">
        <f>IFERROR(__xludf.DUMMYFUNCTION("""COMPUTED_VALUE"""),"PR046")</f>
        <v>PR046</v>
      </c>
      <c r="B209" s="2" t="str">
        <f>IFERROR(__xludf.DUMMYFUNCTION("""COMPUTED_VALUE"""),"VD039")</f>
        <v>VD039</v>
      </c>
      <c r="C209" s="2">
        <f>IFERROR(__xludf.DUMMYFUNCTION("""COMPUTED_VALUE"""),15.0)</f>
        <v>15</v>
      </c>
      <c r="D209" s="6">
        <f>IFERROR(__xludf.DUMMYFUNCTION("""COMPUTED_VALUE"""),4870.32)</f>
        <v>4870.32</v>
      </c>
      <c r="E209" s="6">
        <f>IFERROR(__xludf.DUMMYFUNCTION("GOOGLEFINANCE(""Currency:BRLMXN"")*D209"),16546.9122)</f>
        <v>16546.9122</v>
      </c>
      <c r="F209" s="6">
        <f>IFERROR(__xludf.DUMMYFUNCTION("GOOGLEFINANCE(""Currency:BRLPEN"")*D209"),3192.9817919999996)</f>
        <v>3192.981792</v>
      </c>
      <c r="G209" s="2" t="str">
        <f t="array" ref="G209">_xlfn.XLOOKUP(B209,Vendedores!$A$2:$A$41,Vendedores!$B$2:$B$41,"No hay datos")</f>
        <v>Daniela Rodríguez</v>
      </c>
      <c r="H209" s="2" t="str">
        <f t="array" ref="H209">_xlfn.XLOOKUP(B209,Vendedores!$A$2:$A$41,Vendedores!$C$2:$C$41,"No hay datos")</f>
        <v>Bahía del Sol</v>
      </c>
      <c r="I209" s="2" t="str">
        <f t="array" ref="I209">_xlfn.XLOOKUP(B209,Vendedores!$A$2:$A$41,Vendedores!$D$2:$D$41,"No hay datos")</f>
        <v>Región Central 2</v>
      </c>
      <c r="J209" s="2" t="str">
        <f t="array" ref="J209:N209">_xlfn.XLOOKUP(A209,Productos!$A$2:$A$61,Productos!$B$2:$F$61)</f>
        <v>Chaqueta de cuero</v>
      </c>
      <c r="K209" s="2" t="s">
        <v>9</v>
      </c>
      <c r="L209" s="2" t="s">
        <v>10</v>
      </c>
      <c r="M209" s="2" t="s">
        <v>94</v>
      </c>
      <c r="N209" s="2" t="s">
        <v>44</v>
      </c>
    </row>
    <row r="210">
      <c r="A210" s="2" t="str">
        <f>IFERROR(__xludf.DUMMYFUNCTION("""COMPUTED_VALUE"""),"PR006")</f>
        <v>PR006</v>
      </c>
      <c r="B210" s="2" t="str">
        <f>IFERROR(__xludf.DUMMYFUNCTION("""COMPUTED_VALUE"""),"VD044")</f>
        <v>VD044</v>
      </c>
      <c r="C210" s="2">
        <f>IFERROR(__xludf.DUMMYFUNCTION("""COMPUTED_VALUE"""),27.0)</f>
        <v>27</v>
      </c>
      <c r="D210" s="6">
        <f>IFERROR(__xludf.DUMMYFUNCTION("""COMPUTED_VALUE"""),1238.9)</f>
        <v>1238.9</v>
      </c>
      <c r="E210" s="6">
        <f>IFERROR(__xludf.DUMMYFUNCTION("GOOGLEFINANCE(""Currency:BRLMXN"")*D210"),4209.16275)</f>
        <v>4209.16275</v>
      </c>
      <c r="F210" s="6">
        <f>IFERROR(__xludf.DUMMYFUNCTION("GOOGLEFINANCE(""Currency:BRLPEN"")*D210"),812.22284)</f>
        <v>812.22284</v>
      </c>
      <c r="G210" s="2" t="str">
        <f t="array" ref="G210">_xlfn.XLOOKUP(B210,Vendedores!$A$2:$A$41,Vendedores!$B$2:$B$41,"No hay datos")</f>
        <v>Silvia Menéndez</v>
      </c>
      <c r="H210" s="2" t="str">
        <f t="array" ref="H210">_xlfn.XLOOKUP(B210,Vendedores!$A$2:$A$41,Vendedores!$C$2:$C$41,"No hay datos")</f>
        <v>San Antonio del Monte</v>
      </c>
      <c r="I210" s="2" t="str">
        <f t="array" ref="I210">_xlfn.XLOOKUP(B210,Vendedores!$A$2:$A$41,Vendedores!$D$2:$D$41,"No hay datos")</f>
        <v>Región Central 2</v>
      </c>
      <c r="J210" s="2" t="str">
        <f t="array" ref="J210:N210">_xlfn.XLOOKUP(A210,Productos!$A$2:$A$61,Productos!$B$2:$F$61)</f>
        <v>Gorra</v>
      </c>
      <c r="K210" s="2" t="s">
        <v>29</v>
      </c>
      <c r="L210" s="2" t="s">
        <v>30</v>
      </c>
      <c r="M210" s="2" t="s">
        <v>48</v>
      </c>
      <c r="N210" s="2" t="s">
        <v>38</v>
      </c>
    </row>
    <row r="211">
      <c r="A211" s="2" t="str">
        <f>IFERROR(__xludf.DUMMYFUNCTION("""COMPUTED_VALUE"""),"PR053")</f>
        <v>PR053</v>
      </c>
      <c r="B211" s="2" t="str">
        <f>IFERROR(__xludf.DUMMYFUNCTION("""COMPUTED_VALUE"""),"VD047")</f>
        <v>VD047</v>
      </c>
      <c r="C211" s="2">
        <f>IFERROR(__xludf.DUMMYFUNCTION("""COMPUTED_VALUE"""),12.0)</f>
        <v>12</v>
      </c>
      <c r="D211" s="6">
        <f>IFERROR(__xludf.DUMMYFUNCTION("""COMPUTED_VALUE"""),676.64)</f>
        <v>676.64</v>
      </c>
      <c r="E211" s="6">
        <f>IFERROR(__xludf.DUMMYFUNCTION("GOOGLEFINANCE(""Currency:BRLMXN"")*D211"),2298.8844)</f>
        <v>2298.8844</v>
      </c>
      <c r="F211" s="6">
        <f>IFERROR(__xludf.DUMMYFUNCTION("GOOGLEFINANCE(""Currency:BRLPEN"")*D211"),443.60518399999995)</f>
        <v>443.605184</v>
      </c>
      <c r="G211" s="2" t="str">
        <f t="array" ref="G211">_xlfn.XLOOKUP(B211,Vendedores!$A$2:$A$41,Vendedores!$B$2:$B$41,"No hay datos")</f>
        <v>Andrés López</v>
      </c>
      <c r="H211" s="2" t="str">
        <f t="array" ref="H211">_xlfn.XLOOKUP(B211,Vendedores!$A$2:$A$41,Vendedores!$C$2:$C$41,"No hay datos")</f>
        <v>Villa Progreso</v>
      </c>
      <c r="I211" s="2" t="str">
        <f t="array" ref="I211">_xlfn.XLOOKUP(B211,Vendedores!$A$2:$A$41,Vendedores!$D$2:$D$41,"No hay datos")</f>
        <v>Región Central 2</v>
      </c>
      <c r="J211" s="2" t="str">
        <f t="array" ref="J211:N211">_xlfn.XLOOKUP(A211,Productos!$A$2:$A$61,Productos!$B$2:$F$61)</f>
        <v>Falda plisada</v>
      </c>
      <c r="K211" s="2" t="s">
        <v>17</v>
      </c>
      <c r="L211" s="2" t="s">
        <v>10</v>
      </c>
      <c r="M211" s="2" t="s">
        <v>41</v>
      </c>
      <c r="N211" s="2" t="s">
        <v>32</v>
      </c>
    </row>
    <row r="212">
      <c r="A212" s="2" t="str">
        <f>IFERROR(__xludf.DUMMYFUNCTION("""COMPUTED_VALUE"""),"PR042")</f>
        <v>PR042</v>
      </c>
      <c r="B212" s="2" t="str">
        <f>IFERROR(__xludf.DUMMYFUNCTION("""COMPUTED_VALUE"""),"VD018")</f>
        <v>VD018</v>
      </c>
      <c r="C212" s="2">
        <f>IFERROR(__xludf.DUMMYFUNCTION("""COMPUTED_VALUE"""),8.0)</f>
        <v>8</v>
      </c>
      <c r="D212" s="6">
        <f>IFERROR(__xludf.DUMMYFUNCTION("""COMPUTED_VALUE"""),491.9)</f>
        <v>491.9</v>
      </c>
      <c r="E212" s="6">
        <f>IFERROR(__xludf.DUMMYFUNCTION("GOOGLEFINANCE(""Currency:BRLMXN"")*D212"),1671.2302499999998)</f>
        <v>1671.23025</v>
      </c>
      <c r="F212" s="6">
        <f>IFERROR(__xludf.DUMMYFUNCTION("GOOGLEFINANCE(""Currency:BRLPEN"")*D212"),322.48963999999995)</f>
        <v>322.48964</v>
      </c>
      <c r="G212" s="2" t="str">
        <f t="array" ref="G212">_xlfn.XLOOKUP(B212,Vendedores!$A$2:$A$41,Vendedores!$B$2:$B$41,"No hay datos")</f>
        <v>Leticia Rodríguez</v>
      </c>
      <c r="H212" s="2" t="str">
        <f t="array" ref="H212">_xlfn.XLOOKUP(B212,Vendedores!$A$2:$A$41,Vendedores!$C$2:$C$41,"No hay datos")</f>
        <v>Playa Blanca</v>
      </c>
      <c r="I212" s="2" t="str">
        <f t="array" ref="I212">_xlfn.XLOOKUP(B212,Vendedores!$A$2:$A$41,Vendedores!$D$2:$D$41,"No hay datos")</f>
        <v>Región Norte</v>
      </c>
      <c r="J212" s="2" t="str">
        <f t="array" ref="J212:N212">_xlfn.XLOOKUP(A212,Productos!$A$2:$A$61,Productos!$B$2:$F$61)</f>
        <v>Playera confort</v>
      </c>
      <c r="K212" s="2" t="s">
        <v>22</v>
      </c>
      <c r="L212" s="2" t="s">
        <v>10</v>
      </c>
      <c r="M212" s="2" t="s">
        <v>25</v>
      </c>
      <c r="N212" s="2" t="s">
        <v>26</v>
      </c>
    </row>
    <row r="213">
      <c r="A213" s="2" t="str">
        <f>IFERROR(__xludf.DUMMYFUNCTION("""COMPUTED_VALUE"""),"PR002")</f>
        <v>PR002</v>
      </c>
      <c r="B213" s="2" t="str">
        <f>IFERROR(__xludf.DUMMYFUNCTION("""COMPUTED_VALUE"""),"VD034")</f>
        <v>VD034</v>
      </c>
      <c r="C213" s="2">
        <f>IFERROR(__xludf.DUMMYFUNCTION("""COMPUTED_VALUE"""),3.0)</f>
        <v>3</v>
      </c>
      <c r="D213" s="6">
        <f>IFERROR(__xludf.DUMMYFUNCTION("""COMPUTED_VALUE"""),245.35)</f>
        <v>245.35</v>
      </c>
      <c r="E213" s="6">
        <f>IFERROR(__xludf.DUMMYFUNCTION("GOOGLEFINANCE(""Currency:BRLMXN"")*D213"),833.5766249999999)</f>
        <v>833.576625</v>
      </c>
      <c r="F213" s="6">
        <f>IFERROR(__xludf.DUMMYFUNCTION("GOOGLEFINANCE(""Currency:BRLPEN"")*D213"),160.85145999999997)</f>
        <v>160.85146</v>
      </c>
      <c r="G213" s="2" t="str">
        <f t="array" ref="G213">_xlfn.XLOOKUP(B213,Vendedores!$A$2:$A$41,Vendedores!$B$2:$B$41,"No hay datos")</f>
        <v>Felipe Carvajal</v>
      </c>
      <c r="H213" s="2" t="str">
        <f t="array" ref="H213">_xlfn.XLOOKUP(B213,Vendedores!$A$2:$A$41,Vendedores!$C$2:$C$41,"No hay datos")</f>
        <v>San Pedro del Río</v>
      </c>
      <c r="I213" s="2" t="str">
        <f t="array" ref="I213">_xlfn.XLOOKUP(B213,Vendedores!$A$2:$A$41,Vendedores!$D$2:$D$41,"No hay datos")</f>
        <v>Región Sur 2</v>
      </c>
      <c r="J213" s="2" t="str">
        <f t="array" ref="J213:N213">_xlfn.XLOOKUP(A213,Productos!$A$2:$A$61,Productos!$B$2:$F$61)</f>
        <v>Bermuda</v>
      </c>
      <c r="K213" s="2" t="s">
        <v>17</v>
      </c>
      <c r="L213" s="2" t="s">
        <v>10</v>
      </c>
      <c r="M213" s="2" t="s">
        <v>49</v>
      </c>
      <c r="N213" s="2" t="s">
        <v>50</v>
      </c>
    </row>
    <row r="214">
      <c r="A214" s="2" t="str">
        <f>IFERROR(__xludf.DUMMYFUNCTION("""COMPUTED_VALUE"""),"PR016")</f>
        <v>PR016</v>
      </c>
      <c r="B214" s="2" t="str">
        <f>IFERROR(__xludf.DUMMYFUNCTION("""COMPUTED_VALUE"""),"VD019")</f>
        <v>VD019</v>
      </c>
      <c r="C214" s="2">
        <f>IFERROR(__xludf.DUMMYFUNCTION("""COMPUTED_VALUE"""),16.0)</f>
        <v>16</v>
      </c>
      <c r="D214" s="6">
        <f>IFERROR(__xludf.DUMMYFUNCTION("""COMPUTED_VALUE"""),472.42)</f>
        <v>472.42</v>
      </c>
      <c r="E214" s="6">
        <f>IFERROR(__xludf.DUMMYFUNCTION("GOOGLEFINANCE(""Currency:BRLMXN"")*D214"),1605.04695)</f>
        <v>1605.04695</v>
      </c>
      <c r="F214" s="6">
        <f>IFERROR(__xludf.DUMMYFUNCTION("GOOGLEFINANCE(""Currency:BRLPEN"")*D214"),309.718552)</f>
        <v>309.718552</v>
      </c>
      <c r="G214" s="2" t="str">
        <f t="array" ref="G214">_xlfn.XLOOKUP(B214,Vendedores!$A$2:$A$41,Vendedores!$B$2:$B$41,"No hay datos")</f>
        <v>Rafael Sosa</v>
      </c>
      <c r="H214" s="2" t="str">
        <f t="array" ref="H214">_xlfn.XLOOKUP(B214,Vendedores!$A$2:$A$41,Vendedores!$C$2:$C$41,"No hay datos")</f>
        <v>Selva Verde</v>
      </c>
      <c r="I214" s="2" t="str">
        <f t="array" ref="I214">_xlfn.XLOOKUP(B214,Vendedores!$A$2:$A$41,Vendedores!$D$2:$D$41,"No hay datos")</f>
        <v>Región Amazónica</v>
      </c>
      <c r="J214" s="2" t="str">
        <f t="array" ref="J214:N214">_xlfn.XLOOKUP(A214,Productos!$A$2:$A$61,Productos!$B$2:$F$61)</f>
        <v>Playera lisa</v>
      </c>
      <c r="K214" s="2" t="s">
        <v>9</v>
      </c>
      <c r="L214" s="2" t="s">
        <v>10</v>
      </c>
      <c r="M214" s="2" t="s">
        <v>20</v>
      </c>
      <c r="N214" s="2" t="s">
        <v>21</v>
      </c>
    </row>
    <row r="215">
      <c r="A215" s="2" t="str">
        <f>IFERROR(__xludf.DUMMYFUNCTION("""COMPUTED_VALUE"""),"PR055")</f>
        <v>PR055</v>
      </c>
      <c r="B215" s="2" t="str">
        <f>IFERROR(__xludf.DUMMYFUNCTION("""COMPUTED_VALUE"""),"VD029")</f>
        <v>VD029</v>
      </c>
      <c r="C215" s="2">
        <f>IFERROR(__xludf.DUMMYFUNCTION("""COMPUTED_VALUE"""),2.0)</f>
        <v>2</v>
      </c>
      <c r="D215" s="6">
        <f>IFERROR(__xludf.DUMMYFUNCTION("""COMPUTED_VALUE"""),213.96)</f>
        <v>213.96</v>
      </c>
      <c r="E215" s="6">
        <f>IFERROR(__xludf.DUMMYFUNCTION("GOOGLEFINANCE(""Currency:BRLMXN"")*D215"),726.9291000000001)</f>
        <v>726.9291</v>
      </c>
      <c r="F215" s="6">
        <f>IFERROR(__xludf.DUMMYFUNCTION("GOOGLEFINANCE(""Currency:BRLPEN"")*D215"),140.272176)</f>
        <v>140.272176</v>
      </c>
      <c r="G215" s="2" t="str">
        <f t="array" ref="G215">_xlfn.XLOOKUP(B215,Vendedores!$A$2:$A$41,Vendedores!$B$2:$B$41,"No hay datos")</f>
        <v>Gabriela Sosa</v>
      </c>
      <c r="H215" s="2" t="str">
        <f t="array" ref="H215">_xlfn.XLOOKUP(B215,Vendedores!$A$2:$A$41,Vendedores!$C$2:$C$41,"No hay datos")</f>
        <v>Selva Verde</v>
      </c>
      <c r="I215" s="2" t="str">
        <f t="array" ref="I215">_xlfn.XLOOKUP(B215,Vendedores!$A$2:$A$41,Vendedores!$D$2:$D$41,"No hay datos")</f>
        <v>Región Amazónica</v>
      </c>
      <c r="J215" s="2" t="str">
        <f t="array" ref="J215:N215">_xlfn.XLOOKUP(A215,Productos!$A$2:$A$61,Productos!$B$2:$F$61)</f>
        <v>Sandalia plana</v>
      </c>
      <c r="K215" s="2">
        <v>35.0</v>
      </c>
      <c r="L215" s="2" t="s">
        <v>33</v>
      </c>
      <c r="M215" s="2" t="s">
        <v>34</v>
      </c>
      <c r="N215" s="2" t="s">
        <v>35</v>
      </c>
    </row>
    <row r="216">
      <c r="A216" s="2" t="str">
        <f>IFERROR(__xludf.DUMMYFUNCTION("""COMPUTED_VALUE"""),"PR057")</f>
        <v>PR057</v>
      </c>
      <c r="B216" s="2" t="str">
        <f>IFERROR(__xludf.DUMMYFUNCTION("""COMPUTED_VALUE"""),"VD037")</f>
        <v>VD037</v>
      </c>
      <c r="C216" s="2">
        <f>IFERROR(__xludf.DUMMYFUNCTION("""COMPUTED_VALUE"""),3.0)</f>
        <v>3</v>
      </c>
      <c r="D216" s="6">
        <f>IFERROR(__xludf.DUMMYFUNCTION("""COMPUTED_VALUE"""),315.55)</f>
        <v>315.55</v>
      </c>
      <c r="E216" s="6">
        <f>IFERROR(__xludf.DUMMYFUNCTION("GOOGLEFINANCE(""Currency:BRLMXN"")*D216"),1072.081125)</f>
        <v>1072.081125</v>
      </c>
      <c r="F216" s="6">
        <f>IFERROR(__xludf.DUMMYFUNCTION("GOOGLEFINANCE(""Currency:BRLPEN"")*D216"),206.87458)</f>
        <v>206.87458</v>
      </c>
      <c r="G216" s="2" t="str">
        <f t="array" ref="G216">_xlfn.XLOOKUP(B216,Vendedores!$A$2:$A$41,Vendedores!$B$2:$B$41,"No hay datos")</f>
        <v>Amanda Silva</v>
      </c>
      <c r="H216" s="2" t="str">
        <f t="array" ref="H216">_xlfn.XLOOKUP(B216,Vendedores!$A$2:$A$41,Vendedores!$C$2:$C$41,"No hay datos")</f>
        <v>Villa Esperanza</v>
      </c>
      <c r="I216" s="2" t="str">
        <f t="array" ref="I216">_xlfn.XLOOKUP(B216,Vendedores!$A$2:$A$41,Vendedores!$D$2:$D$41,"No hay datos")</f>
        <v>Región Sur 2</v>
      </c>
      <c r="J216" s="2" t="str">
        <f t="array" ref="J216:N216">_xlfn.XLOOKUP(A216,Productos!$A$2:$A$61,Productos!$B$2:$F$61)</f>
        <v>Sandalia plana</v>
      </c>
      <c r="K216" s="2">
        <v>37.0</v>
      </c>
      <c r="L216" s="2" t="s">
        <v>33</v>
      </c>
      <c r="M216" s="2" t="s">
        <v>58</v>
      </c>
      <c r="N216" s="2" t="s">
        <v>35</v>
      </c>
    </row>
    <row r="217">
      <c r="A217" s="2" t="str">
        <f>IFERROR(__xludf.DUMMYFUNCTION("""COMPUTED_VALUE"""),"PR011")</f>
        <v>PR011</v>
      </c>
      <c r="B217" s="2" t="str">
        <f>IFERROR(__xludf.DUMMYFUNCTION("""COMPUTED_VALUE"""),"VD030")</f>
        <v>VD030</v>
      </c>
      <c r="C217" s="2">
        <f>IFERROR(__xludf.DUMMYFUNCTION("""COMPUTED_VALUE"""),7.0)</f>
        <v>7</v>
      </c>
      <c r="D217" s="6">
        <f>IFERROR(__xludf.DUMMYFUNCTION("""COMPUTED_VALUE"""),380.83)</f>
        <v>380.83</v>
      </c>
      <c r="E217" s="6">
        <f>IFERROR(__xludf.DUMMYFUNCTION("GOOGLEFINANCE(""Currency:BRLMXN"")*D217"),1293.869925)</f>
        <v>1293.869925</v>
      </c>
      <c r="F217" s="6">
        <f>IFERROR(__xludf.DUMMYFUNCTION("GOOGLEFINANCE(""Currency:BRLPEN"")*D217"),249.67214799999996)</f>
        <v>249.672148</v>
      </c>
      <c r="G217" s="2" t="str">
        <f t="array" ref="G217">_xlfn.XLOOKUP(B217,Vendedores!$A$2:$A$41,Vendedores!$B$2:$B$41,"No hay datos")</f>
        <v>Leonardo Rojas</v>
      </c>
      <c r="H217" s="2" t="str">
        <f t="array" ref="H217">_xlfn.XLOOKUP(B217,Vendedores!$A$2:$A$41,Vendedores!$C$2:$C$41,"No hay datos")</f>
        <v>Villa del Sol</v>
      </c>
      <c r="I217" s="2" t="str">
        <f t="array" ref="I217">_xlfn.XLOOKUP(B217,Vendedores!$A$2:$A$41,Vendedores!$D$2:$D$41,"No hay datos")</f>
        <v>Región Central 2</v>
      </c>
      <c r="J217" s="2" t="str">
        <f t="array" ref="J217:N217">_xlfn.XLOOKUP(A217,Productos!$A$2:$A$61,Productos!$B$2:$F$61)</f>
        <v>Pantalón legging</v>
      </c>
      <c r="K217" s="2" t="s">
        <v>17</v>
      </c>
      <c r="L217" s="2" t="s">
        <v>10</v>
      </c>
      <c r="M217" s="2" t="s">
        <v>67</v>
      </c>
      <c r="N217" s="2" t="s">
        <v>68</v>
      </c>
    </row>
    <row r="218">
      <c r="A218" s="2" t="str">
        <f>IFERROR(__xludf.DUMMYFUNCTION("""COMPUTED_VALUE"""),"PR006")</f>
        <v>PR006</v>
      </c>
      <c r="B218" s="2" t="str">
        <f>IFERROR(__xludf.DUMMYFUNCTION("""COMPUTED_VALUE"""),"VD047")</f>
        <v>VD047</v>
      </c>
      <c r="C218" s="2">
        <f>IFERROR(__xludf.DUMMYFUNCTION("""COMPUTED_VALUE"""),16.0)</f>
        <v>16</v>
      </c>
      <c r="D218" s="6">
        <f>IFERROR(__xludf.DUMMYFUNCTION("""COMPUTED_VALUE"""),766.08)</f>
        <v>766.08</v>
      </c>
      <c r="E218" s="6">
        <f>IFERROR(__xludf.DUMMYFUNCTION("GOOGLEFINANCE(""Currency:BRLMXN"")*D218"),2602.7568)</f>
        <v>2602.7568</v>
      </c>
      <c r="F218" s="6">
        <f>IFERROR(__xludf.DUMMYFUNCTION("GOOGLEFINANCE(""Currency:BRLPEN"")*D218"),502.242048)</f>
        <v>502.242048</v>
      </c>
      <c r="G218" s="2" t="str">
        <f t="array" ref="G218">_xlfn.XLOOKUP(B218,Vendedores!$A$2:$A$41,Vendedores!$B$2:$B$41,"No hay datos")</f>
        <v>Andrés López</v>
      </c>
      <c r="H218" s="2" t="str">
        <f t="array" ref="H218">_xlfn.XLOOKUP(B218,Vendedores!$A$2:$A$41,Vendedores!$C$2:$C$41,"No hay datos")</f>
        <v>Villa Progreso</v>
      </c>
      <c r="I218" s="2" t="str">
        <f t="array" ref="I218">_xlfn.XLOOKUP(B218,Vendedores!$A$2:$A$41,Vendedores!$D$2:$D$41,"No hay datos")</f>
        <v>Región Central 2</v>
      </c>
      <c r="J218" s="2" t="str">
        <f t="array" ref="J218:N218">_xlfn.XLOOKUP(A218,Productos!$A$2:$A$61,Productos!$B$2:$F$61)</f>
        <v>Gorra</v>
      </c>
      <c r="K218" s="2" t="s">
        <v>29</v>
      </c>
      <c r="L218" s="2" t="s">
        <v>30</v>
      </c>
      <c r="M218" s="2" t="s">
        <v>48</v>
      </c>
      <c r="N218" s="2" t="s">
        <v>38</v>
      </c>
    </row>
    <row r="219">
      <c r="A219" s="2" t="str">
        <f>IFERROR(__xludf.DUMMYFUNCTION("""COMPUTED_VALUE"""),"PR019")</f>
        <v>PR019</v>
      </c>
      <c r="B219" s="2" t="str">
        <f>IFERROR(__xludf.DUMMYFUNCTION("""COMPUTED_VALUE"""),"VD034")</f>
        <v>VD034</v>
      </c>
      <c r="C219" s="2">
        <f>IFERROR(__xludf.DUMMYFUNCTION("""COMPUTED_VALUE"""),12.0)</f>
        <v>12</v>
      </c>
      <c r="D219" s="6">
        <f>IFERROR(__xludf.DUMMYFUNCTION("""COMPUTED_VALUE"""),670.66)</f>
        <v>670.66</v>
      </c>
      <c r="E219" s="6">
        <f>IFERROR(__xludf.DUMMYFUNCTION("GOOGLEFINANCE(""Currency:BRLMXN"")*D219"),2278.56735)</f>
        <v>2278.56735</v>
      </c>
      <c r="F219" s="6">
        <f>IFERROR(__xludf.DUMMYFUNCTION("GOOGLEFINANCE(""Currency:BRLPEN"")*D219"),439.684696)</f>
        <v>439.684696</v>
      </c>
      <c r="G219" s="2" t="str">
        <f t="array" ref="G219">_xlfn.XLOOKUP(B219,Vendedores!$A$2:$A$41,Vendedores!$B$2:$B$41,"No hay datos")</f>
        <v>Felipe Carvajal</v>
      </c>
      <c r="H219" s="2" t="str">
        <f t="array" ref="H219">_xlfn.XLOOKUP(B219,Vendedores!$A$2:$A$41,Vendedores!$C$2:$C$41,"No hay datos")</f>
        <v>San Pedro del Río</v>
      </c>
      <c r="I219" s="2" t="str">
        <f t="array" ref="I219">_xlfn.XLOOKUP(B219,Vendedores!$A$2:$A$41,Vendedores!$D$2:$D$41,"No hay datos")</f>
        <v>Región Sur 2</v>
      </c>
      <c r="J219" s="2" t="str">
        <f t="array" ref="J219:N219">_xlfn.XLOOKUP(A219,Productos!$A$2:$A$61,Productos!$B$2:$F$61)</f>
        <v>Cinturón</v>
      </c>
      <c r="K219" s="2" t="s">
        <v>29</v>
      </c>
      <c r="L219" s="2" t="s">
        <v>30</v>
      </c>
      <c r="M219" s="2" t="s">
        <v>31</v>
      </c>
      <c r="N219" s="2" t="s">
        <v>32</v>
      </c>
    </row>
    <row r="220">
      <c r="A220" s="2" t="str">
        <f>IFERROR(__xludf.DUMMYFUNCTION("""COMPUTED_VALUE"""),"PR006")</f>
        <v>PR006</v>
      </c>
      <c r="B220" s="2" t="str">
        <f>IFERROR(__xludf.DUMMYFUNCTION("""COMPUTED_VALUE"""),"VD037")</f>
        <v>VD037</v>
      </c>
      <c r="C220" s="2">
        <f>IFERROR(__xludf.DUMMYFUNCTION("""COMPUTED_VALUE"""),10.0)</f>
        <v>10</v>
      </c>
      <c r="D220" s="6">
        <f>IFERROR(__xludf.DUMMYFUNCTION("""COMPUTED_VALUE"""),462.84)</f>
        <v>462.84</v>
      </c>
      <c r="E220" s="6">
        <f>IFERROR(__xludf.DUMMYFUNCTION("GOOGLEFINANCE(""Currency:BRLMXN"")*D220"),1572.4988999999998)</f>
        <v>1572.4989</v>
      </c>
      <c r="F220" s="6">
        <f>IFERROR(__xludf.DUMMYFUNCTION("GOOGLEFINANCE(""Currency:BRLPEN"")*D220"),303.43790399999995)</f>
        <v>303.437904</v>
      </c>
      <c r="G220" s="2" t="str">
        <f t="array" ref="G220">_xlfn.XLOOKUP(B220,Vendedores!$A$2:$A$41,Vendedores!$B$2:$B$41,"No hay datos")</f>
        <v>Amanda Silva</v>
      </c>
      <c r="H220" s="2" t="str">
        <f t="array" ref="H220">_xlfn.XLOOKUP(B220,Vendedores!$A$2:$A$41,Vendedores!$C$2:$C$41,"No hay datos")</f>
        <v>Villa Esperanza</v>
      </c>
      <c r="I220" s="2" t="str">
        <f t="array" ref="I220">_xlfn.XLOOKUP(B220,Vendedores!$A$2:$A$41,Vendedores!$D$2:$D$41,"No hay datos")</f>
        <v>Región Sur 2</v>
      </c>
      <c r="J220" s="2" t="str">
        <f t="array" ref="J220:N220">_xlfn.XLOOKUP(A220,Productos!$A$2:$A$61,Productos!$B$2:$F$61)</f>
        <v>Gorra</v>
      </c>
      <c r="K220" s="2" t="s">
        <v>29</v>
      </c>
      <c r="L220" s="2" t="s">
        <v>30</v>
      </c>
      <c r="M220" s="2" t="s">
        <v>48</v>
      </c>
      <c r="N220" s="2" t="s">
        <v>38</v>
      </c>
    </row>
    <row r="221">
      <c r="A221" s="2" t="str">
        <f>IFERROR(__xludf.DUMMYFUNCTION("""COMPUTED_VALUE"""),"PR026")</f>
        <v>PR026</v>
      </c>
      <c r="B221" s="2" t="str">
        <f>IFERROR(__xludf.DUMMYFUNCTION("""COMPUTED_VALUE"""),"VD032")</f>
        <v>VD032</v>
      </c>
      <c r="C221" s="2">
        <f>IFERROR(__xludf.DUMMYFUNCTION("""COMPUTED_VALUE"""),6.0)</f>
        <v>6</v>
      </c>
      <c r="D221" s="6">
        <f>IFERROR(__xludf.DUMMYFUNCTION("""COMPUTED_VALUE"""),2393.32)</f>
        <v>2393.32</v>
      </c>
      <c r="E221" s="6">
        <f>IFERROR(__xludf.DUMMYFUNCTION("GOOGLEFINANCE(""Currency:BRLMXN"")*D221"),8131.304700000001)</f>
        <v>8131.3047</v>
      </c>
      <c r="F221" s="6">
        <f>IFERROR(__xludf.DUMMYFUNCTION("GOOGLEFINANCE(""Currency:BRLPEN"")*D221"),1569.060592)</f>
        <v>1569.060592</v>
      </c>
      <c r="G221" s="2" t="str">
        <f t="array" ref="G221">_xlfn.XLOOKUP(B221,Vendedores!$A$2:$A$41,Vendedores!$B$2:$B$41,"No hay datos")</f>
        <v>Eduardo Almonte</v>
      </c>
      <c r="H221" s="2" t="str">
        <f t="array" ref="H221">_xlfn.XLOOKUP(B221,Vendedores!$A$2:$A$41,Vendedores!$C$2:$C$41,"No hay datos")</f>
        <v>Tierra Colorada</v>
      </c>
      <c r="I221" s="2" t="str">
        <f t="array" ref="I221">_xlfn.XLOOKUP(B221,Vendedores!$A$2:$A$41,Vendedores!$D$2:$D$41,"No hay datos")</f>
        <v>Región Central 2</v>
      </c>
      <c r="J221" s="2" t="str">
        <f t="array" ref="J221:N221">_xlfn.XLOOKUP(A221,Productos!$A$2:$A$61,Productos!$B$2:$F$61)</f>
        <v>Gafas cuadradas</v>
      </c>
      <c r="K221" s="2" t="s">
        <v>29</v>
      </c>
      <c r="L221" s="2" t="s">
        <v>30</v>
      </c>
      <c r="M221" s="2" t="s">
        <v>90</v>
      </c>
      <c r="N221" s="2" t="s">
        <v>91</v>
      </c>
    </row>
    <row r="222">
      <c r="A222" s="2" t="str">
        <f>IFERROR(__xludf.DUMMYFUNCTION("""COMPUTED_VALUE"""),"PR058")</f>
        <v>PR058</v>
      </c>
      <c r="B222" s="2" t="str">
        <f>IFERROR(__xludf.DUMMYFUNCTION("""COMPUTED_VALUE"""),"VD027")</f>
        <v>VD027</v>
      </c>
      <c r="C222" s="2">
        <f>IFERROR(__xludf.DUMMYFUNCTION("""COMPUTED_VALUE"""),2.0)</f>
        <v>2</v>
      </c>
      <c r="D222" s="6">
        <f>IFERROR(__xludf.DUMMYFUNCTION("""COMPUTED_VALUE"""),417.6)</f>
        <v>417.6</v>
      </c>
      <c r="E222" s="6">
        <f>IFERROR(__xludf.DUMMYFUNCTION("GOOGLEFINANCE(""Currency:BRLMXN"")*D222"),1418.796)</f>
        <v>1418.796</v>
      </c>
      <c r="F222" s="6">
        <f>IFERROR(__xludf.DUMMYFUNCTION("GOOGLEFINANCE(""Currency:BRLPEN"")*D222"),273.77855999999997)</f>
        <v>273.77856</v>
      </c>
      <c r="G222" s="2" t="str">
        <f t="array" ref="G222">_xlfn.XLOOKUP(B222,Vendedores!$A$2:$A$41,Vendedores!$B$2:$B$41,"No hay datos")</f>
        <v>Patricia Cortés</v>
      </c>
      <c r="H222" s="2" t="str">
        <f t="array" ref="H222">_xlfn.XLOOKUP(B222,Vendedores!$A$2:$A$41,Vendedores!$C$2:$C$41,"No hay datos")</f>
        <v>Costa Azul</v>
      </c>
      <c r="I222" s="2" t="str">
        <f t="array" ref="I222">_xlfn.XLOOKUP(B222,Vendedores!$A$2:$A$41,Vendedores!$D$2:$D$41,"No hay datos")</f>
        <v>Región Norte</v>
      </c>
      <c r="J222" s="2" t="str">
        <f t="array" ref="J222:N222">_xlfn.XLOOKUP(A222,Productos!$A$2:$A$61,Productos!$B$2:$F$61)</f>
        <v>Pantalón de sastre</v>
      </c>
      <c r="K222" s="2" t="s">
        <v>9</v>
      </c>
      <c r="L222" s="2" t="s">
        <v>10</v>
      </c>
      <c r="M222" s="2" t="s">
        <v>13</v>
      </c>
      <c r="N222" s="2" t="s">
        <v>14</v>
      </c>
    </row>
    <row r="223">
      <c r="A223" s="2" t="str">
        <f>IFERROR(__xludf.DUMMYFUNCTION("""COMPUTED_VALUE"""),"PR013")</f>
        <v>PR013</v>
      </c>
      <c r="B223" s="2" t="str">
        <f>IFERROR(__xludf.DUMMYFUNCTION("""COMPUTED_VALUE"""),"VD011")</f>
        <v>VD011</v>
      </c>
      <c r="C223" s="2">
        <f>IFERROR(__xludf.DUMMYFUNCTION("""COMPUTED_VALUE"""),15.0)</f>
        <v>15</v>
      </c>
      <c r="D223" s="6">
        <f>IFERROR(__xludf.DUMMYFUNCTION("""COMPUTED_VALUE"""),712.22)</f>
        <v>712.22</v>
      </c>
      <c r="E223" s="6">
        <f>IFERROR(__xludf.DUMMYFUNCTION("GOOGLEFINANCE(""Currency:BRLMXN"")*D223"),2419.7674500000003)</f>
        <v>2419.76745</v>
      </c>
      <c r="F223" s="6">
        <f>IFERROR(__xludf.DUMMYFUNCTION("GOOGLEFINANCE(""Currency:BRLPEN"")*D223"),466.931432)</f>
        <v>466.931432</v>
      </c>
      <c r="G223" s="2" t="str">
        <f t="array" ref="G223">_xlfn.XLOOKUP(B223,Vendedores!$A$2:$A$41,Vendedores!$B$2:$B$41,"No hay datos")</f>
        <v>Juan Santos</v>
      </c>
      <c r="H223" s="2" t="str">
        <f t="array" ref="H223">_xlfn.XLOOKUP(B223,Vendedores!$A$2:$A$41,Vendedores!$C$2:$C$41,"No hay datos")</f>
        <v>Vista Hermosa</v>
      </c>
      <c r="I223" s="2" t="str">
        <f t="array" ref="I223">_xlfn.XLOOKUP(B223,Vendedores!$A$2:$A$41,Vendedores!$D$2:$D$41,"No hay datos")</f>
        <v>Región Central</v>
      </c>
      <c r="J223" s="2" t="str">
        <f t="array" ref="J223:N223">_xlfn.XLOOKUP(A223,Productos!$A$2:$A$61,Productos!$B$2:$F$61)</f>
        <v>Playera estampada</v>
      </c>
      <c r="K223" s="2" t="s">
        <v>9</v>
      </c>
      <c r="L223" s="2" t="s">
        <v>10</v>
      </c>
      <c r="M223" s="2" t="s">
        <v>66</v>
      </c>
      <c r="N223" s="2" t="s">
        <v>38</v>
      </c>
    </row>
    <row r="224">
      <c r="A224" s="2" t="str">
        <f>IFERROR(__xludf.DUMMYFUNCTION("""COMPUTED_VALUE"""),"PR058")</f>
        <v>PR058</v>
      </c>
      <c r="B224" s="2" t="str">
        <f>IFERROR(__xludf.DUMMYFUNCTION("""COMPUTED_VALUE"""),"VD017")</f>
        <v>VD017</v>
      </c>
      <c r="C224" s="2">
        <f>IFERROR(__xludf.DUMMYFUNCTION("""COMPUTED_VALUE"""),7.0)</f>
        <v>7</v>
      </c>
      <c r="D224" s="6">
        <f>IFERROR(__xludf.DUMMYFUNCTION("""COMPUTED_VALUE"""),1486.8)</f>
        <v>1486.8</v>
      </c>
      <c r="E224" s="6">
        <f>IFERROR(__xludf.DUMMYFUNCTION("GOOGLEFINANCE(""Currency:BRLMXN"")*D224"),5051.403)</f>
        <v>5051.403</v>
      </c>
      <c r="F224" s="6">
        <f>IFERROR(__xludf.DUMMYFUNCTION("GOOGLEFINANCE(""Currency:BRLPEN"")*D224"),974.7460799999999)</f>
        <v>974.74608</v>
      </c>
      <c r="G224" s="2" t="str">
        <f t="array" ref="G224">_xlfn.XLOOKUP(B224,Vendedores!$A$2:$A$41,Vendedores!$B$2:$B$41,"No hay datos")</f>
        <v>Bruno Peralta</v>
      </c>
      <c r="H224" s="2" t="str">
        <f t="array" ref="H224">_xlfn.XLOOKUP(B224,Vendedores!$A$2:$A$41,Vendedores!$C$2:$C$41,"No hay datos")</f>
        <v>Costa Azul</v>
      </c>
      <c r="I224" s="2" t="str">
        <f t="array" ref="I224">_xlfn.XLOOKUP(B224,Vendedores!$A$2:$A$41,Vendedores!$D$2:$D$41,"No hay datos")</f>
        <v>Región Norte</v>
      </c>
      <c r="J224" s="2" t="str">
        <f t="array" ref="J224:N224">_xlfn.XLOOKUP(A224,Productos!$A$2:$A$61,Productos!$B$2:$F$61)</f>
        <v>Pantalón de sastre</v>
      </c>
      <c r="K224" s="2" t="s">
        <v>9</v>
      </c>
      <c r="L224" s="2" t="s">
        <v>10</v>
      </c>
      <c r="M224" s="2" t="s">
        <v>13</v>
      </c>
      <c r="N224" s="2" t="s">
        <v>14</v>
      </c>
    </row>
    <row r="225">
      <c r="A225" s="2" t="str">
        <f>IFERROR(__xludf.DUMMYFUNCTION("""COMPUTED_VALUE"""),"PR030")</f>
        <v>PR030</v>
      </c>
      <c r="B225" s="2" t="str">
        <f>IFERROR(__xludf.DUMMYFUNCTION("""COMPUTED_VALUE"""),"VD036")</f>
        <v>VD036</v>
      </c>
      <c r="C225" s="2">
        <f>IFERROR(__xludf.DUMMYFUNCTION("""COMPUTED_VALUE"""),9.0)</f>
        <v>9</v>
      </c>
      <c r="D225" s="6">
        <f>IFERROR(__xludf.DUMMYFUNCTION("""COMPUTED_VALUE"""),2689.97)</f>
        <v>2689.97</v>
      </c>
      <c r="E225" s="6">
        <f>IFERROR(__xludf.DUMMYFUNCTION("GOOGLEFINANCE(""Currency:BRLMXN"")*D225"),9139.173074999999)</f>
        <v>9139.173075</v>
      </c>
      <c r="F225" s="6">
        <f>IFERROR(__xludf.DUMMYFUNCTION("GOOGLEFINANCE(""Currency:BRLPEN"")*D225"),1763.5443319999997)</f>
        <v>1763.544332</v>
      </c>
      <c r="G225" s="2" t="str">
        <f t="array" ref="G225">_xlfn.XLOOKUP(B225,Vendedores!$A$2:$A$41,Vendedores!$B$2:$B$41,"No hay datos")</f>
        <v>Ricardo Sosa</v>
      </c>
      <c r="H225" s="2" t="str">
        <f t="array" ref="H225">_xlfn.XLOOKUP(B225,Vendedores!$A$2:$A$41,Vendedores!$C$2:$C$41,"No hay datos")</f>
        <v>Puerto Nuevo</v>
      </c>
      <c r="I225" s="2" t="str">
        <f t="array" ref="I225">_xlfn.XLOOKUP(B225,Vendedores!$A$2:$A$41,Vendedores!$D$2:$D$41,"No hay datos")</f>
        <v>Región Central 2</v>
      </c>
      <c r="J225" s="2" t="str">
        <f t="array" ref="J225:N225">_xlfn.XLOOKUP(A225,Productos!$A$2:$A$61,Productos!$B$2:$F$61)</f>
        <v>Tenis Atitas</v>
      </c>
      <c r="K225" s="2">
        <v>38.0</v>
      </c>
      <c r="L225" s="2" t="s">
        <v>33</v>
      </c>
      <c r="M225" s="2" t="s">
        <v>63</v>
      </c>
      <c r="N225" s="2" t="s">
        <v>64</v>
      </c>
    </row>
    <row r="226">
      <c r="A226" s="2" t="str">
        <f>IFERROR(__xludf.DUMMYFUNCTION("""COMPUTED_VALUE"""),"PR015")</f>
        <v>PR015</v>
      </c>
      <c r="B226" s="2" t="str">
        <f>IFERROR(__xludf.DUMMYFUNCTION("""COMPUTED_VALUE"""),"VD049")</f>
        <v>VD049</v>
      </c>
      <c r="C226" s="2">
        <f>IFERROR(__xludf.DUMMYFUNCTION("""COMPUTED_VALUE"""),30.0)</f>
        <v>30</v>
      </c>
      <c r="D226" s="6">
        <f>IFERROR(__xludf.DUMMYFUNCTION("""COMPUTED_VALUE"""),1415.25)</f>
        <v>1415.25</v>
      </c>
      <c r="E226" s="6">
        <f>IFERROR(__xludf.DUMMYFUNCTION("GOOGLEFINANCE(""Currency:BRLMXN"")*D226"),4808.311875)</f>
        <v>4808.311875</v>
      </c>
      <c r="F226" s="6">
        <f>IFERROR(__xludf.DUMMYFUNCTION("GOOGLEFINANCE(""Currency:BRLPEN"")*D226"),927.8379)</f>
        <v>927.8379</v>
      </c>
      <c r="G226" s="2" t="str">
        <f t="array" ref="G226">_xlfn.XLOOKUP(B226,Vendedores!$A$2:$A$41,Vendedores!$B$2:$B$41,"No hay datos")</f>
        <v>Fernando Navarro</v>
      </c>
      <c r="H226" s="2" t="str">
        <f t="array" ref="H226">_xlfn.XLOOKUP(B226,Vendedores!$A$2:$A$41,Vendedores!$C$2:$C$41,"No hay datos")</f>
        <v>Colinas Verdes</v>
      </c>
      <c r="I226" s="2" t="str">
        <f t="array" ref="I226">_xlfn.XLOOKUP(B226,Vendedores!$A$2:$A$41,Vendedores!$D$2:$D$41,"No hay datos")</f>
        <v>Región Central 2</v>
      </c>
      <c r="J226" s="2" t="str">
        <f t="array" ref="J226:N226">_xlfn.XLOOKUP(A226,Productos!$A$2:$A$61,Productos!$B$2:$F$61)</f>
        <v>Playera estampada</v>
      </c>
      <c r="K226" s="2" t="s">
        <v>22</v>
      </c>
      <c r="L226" s="2" t="s">
        <v>10</v>
      </c>
      <c r="M226" s="2" t="s">
        <v>101</v>
      </c>
      <c r="N226" s="2" t="s">
        <v>102</v>
      </c>
    </row>
    <row r="227">
      <c r="A227" s="2" t="str">
        <f>IFERROR(__xludf.DUMMYFUNCTION("""COMPUTED_VALUE"""),"PR001")</f>
        <v>PR001</v>
      </c>
      <c r="B227" s="2" t="str">
        <f>IFERROR(__xludf.DUMMYFUNCTION("""COMPUTED_VALUE"""),"VD013")</f>
        <v>VD013</v>
      </c>
      <c r="C227" s="2">
        <f>IFERROR(__xludf.DUMMYFUNCTION("""COMPUTED_VALUE"""),16.0)</f>
        <v>16</v>
      </c>
      <c r="D227" s="6">
        <f>IFERROR(__xludf.DUMMYFUNCTION("""COMPUTED_VALUE"""),1254.74)</f>
        <v>1254.74</v>
      </c>
      <c r="E227" s="6">
        <f>IFERROR(__xludf.DUMMYFUNCTION("GOOGLEFINANCE(""Currency:BRLMXN"")*D227"),4262.97915)</f>
        <v>4262.97915</v>
      </c>
      <c r="F227" s="6">
        <f>IFERROR(__xludf.DUMMYFUNCTION("GOOGLEFINANCE(""Currency:BRLPEN"")*D227"),822.607544)</f>
        <v>822.607544</v>
      </c>
      <c r="G227" s="2" t="str">
        <f t="array" ref="G227">_xlfn.XLOOKUP(B227,Vendedores!$A$2:$A$41,Vendedores!$B$2:$B$41,"No hay datos")</f>
        <v>Pedro Almonte</v>
      </c>
      <c r="H227" s="2" t="str">
        <f t="array" ref="H227">_xlfn.XLOOKUP(B227,Vendedores!$A$2:$A$41,Vendedores!$C$2:$C$41,"No hay datos")</f>
        <v>Santa Rosa del Valle</v>
      </c>
      <c r="I227" s="2" t="str">
        <f t="array" ref="I227">_xlfn.XLOOKUP(B227,Vendedores!$A$2:$A$41,Vendedores!$D$2:$D$41,"No hay datos")</f>
        <v>Región Norte</v>
      </c>
      <c r="J227" s="2" t="str">
        <f t="array" ref="J227:N227">_xlfn.XLOOKUP(A227,Productos!$A$2:$A$61,Productos!$B$2:$F$61)</f>
        <v>Bermuda</v>
      </c>
      <c r="K227" s="2" t="s">
        <v>9</v>
      </c>
      <c r="L227" s="2" t="s">
        <v>10</v>
      </c>
      <c r="M227" s="2" t="s">
        <v>11</v>
      </c>
      <c r="N227" s="2" t="s">
        <v>12</v>
      </c>
    </row>
    <row r="228">
      <c r="A228" s="2" t="str">
        <f>IFERROR(__xludf.DUMMYFUNCTION("""COMPUTED_VALUE"""),"PR053")</f>
        <v>PR053</v>
      </c>
      <c r="B228" s="2" t="str">
        <f>IFERROR(__xludf.DUMMYFUNCTION("""COMPUTED_VALUE"""),"VD012")</f>
        <v>VD012</v>
      </c>
      <c r="C228" s="2">
        <f>IFERROR(__xludf.DUMMYFUNCTION("""COMPUTED_VALUE"""),3.0)</f>
        <v>3</v>
      </c>
      <c r="D228" s="6">
        <f>IFERROR(__xludf.DUMMYFUNCTION("""COMPUTED_VALUE"""),166.17)</f>
        <v>166.17</v>
      </c>
      <c r="E228" s="6">
        <f>IFERROR(__xludf.DUMMYFUNCTION("GOOGLEFINANCE(""Currency:BRLMXN"")*D228"),564.5625749999999)</f>
        <v>564.562575</v>
      </c>
      <c r="F228" s="6">
        <f>IFERROR(__xludf.DUMMYFUNCTION("GOOGLEFINANCE(""Currency:BRLPEN"")*D228"),108.94105199999998)</f>
        <v>108.941052</v>
      </c>
      <c r="G228" s="2" t="str">
        <f t="array" ref="G228">_xlfn.XLOOKUP(B228,Vendedores!$A$2:$A$41,Vendedores!$B$2:$B$41,"No hay datos")</f>
        <v>Ana Olmedo</v>
      </c>
      <c r="H228" s="2" t="str">
        <f t="array" ref="H228">_xlfn.XLOOKUP(B228,Vendedores!$A$2:$A$41,Vendedores!$C$2:$C$41,"No hay datos")</f>
        <v>Río Claro</v>
      </c>
      <c r="I228" s="2" t="str">
        <f t="array" ref="I228">_xlfn.XLOOKUP(B228,Vendedores!$A$2:$A$41,Vendedores!$D$2:$D$41,"No hay datos")</f>
        <v>Región Central</v>
      </c>
      <c r="J228" s="2" t="str">
        <f t="array" ref="J228:N228">_xlfn.XLOOKUP(A228,Productos!$A$2:$A$61,Productos!$B$2:$F$61)</f>
        <v>Falda plisada</v>
      </c>
      <c r="K228" s="2" t="s">
        <v>17</v>
      </c>
      <c r="L228" s="2" t="s">
        <v>10</v>
      </c>
      <c r="M228" s="2" t="s">
        <v>41</v>
      </c>
      <c r="N228" s="2" t="s">
        <v>32</v>
      </c>
    </row>
    <row r="229">
      <c r="A229" s="2" t="str">
        <f>IFERROR(__xludf.DUMMYFUNCTION("""COMPUTED_VALUE"""),"PR041")</f>
        <v>PR041</v>
      </c>
      <c r="B229" s="2" t="str">
        <f>IFERROR(__xludf.DUMMYFUNCTION("""COMPUTED_VALUE"""),"VD037")</f>
        <v>VD037</v>
      </c>
      <c r="C229" s="2">
        <f>IFERROR(__xludf.DUMMYFUNCTION("""COMPUTED_VALUE"""),2.0)</f>
        <v>2</v>
      </c>
      <c r="D229" s="6">
        <f>IFERROR(__xludf.DUMMYFUNCTION("""COMPUTED_VALUE"""),122.98)</f>
        <v>122.98</v>
      </c>
      <c r="E229" s="6">
        <f>IFERROR(__xludf.DUMMYFUNCTION("GOOGLEFINANCE(""Currency:BRLMXN"")*D229"),417.82455)</f>
        <v>417.82455</v>
      </c>
      <c r="F229" s="6">
        <f>IFERROR(__xludf.DUMMYFUNCTION("GOOGLEFINANCE(""Currency:BRLPEN"")*D229"),80.625688)</f>
        <v>80.625688</v>
      </c>
      <c r="G229" s="2" t="str">
        <f t="array" ref="G229">_xlfn.XLOOKUP(B229,Vendedores!$A$2:$A$41,Vendedores!$B$2:$B$41,"No hay datos")</f>
        <v>Amanda Silva</v>
      </c>
      <c r="H229" s="2" t="str">
        <f t="array" ref="H229">_xlfn.XLOOKUP(B229,Vendedores!$A$2:$A$41,Vendedores!$C$2:$C$41,"No hay datos")</f>
        <v>Villa Esperanza</v>
      </c>
      <c r="I229" s="2" t="str">
        <f t="array" ref="I229">_xlfn.XLOOKUP(B229,Vendedores!$A$2:$A$41,Vendedores!$D$2:$D$41,"No hay datos")</f>
        <v>Región Sur 2</v>
      </c>
      <c r="J229" s="2" t="str">
        <f t="array" ref="J229:N229">_xlfn.XLOOKUP(A229,Productos!$A$2:$A$61,Productos!$B$2:$F$61)</f>
        <v>Playera confort</v>
      </c>
      <c r="K229" s="2" t="s">
        <v>17</v>
      </c>
      <c r="L229" s="2" t="s">
        <v>10</v>
      </c>
      <c r="M229" s="2" t="s">
        <v>95</v>
      </c>
      <c r="N229" s="2" t="s">
        <v>26</v>
      </c>
    </row>
    <row r="230">
      <c r="A230" s="2" t="str">
        <f>IFERROR(__xludf.DUMMYFUNCTION("""COMPUTED_VALUE"""),"PR002")</f>
        <v>PR002</v>
      </c>
      <c r="B230" s="2" t="str">
        <f>IFERROR(__xludf.DUMMYFUNCTION("""COMPUTED_VALUE"""),"VD047")</f>
        <v>VD047</v>
      </c>
      <c r="C230" s="2">
        <f>IFERROR(__xludf.DUMMYFUNCTION("""COMPUTED_VALUE"""),2.0)</f>
        <v>2</v>
      </c>
      <c r="D230" s="6">
        <f>IFERROR(__xludf.DUMMYFUNCTION("""COMPUTED_VALUE"""),153.78)</f>
        <v>153.78</v>
      </c>
      <c r="E230" s="6">
        <f>IFERROR(__xludf.DUMMYFUNCTION("GOOGLEFINANCE(""Currency:BRLMXN"")*D230"),522.46755)</f>
        <v>522.46755</v>
      </c>
      <c r="F230" s="6">
        <f>IFERROR(__xludf.DUMMYFUNCTION("GOOGLEFINANCE(""Currency:BRLPEN"")*D230"),100.818168)</f>
        <v>100.818168</v>
      </c>
      <c r="G230" s="2" t="str">
        <f t="array" ref="G230">_xlfn.XLOOKUP(B230,Vendedores!$A$2:$A$41,Vendedores!$B$2:$B$41,"No hay datos")</f>
        <v>Andrés López</v>
      </c>
      <c r="H230" s="2" t="str">
        <f t="array" ref="H230">_xlfn.XLOOKUP(B230,Vendedores!$A$2:$A$41,Vendedores!$C$2:$C$41,"No hay datos")</f>
        <v>Villa Progreso</v>
      </c>
      <c r="I230" s="2" t="str">
        <f t="array" ref="I230">_xlfn.XLOOKUP(B230,Vendedores!$A$2:$A$41,Vendedores!$D$2:$D$41,"No hay datos")</f>
        <v>Región Central 2</v>
      </c>
      <c r="J230" s="2" t="str">
        <f t="array" ref="J230:N230">_xlfn.XLOOKUP(A230,Productos!$A$2:$A$61,Productos!$B$2:$F$61)</f>
        <v>Bermuda</v>
      </c>
      <c r="K230" s="2" t="s">
        <v>17</v>
      </c>
      <c r="L230" s="2" t="s">
        <v>10</v>
      </c>
      <c r="M230" s="2" t="s">
        <v>49</v>
      </c>
      <c r="N230" s="2" t="s">
        <v>50</v>
      </c>
    </row>
    <row r="231">
      <c r="A231" s="2" t="str">
        <f>IFERROR(__xludf.DUMMYFUNCTION("""COMPUTED_VALUE"""),"PR021")</f>
        <v>PR021</v>
      </c>
      <c r="B231" s="2" t="str">
        <f>IFERROR(__xludf.DUMMYFUNCTION("""COMPUTED_VALUE"""),"VD039")</f>
        <v>VD039</v>
      </c>
      <c r="C231" s="2">
        <f>IFERROR(__xludf.DUMMYFUNCTION("""COMPUTED_VALUE"""),27.0)</f>
        <v>27</v>
      </c>
      <c r="D231" s="6">
        <f>IFERROR(__xludf.DUMMYFUNCTION("""COMPUTED_VALUE"""),9241.48)</f>
        <v>9241.48</v>
      </c>
      <c r="E231" s="6">
        <f>IFERROR(__xludf.DUMMYFUNCTION("GOOGLEFINANCE(""Currency:BRLMXN"")*D231"),31397.9283)</f>
        <v>31397.9283</v>
      </c>
      <c r="F231" s="6">
        <f>IFERROR(__xludf.DUMMYFUNCTION("GOOGLEFINANCE(""Currency:BRLPEN"")*D231"),6058.714287999999)</f>
        <v>6058.714288</v>
      </c>
      <c r="G231" s="2" t="str">
        <f t="array" ref="G231">_xlfn.XLOOKUP(B231,Vendedores!$A$2:$A$41,Vendedores!$B$2:$B$41,"No hay datos")</f>
        <v>Daniela Rodríguez</v>
      </c>
      <c r="H231" s="2" t="str">
        <f t="array" ref="H231">_xlfn.XLOOKUP(B231,Vendedores!$A$2:$A$41,Vendedores!$C$2:$C$41,"No hay datos")</f>
        <v>Bahía del Sol</v>
      </c>
      <c r="I231" s="2" t="str">
        <f t="array" ref="I231">_xlfn.XLOOKUP(B231,Vendedores!$A$2:$A$41,Vendedores!$D$2:$D$41,"No hay datos")</f>
        <v>Región Central 2</v>
      </c>
      <c r="J231" s="2" t="str">
        <f t="array" ref="J231:N231">_xlfn.XLOOKUP(A231,Productos!$A$2:$A$61,Productos!$B$2:$F$61)</f>
        <v>Chaqueta de cuero</v>
      </c>
      <c r="K231" s="2" t="s">
        <v>17</v>
      </c>
      <c r="L231" s="2" t="s">
        <v>10</v>
      </c>
      <c r="M231" s="2" t="s">
        <v>80</v>
      </c>
      <c r="N231" s="2" t="s">
        <v>81</v>
      </c>
    </row>
    <row r="232">
      <c r="A232" s="2" t="str">
        <f>IFERROR(__xludf.DUMMYFUNCTION("""COMPUTED_VALUE"""),"PR035")</f>
        <v>PR035</v>
      </c>
      <c r="B232" s="2" t="str">
        <f>IFERROR(__xludf.DUMMYFUNCTION("""COMPUTED_VALUE"""),"VD026")</f>
        <v>VD026</v>
      </c>
      <c r="C232" s="2">
        <f>IFERROR(__xludf.DUMMYFUNCTION("""COMPUTED_VALUE"""),6.0)</f>
        <v>6</v>
      </c>
      <c r="D232" s="6">
        <f>IFERROR(__xludf.DUMMYFUNCTION("""COMPUTED_VALUE"""),608.72)</f>
        <v>608.72</v>
      </c>
      <c r="E232" s="6">
        <f>IFERROR(__xludf.DUMMYFUNCTION("GOOGLEFINANCE(""Currency:BRLMXN"")*D232"),2068.1262)</f>
        <v>2068.1262</v>
      </c>
      <c r="F232" s="6">
        <f>IFERROR(__xludf.DUMMYFUNCTION("GOOGLEFINANCE(""Currency:BRLPEN"")*D232"),399.07683199999997)</f>
        <v>399.076832</v>
      </c>
      <c r="G232" s="2" t="str">
        <f t="array" ref="G232">_xlfn.XLOOKUP(B232,Vendedores!$A$2:$A$41,Vendedores!$B$2:$B$41,"No hay datos")</f>
        <v>Daniel Fernández</v>
      </c>
      <c r="H232" s="2" t="str">
        <f t="array" ref="H232">_xlfn.XLOOKUP(B232,Vendedores!$A$2:$A$41,Vendedores!$C$2:$C$41,"No hay datos")</f>
        <v>Puerto Esperanza</v>
      </c>
      <c r="I232" s="2" t="str">
        <f t="array" ref="I232">_xlfn.XLOOKUP(B232,Vendedores!$A$2:$A$41,Vendedores!$D$2:$D$41,"No hay datos")</f>
        <v>Región Sur</v>
      </c>
      <c r="J232" s="2" t="str">
        <f t="array" ref="J232:N232">_xlfn.XLOOKUP(A232,Productos!$A$2:$A$61,Productos!$B$2:$F$61)</f>
        <v>Vestido corto</v>
      </c>
      <c r="K232" s="2" t="s">
        <v>17</v>
      </c>
      <c r="L232" s="2" t="s">
        <v>10</v>
      </c>
      <c r="M232" s="2" t="s">
        <v>18</v>
      </c>
      <c r="N232" s="2" t="s">
        <v>19</v>
      </c>
    </row>
    <row r="233">
      <c r="A233" s="2" t="str">
        <f>IFERROR(__xludf.DUMMYFUNCTION("""COMPUTED_VALUE"""),"PR008")</f>
        <v>PR008</v>
      </c>
      <c r="B233" s="2" t="str">
        <f>IFERROR(__xludf.DUMMYFUNCTION("""COMPUTED_VALUE"""),"VD036")</f>
        <v>VD036</v>
      </c>
      <c r="C233" s="2">
        <f>IFERROR(__xludf.DUMMYFUNCTION("""COMPUTED_VALUE"""),6.0)</f>
        <v>6</v>
      </c>
      <c r="D233" s="6">
        <f>IFERROR(__xludf.DUMMYFUNCTION("""COMPUTED_VALUE"""),593.34)</f>
        <v>593.34</v>
      </c>
      <c r="E233" s="6">
        <f>IFERROR(__xludf.DUMMYFUNCTION("GOOGLEFINANCE(""Currency:BRLMXN"")*D233"),2015.87265)</f>
        <v>2015.87265</v>
      </c>
      <c r="F233" s="6">
        <f>IFERROR(__xludf.DUMMYFUNCTION("GOOGLEFINANCE(""Currency:BRLPEN"")*D233"),388.993704)</f>
        <v>388.993704</v>
      </c>
      <c r="G233" s="2" t="str">
        <f t="array" ref="G233">_xlfn.XLOOKUP(B233,Vendedores!$A$2:$A$41,Vendedores!$B$2:$B$41,"No hay datos")</f>
        <v>Ricardo Sosa</v>
      </c>
      <c r="H233" s="2" t="str">
        <f t="array" ref="H233">_xlfn.XLOOKUP(B233,Vendedores!$A$2:$A$41,Vendedores!$C$2:$C$41,"No hay datos")</f>
        <v>Puerto Nuevo</v>
      </c>
      <c r="I233" s="2" t="str">
        <f t="array" ref="I233">_xlfn.XLOOKUP(B233,Vendedores!$A$2:$A$41,Vendedores!$D$2:$D$41,"No hay datos")</f>
        <v>Región Central 2</v>
      </c>
      <c r="J233" s="2" t="str">
        <f t="array" ref="J233:N233">_xlfn.XLOOKUP(A233,Productos!$A$2:$A$61,Productos!$B$2:$F$61)</f>
        <v>Pantalón de mezclilla</v>
      </c>
      <c r="K233" s="2" t="s">
        <v>17</v>
      </c>
      <c r="L233" s="2" t="s">
        <v>10</v>
      </c>
      <c r="M233" s="2" t="s">
        <v>65</v>
      </c>
      <c r="N233" s="2" t="s">
        <v>35</v>
      </c>
    </row>
    <row r="234">
      <c r="A234" s="2" t="str">
        <f>IFERROR(__xludf.DUMMYFUNCTION("""COMPUTED_VALUE"""),"PR045")</f>
        <v>PR045</v>
      </c>
      <c r="B234" s="2" t="str">
        <f>IFERROR(__xludf.DUMMYFUNCTION("""COMPUTED_VALUE"""),"VD045")</f>
        <v>VD045</v>
      </c>
      <c r="C234" s="2">
        <f>IFERROR(__xludf.DUMMYFUNCTION("""COMPUTED_VALUE"""),6.0)</f>
        <v>6</v>
      </c>
      <c r="D234" s="6">
        <f>IFERROR(__xludf.DUMMYFUNCTION("""COMPUTED_VALUE"""),513.3)</f>
        <v>513.3</v>
      </c>
      <c r="E234" s="6">
        <f>IFERROR(__xludf.DUMMYFUNCTION("GOOGLEFINANCE(""Currency:BRLMXN"")*D234"),1743.9367499999998)</f>
        <v>1743.93675</v>
      </c>
      <c r="F234" s="6">
        <f>IFERROR(__xludf.DUMMYFUNCTION("GOOGLEFINANCE(""Currency:BRLPEN"")*D234"),336.51947999999993)</f>
        <v>336.51948</v>
      </c>
      <c r="G234" s="2" t="str">
        <f t="array" ref="G234">_xlfn.XLOOKUP(B234,Vendedores!$A$2:$A$41,Vendedores!$B$2:$B$41,"No hay datos")</f>
        <v>Rafael Morales</v>
      </c>
      <c r="H234" s="2" t="str">
        <f t="array" ref="H234">_xlfn.XLOOKUP(B234,Vendedores!$A$2:$A$41,Vendedores!$C$2:$C$41,"No hay datos")</f>
        <v>Valle Dorado</v>
      </c>
      <c r="I234" s="2" t="str">
        <f t="array" ref="I234">_xlfn.XLOOKUP(B234,Vendedores!$A$2:$A$41,Vendedores!$D$2:$D$41,"No hay datos")</f>
        <v>Región Central 2</v>
      </c>
      <c r="J234" s="2" t="str">
        <f t="array" ref="J234:N234">_xlfn.XLOOKUP(A234,Productos!$A$2:$A$61,Productos!$B$2:$F$61)</f>
        <v>Vestido floral</v>
      </c>
      <c r="K234" s="2" t="s">
        <v>22</v>
      </c>
      <c r="L234" s="2" t="s">
        <v>10</v>
      </c>
      <c r="M234" s="2" t="s">
        <v>39</v>
      </c>
      <c r="N234" s="2" t="s">
        <v>40</v>
      </c>
    </row>
    <row r="235">
      <c r="A235" s="2" t="str">
        <f>IFERROR(__xludf.DUMMYFUNCTION("""COMPUTED_VALUE"""),"PR037")</f>
        <v>PR037</v>
      </c>
      <c r="B235" s="2" t="str">
        <f>IFERROR(__xludf.DUMMYFUNCTION("""COMPUTED_VALUE"""),"VD021")</f>
        <v>VD021</v>
      </c>
      <c r="C235" s="2">
        <f>IFERROR(__xludf.DUMMYFUNCTION("""COMPUTED_VALUE"""),9.0)</f>
        <v>9</v>
      </c>
      <c r="D235" s="6">
        <f>IFERROR(__xludf.DUMMYFUNCTION("""COMPUTED_VALUE"""),1398.6)</f>
        <v>1398.6</v>
      </c>
      <c r="E235" s="6">
        <f>IFERROR(__xludf.DUMMYFUNCTION("GOOGLEFINANCE(""Currency:BRLMXN"")*D235"),4751.7435)</f>
        <v>4751.7435</v>
      </c>
      <c r="F235" s="6">
        <f>IFERROR(__xludf.DUMMYFUNCTION("GOOGLEFINANCE(""Currency:BRLPEN"")*D235"),916.9221599999998)</f>
        <v>916.92216</v>
      </c>
      <c r="G235" s="2" t="str">
        <f t="array" ref="G235">_xlfn.XLOOKUP(B235,Vendedores!$A$2:$A$41,Vendedores!$B$2:$B$41,"No hay datos")</f>
        <v>Fernanda Méndez</v>
      </c>
      <c r="H235" s="2" t="str">
        <f t="array" ref="H235">_xlfn.XLOOKUP(B235,Vendedores!$A$2:$A$41,Vendedores!$C$2:$C$41,"No hay datos")</f>
        <v>San Juan de la Sierra</v>
      </c>
      <c r="I235" s="2" t="str">
        <f t="array" ref="I235">_xlfn.XLOOKUP(B235,Vendedores!$A$2:$A$41,Vendedores!$D$2:$D$41,"No hay datos")</f>
        <v>Región Central</v>
      </c>
      <c r="J235" s="2" t="str">
        <f t="array" ref="J235:N235">_xlfn.XLOOKUP(A235,Productos!$A$2:$A$61,Productos!$B$2:$F$61)</f>
        <v>Vestido largo</v>
      </c>
      <c r="K235" s="2" t="s">
        <v>9</v>
      </c>
      <c r="L235" s="2" t="s">
        <v>10</v>
      </c>
      <c r="M235" s="2" t="s">
        <v>70</v>
      </c>
      <c r="N235" s="2" t="s">
        <v>71</v>
      </c>
    </row>
    <row r="236">
      <c r="A236" s="2" t="str">
        <f>IFERROR(__xludf.DUMMYFUNCTION("""COMPUTED_VALUE"""),"PR016")</f>
        <v>PR016</v>
      </c>
      <c r="B236" s="2" t="str">
        <f>IFERROR(__xludf.DUMMYFUNCTION("""COMPUTED_VALUE"""),"VD041")</f>
        <v>VD041</v>
      </c>
      <c r="C236" s="2">
        <f>IFERROR(__xludf.DUMMYFUNCTION("""COMPUTED_VALUE"""),2.0)</f>
        <v>2</v>
      </c>
      <c r="D236" s="6">
        <f>IFERROR(__xludf.DUMMYFUNCTION("""COMPUTED_VALUE"""),57.5)</f>
        <v>57.5</v>
      </c>
      <c r="E236" s="6">
        <f>IFERROR(__xludf.DUMMYFUNCTION("GOOGLEFINANCE(""Currency:BRLMXN"")*D236"),195.35625)</f>
        <v>195.35625</v>
      </c>
      <c r="F236" s="6">
        <f>IFERROR(__xludf.DUMMYFUNCTION("GOOGLEFINANCE(""Currency:BRLPEN"")*D236"),37.696999999999996)</f>
        <v>37.697</v>
      </c>
      <c r="G236" s="2" t="str">
        <f t="array" ref="G236">_xlfn.XLOOKUP(B236,Vendedores!$A$2:$A$41,Vendedores!$B$2:$B$41,"No hay datos")</f>
        <v>Alejandro Ramos</v>
      </c>
      <c r="H236" s="2" t="str">
        <f t="array" ref="H236">_xlfn.XLOOKUP(B236,Vendedores!$A$2:$A$41,Vendedores!$C$2:$C$41,"No hay datos")</f>
        <v>San Martín de las Rosas</v>
      </c>
      <c r="I236" s="2" t="str">
        <f t="array" ref="I236">_xlfn.XLOOKUP(B236,Vendedores!$A$2:$A$41,Vendedores!$D$2:$D$41,"No hay datos")</f>
        <v>Región Central 2</v>
      </c>
      <c r="J236" s="2" t="str">
        <f t="array" ref="J236:N236">_xlfn.XLOOKUP(A236,Productos!$A$2:$A$61,Productos!$B$2:$F$61)</f>
        <v>Playera lisa</v>
      </c>
      <c r="K236" s="2" t="s">
        <v>9</v>
      </c>
      <c r="L236" s="2" t="s">
        <v>10</v>
      </c>
      <c r="M236" s="2" t="s">
        <v>20</v>
      </c>
      <c r="N236" s="2" t="s">
        <v>21</v>
      </c>
    </row>
    <row r="237">
      <c r="A237" s="2" t="str">
        <f>IFERROR(__xludf.DUMMYFUNCTION("""COMPUTED_VALUE"""),"PR053")</f>
        <v>PR053</v>
      </c>
      <c r="B237" s="2" t="str">
        <f>IFERROR(__xludf.DUMMYFUNCTION("""COMPUTED_VALUE"""),"VD013")</f>
        <v>VD013</v>
      </c>
      <c r="C237" s="2">
        <f>IFERROR(__xludf.DUMMYFUNCTION("""COMPUTED_VALUE"""),21.0)</f>
        <v>21</v>
      </c>
      <c r="D237" s="6">
        <f>IFERROR(__xludf.DUMMYFUNCTION("""COMPUTED_VALUE"""),1247.0)</f>
        <v>1247</v>
      </c>
      <c r="E237" s="6">
        <f>IFERROR(__xludf.DUMMYFUNCTION("GOOGLEFINANCE(""Currency:BRLMXN"")*D237"),4236.6825)</f>
        <v>4236.6825</v>
      </c>
      <c r="F237" s="6">
        <f>IFERROR(__xludf.DUMMYFUNCTION("GOOGLEFINANCE(""Currency:BRLPEN"")*D237"),817.5332)</f>
        <v>817.5332</v>
      </c>
      <c r="G237" s="2" t="str">
        <f t="array" ref="G237">_xlfn.XLOOKUP(B237,Vendedores!$A$2:$A$41,Vendedores!$B$2:$B$41,"No hay datos")</f>
        <v>Pedro Almonte</v>
      </c>
      <c r="H237" s="2" t="str">
        <f t="array" ref="H237">_xlfn.XLOOKUP(B237,Vendedores!$A$2:$A$41,Vendedores!$C$2:$C$41,"No hay datos")</f>
        <v>Santa Rosa del Valle</v>
      </c>
      <c r="I237" s="2" t="str">
        <f t="array" ref="I237">_xlfn.XLOOKUP(B237,Vendedores!$A$2:$A$41,Vendedores!$D$2:$D$41,"No hay datos")</f>
        <v>Región Norte</v>
      </c>
      <c r="J237" s="2" t="str">
        <f t="array" ref="J237:N237">_xlfn.XLOOKUP(A237,Productos!$A$2:$A$61,Productos!$B$2:$F$61)</f>
        <v>Falda plisada</v>
      </c>
      <c r="K237" s="2" t="s">
        <v>17</v>
      </c>
      <c r="L237" s="2" t="s">
        <v>10</v>
      </c>
      <c r="M237" s="2" t="s">
        <v>41</v>
      </c>
      <c r="N237" s="2" t="s">
        <v>32</v>
      </c>
    </row>
    <row r="238">
      <c r="A238" s="2" t="str">
        <f>IFERROR(__xludf.DUMMYFUNCTION("""COMPUTED_VALUE"""),"PR001")</f>
        <v>PR001</v>
      </c>
      <c r="B238" s="2" t="str">
        <f>IFERROR(__xludf.DUMMYFUNCTION("""COMPUTED_VALUE"""),"VD019")</f>
        <v>VD019</v>
      </c>
      <c r="C238" s="2">
        <f>IFERROR(__xludf.DUMMYFUNCTION("""COMPUTED_VALUE"""),21.0)</f>
        <v>21</v>
      </c>
      <c r="D238" s="6">
        <f>IFERROR(__xludf.DUMMYFUNCTION("""COMPUTED_VALUE"""),1577.65)</f>
        <v>1577.65</v>
      </c>
      <c r="E238" s="6">
        <f>IFERROR(__xludf.DUMMYFUNCTION("GOOGLEFINANCE(""Currency:BRLMXN"")*D238"),5360.065875)</f>
        <v>5360.065875</v>
      </c>
      <c r="F238" s="6">
        <f>IFERROR(__xludf.DUMMYFUNCTION("GOOGLEFINANCE(""Currency:BRLPEN"")*D238"),1034.30734)</f>
        <v>1034.30734</v>
      </c>
      <c r="G238" s="2" t="str">
        <f t="array" ref="G238">_xlfn.XLOOKUP(B238,Vendedores!$A$2:$A$41,Vendedores!$B$2:$B$41,"No hay datos")</f>
        <v>Rafael Sosa</v>
      </c>
      <c r="H238" s="2" t="str">
        <f t="array" ref="H238">_xlfn.XLOOKUP(B238,Vendedores!$A$2:$A$41,Vendedores!$C$2:$C$41,"No hay datos")</f>
        <v>Selva Verde</v>
      </c>
      <c r="I238" s="2" t="str">
        <f t="array" ref="I238">_xlfn.XLOOKUP(B238,Vendedores!$A$2:$A$41,Vendedores!$D$2:$D$41,"No hay datos")</f>
        <v>Región Amazónica</v>
      </c>
      <c r="J238" s="2" t="str">
        <f t="array" ref="J238:N238">_xlfn.XLOOKUP(A238,Productos!$A$2:$A$61,Productos!$B$2:$F$61)</f>
        <v>Bermuda</v>
      </c>
      <c r="K238" s="2" t="s">
        <v>9</v>
      </c>
      <c r="L238" s="2" t="s">
        <v>10</v>
      </c>
      <c r="M238" s="2" t="s">
        <v>11</v>
      </c>
      <c r="N238" s="2" t="s">
        <v>12</v>
      </c>
    </row>
    <row r="239">
      <c r="A239" s="2" t="str">
        <f>IFERROR(__xludf.DUMMYFUNCTION("""COMPUTED_VALUE"""),"PR052")</f>
        <v>PR052</v>
      </c>
      <c r="B239" s="2" t="str">
        <f>IFERROR(__xludf.DUMMYFUNCTION("""COMPUTED_VALUE"""),"VD032")</f>
        <v>VD032</v>
      </c>
      <c r="C239" s="2">
        <f>IFERROR(__xludf.DUMMYFUNCTION("""COMPUTED_VALUE"""),2.0)</f>
        <v>2</v>
      </c>
      <c r="D239" s="6">
        <f>IFERROR(__xludf.DUMMYFUNCTION("""COMPUTED_VALUE"""),114.77)</f>
        <v>114.77</v>
      </c>
      <c r="E239" s="6">
        <f>IFERROR(__xludf.DUMMYFUNCTION("GOOGLEFINANCE(""Currency:BRLMXN"")*D239"),389.93107499999996)</f>
        <v>389.931075</v>
      </c>
      <c r="F239" s="6">
        <f>IFERROR(__xludf.DUMMYFUNCTION("GOOGLEFINANCE(""Currency:BRLPEN"")*D239"),75.243212)</f>
        <v>75.243212</v>
      </c>
      <c r="G239" s="2" t="str">
        <f t="array" ref="G239">_xlfn.XLOOKUP(B239,Vendedores!$A$2:$A$41,Vendedores!$B$2:$B$41,"No hay datos")</f>
        <v>Eduardo Almonte</v>
      </c>
      <c r="H239" s="2" t="str">
        <f t="array" ref="H239">_xlfn.XLOOKUP(B239,Vendedores!$A$2:$A$41,Vendedores!$C$2:$C$41,"No hay datos")</f>
        <v>Tierra Colorada</v>
      </c>
      <c r="I239" s="2" t="str">
        <f t="array" ref="I239">_xlfn.XLOOKUP(B239,Vendedores!$A$2:$A$41,Vendedores!$D$2:$D$41,"No hay datos")</f>
        <v>Región Central 2</v>
      </c>
      <c r="J239" s="2" t="str">
        <f t="array" ref="J239:N239">_xlfn.XLOOKUP(A239,Productos!$A$2:$A$61,Productos!$B$2:$F$61)</f>
        <v>Falda plisada</v>
      </c>
      <c r="K239" s="2" t="s">
        <v>9</v>
      </c>
      <c r="L239" s="2" t="s">
        <v>10</v>
      </c>
      <c r="M239" s="2" t="s">
        <v>36</v>
      </c>
      <c r="N239" s="2" t="s">
        <v>32</v>
      </c>
    </row>
    <row r="240">
      <c r="A240" s="2" t="str">
        <f>IFERROR(__xludf.DUMMYFUNCTION("""COMPUTED_VALUE"""),"PR027")</f>
        <v>PR027</v>
      </c>
      <c r="B240" s="2" t="str">
        <f>IFERROR(__xludf.DUMMYFUNCTION("""COMPUTED_VALUE"""),"VD018")</f>
        <v>VD018</v>
      </c>
      <c r="C240" s="2">
        <f>IFERROR(__xludf.DUMMYFUNCTION("""COMPUTED_VALUE"""),8.0)</f>
        <v>8</v>
      </c>
      <c r="D240" s="6">
        <f>IFERROR(__xludf.DUMMYFUNCTION("""COMPUTED_VALUE"""),1056.0)</f>
        <v>1056</v>
      </c>
      <c r="E240" s="6">
        <f>IFERROR(__xludf.DUMMYFUNCTION("GOOGLEFINANCE(""Currency:BRLMXN"")*D240"),3587.7599999999998)</f>
        <v>3587.76</v>
      </c>
      <c r="F240" s="6">
        <f>IFERROR(__xludf.DUMMYFUNCTION("GOOGLEFINANCE(""Currency:BRLPEN"")*D240"),692.3136)</f>
        <v>692.3136</v>
      </c>
      <c r="G240" s="2" t="str">
        <f t="array" ref="G240">_xlfn.XLOOKUP(B240,Vendedores!$A$2:$A$41,Vendedores!$B$2:$B$41,"No hay datos")</f>
        <v>Leticia Rodríguez</v>
      </c>
      <c r="H240" s="2" t="str">
        <f t="array" ref="H240">_xlfn.XLOOKUP(B240,Vendedores!$A$2:$A$41,Vendedores!$C$2:$C$41,"No hay datos")</f>
        <v>Playa Blanca</v>
      </c>
      <c r="I240" s="2" t="str">
        <f t="array" ref="I240">_xlfn.XLOOKUP(B240,Vendedores!$A$2:$A$41,Vendedores!$D$2:$D$41,"No hay datos")</f>
        <v>Región Norte</v>
      </c>
      <c r="J240" s="2" t="str">
        <f t="array" ref="J240:N240">_xlfn.XLOOKUP(A240,Productos!$A$2:$A$61,Productos!$B$2:$F$61)</f>
        <v>Gafas redondas</v>
      </c>
      <c r="K240" s="2" t="s">
        <v>29</v>
      </c>
      <c r="L240" s="2" t="s">
        <v>30</v>
      </c>
      <c r="M240" s="2" t="s">
        <v>53</v>
      </c>
      <c r="N240" s="2" t="s">
        <v>54</v>
      </c>
    </row>
    <row r="241">
      <c r="A241" s="2" t="str">
        <f>IFERROR(__xludf.DUMMYFUNCTION("""COMPUTED_VALUE"""),"PR049")</f>
        <v>PR049</v>
      </c>
      <c r="B241" s="2" t="str">
        <f>IFERROR(__xludf.DUMMYFUNCTION("""COMPUTED_VALUE"""),"VD013")</f>
        <v>VD013</v>
      </c>
      <c r="C241" s="2">
        <f>IFERROR(__xludf.DUMMYFUNCTION("""COMPUTED_VALUE"""),14.0)</f>
        <v>14</v>
      </c>
      <c r="D241" s="6">
        <f>IFERROR(__xludf.DUMMYFUNCTION("""COMPUTED_VALUE"""),515.87)</f>
        <v>515.87</v>
      </c>
      <c r="E241" s="6">
        <f>IFERROR(__xludf.DUMMYFUNCTION("GOOGLEFINANCE(""Currency:BRLMXN"")*D241"),1752.668325)</f>
        <v>1752.668325</v>
      </c>
      <c r="F241" s="6">
        <f>IFERROR(__xludf.DUMMYFUNCTION("GOOGLEFINANCE(""Currency:BRLPEN"")*D241"),338.204372)</f>
        <v>338.204372</v>
      </c>
      <c r="G241" s="2" t="str">
        <f t="array" ref="G241">_xlfn.XLOOKUP(B241,Vendedores!$A$2:$A$41,Vendedores!$B$2:$B$41,"No hay datos")</f>
        <v>Pedro Almonte</v>
      </c>
      <c r="H241" s="2" t="str">
        <f t="array" ref="H241">_xlfn.XLOOKUP(B241,Vendedores!$A$2:$A$41,Vendedores!$C$2:$C$41,"No hay datos")</f>
        <v>Santa Rosa del Valle</v>
      </c>
      <c r="I241" s="2" t="str">
        <f t="array" ref="I241">_xlfn.XLOOKUP(B241,Vendedores!$A$2:$A$41,Vendedores!$D$2:$D$41,"No hay datos")</f>
        <v>Región Norte</v>
      </c>
      <c r="J241" s="2" t="str">
        <f t="array" ref="J241:N241">_xlfn.XLOOKUP(A241,Productos!$A$2:$A$61,Productos!$B$2:$F$61)</f>
        <v>Playera a rayas</v>
      </c>
      <c r="K241" s="2" t="s">
        <v>9</v>
      </c>
      <c r="L241" s="2" t="s">
        <v>10</v>
      </c>
      <c r="M241" s="2" t="s">
        <v>47</v>
      </c>
      <c r="N241" s="2" t="s">
        <v>24</v>
      </c>
    </row>
    <row r="242">
      <c r="A242" s="2" t="str">
        <f>IFERROR(__xludf.DUMMYFUNCTION("""COMPUTED_VALUE"""),"PR021")</f>
        <v>PR021</v>
      </c>
      <c r="B242" s="2" t="str">
        <f>IFERROR(__xludf.DUMMYFUNCTION("""COMPUTED_VALUE"""),"VD035")</f>
        <v>VD035</v>
      </c>
      <c r="C242" s="2">
        <f>IFERROR(__xludf.DUMMYFUNCTION("""COMPUTED_VALUE"""),7.0)</f>
        <v>7</v>
      </c>
      <c r="D242" s="6">
        <f>IFERROR(__xludf.DUMMYFUNCTION("""COMPUTED_VALUE"""),2417.14)</f>
        <v>2417.14</v>
      </c>
      <c r="E242" s="6">
        <f>IFERROR(__xludf.DUMMYFUNCTION("GOOGLEFINANCE(""Currency:BRLMXN"")*D242"),8212.23315)</f>
        <v>8212.23315</v>
      </c>
      <c r="F242" s="6">
        <f>IFERROR(__xludf.DUMMYFUNCTION("GOOGLEFINANCE(""Currency:BRLPEN"")*D242"),1584.6769839999997)</f>
        <v>1584.676984</v>
      </c>
      <c r="G242" s="2" t="str">
        <f t="array" ref="G242">_xlfn.XLOOKUP(B242,Vendedores!$A$2:$A$41,Vendedores!$B$2:$B$41,"No hay datos")</f>
        <v>Carolina Méndez</v>
      </c>
      <c r="H242" s="2" t="str">
        <f t="array" ref="H242">_xlfn.XLOOKUP(B242,Vendedores!$A$2:$A$41,Vendedores!$C$2:$C$41,"No hay datos")</f>
        <v>Valle de los Robles</v>
      </c>
      <c r="I242" s="2" t="str">
        <f t="array" ref="I242">_xlfn.XLOOKUP(B242,Vendedores!$A$2:$A$41,Vendedores!$D$2:$D$41,"No hay datos")</f>
        <v>Región Central 2</v>
      </c>
      <c r="J242" s="2" t="str">
        <f t="array" ref="J242:N242">_xlfn.XLOOKUP(A242,Productos!$A$2:$A$61,Productos!$B$2:$F$61)</f>
        <v>Chaqueta de cuero</v>
      </c>
      <c r="K242" s="2" t="s">
        <v>17</v>
      </c>
      <c r="L242" s="2" t="s">
        <v>10</v>
      </c>
      <c r="M242" s="2" t="s">
        <v>80</v>
      </c>
      <c r="N242" s="2" t="s">
        <v>81</v>
      </c>
    </row>
    <row r="243">
      <c r="A243" s="2" t="str">
        <f>IFERROR(__xludf.DUMMYFUNCTION("""COMPUTED_VALUE"""),"PR055")</f>
        <v>PR055</v>
      </c>
      <c r="B243" s="2" t="str">
        <f>IFERROR(__xludf.DUMMYFUNCTION("""COMPUTED_VALUE"""),"VD030")</f>
        <v>VD030</v>
      </c>
      <c r="C243" s="2">
        <f>IFERROR(__xludf.DUMMYFUNCTION("""COMPUTED_VALUE"""),10.0)</f>
        <v>10</v>
      </c>
      <c r="D243" s="6">
        <f>IFERROR(__xludf.DUMMYFUNCTION("""COMPUTED_VALUE"""),1024.86)</f>
        <v>1024.86</v>
      </c>
      <c r="E243" s="6">
        <f>IFERROR(__xludf.DUMMYFUNCTION("GOOGLEFINANCE(""Currency:BRLMXN"")*D243"),3481.9618499999997)</f>
        <v>3481.96185</v>
      </c>
      <c r="F243" s="6">
        <f>IFERROR(__xludf.DUMMYFUNCTION("GOOGLEFINANCE(""Currency:BRLPEN"")*D243"),671.8982159999999)</f>
        <v>671.898216</v>
      </c>
      <c r="G243" s="2" t="str">
        <f t="array" ref="G243">_xlfn.XLOOKUP(B243,Vendedores!$A$2:$A$41,Vendedores!$B$2:$B$41,"No hay datos")</f>
        <v>Leonardo Rojas</v>
      </c>
      <c r="H243" s="2" t="str">
        <f t="array" ref="H243">_xlfn.XLOOKUP(B243,Vendedores!$A$2:$A$41,Vendedores!$C$2:$C$41,"No hay datos")</f>
        <v>Villa del Sol</v>
      </c>
      <c r="I243" s="2" t="str">
        <f t="array" ref="I243">_xlfn.XLOOKUP(B243,Vendedores!$A$2:$A$41,Vendedores!$D$2:$D$41,"No hay datos")</f>
        <v>Región Central 2</v>
      </c>
      <c r="J243" s="2" t="str">
        <f t="array" ref="J243:N243">_xlfn.XLOOKUP(A243,Productos!$A$2:$A$61,Productos!$B$2:$F$61)</f>
        <v>Sandalia plana</v>
      </c>
      <c r="K243" s="2">
        <v>35.0</v>
      </c>
      <c r="L243" s="2" t="s">
        <v>33</v>
      </c>
      <c r="M243" s="2" t="s">
        <v>34</v>
      </c>
      <c r="N243" s="2" t="s">
        <v>35</v>
      </c>
    </row>
    <row r="244">
      <c r="A244" s="2" t="str">
        <f>IFERROR(__xludf.DUMMYFUNCTION("""COMPUTED_VALUE"""),"PR022")</f>
        <v>PR022</v>
      </c>
      <c r="B244" s="2" t="str">
        <f>IFERROR(__xludf.DUMMYFUNCTION("""COMPUTED_VALUE"""),"VD022")</f>
        <v>VD022</v>
      </c>
      <c r="C244" s="2">
        <f>IFERROR(__xludf.DUMMYFUNCTION("""COMPUTED_VALUE"""),8.0)</f>
        <v>8</v>
      </c>
      <c r="D244" s="6">
        <f>IFERROR(__xludf.DUMMYFUNCTION("""COMPUTED_VALUE"""),2712.0)</f>
        <v>2712</v>
      </c>
      <c r="E244" s="6">
        <f>IFERROR(__xludf.DUMMYFUNCTION("GOOGLEFINANCE(""Currency:BRLMXN"")*D244"),9214.02)</f>
        <v>9214.02</v>
      </c>
      <c r="F244" s="6">
        <f>IFERROR(__xludf.DUMMYFUNCTION("GOOGLEFINANCE(""Currency:BRLPEN"")*D244"),1777.9871999999998)</f>
        <v>1777.9872</v>
      </c>
      <c r="G244" s="2" t="str">
        <f t="array" ref="G244">_xlfn.XLOOKUP(B244,Vendedores!$A$2:$A$41,Vendedores!$B$2:$B$41,"No hay datos")</f>
        <v>Santiago Linares</v>
      </c>
      <c r="H244" s="2" t="str">
        <f t="array" ref="H244">_xlfn.XLOOKUP(B244,Vendedores!$A$2:$A$41,Vendedores!$C$2:$C$41,"No hay datos")</f>
        <v>Vista Hermosa</v>
      </c>
      <c r="I244" s="2" t="str">
        <f t="array" ref="I244">_xlfn.XLOOKUP(B244,Vendedores!$A$2:$A$41,Vendedores!$D$2:$D$41,"No hay datos")</f>
        <v>Región Central</v>
      </c>
      <c r="J244" s="2" t="str">
        <f t="array" ref="J244:N244">_xlfn.XLOOKUP(A244,Productos!$A$2:$A$61,Productos!$B$2:$F$61)</f>
        <v>Chaqueta de cuero</v>
      </c>
      <c r="K244" s="2" t="s">
        <v>22</v>
      </c>
      <c r="L244" s="2" t="s">
        <v>10</v>
      </c>
      <c r="M244" s="2" t="s">
        <v>78</v>
      </c>
      <c r="N244" s="2" t="s">
        <v>79</v>
      </c>
    </row>
    <row r="245">
      <c r="A245" s="2" t="str">
        <f>IFERROR(__xludf.DUMMYFUNCTION("""COMPUTED_VALUE"""),"PR043")</f>
        <v>PR043</v>
      </c>
      <c r="B245" s="2" t="str">
        <f>IFERROR(__xludf.DUMMYFUNCTION("""COMPUTED_VALUE"""),"VD037")</f>
        <v>VD037</v>
      </c>
      <c r="C245" s="2">
        <f>IFERROR(__xludf.DUMMYFUNCTION("""COMPUTED_VALUE"""),27.0)</f>
        <v>27</v>
      </c>
      <c r="D245" s="6">
        <f>IFERROR(__xludf.DUMMYFUNCTION("""COMPUTED_VALUE"""),2349.0)</f>
        <v>2349</v>
      </c>
      <c r="E245" s="6">
        <f>IFERROR(__xludf.DUMMYFUNCTION("GOOGLEFINANCE(""Currency:BRLMXN"")*D245"),7980.7275)</f>
        <v>7980.7275</v>
      </c>
      <c r="F245" s="6">
        <f>IFERROR(__xludf.DUMMYFUNCTION("GOOGLEFINANCE(""Currency:BRLPEN"")*D245"),1540.0043999999998)</f>
        <v>1540.0044</v>
      </c>
      <c r="G245" s="2" t="str">
        <f t="array" ref="G245">_xlfn.XLOOKUP(B245,Vendedores!$A$2:$A$41,Vendedores!$B$2:$B$41,"No hay datos")</f>
        <v>Amanda Silva</v>
      </c>
      <c r="H245" s="2" t="str">
        <f t="array" ref="H245">_xlfn.XLOOKUP(B245,Vendedores!$A$2:$A$41,Vendedores!$C$2:$C$41,"No hay datos")</f>
        <v>Villa Esperanza</v>
      </c>
      <c r="I245" s="2" t="str">
        <f t="array" ref="I245">_xlfn.XLOOKUP(B245,Vendedores!$A$2:$A$41,Vendedores!$D$2:$D$41,"No hay datos")</f>
        <v>Región Sur 2</v>
      </c>
      <c r="J245" s="2" t="str">
        <f t="array" ref="J245:N245">_xlfn.XLOOKUP(A245,Productos!$A$2:$A$61,Productos!$B$2:$F$61)</f>
        <v>Vestido floral</v>
      </c>
      <c r="K245" s="2" t="s">
        <v>9</v>
      </c>
      <c r="L245" s="2" t="s">
        <v>10</v>
      </c>
      <c r="M245" s="2" t="s">
        <v>69</v>
      </c>
      <c r="N245" s="2" t="s">
        <v>40</v>
      </c>
    </row>
    <row r="246">
      <c r="A246" s="2" t="str">
        <f>IFERROR(__xludf.DUMMYFUNCTION("""COMPUTED_VALUE"""),"PR008")</f>
        <v>PR008</v>
      </c>
      <c r="B246" s="2" t="str">
        <f>IFERROR(__xludf.DUMMYFUNCTION("""COMPUTED_VALUE"""),"VD023")</f>
        <v>VD023</v>
      </c>
      <c r="C246" s="2">
        <f>IFERROR(__xludf.DUMMYFUNCTION("""COMPUTED_VALUE"""),6.0)</f>
        <v>6</v>
      </c>
      <c r="D246" s="6">
        <f>IFERROR(__xludf.DUMMYFUNCTION("""COMPUTED_VALUE"""),593.34)</f>
        <v>593.34</v>
      </c>
      <c r="E246" s="6">
        <f>IFERROR(__xludf.DUMMYFUNCTION("GOOGLEFINANCE(""Currency:BRLMXN"")*D246"),2015.87265)</f>
        <v>2015.87265</v>
      </c>
      <c r="F246" s="6">
        <f>IFERROR(__xludf.DUMMYFUNCTION("GOOGLEFINANCE(""Currency:BRLPEN"")*D246"),388.993704)</f>
        <v>388.993704</v>
      </c>
      <c r="G246" s="2" t="str">
        <f t="array" ref="G246">_xlfn.XLOOKUP(B246,Vendedores!$A$2:$A$41,Vendedores!$B$2:$B$41,"No hay datos")</f>
        <v>Juliana Castro</v>
      </c>
      <c r="H246" s="2" t="str">
        <f t="array" ref="H246">_xlfn.XLOOKUP(B246,Vendedores!$A$2:$A$41,Vendedores!$C$2:$C$41,"No hay datos")</f>
        <v>San Miguel de los Pinos</v>
      </c>
      <c r="I246" s="2" t="str">
        <f t="array" ref="I246">_xlfn.XLOOKUP(B246,Vendedores!$A$2:$A$41,Vendedores!$D$2:$D$41,"No hay datos")</f>
        <v>Región Sur</v>
      </c>
      <c r="J246" s="2" t="str">
        <f t="array" ref="J246:N246">_xlfn.XLOOKUP(A246,Productos!$A$2:$A$61,Productos!$B$2:$F$61)</f>
        <v>Pantalón de mezclilla</v>
      </c>
      <c r="K246" s="2" t="s">
        <v>17</v>
      </c>
      <c r="L246" s="2" t="s">
        <v>10</v>
      </c>
      <c r="M246" s="2" t="s">
        <v>65</v>
      </c>
      <c r="N246" s="2" t="s">
        <v>35</v>
      </c>
    </row>
    <row r="247">
      <c r="A247" s="2" t="str">
        <f>IFERROR(__xludf.DUMMYFUNCTION("""COMPUTED_VALUE"""),"PR004")</f>
        <v>PR004</v>
      </c>
      <c r="B247" s="2" t="str">
        <f>IFERROR(__xludf.DUMMYFUNCTION("""COMPUTED_VALUE"""),"VD017")</f>
        <v>VD017</v>
      </c>
      <c r="C247" s="2">
        <f>IFERROR(__xludf.DUMMYFUNCTION("""COMPUTED_VALUE"""),3.0)</f>
        <v>3</v>
      </c>
      <c r="D247" s="6">
        <f>IFERROR(__xludf.DUMMYFUNCTION("""COMPUTED_VALUE"""),491.55)</f>
        <v>491.55</v>
      </c>
      <c r="E247" s="6">
        <f>IFERROR(__xludf.DUMMYFUNCTION("GOOGLEFINANCE(""Currency:BRLMXN"")*D247"),1670.041125)</f>
        <v>1670.041125</v>
      </c>
      <c r="F247" s="6">
        <f>IFERROR(__xludf.DUMMYFUNCTION("GOOGLEFINANCE(""Currency:BRLPEN"")*D247"),322.26018)</f>
        <v>322.26018</v>
      </c>
      <c r="G247" s="2" t="str">
        <f t="array" ref="G247">_xlfn.XLOOKUP(B247,Vendedores!$A$2:$A$41,Vendedores!$B$2:$B$41,"No hay datos")</f>
        <v>Bruno Peralta</v>
      </c>
      <c r="H247" s="2" t="str">
        <f t="array" ref="H247">_xlfn.XLOOKUP(B247,Vendedores!$A$2:$A$41,Vendedores!$C$2:$C$41,"No hay datos")</f>
        <v>Costa Azul</v>
      </c>
      <c r="I247" s="2" t="str">
        <f t="array" ref="I247">_xlfn.XLOOKUP(B247,Vendedores!$A$2:$A$41,Vendedores!$D$2:$D$41,"No hay datos")</f>
        <v>Región Norte</v>
      </c>
      <c r="J247" s="2" t="str">
        <f t="array" ref="J247:N247">_xlfn.XLOOKUP(A247,Productos!$A$2:$A$61,Productos!$B$2:$F$61)</f>
        <v>Bolso versátil</v>
      </c>
      <c r="K247" s="2" t="s">
        <v>29</v>
      </c>
      <c r="L247" s="2" t="s">
        <v>30</v>
      </c>
      <c r="M247" s="2" t="s">
        <v>59</v>
      </c>
      <c r="N247" s="2" t="s">
        <v>60</v>
      </c>
    </row>
    <row r="248">
      <c r="A248" s="2" t="str">
        <f>IFERROR(__xludf.DUMMYFUNCTION("""COMPUTED_VALUE"""),"PR012")</f>
        <v>PR012</v>
      </c>
      <c r="B248" s="2" t="str">
        <f>IFERROR(__xludf.DUMMYFUNCTION("""COMPUTED_VALUE"""),"VD039")</f>
        <v>VD039</v>
      </c>
      <c r="C248" s="2">
        <f>IFERROR(__xludf.DUMMYFUNCTION("""COMPUTED_VALUE"""),2.0)</f>
        <v>2</v>
      </c>
      <c r="D248" s="6">
        <f>IFERROR(__xludf.DUMMYFUNCTION("""COMPUTED_VALUE"""),113.45)</f>
        <v>113.45</v>
      </c>
      <c r="E248" s="6">
        <f>IFERROR(__xludf.DUMMYFUNCTION("GOOGLEFINANCE(""Currency:BRLMXN"")*D248"),385.446375)</f>
        <v>385.446375</v>
      </c>
      <c r="F248" s="6">
        <f>IFERROR(__xludf.DUMMYFUNCTION("GOOGLEFINANCE(""Currency:BRLPEN"")*D248"),74.37782)</f>
        <v>74.37782</v>
      </c>
      <c r="G248" s="2" t="str">
        <f t="array" ref="G248">_xlfn.XLOOKUP(B248,Vendedores!$A$2:$A$41,Vendedores!$B$2:$B$41,"No hay datos")</f>
        <v>Daniela Rodríguez</v>
      </c>
      <c r="H248" s="2" t="str">
        <f t="array" ref="H248">_xlfn.XLOOKUP(B248,Vendedores!$A$2:$A$41,Vendedores!$C$2:$C$41,"No hay datos")</f>
        <v>Bahía del Sol</v>
      </c>
      <c r="I248" s="2" t="str">
        <f t="array" ref="I248">_xlfn.XLOOKUP(B248,Vendedores!$A$2:$A$41,Vendedores!$D$2:$D$41,"No hay datos")</f>
        <v>Región Central 2</v>
      </c>
      <c r="J248" s="2" t="str">
        <f t="array" ref="J248:N248">_xlfn.XLOOKUP(A248,Productos!$A$2:$A$61,Productos!$B$2:$F$61)</f>
        <v>Pantalón legging</v>
      </c>
      <c r="K248" s="2" t="s">
        <v>22</v>
      </c>
      <c r="L248" s="2" t="s">
        <v>10</v>
      </c>
      <c r="M248" s="2" t="s">
        <v>88</v>
      </c>
      <c r="N248" s="2" t="s">
        <v>89</v>
      </c>
    </row>
    <row r="249">
      <c r="A249" s="2" t="str">
        <f>IFERROR(__xludf.DUMMYFUNCTION("""COMPUTED_VALUE"""),"PR024")</f>
        <v>PR024</v>
      </c>
      <c r="B249" s="2" t="str">
        <f>IFERROR(__xludf.DUMMYFUNCTION("""COMPUTED_VALUE"""),"VD032")</f>
        <v>VD032</v>
      </c>
      <c r="C249" s="2">
        <f>IFERROR(__xludf.DUMMYFUNCTION("""COMPUTED_VALUE"""),18.0)</f>
        <v>18</v>
      </c>
      <c r="D249" s="6">
        <f>IFERROR(__xludf.DUMMYFUNCTION("""COMPUTED_VALUE"""),5192.8)</f>
        <v>5192.8</v>
      </c>
      <c r="E249" s="6">
        <f>IFERROR(__xludf.DUMMYFUNCTION("GOOGLEFINANCE(""Currency:BRLMXN"")*D249"),17642.538)</f>
        <v>17642.538</v>
      </c>
      <c r="F249" s="6">
        <f>IFERROR(__xludf.DUMMYFUNCTION("GOOGLEFINANCE(""Currency:BRLPEN"")*D249"),3404.39968)</f>
        <v>3404.39968</v>
      </c>
      <c r="G249" s="2" t="str">
        <f t="array" ref="G249">_xlfn.XLOOKUP(B249,Vendedores!$A$2:$A$41,Vendedores!$B$2:$B$41,"No hay datos")</f>
        <v>Eduardo Almonte</v>
      </c>
      <c r="H249" s="2" t="str">
        <f t="array" ref="H249">_xlfn.XLOOKUP(B249,Vendedores!$A$2:$A$41,Vendedores!$C$2:$C$41,"No hay datos")</f>
        <v>Tierra Colorada</v>
      </c>
      <c r="I249" s="2" t="str">
        <f t="array" ref="I249">_xlfn.XLOOKUP(B249,Vendedores!$A$2:$A$41,Vendedores!$D$2:$D$41,"No hay datos")</f>
        <v>Región Central 2</v>
      </c>
      <c r="J249" s="2" t="str">
        <f t="array" ref="J249:N249">_xlfn.XLOOKUP(A249,Productos!$A$2:$A$61,Productos!$B$2:$F$61)</f>
        <v>Chaqueta de mezclilla</v>
      </c>
      <c r="K249" s="2" t="s">
        <v>17</v>
      </c>
      <c r="L249" s="2" t="s">
        <v>10</v>
      </c>
      <c r="M249" s="2" t="s">
        <v>92</v>
      </c>
      <c r="N249" s="2" t="s">
        <v>64</v>
      </c>
    </row>
    <row r="250">
      <c r="A250" s="2" t="str">
        <f>IFERROR(__xludf.DUMMYFUNCTION("""COMPUTED_VALUE"""),"PR047")</f>
        <v>PR047</v>
      </c>
      <c r="B250" s="2" t="str">
        <f>IFERROR(__xludf.DUMMYFUNCTION("""COMPUTED_VALUE"""),"VD045")</f>
        <v>VD045</v>
      </c>
      <c r="C250" s="2">
        <f>IFERROR(__xludf.DUMMYFUNCTION("""COMPUTED_VALUE"""),8.0)</f>
        <v>8</v>
      </c>
      <c r="D250" s="6">
        <f>IFERROR(__xludf.DUMMYFUNCTION("""COMPUTED_VALUE"""),2736.66)</f>
        <v>2736.66</v>
      </c>
      <c r="E250" s="6">
        <f>IFERROR(__xludf.DUMMYFUNCTION("GOOGLEFINANCE(""Currency:BRLMXN"")*D250"),9297.80235)</f>
        <v>9297.80235</v>
      </c>
      <c r="F250" s="6">
        <f>IFERROR(__xludf.DUMMYFUNCTION("GOOGLEFINANCE(""Currency:BRLPEN"")*D250"),1794.1542959999997)</f>
        <v>1794.154296</v>
      </c>
      <c r="G250" s="2" t="str">
        <f t="array" ref="G250">_xlfn.XLOOKUP(B250,Vendedores!$A$2:$A$41,Vendedores!$B$2:$B$41,"No hay datos")</f>
        <v>Rafael Morales</v>
      </c>
      <c r="H250" s="2" t="str">
        <f t="array" ref="H250">_xlfn.XLOOKUP(B250,Vendedores!$A$2:$A$41,Vendedores!$C$2:$C$41,"No hay datos")</f>
        <v>Valle Dorado</v>
      </c>
      <c r="I250" s="2" t="str">
        <f t="array" ref="I250">_xlfn.XLOOKUP(B250,Vendedores!$A$2:$A$41,Vendedores!$D$2:$D$41,"No hay datos")</f>
        <v>Región Central 2</v>
      </c>
      <c r="J250" s="2" t="str">
        <f t="array" ref="J250:N250">_xlfn.XLOOKUP(A250,Productos!$A$2:$A$61,Productos!$B$2:$F$61)</f>
        <v>Chaqueta de cuero</v>
      </c>
      <c r="K250" s="2" t="s">
        <v>17</v>
      </c>
      <c r="L250" s="2" t="s">
        <v>10</v>
      </c>
      <c r="M250" s="2" t="s">
        <v>43</v>
      </c>
      <c r="N250" s="2" t="s">
        <v>44</v>
      </c>
    </row>
    <row r="251">
      <c r="A251" s="2" t="str">
        <f>IFERROR(__xludf.DUMMYFUNCTION("""COMPUTED_VALUE"""),"PR030")</f>
        <v>PR030</v>
      </c>
      <c r="B251" s="2" t="str">
        <f>IFERROR(__xludf.DUMMYFUNCTION("""COMPUTED_VALUE"""),"VD022")</f>
        <v>VD022</v>
      </c>
      <c r="C251" s="2">
        <f>IFERROR(__xludf.DUMMYFUNCTION("""COMPUTED_VALUE"""),6.0)</f>
        <v>6</v>
      </c>
      <c r="D251" s="6">
        <f>IFERROR(__xludf.DUMMYFUNCTION("""COMPUTED_VALUE"""),1730.93)</f>
        <v>1730.93</v>
      </c>
      <c r="E251" s="6">
        <f>IFERROR(__xludf.DUMMYFUNCTION("GOOGLEFINANCE(""Currency:BRLMXN"")*D251"),5880.834675)</f>
        <v>5880.834675</v>
      </c>
      <c r="F251" s="6">
        <f>IFERROR(__xludf.DUMMYFUNCTION("GOOGLEFINANCE(""Currency:BRLPEN"")*D251"),1134.797708)</f>
        <v>1134.797708</v>
      </c>
      <c r="G251" s="2" t="str">
        <f t="array" ref="G251">_xlfn.XLOOKUP(B251,Vendedores!$A$2:$A$41,Vendedores!$B$2:$B$41,"No hay datos")</f>
        <v>Santiago Linares</v>
      </c>
      <c r="H251" s="2" t="str">
        <f t="array" ref="H251">_xlfn.XLOOKUP(B251,Vendedores!$A$2:$A$41,Vendedores!$C$2:$C$41,"No hay datos")</f>
        <v>Vista Hermosa</v>
      </c>
      <c r="I251" s="2" t="str">
        <f t="array" ref="I251">_xlfn.XLOOKUP(B251,Vendedores!$A$2:$A$41,Vendedores!$D$2:$D$41,"No hay datos")</f>
        <v>Región Central</v>
      </c>
      <c r="J251" s="2" t="str">
        <f t="array" ref="J251:N251">_xlfn.XLOOKUP(A251,Productos!$A$2:$A$61,Productos!$B$2:$F$61)</f>
        <v>Tenis Atitas</v>
      </c>
      <c r="K251" s="2">
        <v>38.0</v>
      </c>
      <c r="L251" s="2" t="s">
        <v>33</v>
      </c>
      <c r="M251" s="2" t="s">
        <v>63</v>
      </c>
      <c r="N251" s="2" t="s">
        <v>64</v>
      </c>
    </row>
    <row r="252">
      <c r="A252" s="2" t="str">
        <f>IFERROR(__xludf.DUMMYFUNCTION("""COMPUTED_VALUE"""),"PR006")</f>
        <v>PR006</v>
      </c>
      <c r="B252" s="2" t="str">
        <f>IFERROR(__xludf.DUMMYFUNCTION("""COMPUTED_VALUE"""),"VD032")</f>
        <v>VD032</v>
      </c>
      <c r="C252" s="2">
        <f>IFERROR(__xludf.DUMMYFUNCTION("""COMPUTED_VALUE"""),7.0)</f>
        <v>7</v>
      </c>
      <c r="D252" s="6">
        <f>IFERROR(__xludf.DUMMYFUNCTION("""COMPUTED_VALUE"""),318.4)</f>
        <v>318.4</v>
      </c>
      <c r="E252" s="6">
        <f>IFERROR(__xludf.DUMMYFUNCTION("GOOGLEFINANCE(""Currency:BRLMXN"")*D252"),1081.764)</f>
        <v>1081.764</v>
      </c>
      <c r="F252" s="6">
        <f>IFERROR(__xludf.DUMMYFUNCTION("GOOGLEFINANCE(""Currency:BRLPEN"")*D252"),208.74303999999998)</f>
        <v>208.74304</v>
      </c>
      <c r="G252" s="2" t="str">
        <f t="array" ref="G252">_xlfn.XLOOKUP(B252,Vendedores!$A$2:$A$41,Vendedores!$B$2:$B$41,"No hay datos")</f>
        <v>Eduardo Almonte</v>
      </c>
      <c r="H252" s="2" t="str">
        <f t="array" ref="H252">_xlfn.XLOOKUP(B252,Vendedores!$A$2:$A$41,Vendedores!$C$2:$C$41,"No hay datos")</f>
        <v>Tierra Colorada</v>
      </c>
      <c r="I252" s="2" t="str">
        <f t="array" ref="I252">_xlfn.XLOOKUP(B252,Vendedores!$A$2:$A$41,Vendedores!$D$2:$D$41,"No hay datos")</f>
        <v>Región Central 2</v>
      </c>
      <c r="J252" s="2" t="str">
        <f t="array" ref="J252:N252">_xlfn.XLOOKUP(A252,Productos!$A$2:$A$61,Productos!$B$2:$F$61)</f>
        <v>Gorra</v>
      </c>
      <c r="K252" s="2" t="s">
        <v>29</v>
      </c>
      <c r="L252" s="2" t="s">
        <v>30</v>
      </c>
      <c r="M252" s="2" t="s">
        <v>48</v>
      </c>
      <c r="N252" s="2" t="s">
        <v>38</v>
      </c>
    </row>
    <row r="253">
      <c r="A253" s="2" t="str">
        <f>IFERROR(__xludf.DUMMYFUNCTION("""COMPUTED_VALUE"""),"PR032")</f>
        <v>PR032</v>
      </c>
      <c r="B253" s="2" t="str">
        <f>IFERROR(__xludf.DUMMYFUNCTION("""COMPUTED_VALUE"""),"VD014")</f>
        <v>VD014</v>
      </c>
      <c r="C253" s="2">
        <f>IFERROR(__xludf.DUMMYFUNCTION("""COMPUTED_VALUE"""),6.0)</f>
        <v>6</v>
      </c>
      <c r="D253" s="6">
        <f>IFERROR(__xludf.DUMMYFUNCTION("""COMPUTED_VALUE"""),1800.0)</f>
        <v>1800</v>
      </c>
      <c r="E253" s="6">
        <f>IFERROR(__xludf.DUMMYFUNCTION("GOOGLEFINANCE(""Currency:BRLMXN"")*D253"),6115.5)</f>
        <v>6115.5</v>
      </c>
      <c r="F253" s="6">
        <f>IFERROR(__xludf.DUMMYFUNCTION("GOOGLEFINANCE(""Currency:BRLPEN"")*D253"),1180.08)</f>
        <v>1180.08</v>
      </c>
      <c r="G253" s="2" t="str">
        <f t="array" ref="G253">_xlfn.XLOOKUP(B253,Vendedores!$A$2:$A$41,Vendedores!$B$2:$B$41,"No hay datos")</f>
        <v>Carla Flores</v>
      </c>
      <c r="H253" s="2" t="str">
        <f t="array" ref="H253">_xlfn.XLOOKUP(B253,Vendedores!$A$2:$A$41,Vendedores!$C$2:$C$41,"No hay datos")</f>
        <v>Valle Escondido</v>
      </c>
      <c r="I253" s="2" t="str">
        <f t="array" ref="I253">_xlfn.XLOOKUP(B253,Vendedores!$A$2:$A$41,Vendedores!$D$2:$D$41,"No hay datos")</f>
        <v>Región Andina</v>
      </c>
      <c r="J253" s="2" t="str">
        <f t="array" ref="J253:N253">_xlfn.XLOOKUP(A253,Productos!$A$2:$A$61,Productos!$B$2:$F$61)</f>
        <v>Tenis Chunky</v>
      </c>
      <c r="K253" s="2">
        <v>37.0</v>
      </c>
      <c r="L253" s="2" t="s">
        <v>33</v>
      </c>
      <c r="M253" s="2" t="s">
        <v>61</v>
      </c>
      <c r="N253" s="2" t="s">
        <v>62</v>
      </c>
    </row>
    <row r="254">
      <c r="A254" s="2" t="str">
        <f>IFERROR(__xludf.DUMMYFUNCTION("""COMPUTED_VALUE"""),"PR031")</f>
        <v>PR031</v>
      </c>
      <c r="B254" s="2" t="str">
        <f>IFERROR(__xludf.DUMMYFUNCTION("""COMPUTED_VALUE"""),"VD038")</f>
        <v>VD038</v>
      </c>
      <c r="C254" s="2">
        <f>IFERROR(__xludf.DUMMYFUNCTION("""COMPUTED_VALUE"""),16.0)</f>
        <v>16</v>
      </c>
      <c r="D254" s="6">
        <f>IFERROR(__xludf.DUMMYFUNCTION("""COMPUTED_VALUE"""),4664.8)</f>
        <v>4664.8</v>
      </c>
      <c r="E254" s="6">
        <f>IFERROR(__xludf.DUMMYFUNCTION("GOOGLEFINANCE(""Currency:BRLMXN"")*D254"),15848.658000000001)</f>
        <v>15848.658</v>
      </c>
      <c r="F254" s="6">
        <f>IFERROR(__xludf.DUMMYFUNCTION("GOOGLEFINANCE(""Currency:BRLPEN"")*D254"),3058.24288)</f>
        <v>3058.24288</v>
      </c>
      <c r="G254" s="2" t="str">
        <f t="array" ref="G254">_xlfn.XLOOKUP(B254,Vendedores!$A$2:$A$41,Vendedores!$B$2:$B$41,"No hay datos")</f>
        <v>Bruno Olmedo</v>
      </c>
      <c r="H254" s="2" t="str">
        <f t="array" ref="H254">_xlfn.XLOOKUP(B254,Vendedores!$A$2:$A$41,Vendedores!$C$2:$C$41,"No hay datos")</f>
        <v>Tierra Fertil</v>
      </c>
      <c r="I254" s="2" t="str">
        <f t="array" ref="I254">_xlfn.XLOOKUP(B254,Vendedores!$A$2:$A$41,Vendedores!$D$2:$D$41,"No hay datos")</f>
        <v>Región Sur 2</v>
      </c>
      <c r="J254" s="2" t="str">
        <f t="array" ref="J254:N254">_xlfn.XLOOKUP(A254,Productos!$A$2:$A$61,Productos!$B$2:$F$61)</f>
        <v>Tenis Chunky</v>
      </c>
      <c r="K254" s="2">
        <v>36.0</v>
      </c>
      <c r="L254" s="2" t="s">
        <v>33</v>
      </c>
      <c r="M254" s="2" t="s">
        <v>84</v>
      </c>
      <c r="N254" s="2" t="s">
        <v>85</v>
      </c>
    </row>
    <row r="255">
      <c r="A255" s="2" t="str">
        <f>IFERROR(__xludf.DUMMYFUNCTION("""COMPUTED_VALUE"""),"PR029")</f>
        <v>PR029</v>
      </c>
      <c r="B255" s="2" t="str">
        <f>IFERROR(__xludf.DUMMYFUNCTION("""COMPUTED_VALUE"""),"VD027")</f>
        <v>VD027</v>
      </c>
      <c r="C255" s="2">
        <f>IFERROR(__xludf.DUMMYFUNCTION("""COMPUTED_VALUE"""),8.0)</f>
        <v>8</v>
      </c>
      <c r="D255" s="6">
        <f>IFERROR(__xludf.DUMMYFUNCTION("""COMPUTED_VALUE"""),2427.6)</f>
        <v>2427.6</v>
      </c>
      <c r="E255" s="6">
        <f>IFERROR(__xludf.DUMMYFUNCTION("GOOGLEFINANCE(""Currency:BRLMXN"")*D255"),8247.770999999999)</f>
        <v>8247.771</v>
      </c>
      <c r="F255" s="6">
        <f>IFERROR(__xludf.DUMMYFUNCTION("GOOGLEFINANCE(""Currency:BRLPEN"")*D255"),1591.5345599999998)</f>
        <v>1591.53456</v>
      </c>
      <c r="G255" s="2" t="str">
        <f t="array" ref="G255">_xlfn.XLOOKUP(B255,Vendedores!$A$2:$A$41,Vendedores!$B$2:$B$41,"No hay datos")</f>
        <v>Patricia Cortés</v>
      </c>
      <c r="H255" s="2" t="str">
        <f t="array" ref="H255">_xlfn.XLOOKUP(B255,Vendedores!$A$2:$A$41,Vendedores!$C$2:$C$41,"No hay datos")</f>
        <v>Costa Azul</v>
      </c>
      <c r="I255" s="2" t="str">
        <f t="array" ref="I255">_xlfn.XLOOKUP(B255,Vendedores!$A$2:$A$41,Vendedores!$D$2:$D$41,"No hay datos")</f>
        <v>Región Norte</v>
      </c>
      <c r="J255" s="2" t="str">
        <f t="array" ref="J255:N255">_xlfn.XLOOKUP(A255,Productos!$A$2:$A$61,Productos!$B$2:$F$61)</f>
        <v>Tenis Atitas</v>
      </c>
      <c r="K255" s="2">
        <v>37.0</v>
      </c>
      <c r="L255" s="2" t="s">
        <v>33</v>
      </c>
      <c r="M255" s="2" t="s">
        <v>96</v>
      </c>
      <c r="N255" s="2" t="s">
        <v>97</v>
      </c>
    </row>
    <row r="256">
      <c r="A256" s="2" t="str">
        <f>IFERROR(__xludf.DUMMYFUNCTION("""COMPUTED_VALUE"""),"PR021")</f>
        <v>PR021</v>
      </c>
      <c r="B256" s="2" t="str">
        <f>IFERROR(__xludf.DUMMYFUNCTION("""COMPUTED_VALUE"""),"VD011")</f>
        <v>VD011</v>
      </c>
      <c r="C256" s="2">
        <f>IFERROR(__xludf.DUMMYFUNCTION("""COMPUTED_VALUE"""),5.0)</f>
        <v>5</v>
      </c>
      <c r="D256" s="6">
        <f>IFERROR(__xludf.DUMMYFUNCTION("""COMPUTED_VALUE"""),1696.24)</f>
        <v>1696.24</v>
      </c>
      <c r="E256" s="6">
        <f>IFERROR(__xludf.DUMMYFUNCTION("GOOGLEFINANCE(""Currency:BRLMXN"")*D256"),5762.9754)</f>
        <v>5762.9754</v>
      </c>
      <c r="F256" s="6">
        <f>IFERROR(__xludf.DUMMYFUNCTION("GOOGLEFINANCE(""Currency:BRLPEN"")*D256"),1112.054944)</f>
        <v>1112.054944</v>
      </c>
      <c r="G256" s="2" t="str">
        <f t="array" ref="G256">_xlfn.XLOOKUP(B256,Vendedores!$A$2:$A$41,Vendedores!$B$2:$B$41,"No hay datos")</f>
        <v>Juan Santos</v>
      </c>
      <c r="H256" s="2" t="str">
        <f t="array" ref="H256">_xlfn.XLOOKUP(B256,Vendedores!$A$2:$A$41,Vendedores!$C$2:$C$41,"No hay datos")</f>
        <v>Vista Hermosa</v>
      </c>
      <c r="I256" s="2" t="str">
        <f t="array" ref="I256">_xlfn.XLOOKUP(B256,Vendedores!$A$2:$A$41,Vendedores!$D$2:$D$41,"No hay datos")</f>
        <v>Región Central</v>
      </c>
      <c r="J256" s="2" t="str">
        <f t="array" ref="J256:N256">_xlfn.XLOOKUP(A256,Productos!$A$2:$A$61,Productos!$B$2:$F$61)</f>
        <v>Chaqueta de cuero</v>
      </c>
      <c r="K256" s="2" t="s">
        <v>17</v>
      </c>
      <c r="L256" s="2" t="s">
        <v>10</v>
      </c>
      <c r="M256" s="2" t="s">
        <v>80</v>
      </c>
      <c r="N256" s="2" t="s">
        <v>81</v>
      </c>
    </row>
    <row r="257">
      <c r="A257" s="2" t="str">
        <f>IFERROR(__xludf.DUMMYFUNCTION("""COMPUTED_VALUE"""),"PR039")</f>
        <v>PR039</v>
      </c>
      <c r="B257" s="2" t="str">
        <f>IFERROR(__xludf.DUMMYFUNCTION("""COMPUTED_VALUE"""),"VD017")</f>
        <v>VD017</v>
      </c>
      <c r="C257" s="2">
        <f>IFERROR(__xludf.DUMMYFUNCTION("""COMPUTED_VALUE"""),6.0)</f>
        <v>6</v>
      </c>
      <c r="D257" s="6">
        <f>IFERROR(__xludf.DUMMYFUNCTION("""COMPUTED_VALUE"""),1033.68)</f>
        <v>1033.68</v>
      </c>
      <c r="E257" s="6">
        <f>IFERROR(__xludf.DUMMYFUNCTION("GOOGLEFINANCE(""Currency:BRLMXN"")*D257"),3511.9278000000004)</f>
        <v>3511.9278</v>
      </c>
      <c r="F257" s="6">
        <f>IFERROR(__xludf.DUMMYFUNCTION("GOOGLEFINANCE(""Currency:BRLPEN"")*D257"),677.680608)</f>
        <v>677.680608</v>
      </c>
      <c r="G257" s="2" t="str">
        <f t="array" ref="G257">_xlfn.XLOOKUP(B257,Vendedores!$A$2:$A$41,Vendedores!$B$2:$B$41,"No hay datos")</f>
        <v>Bruno Peralta</v>
      </c>
      <c r="H257" s="2" t="str">
        <f t="array" ref="H257">_xlfn.XLOOKUP(B257,Vendedores!$A$2:$A$41,Vendedores!$C$2:$C$41,"No hay datos")</f>
        <v>Costa Azul</v>
      </c>
      <c r="I257" s="2" t="str">
        <f t="array" ref="I257">_xlfn.XLOOKUP(B257,Vendedores!$A$2:$A$41,Vendedores!$D$2:$D$41,"No hay datos")</f>
        <v>Región Norte</v>
      </c>
      <c r="J257" s="2" t="str">
        <f t="array" ref="J257:N257">_xlfn.XLOOKUP(A257,Productos!$A$2:$A$61,Productos!$B$2:$F$61)</f>
        <v>Vestido largo</v>
      </c>
      <c r="K257" s="2" t="s">
        <v>22</v>
      </c>
      <c r="L257" s="2" t="s">
        <v>10</v>
      </c>
      <c r="M257" s="2" t="s">
        <v>73</v>
      </c>
      <c r="N257" s="2" t="s">
        <v>74</v>
      </c>
    </row>
    <row r="258">
      <c r="A258" s="2" t="str">
        <f>IFERROR(__xludf.DUMMYFUNCTION("""COMPUTED_VALUE"""),"PR024")</f>
        <v>PR024</v>
      </c>
      <c r="B258" s="2" t="str">
        <f>IFERROR(__xludf.DUMMYFUNCTION("""COMPUTED_VALUE"""),"VD021")</f>
        <v>VD021</v>
      </c>
      <c r="C258" s="2">
        <f>IFERROR(__xludf.DUMMYFUNCTION("""COMPUTED_VALUE"""),12.0)</f>
        <v>12</v>
      </c>
      <c r="D258" s="6">
        <f>IFERROR(__xludf.DUMMYFUNCTION("""COMPUTED_VALUE"""),3617.81)</f>
        <v>3617.81</v>
      </c>
      <c r="E258" s="6">
        <f>IFERROR(__xludf.DUMMYFUNCTION("GOOGLEFINANCE(""Currency:BRLMXN"")*D258"),12291.509474999999)</f>
        <v>12291.50948</v>
      </c>
      <c r="F258" s="6">
        <f>IFERROR(__xludf.DUMMYFUNCTION("GOOGLEFINANCE(""Currency:BRLPEN"")*D258"),2371.8362359999996)</f>
        <v>2371.836236</v>
      </c>
      <c r="G258" s="2" t="str">
        <f t="array" ref="G258">_xlfn.XLOOKUP(B258,Vendedores!$A$2:$A$41,Vendedores!$B$2:$B$41,"No hay datos")</f>
        <v>Fernanda Méndez</v>
      </c>
      <c r="H258" s="2" t="str">
        <f t="array" ref="H258">_xlfn.XLOOKUP(B258,Vendedores!$A$2:$A$41,Vendedores!$C$2:$C$41,"No hay datos")</f>
        <v>San Juan de la Sierra</v>
      </c>
      <c r="I258" s="2" t="str">
        <f t="array" ref="I258">_xlfn.XLOOKUP(B258,Vendedores!$A$2:$A$41,Vendedores!$D$2:$D$41,"No hay datos")</f>
        <v>Región Central</v>
      </c>
      <c r="J258" s="2" t="str">
        <f t="array" ref="J258:N258">_xlfn.XLOOKUP(A258,Productos!$A$2:$A$61,Productos!$B$2:$F$61)</f>
        <v>Chaqueta de mezclilla</v>
      </c>
      <c r="K258" s="2" t="s">
        <v>17</v>
      </c>
      <c r="L258" s="2" t="s">
        <v>10</v>
      </c>
      <c r="M258" s="2" t="s">
        <v>92</v>
      </c>
      <c r="N258" s="2" t="s">
        <v>64</v>
      </c>
    </row>
    <row r="259">
      <c r="A259" s="2" t="str">
        <f>IFERROR(__xludf.DUMMYFUNCTION("""COMPUTED_VALUE"""),"PR039")</f>
        <v>PR039</v>
      </c>
      <c r="B259" s="2" t="str">
        <f>IFERROR(__xludf.DUMMYFUNCTION("""COMPUTED_VALUE"""),"VD042")</f>
        <v>VD042</v>
      </c>
      <c r="C259" s="2">
        <f>IFERROR(__xludf.DUMMYFUNCTION("""COMPUTED_VALUE"""),14.0)</f>
        <v>14</v>
      </c>
      <c r="D259" s="6">
        <f>IFERROR(__xludf.DUMMYFUNCTION("""COMPUTED_VALUE"""),2289.28)</f>
        <v>2289.28</v>
      </c>
      <c r="E259" s="6">
        <f>IFERROR(__xludf.DUMMYFUNCTION("GOOGLEFINANCE(""Currency:BRLMXN"")*D259"),7777.8288)</f>
        <v>7777.8288</v>
      </c>
      <c r="F259" s="6">
        <f>IFERROR(__xludf.DUMMYFUNCTION("GOOGLEFINANCE(""Currency:BRLPEN"")*D259"),1500.851968)</f>
        <v>1500.851968</v>
      </c>
      <c r="G259" s="2" t="str">
        <f t="array" ref="G259">_xlfn.XLOOKUP(B259,Vendedores!$A$2:$A$41,Vendedores!$B$2:$B$41,"No hay datos")</f>
        <v>Priscila Duarte</v>
      </c>
      <c r="H259" s="2" t="str">
        <f t="array" ref="H259">_xlfn.XLOOKUP(B259,Vendedores!$A$2:$A$41,Vendedores!$C$2:$C$41,"No hay datos")</f>
        <v>Villa Comercial</v>
      </c>
      <c r="I259" s="2" t="str">
        <f t="array" ref="I259">_xlfn.XLOOKUP(B259,Vendedores!$A$2:$A$41,Vendedores!$D$2:$D$41,"No hay datos")</f>
        <v>Región Central 2</v>
      </c>
      <c r="J259" s="2" t="str">
        <f t="array" ref="J259:N259">_xlfn.XLOOKUP(A259,Productos!$A$2:$A$61,Productos!$B$2:$F$61)</f>
        <v>Vestido largo</v>
      </c>
      <c r="K259" s="2" t="s">
        <v>22</v>
      </c>
      <c r="L259" s="2" t="s">
        <v>10</v>
      </c>
      <c r="M259" s="2" t="s">
        <v>73</v>
      </c>
      <c r="N259" s="2" t="s">
        <v>74</v>
      </c>
    </row>
    <row r="260">
      <c r="A260" s="2" t="str">
        <f>IFERROR(__xludf.DUMMYFUNCTION("""COMPUTED_VALUE"""),"PR050")</f>
        <v>PR050</v>
      </c>
      <c r="B260" s="2" t="str">
        <f>IFERROR(__xludf.DUMMYFUNCTION("""COMPUTED_VALUE"""),"VD042")</f>
        <v>VD042</v>
      </c>
      <c r="C260" s="2">
        <f>IFERROR(__xludf.DUMMYFUNCTION("""COMPUTED_VALUE"""),8.0)</f>
        <v>8</v>
      </c>
      <c r="D260" s="6">
        <f>IFERROR(__xludf.DUMMYFUNCTION("""COMPUTED_VALUE"""),313.21)</f>
        <v>313.21</v>
      </c>
      <c r="E260" s="6">
        <f>IFERROR(__xludf.DUMMYFUNCTION("GOOGLEFINANCE(""Currency:BRLMXN"")*D260"),1064.1309749999998)</f>
        <v>1064.130975</v>
      </c>
      <c r="F260" s="6">
        <f>IFERROR(__xludf.DUMMYFUNCTION("GOOGLEFINANCE(""Currency:BRLPEN"")*D260"),205.34047599999997)</f>
        <v>205.340476</v>
      </c>
      <c r="G260" s="2" t="str">
        <f t="array" ref="G260">_xlfn.XLOOKUP(B260,Vendedores!$A$2:$A$41,Vendedores!$B$2:$B$41,"No hay datos")</f>
        <v>Priscila Duarte</v>
      </c>
      <c r="H260" s="2" t="str">
        <f t="array" ref="H260">_xlfn.XLOOKUP(B260,Vendedores!$A$2:$A$41,Vendedores!$C$2:$C$41,"No hay datos")</f>
        <v>Villa Comercial</v>
      </c>
      <c r="I260" s="2" t="str">
        <f t="array" ref="I260">_xlfn.XLOOKUP(B260,Vendedores!$A$2:$A$41,Vendedores!$D$2:$D$41,"No hay datos")</f>
        <v>Región Central 2</v>
      </c>
      <c r="J260" s="2" t="str">
        <f t="array" ref="J260:N260">_xlfn.XLOOKUP(A260,Productos!$A$2:$A$61,Productos!$B$2:$F$61)</f>
        <v>Playera a rayas</v>
      </c>
      <c r="K260" s="2" t="s">
        <v>17</v>
      </c>
      <c r="L260" s="2" t="s">
        <v>10</v>
      </c>
      <c r="M260" s="2" t="s">
        <v>27</v>
      </c>
      <c r="N260" s="2" t="s">
        <v>24</v>
      </c>
    </row>
    <row r="261">
      <c r="A261" s="2" t="str">
        <f>IFERROR(__xludf.DUMMYFUNCTION("""COMPUTED_VALUE"""),"PR032")</f>
        <v>PR032</v>
      </c>
      <c r="B261" s="2" t="str">
        <f>IFERROR(__xludf.DUMMYFUNCTION("""COMPUTED_VALUE"""),"VD036")</f>
        <v>VD036</v>
      </c>
      <c r="C261" s="2">
        <f>IFERROR(__xludf.DUMMYFUNCTION("""COMPUTED_VALUE"""),30.0)</f>
        <v>30</v>
      </c>
      <c r="D261" s="6">
        <f>IFERROR(__xludf.DUMMYFUNCTION("""COMPUTED_VALUE"""),8925.0)</f>
        <v>8925</v>
      </c>
      <c r="E261" s="6">
        <f>IFERROR(__xludf.DUMMYFUNCTION("GOOGLEFINANCE(""Currency:BRLMXN"")*D261"),30322.6875)</f>
        <v>30322.6875</v>
      </c>
      <c r="F261" s="6">
        <f>IFERROR(__xludf.DUMMYFUNCTION("GOOGLEFINANCE(""Currency:BRLPEN"")*D261"),5851.23)</f>
        <v>5851.23</v>
      </c>
      <c r="G261" s="2" t="str">
        <f t="array" ref="G261">_xlfn.XLOOKUP(B261,Vendedores!$A$2:$A$41,Vendedores!$B$2:$B$41,"No hay datos")</f>
        <v>Ricardo Sosa</v>
      </c>
      <c r="H261" s="2" t="str">
        <f t="array" ref="H261">_xlfn.XLOOKUP(B261,Vendedores!$A$2:$A$41,Vendedores!$C$2:$C$41,"No hay datos")</f>
        <v>Puerto Nuevo</v>
      </c>
      <c r="I261" s="2" t="str">
        <f t="array" ref="I261">_xlfn.XLOOKUP(B261,Vendedores!$A$2:$A$41,Vendedores!$D$2:$D$41,"No hay datos")</f>
        <v>Región Central 2</v>
      </c>
      <c r="J261" s="2" t="str">
        <f t="array" ref="J261:N261">_xlfn.XLOOKUP(A261,Productos!$A$2:$A$61,Productos!$B$2:$F$61)</f>
        <v>Tenis Chunky</v>
      </c>
      <c r="K261" s="2">
        <v>37.0</v>
      </c>
      <c r="L261" s="2" t="s">
        <v>33</v>
      </c>
      <c r="M261" s="2" t="s">
        <v>61</v>
      </c>
      <c r="N261" s="2" t="s">
        <v>62</v>
      </c>
    </row>
    <row r="262">
      <c r="A262" s="2" t="str">
        <f>IFERROR(__xludf.DUMMYFUNCTION("""COMPUTED_VALUE"""),"PR047")</f>
        <v>PR047</v>
      </c>
      <c r="B262" s="2" t="str">
        <f>IFERROR(__xludf.DUMMYFUNCTION("""COMPUTED_VALUE"""),"VD027")</f>
        <v>VD027</v>
      </c>
      <c r="C262" s="2">
        <f>IFERROR(__xludf.DUMMYFUNCTION("""COMPUTED_VALUE"""),8.0)</f>
        <v>8</v>
      </c>
      <c r="D262" s="6">
        <f>IFERROR(__xludf.DUMMYFUNCTION("""COMPUTED_VALUE"""),2481.54)</f>
        <v>2481.54</v>
      </c>
      <c r="E262" s="6">
        <f>IFERROR(__xludf.DUMMYFUNCTION("GOOGLEFINANCE(""Currency:BRLMXN"")*D262"),8431.03215)</f>
        <v>8431.03215</v>
      </c>
      <c r="F262" s="6">
        <f>IFERROR(__xludf.DUMMYFUNCTION("GOOGLEFINANCE(""Currency:BRLPEN"")*D262"),1626.897624)</f>
        <v>1626.897624</v>
      </c>
      <c r="G262" s="2" t="str">
        <f t="array" ref="G262">_xlfn.XLOOKUP(B262,Vendedores!$A$2:$A$41,Vendedores!$B$2:$B$41,"No hay datos")</f>
        <v>Patricia Cortés</v>
      </c>
      <c r="H262" s="2" t="str">
        <f t="array" ref="H262">_xlfn.XLOOKUP(B262,Vendedores!$A$2:$A$41,Vendedores!$C$2:$C$41,"No hay datos")</f>
        <v>Costa Azul</v>
      </c>
      <c r="I262" s="2" t="str">
        <f t="array" ref="I262">_xlfn.XLOOKUP(B262,Vendedores!$A$2:$A$41,Vendedores!$D$2:$D$41,"No hay datos")</f>
        <v>Región Norte</v>
      </c>
      <c r="J262" s="2" t="str">
        <f t="array" ref="J262:N262">_xlfn.XLOOKUP(A262,Productos!$A$2:$A$61,Productos!$B$2:$F$61)</f>
        <v>Chaqueta de cuero</v>
      </c>
      <c r="K262" s="2" t="s">
        <v>17</v>
      </c>
      <c r="L262" s="2" t="s">
        <v>10</v>
      </c>
      <c r="M262" s="2" t="s">
        <v>43</v>
      </c>
      <c r="N262" s="2" t="s">
        <v>44</v>
      </c>
    </row>
    <row r="263">
      <c r="A263" s="2" t="str">
        <f>IFERROR(__xludf.DUMMYFUNCTION("""COMPUTED_VALUE"""),"PR016")</f>
        <v>PR016</v>
      </c>
      <c r="B263" s="2" t="str">
        <f>IFERROR(__xludf.DUMMYFUNCTION("""COMPUTED_VALUE"""),"VD023")</f>
        <v>VD023</v>
      </c>
      <c r="C263" s="2">
        <f>IFERROR(__xludf.DUMMYFUNCTION("""COMPUTED_VALUE"""),18.0)</f>
        <v>18</v>
      </c>
      <c r="D263" s="6">
        <f>IFERROR(__xludf.DUMMYFUNCTION("""COMPUTED_VALUE"""),470.86)</f>
        <v>470.86</v>
      </c>
      <c r="E263" s="6">
        <f>IFERROR(__xludf.DUMMYFUNCTION("GOOGLEFINANCE(""Currency:BRLMXN"")*D263"),1599.74685)</f>
        <v>1599.74685</v>
      </c>
      <c r="F263" s="6">
        <f>IFERROR(__xludf.DUMMYFUNCTION("GOOGLEFINANCE(""Currency:BRLPEN"")*D263"),308.695816)</f>
        <v>308.695816</v>
      </c>
      <c r="G263" s="2" t="str">
        <f t="array" ref="G263">_xlfn.XLOOKUP(B263,Vendedores!$A$2:$A$41,Vendedores!$B$2:$B$41,"No hay datos")</f>
        <v>Juliana Castro</v>
      </c>
      <c r="H263" s="2" t="str">
        <f t="array" ref="H263">_xlfn.XLOOKUP(B263,Vendedores!$A$2:$A$41,Vendedores!$C$2:$C$41,"No hay datos")</f>
        <v>San Miguel de los Pinos</v>
      </c>
      <c r="I263" s="2" t="str">
        <f t="array" ref="I263">_xlfn.XLOOKUP(B263,Vendedores!$A$2:$A$41,Vendedores!$D$2:$D$41,"No hay datos")</f>
        <v>Región Sur</v>
      </c>
      <c r="J263" s="2" t="str">
        <f t="array" ref="J263:N263">_xlfn.XLOOKUP(A263,Productos!$A$2:$A$61,Productos!$B$2:$F$61)</f>
        <v>Playera lisa</v>
      </c>
      <c r="K263" s="2" t="s">
        <v>9</v>
      </c>
      <c r="L263" s="2" t="s">
        <v>10</v>
      </c>
      <c r="M263" s="2" t="s">
        <v>20</v>
      </c>
      <c r="N263" s="2" t="s">
        <v>21</v>
      </c>
    </row>
    <row r="264">
      <c r="A264" s="2" t="str">
        <f>IFERROR(__xludf.DUMMYFUNCTION("""COMPUTED_VALUE"""),"PR029")</f>
        <v>PR029</v>
      </c>
      <c r="B264" s="2" t="str">
        <f>IFERROR(__xludf.DUMMYFUNCTION("""COMPUTED_VALUE"""),"VD033")</f>
        <v>VD033</v>
      </c>
      <c r="C264" s="2">
        <f>IFERROR(__xludf.DUMMYFUNCTION("""COMPUTED_VALUE"""),16.0)</f>
        <v>16</v>
      </c>
      <c r="D264" s="6">
        <f>IFERROR(__xludf.DUMMYFUNCTION("""COMPUTED_VALUE"""),4161.6)</f>
        <v>4161.6</v>
      </c>
      <c r="E264" s="6">
        <f>IFERROR(__xludf.DUMMYFUNCTION("GOOGLEFINANCE(""Currency:BRLMXN"")*D264"),14139.036000000002)</f>
        <v>14139.036</v>
      </c>
      <c r="F264" s="6">
        <f>IFERROR(__xludf.DUMMYFUNCTION("GOOGLEFINANCE(""Currency:BRLPEN"")*D264"),2728.34496)</f>
        <v>2728.34496</v>
      </c>
      <c r="G264" s="2" t="str">
        <f t="array" ref="G264">_xlfn.XLOOKUP(B264,Vendedores!$A$2:$A$41,Vendedores!$B$2:$B$41,"No hay datos")</f>
        <v>Renata Flores</v>
      </c>
      <c r="H264" s="2" t="str">
        <f t="array" ref="H264">_xlfn.XLOOKUP(B264,Vendedores!$A$2:$A$41,Vendedores!$C$2:$C$41,"No hay datos")</f>
        <v>Altos del Sur</v>
      </c>
      <c r="I264" s="2" t="str">
        <f t="array" ref="I264">_xlfn.XLOOKUP(B264,Vendedores!$A$2:$A$41,Vendedores!$D$2:$D$41,"No hay datos")</f>
        <v>Región Central 2</v>
      </c>
      <c r="J264" s="2" t="str">
        <f t="array" ref="J264:N264">_xlfn.XLOOKUP(A264,Productos!$A$2:$A$61,Productos!$B$2:$F$61)</f>
        <v>Tenis Atitas</v>
      </c>
      <c r="K264" s="2">
        <v>37.0</v>
      </c>
      <c r="L264" s="2" t="s">
        <v>33</v>
      </c>
      <c r="M264" s="2" t="s">
        <v>96</v>
      </c>
      <c r="N264" s="2" t="s">
        <v>97</v>
      </c>
    </row>
    <row r="265">
      <c r="A265" s="2" t="str">
        <f>IFERROR(__xludf.DUMMYFUNCTION("""COMPUTED_VALUE"""),"PR050")</f>
        <v>PR050</v>
      </c>
      <c r="B265" s="2" t="str">
        <f>IFERROR(__xludf.DUMMYFUNCTION("""COMPUTED_VALUE"""),"VD036")</f>
        <v>VD036</v>
      </c>
      <c r="C265" s="2">
        <f>IFERROR(__xludf.DUMMYFUNCTION("""COMPUTED_VALUE"""),10.0)</f>
        <v>10</v>
      </c>
      <c r="D265" s="6">
        <f>IFERROR(__xludf.DUMMYFUNCTION("""COMPUTED_VALUE"""),345.45)</f>
        <v>345.45</v>
      </c>
      <c r="E265" s="6">
        <f>IFERROR(__xludf.DUMMYFUNCTION("GOOGLEFINANCE(""Currency:BRLMXN"")*D265"),1173.666375)</f>
        <v>1173.666375</v>
      </c>
      <c r="F265" s="6">
        <f>IFERROR(__xludf.DUMMYFUNCTION("GOOGLEFINANCE(""Currency:BRLPEN"")*D265"),226.47701999999998)</f>
        <v>226.47702</v>
      </c>
      <c r="G265" s="2" t="str">
        <f t="array" ref="G265">_xlfn.XLOOKUP(B265,Vendedores!$A$2:$A$41,Vendedores!$B$2:$B$41,"No hay datos")</f>
        <v>Ricardo Sosa</v>
      </c>
      <c r="H265" s="2" t="str">
        <f t="array" ref="H265">_xlfn.XLOOKUP(B265,Vendedores!$A$2:$A$41,Vendedores!$C$2:$C$41,"No hay datos")</f>
        <v>Puerto Nuevo</v>
      </c>
      <c r="I265" s="2" t="str">
        <f t="array" ref="I265">_xlfn.XLOOKUP(B265,Vendedores!$A$2:$A$41,Vendedores!$D$2:$D$41,"No hay datos")</f>
        <v>Región Central 2</v>
      </c>
      <c r="J265" s="2" t="str">
        <f t="array" ref="J265:N265">_xlfn.XLOOKUP(A265,Productos!$A$2:$A$61,Productos!$B$2:$F$61)</f>
        <v>Playera a rayas</v>
      </c>
      <c r="K265" s="2" t="s">
        <v>17</v>
      </c>
      <c r="L265" s="2" t="s">
        <v>10</v>
      </c>
      <c r="M265" s="2" t="s">
        <v>27</v>
      </c>
      <c r="N265" s="2" t="s">
        <v>24</v>
      </c>
    </row>
    <row r="266">
      <c r="A266" s="2" t="str">
        <f>IFERROR(__xludf.DUMMYFUNCTION("""COMPUTED_VALUE"""),"PR045")</f>
        <v>PR045</v>
      </c>
      <c r="B266" s="2" t="str">
        <f>IFERROR(__xludf.DUMMYFUNCTION("""COMPUTED_VALUE"""),"VD045")</f>
        <v>VD045</v>
      </c>
      <c r="C266" s="2">
        <f>IFERROR(__xludf.DUMMYFUNCTION("""COMPUTED_VALUE"""),3.0)</f>
        <v>3</v>
      </c>
      <c r="D266" s="6">
        <f>IFERROR(__xludf.DUMMYFUNCTION("""COMPUTED_VALUE"""),237.08)</f>
        <v>237.08</v>
      </c>
      <c r="E266" s="6">
        <f>IFERROR(__xludf.DUMMYFUNCTION("GOOGLEFINANCE(""Currency:BRLMXN"")*D266"),805.4793000000001)</f>
        <v>805.4793</v>
      </c>
      <c r="F266" s="6">
        <f>IFERROR(__xludf.DUMMYFUNCTION("GOOGLEFINANCE(""Currency:BRLPEN"")*D266"),155.429648)</f>
        <v>155.429648</v>
      </c>
      <c r="G266" s="2" t="str">
        <f t="array" ref="G266">_xlfn.XLOOKUP(B266,Vendedores!$A$2:$A$41,Vendedores!$B$2:$B$41,"No hay datos")</f>
        <v>Rafael Morales</v>
      </c>
      <c r="H266" s="2" t="str">
        <f t="array" ref="H266">_xlfn.XLOOKUP(B266,Vendedores!$A$2:$A$41,Vendedores!$C$2:$C$41,"No hay datos")</f>
        <v>Valle Dorado</v>
      </c>
      <c r="I266" s="2" t="str">
        <f t="array" ref="I266">_xlfn.XLOOKUP(B266,Vendedores!$A$2:$A$41,Vendedores!$D$2:$D$41,"No hay datos")</f>
        <v>Región Central 2</v>
      </c>
      <c r="J266" s="2" t="str">
        <f t="array" ref="J266:N266">_xlfn.XLOOKUP(A266,Productos!$A$2:$A$61,Productos!$B$2:$F$61)</f>
        <v>Vestido floral</v>
      </c>
      <c r="K266" s="2" t="s">
        <v>22</v>
      </c>
      <c r="L266" s="2" t="s">
        <v>10</v>
      </c>
      <c r="M266" s="2" t="s">
        <v>39</v>
      </c>
      <c r="N266" s="2" t="s">
        <v>40</v>
      </c>
    </row>
    <row r="267">
      <c r="A267" s="2" t="str">
        <f>IFERROR(__xludf.DUMMYFUNCTION("""COMPUTED_VALUE"""),"PR053")</f>
        <v>PR053</v>
      </c>
      <c r="B267" s="2" t="str">
        <f>IFERROR(__xludf.DUMMYFUNCTION("""COMPUTED_VALUE"""),"VD022")</f>
        <v>VD022</v>
      </c>
      <c r="C267" s="2">
        <f>IFERROR(__xludf.DUMMYFUNCTION("""COMPUTED_VALUE"""),10.0)</f>
        <v>10</v>
      </c>
      <c r="D267" s="6">
        <f>IFERROR(__xludf.DUMMYFUNCTION("""COMPUTED_VALUE"""),543.91)</f>
        <v>543.91</v>
      </c>
      <c r="E267" s="6">
        <f>IFERROR(__xludf.DUMMYFUNCTION("GOOGLEFINANCE(""Currency:BRLMXN"")*D267"),1847.934225)</f>
        <v>1847.934225</v>
      </c>
      <c r="F267" s="6">
        <f>IFERROR(__xludf.DUMMYFUNCTION("GOOGLEFINANCE(""Currency:BRLPEN"")*D267"),356.58739599999996)</f>
        <v>356.587396</v>
      </c>
      <c r="G267" s="2" t="str">
        <f t="array" ref="G267">_xlfn.XLOOKUP(B267,Vendedores!$A$2:$A$41,Vendedores!$B$2:$B$41,"No hay datos")</f>
        <v>Santiago Linares</v>
      </c>
      <c r="H267" s="2" t="str">
        <f t="array" ref="H267">_xlfn.XLOOKUP(B267,Vendedores!$A$2:$A$41,Vendedores!$C$2:$C$41,"No hay datos")</f>
        <v>Vista Hermosa</v>
      </c>
      <c r="I267" s="2" t="str">
        <f t="array" ref="I267">_xlfn.XLOOKUP(B267,Vendedores!$A$2:$A$41,Vendedores!$D$2:$D$41,"No hay datos")</f>
        <v>Región Central</v>
      </c>
      <c r="J267" s="2" t="str">
        <f t="array" ref="J267:N267">_xlfn.XLOOKUP(A267,Productos!$A$2:$A$61,Productos!$B$2:$F$61)</f>
        <v>Falda plisada</v>
      </c>
      <c r="K267" s="2" t="s">
        <v>17</v>
      </c>
      <c r="L267" s="2" t="s">
        <v>10</v>
      </c>
      <c r="M267" s="2" t="s">
        <v>41</v>
      </c>
      <c r="N267" s="2" t="s">
        <v>32</v>
      </c>
    </row>
    <row r="268">
      <c r="A268" s="2" t="str">
        <f>IFERROR(__xludf.DUMMYFUNCTION("""COMPUTED_VALUE"""),"PR042")</f>
        <v>PR042</v>
      </c>
      <c r="B268" s="2" t="str">
        <f>IFERROR(__xludf.DUMMYFUNCTION("""COMPUTED_VALUE"""),"VD020")</f>
        <v>VD020</v>
      </c>
      <c r="C268" s="2">
        <f>IFERROR(__xludf.DUMMYFUNCTION("""COMPUTED_VALUE"""),3.0)</f>
        <v>3</v>
      </c>
      <c r="D268" s="6">
        <f>IFERROR(__xludf.DUMMYFUNCTION("""COMPUTED_VALUE"""),167.99)</f>
        <v>167.99</v>
      </c>
      <c r="E268" s="6">
        <f>IFERROR(__xludf.DUMMYFUNCTION("GOOGLEFINANCE(""Currency:BRLMXN"")*D268"),570.746025)</f>
        <v>570.746025</v>
      </c>
      <c r="F268" s="6">
        <f>IFERROR(__xludf.DUMMYFUNCTION("GOOGLEFINANCE(""Currency:BRLPEN"")*D268"),110.134244)</f>
        <v>110.134244</v>
      </c>
      <c r="G268" s="2" t="str">
        <f t="array" ref="G268">_xlfn.XLOOKUP(B268,Vendedores!$A$2:$A$41,Vendedores!$B$2:$B$41,"No hay datos")</f>
        <v>Gustavo Morales</v>
      </c>
      <c r="H268" s="2" t="str">
        <f t="array" ref="H268">_xlfn.XLOOKUP(B268,Vendedores!$A$2:$A$41,Vendedores!$C$2:$C$41,"No hay datos")</f>
        <v>Villa del Sol</v>
      </c>
      <c r="I268" s="2" t="str">
        <f t="array" ref="I268">_xlfn.XLOOKUP(B268,Vendedores!$A$2:$A$41,Vendedores!$D$2:$D$41,"No hay datos")</f>
        <v>Región Central 2</v>
      </c>
      <c r="J268" s="2" t="str">
        <f t="array" ref="J268:N268">_xlfn.XLOOKUP(A268,Productos!$A$2:$A$61,Productos!$B$2:$F$61)</f>
        <v>Playera confort</v>
      </c>
      <c r="K268" s="2" t="s">
        <v>22</v>
      </c>
      <c r="L268" s="2" t="s">
        <v>10</v>
      </c>
      <c r="M268" s="2" t="s">
        <v>25</v>
      </c>
      <c r="N268" s="2" t="s">
        <v>26</v>
      </c>
    </row>
    <row r="269">
      <c r="A269" s="2" t="str">
        <f>IFERROR(__xludf.DUMMYFUNCTION("""COMPUTED_VALUE"""),"PR049")</f>
        <v>PR049</v>
      </c>
      <c r="B269" s="2" t="str">
        <f>IFERROR(__xludf.DUMMYFUNCTION("""COMPUTED_VALUE"""),"VD019")</f>
        <v>VD019</v>
      </c>
      <c r="C269" s="2">
        <f>IFERROR(__xludf.DUMMYFUNCTION("""COMPUTED_VALUE"""),4.0)</f>
        <v>4</v>
      </c>
      <c r="D269" s="6">
        <f>IFERROR(__xludf.DUMMYFUNCTION("""COMPUTED_VALUE"""),132.92)</f>
        <v>132.92</v>
      </c>
      <c r="E269" s="6">
        <f>IFERROR(__xludf.DUMMYFUNCTION("GOOGLEFINANCE(""Currency:BRLMXN"")*D269"),451.59569999999997)</f>
        <v>451.5957</v>
      </c>
      <c r="F269" s="6">
        <f>IFERROR(__xludf.DUMMYFUNCTION("GOOGLEFINANCE(""Currency:BRLPEN"")*D269"),87.14235199999999)</f>
        <v>87.142352</v>
      </c>
      <c r="G269" s="2" t="str">
        <f t="array" ref="G269">_xlfn.XLOOKUP(B269,Vendedores!$A$2:$A$41,Vendedores!$B$2:$B$41,"No hay datos")</f>
        <v>Rafael Sosa</v>
      </c>
      <c r="H269" s="2" t="str">
        <f t="array" ref="H269">_xlfn.XLOOKUP(B269,Vendedores!$A$2:$A$41,Vendedores!$C$2:$C$41,"No hay datos")</f>
        <v>Selva Verde</v>
      </c>
      <c r="I269" s="2" t="str">
        <f t="array" ref="I269">_xlfn.XLOOKUP(B269,Vendedores!$A$2:$A$41,Vendedores!$D$2:$D$41,"No hay datos")</f>
        <v>Región Amazónica</v>
      </c>
      <c r="J269" s="2" t="str">
        <f t="array" ref="J269:N269">_xlfn.XLOOKUP(A269,Productos!$A$2:$A$61,Productos!$B$2:$F$61)</f>
        <v>Playera a rayas</v>
      </c>
      <c r="K269" s="2" t="s">
        <v>9</v>
      </c>
      <c r="L269" s="2" t="s">
        <v>10</v>
      </c>
      <c r="M269" s="2" t="s">
        <v>47</v>
      </c>
      <c r="N269" s="2" t="s">
        <v>24</v>
      </c>
    </row>
    <row r="270">
      <c r="A270" s="2" t="str">
        <f>IFERROR(__xludf.DUMMYFUNCTION("""COMPUTED_VALUE"""),"PR045")</f>
        <v>PR045</v>
      </c>
      <c r="B270" s="2" t="str">
        <f>IFERROR(__xludf.DUMMYFUNCTION("""COMPUTED_VALUE"""),"VD015")</f>
        <v>VD015</v>
      </c>
      <c r="C270" s="2">
        <f>IFERROR(__xludf.DUMMYFUNCTION("""COMPUTED_VALUE"""),18.0)</f>
        <v>18</v>
      </c>
      <c r="D270" s="6">
        <f>IFERROR(__xludf.DUMMYFUNCTION("""COMPUTED_VALUE"""),1357.2)</f>
        <v>1357.2</v>
      </c>
      <c r="E270" s="6">
        <f>IFERROR(__xludf.DUMMYFUNCTION("GOOGLEFINANCE(""Currency:BRLMXN"")*D270"),4611.087)</f>
        <v>4611.087</v>
      </c>
      <c r="F270" s="6">
        <f>IFERROR(__xludf.DUMMYFUNCTION("GOOGLEFINANCE(""Currency:BRLPEN"")*D270"),889.78032)</f>
        <v>889.78032</v>
      </c>
      <c r="G270" s="2" t="str">
        <f t="array" ref="G270">_xlfn.XLOOKUP(B270,Vendedores!$A$2:$A$41,Vendedores!$B$2:$B$41,"No hay datos")</f>
        <v>Lucas Castillo</v>
      </c>
      <c r="H270" s="2" t="str">
        <f t="array" ref="H270">_xlfn.XLOOKUP(B270,Vendedores!$A$2:$A$41,Vendedores!$C$2:$C$41,"No hay datos")</f>
        <v>San Miguel de los Pinos</v>
      </c>
      <c r="I270" s="2" t="str">
        <f t="array" ref="I270">_xlfn.XLOOKUP(B270,Vendedores!$A$2:$A$41,Vendedores!$D$2:$D$41,"No hay datos")</f>
        <v>Región Sur</v>
      </c>
      <c r="J270" s="2" t="str">
        <f t="array" ref="J270:N270">_xlfn.XLOOKUP(A270,Productos!$A$2:$A$61,Productos!$B$2:$F$61)</f>
        <v>Vestido floral</v>
      </c>
      <c r="K270" s="2" t="s">
        <v>22</v>
      </c>
      <c r="L270" s="2" t="s">
        <v>10</v>
      </c>
      <c r="M270" s="2" t="s">
        <v>39</v>
      </c>
      <c r="N270" s="2" t="s">
        <v>40</v>
      </c>
    </row>
    <row r="271">
      <c r="A271" s="2" t="str">
        <f>IFERROR(__xludf.DUMMYFUNCTION("""COMPUTED_VALUE"""),"PR037")</f>
        <v>PR037</v>
      </c>
      <c r="B271" s="2" t="str">
        <f>IFERROR(__xludf.DUMMYFUNCTION("""COMPUTED_VALUE"""),"VD029")</f>
        <v>VD029</v>
      </c>
      <c r="C271" s="2">
        <f>IFERROR(__xludf.DUMMYFUNCTION("""COMPUTED_VALUE"""),6.0)</f>
        <v>6</v>
      </c>
      <c r="D271" s="6">
        <f>IFERROR(__xludf.DUMMYFUNCTION("""COMPUTED_VALUE"""),915.6)</f>
        <v>915.6</v>
      </c>
      <c r="E271" s="6">
        <f>IFERROR(__xludf.DUMMYFUNCTION("GOOGLEFINANCE(""Currency:BRLMXN"")*D271"),3110.751)</f>
        <v>3110.751</v>
      </c>
      <c r="F271" s="6">
        <f>IFERROR(__xludf.DUMMYFUNCTION("GOOGLEFINANCE(""Currency:BRLPEN"")*D271"),600.2673599999999)</f>
        <v>600.26736</v>
      </c>
      <c r="G271" s="2" t="str">
        <f t="array" ref="G271">_xlfn.XLOOKUP(B271,Vendedores!$A$2:$A$41,Vendedores!$B$2:$B$41,"No hay datos")</f>
        <v>Gabriela Sosa</v>
      </c>
      <c r="H271" s="2" t="str">
        <f t="array" ref="H271">_xlfn.XLOOKUP(B271,Vendedores!$A$2:$A$41,Vendedores!$C$2:$C$41,"No hay datos")</f>
        <v>Selva Verde</v>
      </c>
      <c r="I271" s="2" t="str">
        <f t="array" ref="I271">_xlfn.XLOOKUP(B271,Vendedores!$A$2:$A$41,Vendedores!$D$2:$D$41,"No hay datos")</f>
        <v>Región Amazónica</v>
      </c>
      <c r="J271" s="2" t="str">
        <f t="array" ref="J271:N271">_xlfn.XLOOKUP(A271,Productos!$A$2:$A$61,Productos!$B$2:$F$61)</f>
        <v>Vestido largo</v>
      </c>
      <c r="K271" s="2" t="s">
        <v>9</v>
      </c>
      <c r="L271" s="2" t="s">
        <v>10</v>
      </c>
      <c r="M271" s="2" t="s">
        <v>70</v>
      </c>
      <c r="N271" s="2" t="s">
        <v>71</v>
      </c>
    </row>
    <row r="272">
      <c r="A272" s="2" t="str">
        <f>IFERROR(__xludf.DUMMYFUNCTION("""COMPUTED_VALUE"""),"PR021")</f>
        <v>PR021</v>
      </c>
      <c r="B272" s="2" t="str">
        <f>IFERROR(__xludf.DUMMYFUNCTION("""COMPUTED_VALUE"""),"VD017")</f>
        <v>VD017</v>
      </c>
      <c r="C272" s="2">
        <f>IFERROR(__xludf.DUMMYFUNCTION("""COMPUTED_VALUE"""),10.0)</f>
        <v>10</v>
      </c>
      <c r="D272" s="6">
        <f>IFERROR(__xludf.DUMMYFUNCTION("""COMPUTED_VALUE"""),3331.9)</f>
        <v>3331.9</v>
      </c>
      <c r="E272" s="6">
        <f>IFERROR(__xludf.DUMMYFUNCTION("GOOGLEFINANCE(""Currency:BRLMXN"")*D272"),11320.13025)</f>
        <v>11320.13025</v>
      </c>
      <c r="F272" s="6">
        <f>IFERROR(__xludf.DUMMYFUNCTION("GOOGLEFINANCE(""Currency:BRLPEN"")*D272"),2184.39364)</f>
        <v>2184.39364</v>
      </c>
      <c r="G272" s="2" t="str">
        <f t="array" ref="G272">_xlfn.XLOOKUP(B272,Vendedores!$A$2:$A$41,Vendedores!$B$2:$B$41,"No hay datos")</f>
        <v>Bruno Peralta</v>
      </c>
      <c r="H272" s="2" t="str">
        <f t="array" ref="H272">_xlfn.XLOOKUP(B272,Vendedores!$A$2:$A$41,Vendedores!$C$2:$C$41,"No hay datos")</f>
        <v>Costa Azul</v>
      </c>
      <c r="I272" s="2" t="str">
        <f t="array" ref="I272">_xlfn.XLOOKUP(B272,Vendedores!$A$2:$A$41,Vendedores!$D$2:$D$41,"No hay datos")</f>
        <v>Región Norte</v>
      </c>
      <c r="J272" s="2" t="str">
        <f t="array" ref="J272:N272">_xlfn.XLOOKUP(A272,Productos!$A$2:$A$61,Productos!$B$2:$F$61)</f>
        <v>Chaqueta de cuero</v>
      </c>
      <c r="K272" s="2" t="s">
        <v>17</v>
      </c>
      <c r="L272" s="2" t="s">
        <v>10</v>
      </c>
      <c r="M272" s="2" t="s">
        <v>80</v>
      </c>
      <c r="N272" s="2" t="s">
        <v>81</v>
      </c>
    </row>
    <row r="273">
      <c r="A273" s="2" t="str">
        <f>IFERROR(__xludf.DUMMYFUNCTION("""COMPUTED_VALUE"""),"PR034")</f>
        <v>PR034</v>
      </c>
      <c r="B273" s="2" t="str">
        <f>IFERROR(__xludf.DUMMYFUNCTION("""COMPUTED_VALUE"""),"VD045")</f>
        <v>VD045</v>
      </c>
      <c r="C273" s="2">
        <f>IFERROR(__xludf.DUMMYFUNCTION("""COMPUTED_VALUE"""),8.0)</f>
        <v>8</v>
      </c>
      <c r="D273" s="6">
        <f>IFERROR(__xludf.DUMMYFUNCTION("""COMPUTED_VALUE"""),719.2)</f>
        <v>719.2</v>
      </c>
      <c r="E273" s="6">
        <f>IFERROR(__xludf.DUMMYFUNCTION("GOOGLEFINANCE(""Currency:BRLMXN"")*D273"),2443.482)</f>
        <v>2443.482</v>
      </c>
      <c r="F273" s="6">
        <f>IFERROR(__xludf.DUMMYFUNCTION("GOOGLEFINANCE(""Currency:BRLPEN"")*D273"),471.50752)</f>
        <v>471.50752</v>
      </c>
      <c r="G273" s="2" t="str">
        <f t="array" ref="G273">_xlfn.XLOOKUP(B273,Vendedores!$A$2:$A$41,Vendedores!$B$2:$B$41,"No hay datos")</f>
        <v>Rafael Morales</v>
      </c>
      <c r="H273" s="2" t="str">
        <f t="array" ref="H273">_xlfn.XLOOKUP(B273,Vendedores!$A$2:$A$41,Vendedores!$C$2:$C$41,"No hay datos")</f>
        <v>Valle Dorado</v>
      </c>
      <c r="I273" s="2" t="str">
        <f t="array" ref="I273">_xlfn.XLOOKUP(B273,Vendedores!$A$2:$A$41,Vendedores!$D$2:$D$41,"No hay datos")</f>
        <v>Región Central 2</v>
      </c>
      <c r="J273" s="2" t="str">
        <f t="array" ref="J273:N273">_xlfn.XLOOKUP(A273,Productos!$A$2:$A$61,Productos!$B$2:$F$61)</f>
        <v>Vestido corto</v>
      </c>
      <c r="K273" s="2" t="s">
        <v>9</v>
      </c>
      <c r="L273" s="2" t="s">
        <v>10</v>
      </c>
      <c r="M273" s="2" t="s">
        <v>93</v>
      </c>
      <c r="N273" s="2" t="s">
        <v>35</v>
      </c>
    </row>
    <row r="274">
      <c r="A274" s="2" t="str">
        <f>IFERROR(__xludf.DUMMYFUNCTION("""COMPUTED_VALUE"""),"PR047")</f>
        <v>PR047</v>
      </c>
      <c r="B274" s="2" t="str">
        <f>IFERROR(__xludf.DUMMYFUNCTION("""COMPUTED_VALUE"""),"VD041")</f>
        <v>VD041</v>
      </c>
      <c r="C274" s="2">
        <f>IFERROR(__xludf.DUMMYFUNCTION("""COMPUTED_VALUE"""),8.0)</f>
        <v>8</v>
      </c>
      <c r="D274" s="6">
        <f>IFERROR(__xludf.DUMMYFUNCTION("""COMPUTED_VALUE"""),2388.78)</f>
        <v>2388.78</v>
      </c>
      <c r="E274" s="6">
        <f>IFERROR(__xludf.DUMMYFUNCTION("GOOGLEFINANCE(""Currency:BRLMXN"")*D274"),8115.880050000001)</f>
        <v>8115.88005</v>
      </c>
      <c r="F274" s="6">
        <f>IFERROR(__xludf.DUMMYFUNCTION("GOOGLEFINANCE(""Currency:BRLPEN"")*D274"),1566.084168)</f>
        <v>1566.084168</v>
      </c>
      <c r="G274" s="2" t="str">
        <f t="array" ref="G274">_xlfn.XLOOKUP(B274,Vendedores!$A$2:$A$41,Vendedores!$B$2:$B$41,"No hay datos")</f>
        <v>Alejandro Ramos</v>
      </c>
      <c r="H274" s="2" t="str">
        <f t="array" ref="H274">_xlfn.XLOOKUP(B274,Vendedores!$A$2:$A$41,Vendedores!$C$2:$C$41,"No hay datos")</f>
        <v>San Martín de las Rosas</v>
      </c>
      <c r="I274" s="2" t="str">
        <f t="array" ref="I274">_xlfn.XLOOKUP(B274,Vendedores!$A$2:$A$41,Vendedores!$D$2:$D$41,"No hay datos")</f>
        <v>Región Central 2</v>
      </c>
      <c r="J274" s="2" t="str">
        <f t="array" ref="J274:N274">_xlfn.XLOOKUP(A274,Productos!$A$2:$A$61,Productos!$B$2:$F$61)</f>
        <v>Chaqueta de cuero</v>
      </c>
      <c r="K274" s="2" t="s">
        <v>17</v>
      </c>
      <c r="L274" s="2" t="s">
        <v>10</v>
      </c>
      <c r="M274" s="2" t="s">
        <v>43</v>
      </c>
      <c r="N274" s="2" t="s">
        <v>44</v>
      </c>
    </row>
    <row r="275">
      <c r="A275" s="2" t="str">
        <f>IFERROR(__xludf.DUMMYFUNCTION("""COMPUTED_VALUE"""),"PR025")</f>
        <v>PR025</v>
      </c>
      <c r="B275" s="2" t="str">
        <f>IFERROR(__xludf.DUMMYFUNCTION("""COMPUTED_VALUE"""),"VD033")</f>
        <v>VD033</v>
      </c>
      <c r="C275" s="2">
        <f>IFERROR(__xludf.DUMMYFUNCTION("""COMPUTED_VALUE"""),4.0)</f>
        <v>4</v>
      </c>
      <c r="D275" s="6">
        <f>IFERROR(__xludf.DUMMYFUNCTION("""COMPUTED_VALUE"""),1295.57)</f>
        <v>1295.57</v>
      </c>
      <c r="E275" s="6">
        <f>IFERROR(__xludf.DUMMYFUNCTION("GOOGLEFINANCE(""Currency:BRLMXN"")*D275"),4401.6990749999995)</f>
        <v>4401.699075</v>
      </c>
      <c r="F275" s="6">
        <f>IFERROR(__xludf.DUMMYFUNCTION("GOOGLEFINANCE(""Currency:BRLPEN"")*D275"),849.375692)</f>
        <v>849.375692</v>
      </c>
      <c r="G275" s="2" t="str">
        <f t="array" ref="G275">_xlfn.XLOOKUP(B275,Vendedores!$A$2:$A$41,Vendedores!$B$2:$B$41,"No hay datos")</f>
        <v>Renata Flores</v>
      </c>
      <c r="H275" s="2" t="str">
        <f t="array" ref="H275">_xlfn.XLOOKUP(B275,Vendedores!$A$2:$A$41,Vendedores!$C$2:$C$41,"No hay datos")</f>
        <v>Altos del Sur</v>
      </c>
      <c r="I275" s="2" t="str">
        <f t="array" ref="I275">_xlfn.XLOOKUP(B275,Vendedores!$A$2:$A$41,Vendedores!$D$2:$D$41,"No hay datos")</f>
        <v>Región Central 2</v>
      </c>
      <c r="J275" s="2" t="str">
        <f t="array" ref="J275:N275">_xlfn.XLOOKUP(A275,Productos!$A$2:$A$61,Productos!$B$2:$F$61)</f>
        <v>Chaqueta de mezclilla</v>
      </c>
      <c r="K275" s="2" t="s">
        <v>22</v>
      </c>
      <c r="L275" s="2" t="s">
        <v>10</v>
      </c>
      <c r="M275" s="2" t="s">
        <v>107</v>
      </c>
      <c r="N275" s="2" t="s">
        <v>16</v>
      </c>
    </row>
    <row r="276">
      <c r="A276" s="2" t="str">
        <f>IFERROR(__xludf.DUMMYFUNCTION("""COMPUTED_VALUE"""),"PR056")</f>
        <v>PR056</v>
      </c>
      <c r="B276" s="2" t="str">
        <f>IFERROR(__xludf.DUMMYFUNCTION("""COMPUTED_VALUE"""),"VD025")</f>
        <v>VD025</v>
      </c>
      <c r="C276" s="2">
        <f>IFERROR(__xludf.DUMMYFUNCTION("""COMPUTED_VALUE"""),30.0)</f>
        <v>30</v>
      </c>
      <c r="D276" s="6">
        <f>IFERROR(__xludf.DUMMYFUNCTION("""COMPUTED_VALUE"""),2697.0)</f>
        <v>2697</v>
      </c>
      <c r="E276" s="6">
        <f>IFERROR(__xludf.DUMMYFUNCTION("GOOGLEFINANCE(""Currency:BRLMXN"")*D276"),9163.0575)</f>
        <v>9163.0575</v>
      </c>
      <c r="F276" s="6">
        <f>IFERROR(__xludf.DUMMYFUNCTION("GOOGLEFINANCE(""Currency:BRLPEN"")*D276"),1768.1532)</f>
        <v>1768.1532</v>
      </c>
      <c r="G276" s="2" t="str">
        <f t="array" ref="G276">_xlfn.XLOOKUP(B276,Vendedores!$A$2:$A$41,Vendedores!$B$2:$B$41,"No hay datos")</f>
        <v>Alina Santana</v>
      </c>
      <c r="H276" s="2" t="str">
        <f t="array" ref="H276">_xlfn.XLOOKUP(B276,Vendedores!$A$2:$A$41,Vendedores!$C$2:$C$41,"No hay datos")</f>
        <v>Playa Blanca</v>
      </c>
      <c r="I276" s="2" t="str">
        <f t="array" ref="I276">_xlfn.XLOOKUP(B276,Vendedores!$A$2:$A$41,Vendedores!$D$2:$D$41,"No hay datos")</f>
        <v>Región Norte</v>
      </c>
      <c r="J276" s="2" t="str">
        <f t="array" ref="J276:N276">_xlfn.XLOOKUP(A276,Productos!$A$2:$A$61,Productos!$B$2:$F$61)</f>
        <v>Sandalia plana</v>
      </c>
      <c r="K276" s="2">
        <v>36.0</v>
      </c>
      <c r="L276" s="2" t="s">
        <v>33</v>
      </c>
      <c r="M276" s="2" t="s">
        <v>106</v>
      </c>
      <c r="N276" s="2" t="s">
        <v>35</v>
      </c>
    </row>
    <row r="277">
      <c r="A277" s="2" t="str">
        <f>IFERROR(__xludf.DUMMYFUNCTION("""COMPUTED_VALUE"""),"PR017")</f>
        <v>PR017</v>
      </c>
      <c r="B277" s="2" t="str">
        <f>IFERROR(__xludf.DUMMYFUNCTION("""COMPUTED_VALUE"""),"VD014")</f>
        <v>VD014</v>
      </c>
      <c r="C277" s="2">
        <f>IFERROR(__xludf.DUMMYFUNCTION("""COMPUTED_VALUE"""),10.0)</f>
        <v>10</v>
      </c>
      <c r="D277" s="6">
        <f>IFERROR(__xludf.DUMMYFUNCTION("""COMPUTED_VALUE"""),310.96)</f>
        <v>310.96</v>
      </c>
      <c r="E277" s="6">
        <f>IFERROR(__xludf.DUMMYFUNCTION("GOOGLEFINANCE(""Currency:BRLMXN"")*D277"),1056.4866)</f>
        <v>1056.4866</v>
      </c>
      <c r="F277" s="6">
        <f>IFERROR(__xludf.DUMMYFUNCTION("GOOGLEFINANCE(""Currency:BRLPEN"")*D277"),203.86537599999997)</f>
        <v>203.865376</v>
      </c>
      <c r="G277" s="2" t="str">
        <f t="array" ref="G277">_xlfn.XLOOKUP(B277,Vendedores!$A$2:$A$41,Vendedores!$B$2:$B$41,"No hay datos")</f>
        <v>Carla Flores</v>
      </c>
      <c r="H277" s="2" t="str">
        <f t="array" ref="H277">_xlfn.XLOOKUP(B277,Vendedores!$A$2:$A$41,Vendedores!$C$2:$C$41,"No hay datos")</f>
        <v>Valle Escondido</v>
      </c>
      <c r="I277" s="2" t="str">
        <f t="array" ref="I277">_xlfn.XLOOKUP(B277,Vendedores!$A$2:$A$41,Vendedores!$D$2:$D$41,"No hay datos")</f>
        <v>Región Andina</v>
      </c>
      <c r="J277" s="2" t="str">
        <f t="array" ref="J277:N277">_xlfn.XLOOKUP(A277,Productos!$A$2:$A$61,Productos!$B$2:$F$61)</f>
        <v>Playera lisa</v>
      </c>
      <c r="K277" s="2" t="s">
        <v>17</v>
      </c>
      <c r="L277" s="2" t="s">
        <v>10</v>
      </c>
      <c r="M277" s="2" t="s">
        <v>98</v>
      </c>
      <c r="N277" s="2" t="s">
        <v>99</v>
      </c>
    </row>
    <row r="278">
      <c r="A278" s="2" t="str">
        <f>IFERROR(__xludf.DUMMYFUNCTION("""COMPUTED_VALUE"""),"PR057")</f>
        <v>PR057</v>
      </c>
      <c r="B278" s="2" t="str">
        <f>IFERROR(__xludf.DUMMYFUNCTION("""COMPUTED_VALUE"""),"VD025")</f>
        <v>VD025</v>
      </c>
      <c r="C278" s="2">
        <f>IFERROR(__xludf.DUMMYFUNCTION("""COMPUTED_VALUE"""),3.0)</f>
        <v>3</v>
      </c>
      <c r="D278" s="6">
        <f>IFERROR(__xludf.DUMMYFUNCTION("""COMPUTED_VALUE"""),269.7)</f>
        <v>269.7</v>
      </c>
      <c r="E278" s="6">
        <f>IFERROR(__xludf.DUMMYFUNCTION("GOOGLEFINANCE(""Currency:BRLMXN"")*D278"),916.30575)</f>
        <v>916.30575</v>
      </c>
      <c r="F278" s="6">
        <f>IFERROR(__xludf.DUMMYFUNCTION("GOOGLEFINANCE(""Currency:BRLPEN"")*D278"),176.81531999999999)</f>
        <v>176.81532</v>
      </c>
      <c r="G278" s="2" t="str">
        <f t="array" ref="G278">_xlfn.XLOOKUP(B278,Vendedores!$A$2:$A$41,Vendedores!$B$2:$B$41,"No hay datos")</f>
        <v>Alina Santana</v>
      </c>
      <c r="H278" s="2" t="str">
        <f t="array" ref="H278">_xlfn.XLOOKUP(B278,Vendedores!$A$2:$A$41,Vendedores!$C$2:$C$41,"No hay datos")</f>
        <v>Playa Blanca</v>
      </c>
      <c r="I278" s="2" t="str">
        <f t="array" ref="I278">_xlfn.XLOOKUP(B278,Vendedores!$A$2:$A$41,Vendedores!$D$2:$D$41,"No hay datos")</f>
        <v>Región Norte</v>
      </c>
      <c r="J278" s="2" t="str">
        <f t="array" ref="J278:N278">_xlfn.XLOOKUP(A278,Productos!$A$2:$A$61,Productos!$B$2:$F$61)</f>
        <v>Sandalia plana</v>
      </c>
      <c r="K278" s="2">
        <v>37.0</v>
      </c>
      <c r="L278" s="2" t="s">
        <v>33</v>
      </c>
      <c r="M278" s="2" t="s">
        <v>58</v>
      </c>
      <c r="N278" s="2" t="s">
        <v>35</v>
      </c>
    </row>
    <row r="279">
      <c r="A279" s="2" t="str">
        <f>IFERROR(__xludf.DUMMYFUNCTION("""COMPUTED_VALUE"""),"PR033")</f>
        <v>PR033</v>
      </c>
      <c r="B279" s="2" t="str">
        <f>IFERROR(__xludf.DUMMYFUNCTION("""COMPUTED_VALUE"""),"VD016")</f>
        <v>VD016</v>
      </c>
      <c r="C279" s="2">
        <f>IFERROR(__xludf.DUMMYFUNCTION("""COMPUTED_VALUE"""),3.0)</f>
        <v>3</v>
      </c>
      <c r="D279" s="6">
        <f>IFERROR(__xludf.DUMMYFUNCTION("""COMPUTED_VALUE"""),818.69)</f>
        <v>818.69</v>
      </c>
      <c r="E279" s="6">
        <f>IFERROR(__xludf.DUMMYFUNCTION("GOOGLEFINANCE(""Currency:BRLMXN"")*D279"),2781.499275)</f>
        <v>2781.499275</v>
      </c>
      <c r="F279" s="6">
        <f>IFERROR(__xludf.DUMMYFUNCTION("GOOGLEFINANCE(""Currency:BRLPEN"")*D279"),536.733164)</f>
        <v>536.733164</v>
      </c>
      <c r="G279" s="2" t="str">
        <f t="array" ref="G279">_xlfn.XLOOKUP(B279,Vendedores!$A$2:$A$41,Vendedores!$B$2:$B$41,"No hay datos")</f>
        <v>Beatriz Linares</v>
      </c>
      <c r="H279" s="2" t="str">
        <f t="array" ref="H279">_xlfn.XLOOKUP(B279,Vendedores!$A$2:$A$41,Vendedores!$C$2:$C$41,"No hay datos")</f>
        <v>Puerto Esperanza</v>
      </c>
      <c r="I279" s="2" t="str">
        <f t="array" ref="I279">_xlfn.XLOOKUP(B279,Vendedores!$A$2:$A$41,Vendedores!$D$2:$D$41,"No hay datos")</f>
        <v>Región Sur</v>
      </c>
      <c r="J279" s="2" t="str">
        <f t="array" ref="J279:N279">_xlfn.XLOOKUP(A279,Productos!$A$2:$A$61,Productos!$B$2:$F$61)</f>
        <v>Tenis Chunky</v>
      </c>
      <c r="K279" s="2">
        <v>38.0</v>
      </c>
      <c r="L279" s="2" t="s">
        <v>33</v>
      </c>
      <c r="M279" s="2" t="s">
        <v>63</v>
      </c>
      <c r="N279" s="2" t="s">
        <v>64</v>
      </c>
    </row>
    <row r="280">
      <c r="A280" s="2" t="str">
        <f>IFERROR(__xludf.DUMMYFUNCTION("""COMPUTED_VALUE"""),"PR029")</f>
        <v>PR029</v>
      </c>
      <c r="B280" s="2" t="str">
        <f>IFERROR(__xludf.DUMMYFUNCTION("""COMPUTED_VALUE"""),"VD038")</f>
        <v>VD038</v>
      </c>
      <c r="C280" s="2">
        <f>IFERROR(__xludf.DUMMYFUNCTION("""COMPUTED_VALUE"""),3.0)</f>
        <v>3</v>
      </c>
      <c r="D280" s="6">
        <f>IFERROR(__xludf.DUMMYFUNCTION("""COMPUTED_VALUE"""),818.55)</f>
        <v>818.55</v>
      </c>
      <c r="E280" s="6">
        <f>IFERROR(__xludf.DUMMYFUNCTION("GOOGLEFINANCE(""Currency:BRLMXN"")*D280"),2781.023625)</f>
        <v>2781.023625</v>
      </c>
      <c r="F280" s="6">
        <f>IFERROR(__xludf.DUMMYFUNCTION("GOOGLEFINANCE(""Currency:BRLPEN"")*D280"),536.6413799999999)</f>
        <v>536.64138</v>
      </c>
      <c r="G280" s="2" t="str">
        <f t="array" ref="G280">_xlfn.XLOOKUP(B280,Vendedores!$A$2:$A$41,Vendedores!$B$2:$B$41,"No hay datos")</f>
        <v>Bruno Olmedo</v>
      </c>
      <c r="H280" s="2" t="str">
        <f t="array" ref="H280">_xlfn.XLOOKUP(B280,Vendedores!$A$2:$A$41,Vendedores!$C$2:$C$41,"No hay datos")</f>
        <v>Tierra Fertil</v>
      </c>
      <c r="I280" s="2" t="str">
        <f t="array" ref="I280">_xlfn.XLOOKUP(B280,Vendedores!$A$2:$A$41,Vendedores!$D$2:$D$41,"No hay datos")</f>
        <v>Región Sur 2</v>
      </c>
      <c r="J280" s="2" t="str">
        <f t="array" ref="J280:N280">_xlfn.XLOOKUP(A280,Productos!$A$2:$A$61,Productos!$B$2:$F$61)</f>
        <v>Tenis Atitas</v>
      </c>
      <c r="K280" s="2">
        <v>37.0</v>
      </c>
      <c r="L280" s="2" t="s">
        <v>33</v>
      </c>
      <c r="M280" s="2" t="s">
        <v>96</v>
      </c>
      <c r="N280" s="2" t="s">
        <v>97</v>
      </c>
    </row>
    <row r="281">
      <c r="A281" s="2" t="str">
        <f>IFERROR(__xludf.DUMMYFUNCTION("""COMPUTED_VALUE"""),"PR060")</f>
        <v>PR060</v>
      </c>
      <c r="B281" s="2" t="str">
        <f>IFERROR(__xludf.DUMMYFUNCTION("""COMPUTED_VALUE"""),"VD039")</f>
        <v>VD039</v>
      </c>
      <c r="C281" s="2">
        <f>IFERROR(__xludf.DUMMYFUNCTION("""COMPUTED_VALUE"""),7.0)</f>
        <v>7</v>
      </c>
      <c r="D281" s="6">
        <f>IFERROR(__xludf.DUMMYFUNCTION("""COMPUTED_VALUE"""),1386.0)</f>
        <v>1386</v>
      </c>
      <c r="E281" s="6">
        <f>IFERROR(__xludf.DUMMYFUNCTION("GOOGLEFINANCE(""Currency:BRLMXN"")*D281"),4708.935)</f>
        <v>4708.935</v>
      </c>
      <c r="F281" s="6">
        <f>IFERROR(__xludf.DUMMYFUNCTION("GOOGLEFINANCE(""Currency:BRLPEN"")*D281"),908.6615999999999)</f>
        <v>908.6616</v>
      </c>
      <c r="G281" s="2" t="str">
        <f t="array" ref="G281">_xlfn.XLOOKUP(B281,Vendedores!$A$2:$A$41,Vendedores!$B$2:$B$41,"No hay datos")</f>
        <v>Daniela Rodríguez</v>
      </c>
      <c r="H281" s="2" t="str">
        <f t="array" ref="H281">_xlfn.XLOOKUP(B281,Vendedores!$A$2:$A$41,Vendedores!$C$2:$C$41,"No hay datos")</f>
        <v>Bahía del Sol</v>
      </c>
      <c r="I281" s="2" t="str">
        <f t="array" ref="I281">_xlfn.XLOOKUP(B281,Vendedores!$A$2:$A$41,Vendedores!$D$2:$D$41,"No hay datos")</f>
        <v>Región Central 2</v>
      </c>
      <c r="J281" s="2" t="str">
        <f t="array" ref="J281:N281">_xlfn.XLOOKUP(A281,Productos!$A$2:$A$61,Productos!$B$2:$F$61)</f>
        <v>Pantalón de sastre</v>
      </c>
      <c r="K281" s="2" t="s">
        <v>22</v>
      </c>
      <c r="L281" s="2" t="s">
        <v>10</v>
      </c>
      <c r="M281" s="2" t="s">
        <v>75</v>
      </c>
      <c r="N281" s="2" t="s">
        <v>14</v>
      </c>
    </row>
    <row r="282">
      <c r="A282" s="2" t="str">
        <f>IFERROR(__xludf.DUMMYFUNCTION("""COMPUTED_VALUE"""),"PR031")</f>
        <v>PR031</v>
      </c>
      <c r="B282" s="2" t="str">
        <f>IFERROR(__xludf.DUMMYFUNCTION("""COMPUTED_VALUE"""),"VD029")</f>
        <v>VD029</v>
      </c>
      <c r="C282" s="2">
        <f>IFERROR(__xludf.DUMMYFUNCTION("""COMPUTED_VALUE"""),6.0)</f>
        <v>6</v>
      </c>
      <c r="D282" s="6">
        <f>IFERROR(__xludf.DUMMYFUNCTION("""COMPUTED_VALUE"""),1484.7)</f>
        <v>1484.7</v>
      </c>
      <c r="E282" s="6">
        <f>IFERROR(__xludf.DUMMYFUNCTION("GOOGLEFINANCE(""Currency:BRLMXN"")*D282"),5044.26825)</f>
        <v>5044.26825</v>
      </c>
      <c r="F282" s="6">
        <f>IFERROR(__xludf.DUMMYFUNCTION("GOOGLEFINANCE(""Currency:BRLPEN"")*D282"),973.36932)</f>
        <v>973.36932</v>
      </c>
      <c r="G282" s="2" t="str">
        <f t="array" ref="G282">_xlfn.XLOOKUP(B282,Vendedores!$A$2:$A$41,Vendedores!$B$2:$B$41,"No hay datos")</f>
        <v>Gabriela Sosa</v>
      </c>
      <c r="H282" s="2" t="str">
        <f t="array" ref="H282">_xlfn.XLOOKUP(B282,Vendedores!$A$2:$A$41,Vendedores!$C$2:$C$41,"No hay datos")</f>
        <v>Selva Verde</v>
      </c>
      <c r="I282" s="2" t="str">
        <f t="array" ref="I282">_xlfn.XLOOKUP(B282,Vendedores!$A$2:$A$41,Vendedores!$D$2:$D$41,"No hay datos")</f>
        <v>Región Amazónica</v>
      </c>
      <c r="J282" s="2" t="str">
        <f t="array" ref="J282:N282">_xlfn.XLOOKUP(A282,Productos!$A$2:$A$61,Productos!$B$2:$F$61)</f>
        <v>Tenis Chunky</v>
      </c>
      <c r="K282" s="2">
        <v>36.0</v>
      </c>
      <c r="L282" s="2" t="s">
        <v>33</v>
      </c>
      <c r="M282" s="2" t="s">
        <v>84</v>
      </c>
      <c r="N282" s="2" t="s">
        <v>85</v>
      </c>
    </row>
    <row r="283">
      <c r="A283" s="2" t="str">
        <f>IFERROR(__xludf.DUMMYFUNCTION("""COMPUTED_VALUE"""),"PR038")</f>
        <v>PR038</v>
      </c>
      <c r="B283" s="2" t="str">
        <f>IFERROR(__xludf.DUMMYFUNCTION("""COMPUTED_VALUE"""),"VD036")</f>
        <v>VD036</v>
      </c>
      <c r="C283" s="2">
        <f>IFERROR(__xludf.DUMMYFUNCTION("""COMPUTED_VALUE"""),21.0)</f>
        <v>21</v>
      </c>
      <c r="D283" s="6">
        <f>IFERROR(__xludf.DUMMYFUNCTION("""COMPUTED_VALUE"""),3240.97)</f>
        <v>3240.97</v>
      </c>
      <c r="E283" s="6">
        <f>IFERROR(__xludf.DUMMYFUNCTION("GOOGLEFINANCE(""Currency:BRLMXN"")*D283"),11011.195575)</f>
        <v>11011.19558</v>
      </c>
      <c r="F283" s="6">
        <f>IFERROR(__xludf.DUMMYFUNCTION("GOOGLEFINANCE(""Currency:BRLPEN"")*D283"),2124.779932)</f>
        <v>2124.779932</v>
      </c>
      <c r="G283" s="2" t="str">
        <f t="array" ref="G283">_xlfn.XLOOKUP(B283,Vendedores!$A$2:$A$41,Vendedores!$B$2:$B$41,"No hay datos")</f>
        <v>Ricardo Sosa</v>
      </c>
      <c r="H283" s="2" t="str">
        <f t="array" ref="H283">_xlfn.XLOOKUP(B283,Vendedores!$A$2:$A$41,Vendedores!$C$2:$C$41,"No hay datos")</f>
        <v>Puerto Nuevo</v>
      </c>
      <c r="I283" s="2" t="str">
        <f t="array" ref="I283">_xlfn.XLOOKUP(B283,Vendedores!$A$2:$A$41,Vendedores!$D$2:$D$41,"No hay datos")</f>
        <v>Región Central 2</v>
      </c>
      <c r="J283" s="2" t="str">
        <f t="array" ref="J283:N283">_xlfn.XLOOKUP(A283,Productos!$A$2:$A$61,Productos!$B$2:$F$61)</f>
        <v>Vestido largo</v>
      </c>
      <c r="K283" s="2" t="s">
        <v>17</v>
      </c>
      <c r="L283" s="2" t="s">
        <v>10</v>
      </c>
      <c r="M283" s="2" t="s">
        <v>51</v>
      </c>
      <c r="N283" s="2" t="s">
        <v>52</v>
      </c>
    </row>
    <row r="284">
      <c r="A284" s="2" t="str">
        <f>IFERROR(__xludf.DUMMYFUNCTION("""COMPUTED_VALUE"""),"PR054")</f>
        <v>PR054</v>
      </c>
      <c r="B284" s="2" t="str">
        <f>IFERROR(__xludf.DUMMYFUNCTION("""COMPUTED_VALUE"""),"VD041")</f>
        <v>VD041</v>
      </c>
      <c r="C284" s="2">
        <f>IFERROR(__xludf.DUMMYFUNCTION("""COMPUTED_VALUE"""),10.0)</f>
        <v>10</v>
      </c>
      <c r="D284" s="6">
        <f>IFERROR(__xludf.DUMMYFUNCTION("""COMPUTED_VALUE"""),499.0)</f>
        <v>499</v>
      </c>
      <c r="E284" s="6">
        <f>IFERROR(__xludf.DUMMYFUNCTION("GOOGLEFINANCE(""Currency:BRLMXN"")*D284"),1695.3525)</f>
        <v>1695.3525</v>
      </c>
      <c r="F284" s="6">
        <f>IFERROR(__xludf.DUMMYFUNCTION("GOOGLEFINANCE(""Currency:BRLPEN"")*D284"),327.14439999999996)</f>
        <v>327.1444</v>
      </c>
      <c r="G284" s="2" t="str">
        <f t="array" ref="G284">_xlfn.XLOOKUP(B284,Vendedores!$A$2:$A$41,Vendedores!$B$2:$B$41,"No hay datos")</f>
        <v>Alejandro Ramos</v>
      </c>
      <c r="H284" s="2" t="str">
        <f t="array" ref="H284">_xlfn.XLOOKUP(B284,Vendedores!$A$2:$A$41,Vendedores!$C$2:$C$41,"No hay datos")</f>
        <v>San Martín de las Rosas</v>
      </c>
      <c r="I284" s="2" t="str">
        <f t="array" ref="I284">_xlfn.XLOOKUP(B284,Vendedores!$A$2:$A$41,Vendedores!$D$2:$D$41,"No hay datos")</f>
        <v>Región Central 2</v>
      </c>
      <c r="J284" s="2" t="str">
        <f t="array" ref="J284:N284">_xlfn.XLOOKUP(A284,Productos!$A$2:$A$61,Productos!$B$2:$F$61)</f>
        <v>Falda plisada</v>
      </c>
      <c r="K284" s="2" t="s">
        <v>22</v>
      </c>
      <c r="L284" s="2" t="s">
        <v>10</v>
      </c>
      <c r="M284" s="2" t="s">
        <v>42</v>
      </c>
      <c r="N284" s="2" t="s">
        <v>32</v>
      </c>
    </row>
    <row r="285">
      <c r="A285" s="2" t="str">
        <f>IFERROR(__xludf.DUMMYFUNCTION("""COMPUTED_VALUE"""),"PR022")</f>
        <v>PR022</v>
      </c>
      <c r="B285" s="2" t="str">
        <f>IFERROR(__xludf.DUMMYFUNCTION("""COMPUTED_VALUE"""),"VD045")</f>
        <v>VD045</v>
      </c>
      <c r="C285" s="2">
        <f>IFERROR(__xludf.DUMMYFUNCTION("""COMPUTED_VALUE"""),1.0)</f>
        <v>1</v>
      </c>
      <c r="D285" s="6">
        <f>IFERROR(__xludf.DUMMYFUNCTION("""COMPUTED_VALUE"""),306.0)</f>
        <v>306</v>
      </c>
      <c r="E285" s="6">
        <f>IFERROR(__xludf.DUMMYFUNCTION("GOOGLEFINANCE(""Currency:BRLMXN"")*D285"),1039.635)</f>
        <v>1039.635</v>
      </c>
      <c r="F285" s="6">
        <f>IFERROR(__xludf.DUMMYFUNCTION("GOOGLEFINANCE(""Currency:BRLPEN"")*D285"),200.6136)</f>
        <v>200.6136</v>
      </c>
      <c r="G285" s="2" t="str">
        <f t="array" ref="G285">_xlfn.XLOOKUP(B285,Vendedores!$A$2:$A$41,Vendedores!$B$2:$B$41,"No hay datos")</f>
        <v>Rafael Morales</v>
      </c>
      <c r="H285" s="2" t="str">
        <f t="array" ref="H285">_xlfn.XLOOKUP(B285,Vendedores!$A$2:$A$41,Vendedores!$C$2:$C$41,"No hay datos")</f>
        <v>Valle Dorado</v>
      </c>
      <c r="I285" s="2" t="str">
        <f t="array" ref="I285">_xlfn.XLOOKUP(B285,Vendedores!$A$2:$A$41,Vendedores!$D$2:$D$41,"No hay datos")</f>
        <v>Región Central 2</v>
      </c>
      <c r="J285" s="2" t="str">
        <f t="array" ref="J285:N285">_xlfn.XLOOKUP(A285,Productos!$A$2:$A$61,Productos!$B$2:$F$61)</f>
        <v>Chaqueta de cuero</v>
      </c>
      <c r="K285" s="2" t="s">
        <v>22</v>
      </c>
      <c r="L285" s="2" t="s">
        <v>10</v>
      </c>
      <c r="M285" s="2" t="s">
        <v>78</v>
      </c>
      <c r="N285" s="2" t="s">
        <v>79</v>
      </c>
    </row>
    <row r="286">
      <c r="A286" s="2" t="str">
        <f>IFERROR(__xludf.DUMMYFUNCTION("""COMPUTED_VALUE"""),"PR034")</f>
        <v>PR034</v>
      </c>
      <c r="B286" s="2" t="str">
        <f>IFERROR(__xludf.DUMMYFUNCTION("""COMPUTED_VALUE"""),"VD033")</f>
        <v>VD033</v>
      </c>
      <c r="C286" s="2">
        <f>IFERROR(__xludf.DUMMYFUNCTION("""COMPUTED_VALUE"""),18.0)</f>
        <v>18</v>
      </c>
      <c r="D286" s="6">
        <f>IFERROR(__xludf.DUMMYFUNCTION("""COMPUTED_VALUE"""),1747.66)</f>
        <v>1747.66</v>
      </c>
      <c r="E286" s="6">
        <f>IFERROR(__xludf.DUMMYFUNCTION("GOOGLEFINANCE(""Currency:BRLMXN"")*D286"),5937.67485)</f>
        <v>5937.67485</v>
      </c>
      <c r="F286" s="6">
        <f>IFERROR(__xludf.DUMMYFUNCTION("GOOGLEFINANCE(""Currency:BRLPEN"")*D286"),1145.7658959999999)</f>
        <v>1145.765896</v>
      </c>
      <c r="G286" s="2" t="str">
        <f t="array" ref="G286">_xlfn.XLOOKUP(B286,Vendedores!$A$2:$A$41,Vendedores!$B$2:$B$41,"No hay datos")</f>
        <v>Renata Flores</v>
      </c>
      <c r="H286" s="2" t="str">
        <f t="array" ref="H286">_xlfn.XLOOKUP(B286,Vendedores!$A$2:$A$41,Vendedores!$C$2:$C$41,"No hay datos")</f>
        <v>Altos del Sur</v>
      </c>
      <c r="I286" s="2" t="str">
        <f t="array" ref="I286">_xlfn.XLOOKUP(B286,Vendedores!$A$2:$A$41,Vendedores!$D$2:$D$41,"No hay datos")</f>
        <v>Región Central 2</v>
      </c>
      <c r="J286" s="2" t="str">
        <f t="array" ref="J286:N286">_xlfn.XLOOKUP(A286,Productos!$A$2:$A$61,Productos!$B$2:$F$61)</f>
        <v>Vestido corto</v>
      </c>
      <c r="K286" s="2" t="s">
        <v>9</v>
      </c>
      <c r="L286" s="2" t="s">
        <v>10</v>
      </c>
      <c r="M286" s="2" t="s">
        <v>93</v>
      </c>
      <c r="N286" s="2" t="s">
        <v>35</v>
      </c>
    </row>
    <row r="287">
      <c r="A287" s="2" t="str">
        <f>IFERROR(__xludf.DUMMYFUNCTION("""COMPUTED_VALUE"""),"PR010")</f>
        <v>PR010</v>
      </c>
      <c r="B287" s="2" t="str">
        <f>IFERROR(__xludf.DUMMYFUNCTION("""COMPUTED_VALUE"""),"VD034")</f>
        <v>VD034</v>
      </c>
      <c r="C287" s="2">
        <f>IFERROR(__xludf.DUMMYFUNCTION("""COMPUTED_VALUE"""),12.0)</f>
        <v>12</v>
      </c>
      <c r="D287" s="6">
        <f>IFERROR(__xludf.DUMMYFUNCTION("""COMPUTED_VALUE"""),538.8)</f>
        <v>538.8</v>
      </c>
      <c r="E287" s="6">
        <f>IFERROR(__xludf.DUMMYFUNCTION("GOOGLEFINANCE(""Currency:BRLMXN"")*D287"),1830.5729999999999)</f>
        <v>1830.573</v>
      </c>
      <c r="F287" s="6">
        <f>IFERROR(__xludf.DUMMYFUNCTION("GOOGLEFINANCE(""Currency:BRLPEN"")*D287"),353.23727999999994)</f>
        <v>353.23728</v>
      </c>
      <c r="G287" s="2" t="str">
        <f t="array" ref="G287">_xlfn.XLOOKUP(B287,Vendedores!$A$2:$A$41,Vendedores!$B$2:$B$41,"No hay datos")</f>
        <v>Felipe Carvajal</v>
      </c>
      <c r="H287" s="2" t="str">
        <f t="array" ref="H287">_xlfn.XLOOKUP(B287,Vendedores!$A$2:$A$41,Vendedores!$C$2:$C$41,"No hay datos")</f>
        <v>San Pedro del Río</v>
      </c>
      <c r="I287" s="2" t="str">
        <f t="array" ref="I287">_xlfn.XLOOKUP(B287,Vendedores!$A$2:$A$41,Vendedores!$D$2:$D$41,"No hay datos")</f>
        <v>Región Sur 2</v>
      </c>
      <c r="J287" s="2" t="str">
        <f t="array" ref="J287:N287">_xlfn.XLOOKUP(A287,Productos!$A$2:$A$61,Productos!$B$2:$F$61)</f>
        <v>Pantalón legging</v>
      </c>
      <c r="K287" s="2" t="s">
        <v>9</v>
      </c>
      <c r="L287" s="2" t="s">
        <v>10</v>
      </c>
      <c r="M287" s="2" t="s">
        <v>86</v>
      </c>
      <c r="N287" s="2" t="s">
        <v>87</v>
      </c>
    </row>
    <row r="288">
      <c r="A288" s="2" t="str">
        <f>IFERROR(__xludf.DUMMYFUNCTION("""COMPUTED_VALUE"""),"PR058")</f>
        <v>PR058</v>
      </c>
      <c r="B288" s="2" t="str">
        <f>IFERROR(__xludf.DUMMYFUNCTION("""COMPUTED_VALUE"""),"VD031")</f>
        <v>VD031</v>
      </c>
      <c r="C288" s="2">
        <f>IFERROR(__xludf.DUMMYFUNCTION("""COMPUTED_VALUE"""),10.0)</f>
        <v>10</v>
      </c>
      <c r="D288" s="6">
        <f>IFERROR(__xludf.DUMMYFUNCTION("""COMPUTED_VALUE"""),1890.0)</f>
        <v>1890</v>
      </c>
      <c r="E288" s="6">
        <f>IFERROR(__xludf.DUMMYFUNCTION("GOOGLEFINANCE(""Currency:BRLMXN"")*D288"),6421.275)</f>
        <v>6421.275</v>
      </c>
      <c r="F288" s="6">
        <f>IFERROR(__xludf.DUMMYFUNCTION("GOOGLEFINANCE(""Currency:BRLPEN"")*D288"),1239.0839999999998)</f>
        <v>1239.084</v>
      </c>
      <c r="G288" s="2" t="str">
        <f t="array" ref="G288">_xlfn.XLOOKUP(B288,Vendedores!$A$2:$A$41,Vendedores!$B$2:$B$41,"No hay datos")</f>
        <v>Vanessa Martínez</v>
      </c>
      <c r="H288" s="2" t="str">
        <f t="array" ref="H288">_xlfn.XLOOKUP(B288,Vendedores!$A$2:$A$41,Vendedores!$C$2:$C$41,"No hay datos")</f>
        <v>Monte Verde</v>
      </c>
      <c r="I288" s="2" t="str">
        <f t="array" ref="I288">_xlfn.XLOOKUP(B288,Vendedores!$A$2:$A$41,Vendedores!$D$2:$D$41,"No hay datos")</f>
        <v>Región Central 2</v>
      </c>
      <c r="J288" s="2" t="str">
        <f t="array" ref="J288:N288">_xlfn.XLOOKUP(A288,Productos!$A$2:$A$61,Productos!$B$2:$F$61)</f>
        <v>Pantalón de sastre</v>
      </c>
      <c r="K288" s="2" t="s">
        <v>9</v>
      </c>
      <c r="L288" s="2" t="s">
        <v>10</v>
      </c>
      <c r="M288" s="2" t="s">
        <v>13</v>
      </c>
      <c r="N288" s="2" t="s">
        <v>14</v>
      </c>
    </row>
    <row r="289">
      <c r="A289" s="2" t="str">
        <f>IFERROR(__xludf.DUMMYFUNCTION("""COMPUTED_VALUE"""),"PR012")</f>
        <v>PR012</v>
      </c>
      <c r="B289" s="2" t="str">
        <f>IFERROR(__xludf.DUMMYFUNCTION("""COMPUTED_VALUE"""),"VD015")</f>
        <v>VD015</v>
      </c>
      <c r="C289" s="2">
        <f>IFERROR(__xludf.DUMMYFUNCTION("""COMPUTED_VALUE"""),2.0)</f>
        <v>2</v>
      </c>
      <c r="D289" s="6">
        <f>IFERROR(__xludf.DUMMYFUNCTION("""COMPUTED_VALUE"""),103.67)</f>
        <v>103.67</v>
      </c>
      <c r="E289" s="6">
        <f>IFERROR(__xludf.DUMMYFUNCTION("GOOGLEFINANCE(""Currency:BRLMXN"")*D289"),352.218825)</f>
        <v>352.218825</v>
      </c>
      <c r="F289" s="6">
        <f>IFERROR(__xludf.DUMMYFUNCTION("GOOGLEFINANCE(""Currency:BRLPEN"")*D289"),67.96605199999999)</f>
        <v>67.966052</v>
      </c>
      <c r="G289" s="2" t="str">
        <f t="array" ref="G289">_xlfn.XLOOKUP(B289,Vendedores!$A$2:$A$41,Vendedores!$B$2:$B$41,"No hay datos")</f>
        <v>Lucas Castillo</v>
      </c>
      <c r="H289" s="2" t="str">
        <f t="array" ref="H289">_xlfn.XLOOKUP(B289,Vendedores!$A$2:$A$41,Vendedores!$C$2:$C$41,"No hay datos")</f>
        <v>San Miguel de los Pinos</v>
      </c>
      <c r="I289" s="2" t="str">
        <f t="array" ref="I289">_xlfn.XLOOKUP(B289,Vendedores!$A$2:$A$41,Vendedores!$D$2:$D$41,"No hay datos")</f>
        <v>Región Sur</v>
      </c>
      <c r="J289" s="2" t="str">
        <f t="array" ref="J289:N289">_xlfn.XLOOKUP(A289,Productos!$A$2:$A$61,Productos!$B$2:$F$61)</f>
        <v>Pantalón legging</v>
      </c>
      <c r="K289" s="2" t="s">
        <v>22</v>
      </c>
      <c r="L289" s="2" t="s">
        <v>10</v>
      </c>
      <c r="M289" s="2" t="s">
        <v>88</v>
      </c>
      <c r="N289" s="2" t="s">
        <v>89</v>
      </c>
    </row>
    <row r="290">
      <c r="A290" s="2" t="str">
        <f>IFERROR(__xludf.DUMMYFUNCTION("""COMPUTED_VALUE"""),"PR004")</f>
        <v>PR004</v>
      </c>
      <c r="B290" s="2" t="str">
        <f>IFERROR(__xludf.DUMMYFUNCTION("""COMPUTED_VALUE"""),"VD031")</f>
        <v>VD031</v>
      </c>
      <c r="C290" s="2">
        <f>IFERROR(__xludf.DUMMYFUNCTION("""COMPUTED_VALUE"""),1.0)</f>
        <v>1</v>
      </c>
      <c r="D290" s="6">
        <f>IFERROR(__xludf.DUMMYFUNCTION("""COMPUTED_VALUE"""),149.35)</f>
        <v>149.35</v>
      </c>
      <c r="E290" s="6">
        <f>IFERROR(__xludf.DUMMYFUNCTION("GOOGLEFINANCE(""Currency:BRLMXN"")*D290"),507.41662499999995)</f>
        <v>507.416625</v>
      </c>
      <c r="F290" s="6">
        <f>IFERROR(__xludf.DUMMYFUNCTION("GOOGLEFINANCE(""Currency:BRLPEN"")*D290"),97.91385999999999)</f>
        <v>97.91386</v>
      </c>
      <c r="G290" s="2" t="str">
        <f t="array" ref="G290">_xlfn.XLOOKUP(B290,Vendedores!$A$2:$A$41,Vendedores!$B$2:$B$41,"No hay datos")</f>
        <v>Vanessa Martínez</v>
      </c>
      <c r="H290" s="2" t="str">
        <f t="array" ref="H290">_xlfn.XLOOKUP(B290,Vendedores!$A$2:$A$41,Vendedores!$C$2:$C$41,"No hay datos")</f>
        <v>Monte Verde</v>
      </c>
      <c r="I290" s="2" t="str">
        <f t="array" ref="I290">_xlfn.XLOOKUP(B290,Vendedores!$A$2:$A$41,Vendedores!$D$2:$D$41,"No hay datos")</f>
        <v>Región Central 2</v>
      </c>
      <c r="J290" s="2" t="str">
        <f t="array" ref="J290:N290">_xlfn.XLOOKUP(A290,Productos!$A$2:$A$61,Productos!$B$2:$F$61)</f>
        <v>Bolso versátil</v>
      </c>
      <c r="K290" s="2" t="s">
        <v>29</v>
      </c>
      <c r="L290" s="2" t="s">
        <v>30</v>
      </c>
      <c r="M290" s="2" t="s">
        <v>59</v>
      </c>
      <c r="N290" s="2" t="s">
        <v>60</v>
      </c>
    </row>
    <row r="291">
      <c r="A291" s="2" t="str">
        <f>IFERROR(__xludf.DUMMYFUNCTION("""COMPUTED_VALUE"""),"PR027")</f>
        <v>PR027</v>
      </c>
      <c r="B291" s="2" t="str">
        <f>IFERROR(__xludf.DUMMYFUNCTION("""COMPUTED_VALUE"""),"VD030")</f>
        <v>VD030</v>
      </c>
      <c r="C291" s="2">
        <f>IFERROR(__xludf.DUMMYFUNCTION("""COMPUTED_VALUE"""),6.0)</f>
        <v>6</v>
      </c>
      <c r="D291" s="6">
        <f>IFERROR(__xludf.DUMMYFUNCTION("""COMPUTED_VALUE"""),770.4)</f>
        <v>770.4</v>
      </c>
      <c r="E291" s="6">
        <f>IFERROR(__xludf.DUMMYFUNCTION("GOOGLEFINANCE(""Currency:BRLMXN"")*D291"),2617.4339999999997)</f>
        <v>2617.434</v>
      </c>
      <c r="F291" s="6">
        <f>IFERROR(__xludf.DUMMYFUNCTION("GOOGLEFINANCE(""Currency:BRLPEN"")*D291"),505.07424)</f>
        <v>505.07424</v>
      </c>
      <c r="G291" s="2" t="str">
        <f t="array" ref="G291">_xlfn.XLOOKUP(B291,Vendedores!$A$2:$A$41,Vendedores!$B$2:$B$41,"No hay datos")</f>
        <v>Leonardo Rojas</v>
      </c>
      <c r="H291" s="2" t="str">
        <f t="array" ref="H291">_xlfn.XLOOKUP(B291,Vendedores!$A$2:$A$41,Vendedores!$C$2:$C$41,"No hay datos")</f>
        <v>Villa del Sol</v>
      </c>
      <c r="I291" s="2" t="str">
        <f t="array" ref="I291">_xlfn.XLOOKUP(B291,Vendedores!$A$2:$A$41,Vendedores!$D$2:$D$41,"No hay datos")</f>
        <v>Región Central 2</v>
      </c>
      <c r="J291" s="2" t="str">
        <f t="array" ref="J291:N291">_xlfn.XLOOKUP(A291,Productos!$A$2:$A$61,Productos!$B$2:$F$61)</f>
        <v>Gafas redondas</v>
      </c>
      <c r="K291" s="2" t="s">
        <v>29</v>
      </c>
      <c r="L291" s="2" t="s">
        <v>30</v>
      </c>
      <c r="M291" s="2" t="s">
        <v>53</v>
      </c>
      <c r="N291" s="2" t="s">
        <v>54</v>
      </c>
    </row>
    <row r="292">
      <c r="A292" s="2" t="str">
        <f>IFERROR(__xludf.DUMMYFUNCTION("""COMPUTED_VALUE"""),"PR020")</f>
        <v>PR020</v>
      </c>
      <c r="B292" s="2" t="str">
        <f>IFERROR(__xludf.DUMMYFUNCTION("""COMPUTED_VALUE"""),"VD032")</f>
        <v>VD032</v>
      </c>
      <c r="C292" s="2">
        <f>IFERROR(__xludf.DUMMYFUNCTION("""COMPUTED_VALUE"""),18.0)</f>
        <v>18</v>
      </c>
      <c r="D292" s="6">
        <f>IFERROR(__xludf.DUMMYFUNCTION("""COMPUTED_VALUE"""),5668.11)</f>
        <v>5668.11</v>
      </c>
      <c r="E292" s="6">
        <f>IFERROR(__xludf.DUMMYFUNCTION("GOOGLEFINANCE(""Currency:BRLMXN"")*D292"),19257.403725)</f>
        <v>19257.40373</v>
      </c>
      <c r="F292" s="6">
        <f>IFERROR(__xludf.DUMMYFUNCTION("GOOGLEFINANCE(""Currency:BRLPEN"")*D292"),3716.0129159999997)</f>
        <v>3716.012916</v>
      </c>
      <c r="G292" s="2" t="str">
        <f t="array" ref="G292">_xlfn.XLOOKUP(B292,Vendedores!$A$2:$A$41,Vendedores!$B$2:$B$41,"No hay datos")</f>
        <v>Eduardo Almonte</v>
      </c>
      <c r="H292" s="2" t="str">
        <f t="array" ref="H292">_xlfn.XLOOKUP(B292,Vendedores!$A$2:$A$41,Vendedores!$C$2:$C$41,"No hay datos")</f>
        <v>Tierra Colorada</v>
      </c>
      <c r="I292" s="2" t="str">
        <f t="array" ref="I292">_xlfn.XLOOKUP(B292,Vendedores!$A$2:$A$41,Vendedores!$D$2:$D$41,"No hay datos")</f>
        <v>Región Central 2</v>
      </c>
      <c r="J292" s="2" t="str">
        <f t="array" ref="J292:N292">_xlfn.XLOOKUP(A292,Productos!$A$2:$A$61,Productos!$B$2:$F$61)</f>
        <v>Chaqueta de cuero</v>
      </c>
      <c r="K292" s="2" t="s">
        <v>9</v>
      </c>
      <c r="L292" s="2" t="s">
        <v>10</v>
      </c>
      <c r="M292" s="2" t="s">
        <v>15</v>
      </c>
      <c r="N292" s="2" t="s">
        <v>16</v>
      </c>
    </row>
    <row r="293">
      <c r="A293" s="2" t="str">
        <f>IFERROR(__xludf.DUMMYFUNCTION("""COMPUTED_VALUE"""),"PR016")</f>
        <v>PR016</v>
      </c>
      <c r="B293" s="2" t="str">
        <f>IFERROR(__xludf.DUMMYFUNCTION("""COMPUTED_VALUE"""),"VD032")</f>
        <v>VD032</v>
      </c>
      <c r="C293" s="2">
        <f>IFERROR(__xludf.DUMMYFUNCTION("""COMPUTED_VALUE"""),12.0)</f>
        <v>12</v>
      </c>
      <c r="D293" s="6">
        <f>IFERROR(__xludf.DUMMYFUNCTION("""COMPUTED_VALUE"""),320.12)</f>
        <v>320.12</v>
      </c>
      <c r="E293" s="6">
        <f>IFERROR(__xludf.DUMMYFUNCTION("GOOGLEFINANCE(""Currency:BRLMXN"")*D293"),1087.6077)</f>
        <v>1087.6077</v>
      </c>
      <c r="F293" s="6">
        <f>IFERROR(__xludf.DUMMYFUNCTION("GOOGLEFINANCE(""Currency:BRLPEN"")*D293"),209.87067199999998)</f>
        <v>209.870672</v>
      </c>
      <c r="G293" s="2" t="str">
        <f t="array" ref="G293">_xlfn.XLOOKUP(B293,Vendedores!$A$2:$A$41,Vendedores!$B$2:$B$41,"No hay datos")</f>
        <v>Eduardo Almonte</v>
      </c>
      <c r="H293" s="2" t="str">
        <f t="array" ref="H293">_xlfn.XLOOKUP(B293,Vendedores!$A$2:$A$41,Vendedores!$C$2:$C$41,"No hay datos")</f>
        <v>Tierra Colorada</v>
      </c>
      <c r="I293" s="2" t="str">
        <f t="array" ref="I293">_xlfn.XLOOKUP(B293,Vendedores!$A$2:$A$41,Vendedores!$D$2:$D$41,"No hay datos")</f>
        <v>Región Central 2</v>
      </c>
      <c r="J293" s="2" t="str">
        <f t="array" ref="J293:N293">_xlfn.XLOOKUP(A293,Productos!$A$2:$A$61,Productos!$B$2:$F$61)</f>
        <v>Playera lisa</v>
      </c>
      <c r="K293" s="2" t="s">
        <v>9</v>
      </c>
      <c r="L293" s="2" t="s">
        <v>10</v>
      </c>
      <c r="M293" s="2" t="s">
        <v>20</v>
      </c>
      <c r="N293" s="2" t="s">
        <v>21</v>
      </c>
    </row>
    <row r="294">
      <c r="A294" s="2" t="str">
        <f>IFERROR(__xludf.DUMMYFUNCTION("""COMPUTED_VALUE"""),"PR056")</f>
        <v>PR056</v>
      </c>
      <c r="B294" s="2" t="str">
        <f>IFERROR(__xludf.DUMMYFUNCTION("""COMPUTED_VALUE"""),"VD015")</f>
        <v>VD015</v>
      </c>
      <c r="C294" s="2">
        <f>IFERROR(__xludf.DUMMYFUNCTION("""COMPUTED_VALUE"""),1.0)</f>
        <v>1</v>
      </c>
      <c r="D294" s="6">
        <f>IFERROR(__xludf.DUMMYFUNCTION("""COMPUTED_VALUE"""),96.19)</f>
        <v>96.19</v>
      </c>
      <c r="E294" s="6">
        <f>IFERROR(__xludf.DUMMYFUNCTION("GOOGLEFINANCE(""Currency:BRLMXN"")*D294"),326.805525)</f>
        <v>326.805525</v>
      </c>
      <c r="F294" s="6">
        <f>IFERROR(__xludf.DUMMYFUNCTION("GOOGLEFINANCE(""Currency:BRLPEN"")*D294"),63.062163999999996)</f>
        <v>63.062164</v>
      </c>
      <c r="G294" s="2" t="str">
        <f t="array" ref="G294">_xlfn.XLOOKUP(B294,Vendedores!$A$2:$A$41,Vendedores!$B$2:$B$41,"No hay datos")</f>
        <v>Lucas Castillo</v>
      </c>
      <c r="H294" s="2" t="str">
        <f t="array" ref="H294">_xlfn.XLOOKUP(B294,Vendedores!$A$2:$A$41,Vendedores!$C$2:$C$41,"No hay datos")</f>
        <v>San Miguel de los Pinos</v>
      </c>
      <c r="I294" s="2" t="str">
        <f t="array" ref="I294">_xlfn.XLOOKUP(B294,Vendedores!$A$2:$A$41,Vendedores!$D$2:$D$41,"No hay datos")</f>
        <v>Región Sur</v>
      </c>
      <c r="J294" s="2" t="str">
        <f t="array" ref="J294:N294">_xlfn.XLOOKUP(A294,Productos!$A$2:$A$61,Productos!$B$2:$F$61)</f>
        <v>Sandalia plana</v>
      </c>
      <c r="K294" s="2">
        <v>36.0</v>
      </c>
      <c r="L294" s="2" t="s">
        <v>33</v>
      </c>
      <c r="M294" s="2" t="s">
        <v>106</v>
      </c>
      <c r="N294" s="2" t="s">
        <v>35</v>
      </c>
    </row>
    <row r="295">
      <c r="A295" s="2" t="str">
        <f>IFERROR(__xludf.DUMMYFUNCTION("""COMPUTED_VALUE"""),"PR017")</f>
        <v>PR017</v>
      </c>
      <c r="B295" s="2" t="str">
        <f>IFERROR(__xludf.DUMMYFUNCTION("""COMPUTED_VALUE"""),"VD016")</f>
        <v>VD016</v>
      </c>
      <c r="C295" s="2">
        <f>IFERROR(__xludf.DUMMYFUNCTION("""COMPUTED_VALUE"""),8.0)</f>
        <v>8</v>
      </c>
      <c r="D295" s="6">
        <f>IFERROR(__xludf.DUMMYFUNCTION("""COMPUTED_VALUE"""),241.59)</f>
        <v>241.59</v>
      </c>
      <c r="E295" s="6">
        <f>IFERROR(__xludf.DUMMYFUNCTION("GOOGLEFINANCE(""Currency:BRLMXN"")*D295"),820.802025)</f>
        <v>820.802025</v>
      </c>
      <c r="F295" s="6">
        <f>IFERROR(__xludf.DUMMYFUNCTION("GOOGLEFINANCE(""Currency:BRLPEN"")*D295"),158.386404)</f>
        <v>158.386404</v>
      </c>
      <c r="G295" s="2" t="str">
        <f t="array" ref="G295">_xlfn.XLOOKUP(B295,Vendedores!$A$2:$A$41,Vendedores!$B$2:$B$41,"No hay datos")</f>
        <v>Beatriz Linares</v>
      </c>
      <c r="H295" s="2" t="str">
        <f t="array" ref="H295">_xlfn.XLOOKUP(B295,Vendedores!$A$2:$A$41,Vendedores!$C$2:$C$41,"No hay datos")</f>
        <v>Puerto Esperanza</v>
      </c>
      <c r="I295" s="2" t="str">
        <f t="array" ref="I295">_xlfn.XLOOKUP(B295,Vendedores!$A$2:$A$41,Vendedores!$D$2:$D$41,"No hay datos")</f>
        <v>Región Sur</v>
      </c>
      <c r="J295" s="2" t="str">
        <f t="array" ref="J295:N295">_xlfn.XLOOKUP(A295,Productos!$A$2:$A$61,Productos!$B$2:$F$61)</f>
        <v>Playera lisa</v>
      </c>
      <c r="K295" s="2" t="s">
        <v>17</v>
      </c>
      <c r="L295" s="2" t="s">
        <v>10</v>
      </c>
      <c r="M295" s="2" t="s">
        <v>98</v>
      </c>
      <c r="N295" s="2" t="s">
        <v>99</v>
      </c>
    </row>
    <row r="296">
      <c r="A296" s="2" t="str">
        <f>IFERROR(__xludf.DUMMYFUNCTION("""COMPUTED_VALUE"""),"PR001")</f>
        <v>PR001</v>
      </c>
      <c r="B296" s="2" t="str">
        <f>IFERROR(__xludf.DUMMYFUNCTION("""COMPUTED_VALUE"""),"VD044")</f>
        <v>VD044</v>
      </c>
      <c r="C296" s="2">
        <f>IFERROR(__xludf.DUMMYFUNCTION("""COMPUTED_VALUE"""),6.0)</f>
        <v>6</v>
      </c>
      <c r="D296" s="6">
        <f>IFERROR(__xludf.DUMMYFUNCTION("""COMPUTED_VALUE"""),403.31)</f>
        <v>403.31</v>
      </c>
      <c r="E296" s="6">
        <f>IFERROR(__xludf.DUMMYFUNCTION("GOOGLEFINANCE(""Currency:BRLMXN"")*D296"),1370.245725)</f>
        <v>1370.245725</v>
      </c>
      <c r="F296" s="6">
        <f>IFERROR(__xludf.DUMMYFUNCTION("GOOGLEFINANCE(""Currency:BRLPEN"")*D296"),264.410036)</f>
        <v>264.410036</v>
      </c>
      <c r="G296" s="2" t="str">
        <f t="array" ref="G296">_xlfn.XLOOKUP(B296,Vendedores!$A$2:$A$41,Vendedores!$B$2:$B$41,"No hay datos")</f>
        <v>Silvia Menéndez</v>
      </c>
      <c r="H296" s="2" t="str">
        <f t="array" ref="H296">_xlfn.XLOOKUP(B296,Vendedores!$A$2:$A$41,Vendedores!$C$2:$C$41,"No hay datos")</f>
        <v>San Antonio del Monte</v>
      </c>
      <c r="I296" s="2" t="str">
        <f t="array" ref="I296">_xlfn.XLOOKUP(B296,Vendedores!$A$2:$A$41,Vendedores!$D$2:$D$41,"No hay datos")</f>
        <v>Región Central 2</v>
      </c>
      <c r="J296" s="2" t="str">
        <f t="array" ref="J296:N296">_xlfn.XLOOKUP(A296,Productos!$A$2:$A$61,Productos!$B$2:$F$61)</f>
        <v>Bermuda</v>
      </c>
      <c r="K296" s="2" t="s">
        <v>9</v>
      </c>
      <c r="L296" s="2" t="s">
        <v>10</v>
      </c>
      <c r="M296" s="2" t="s">
        <v>11</v>
      </c>
      <c r="N296" s="2" t="s">
        <v>12</v>
      </c>
    </row>
    <row r="297">
      <c r="A297" s="2" t="str">
        <f>IFERROR(__xludf.DUMMYFUNCTION("""COMPUTED_VALUE"""),"PR059")</f>
        <v>PR059</v>
      </c>
      <c r="B297" s="2" t="str">
        <f>IFERROR(__xludf.DUMMYFUNCTION("""COMPUTED_VALUE"""),"VD042")</f>
        <v>VD042</v>
      </c>
      <c r="C297" s="2">
        <f>IFERROR(__xludf.DUMMYFUNCTION("""COMPUTED_VALUE"""),21.0)</f>
        <v>21</v>
      </c>
      <c r="D297" s="6">
        <f>IFERROR(__xludf.DUMMYFUNCTION("""COMPUTED_VALUE"""),3817.8)</f>
        <v>3817.8</v>
      </c>
      <c r="E297" s="6">
        <f>IFERROR(__xludf.DUMMYFUNCTION("GOOGLEFINANCE(""Currency:BRLMXN"")*D297"),12970.9755)</f>
        <v>12970.9755</v>
      </c>
      <c r="F297" s="6">
        <f>IFERROR(__xludf.DUMMYFUNCTION("GOOGLEFINANCE(""Currency:BRLPEN"")*D297"),2502.94968)</f>
        <v>2502.94968</v>
      </c>
      <c r="G297" s="2" t="str">
        <f t="array" ref="G297">_xlfn.XLOOKUP(B297,Vendedores!$A$2:$A$41,Vendedores!$B$2:$B$41,"No hay datos")</f>
        <v>Priscila Duarte</v>
      </c>
      <c r="H297" s="2" t="str">
        <f t="array" ref="H297">_xlfn.XLOOKUP(B297,Vendedores!$A$2:$A$41,Vendedores!$C$2:$C$41,"No hay datos")</f>
        <v>Villa Comercial</v>
      </c>
      <c r="I297" s="2" t="str">
        <f t="array" ref="I297">_xlfn.XLOOKUP(B297,Vendedores!$A$2:$A$41,Vendedores!$D$2:$D$41,"No hay datos")</f>
        <v>Región Central 2</v>
      </c>
      <c r="J297" s="2" t="str">
        <f t="array" ref="J297:N297">_xlfn.XLOOKUP(A297,Productos!$A$2:$A$61,Productos!$B$2:$F$61)</f>
        <v>Pantalón de sastre</v>
      </c>
      <c r="K297" s="2" t="s">
        <v>17</v>
      </c>
      <c r="L297" s="2" t="s">
        <v>10</v>
      </c>
      <c r="M297" s="2" t="s">
        <v>28</v>
      </c>
      <c r="N297" s="2" t="s">
        <v>14</v>
      </c>
    </row>
    <row r="298">
      <c r="A298" s="2" t="str">
        <f>IFERROR(__xludf.DUMMYFUNCTION("""COMPUTED_VALUE"""),"PR039")</f>
        <v>PR039</v>
      </c>
      <c r="B298" s="2" t="str">
        <f>IFERROR(__xludf.DUMMYFUNCTION("""COMPUTED_VALUE"""),"VD013")</f>
        <v>VD013</v>
      </c>
      <c r="C298" s="2">
        <f>IFERROR(__xludf.DUMMYFUNCTION("""COMPUTED_VALUE"""),3.0)</f>
        <v>3</v>
      </c>
      <c r="D298" s="6">
        <f>IFERROR(__xludf.DUMMYFUNCTION("""COMPUTED_VALUE"""),438.0)</f>
        <v>438</v>
      </c>
      <c r="E298" s="6">
        <f>IFERROR(__xludf.DUMMYFUNCTION("GOOGLEFINANCE(""Currency:BRLMXN"")*D298"),1488.105)</f>
        <v>1488.105</v>
      </c>
      <c r="F298" s="6">
        <f>IFERROR(__xludf.DUMMYFUNCTION("GOOGLEFINANCE(""Currency:BRLPEN"")*D298"),287.15279999999996)</f>
        <v>287.1528</v>
      </c>
      <c r="G298" s="2" t="str">
        <f t="array" ref="G298">_xlfn.XLOOKUP(B298,Vendedores!$A$2:$A$41,Vendedores!$B$2:$B$41,"No hay datos")</f>
        <v>Pedro Almonte</v>
      </c>
      <c r="H298" s="2" t="str">
        <f t="array" ref="H298">_xlfn.XLOOKUP(B298,Vendedores!$A$2:$A$41,Vendedores!$C$2:$C$41,"No hay datos")</f>
        <v>Santa Rosa del Valle</v>
      </c>
      <c r="I298" s="2" t="str">
        <f t="array" ref="I298">_xlfn.XLOOKUP(B298,Vendedores!$A$2:$A$41,Vendedores!$D$2:$D$41,"No hay datos")</f>
        <v>Región Norte</v>
      </c>
      <c r="J298" s="2" t="str">
        <f t="array" ref="J298:N298">_xlfn.XLOOKUP(A298,Productos!$A$2:$A$61,Productos!$B$2:$F$61)</f>
        <v>Vestido largo</v>
      </c>
      <c r="K298" s="2" t="s">
        <v>22</v>
      </c>
      <c r="L298" s="2" t="s">
        <v>10</v>
      </c>
      <c r="M298" s="2" t="s">
        <v>73</v>
      </c>
      <c r="N298" s="2" t="s">
        <v>74</v>
      </c>
    </row>
    <row r="299">
      <c r="A299" s="2" t="str">
        <f>IFERROR(__xludf.DUMMYFUNCTION("""COMPUTED_VALUE"""),"PR035")</f>
        <v>PR035</v>
      </c>
      <c r="B299" s="2" t="str">
        <f>IFERROR(__xludf.DUMMYFUNCTION("""COMPUTED_VALUE"""),"VD011")</f>
        <v>VD011</v>
      </c>
      <c r="C299" s="2">
        <f>IFERROR(__xludf.DUMMYFUNCTION("""COMPUTED_VALUE"""),4.0)</f>
        <v>4</v>
      </c>
      <c r="D299" s="6">
        <f>IFERROR(__xludf.DUMMYFUNCTION("""COMPUTED_VALUE"""),383.88)</f>
        <v>383.88</v>
      </c>
      <c r="E299" s="6">
        <f>IFERROR(__xludf.DUMMYFUNCTION("GOOGLEFINANCE(""Currency:BRLMXN"")*D299"),1304.2323)</f>
        <v>1304.2323</v>
      </c>
      <c r="F299" s="6">
        <f>IFERROR(__xludf.DUMMYFUNCTION("GOOGLEFINANCE(""Currency:BRLPEN"")*D299"),251.67172799999997)</f>
        <v>251.671728</v>
      </c>
      <c r="G299" s="2" t="str">
        <f t="array" ref="G299">_xlfn.XLOOKUP(B299,Vendedores!$A$2:$A$41,Vendedores!$B$2:$B$41,"No hay datos")</f>
        <v>Juan Santos</v>
      </c>
      <c r="H299" s="2" t="str">
        <f t="array" ref="H299">_xlfn.XLOOKUP(B299,Vendedores!$A$2:$A$41,Vendedores!$C$2:$C$41,"No hay datos")</f>
        <v>Vista Hermosa</v>
      </c>
      <c r="I299" s="2" t="str">
        <f t="array" ref="I299">_xlfn.XLOOKUP(B299,Vendedores!$A$2:$A$41,Vendedores!$D$2:$D$41,"No hay datos")</f>
        <v>Región Central</v>
      </c>
      <c r="J299" s="2" t="str">
        <f t="array" ref="J299:N299">_xlfn.XLOOKUP(A299,Productos!$A$2:$A$61,Productos!$B$2:$F$61)</f>
        <v>Vestido corto</v>
      </c>
      <c r="K299" s="2" t="s">
        <v>17</v>
      </c>
      <c r="L299" s="2" t="s">
        <v>10</v>
      </c>
      <c r="M299" s="2" t="s">
        <v>18</v>
      </c>
      <c r="N299" s="2" t="s">
        <v>19</v>
      </c>
    </row>
    <row r="300">
      <c r="A300" s="2" t="str">
        <f>IFERROR(__xludf.DUMMYFUNCTION("""COMPUTED_VALUE"""),"PR051")</f>
        <v>PR051</v>
      </c>
      <c r="B300" s="2" t="str">
        <f>IFERROR(__xludf.DUMMYFUNCTION("""COMPUTED_VALUE"""),"VD041")</f>
        <v>VD041</v>
      </c>
      <c r="C300" s="2">
        <f>IFERROR(__xludf.DUMMYFUNCTION("""COMPUTED_VALUE"""),30.0)</f>
        <v>30</v>
      </c>
      <c r="D300" s="6">
        <f>IFERROR(__xludf.DUMMYFUNCTION("""COMPUTED_VALUE"""),1026.48)</f>
        <v>1026.48</v>
      </c>
      <c r="E300" s="6">
        <f>IFERROR(__xludf.DUMMYFUNCTION("GOOGLEFINANCE(""Currency:BRLMXN"")*D300"),3487.4658)</f>
        <v>3487.4658</v>
      </c>
      <c r="F300" s="6">
        <f>IFERROR(__xludf.DUMMYFUNCTION("GOOGLEFINANCE(""Currency:BRLPEN"")*D300"),672.960288)</f>
        <v>672.960288</v>
      </c>
      <c r="G300" s="2" t="str">
        <f t="array" ref="G300">_xlfn.XLOOKUP(B300,Vendedores!$A$2:$A$41,Vendedores!$B$2:$B$41,"No hay datos")</f>
        <v>Alejandro Ramos</v>
      </c>
      <c r="H300" s="2" t="str">
        <f t="array" ref="H300">_xlfn.XLOOKUP(B300,Vendedores!$A$2:$A$41,Vendedores!$C$2:$C$41,"No hay datos")</f>
        <v>San Martín de las Rosas</v>
      </c>
      <c r="I300" s="2" t="str">
        <f t="array" ref="I300">_xlfn.XLOOKUP(B300,Vendedores!$A$2:$A$41,Vendedores!$D$2:$D$41,"No hay datos")</f>
        <v>Región Central 2</v>
      </c>
      <c r="J300" s="2" t="str">
        <f t="array" ref="J300:N300">_xlfn.XLOOKUP(A300,Productos!$A$2:$A$61,Productos!$B$2:$F$61)</f>
        <v>Playera a rayas</v>
      </c>
      <c r="K300" s="2" t="s">
        <v>22</v>
      </c>
      <c r="L300" s="2" t="s">
        <v>10</v>
      </c>
      <c r="M300" s="2" t="s">
        <v>23</v>
      </c>
      <c r="N300" s="2" t="s">
        <v>24</v>
      </c>
    </row>
    <row r="301">
      <c r="A301" s="2" t="str">
        <f>IFERROR(__xludf.DUMMYFUNCTION("""COMPUTED_VALUE"""),"PR047")</f>
        <v>PR047</v>
      </c>
      <c r="B301" s="2" t="str">
        <f>IFERROR(__xludf.DUMMYFUNCTION("""COMPUTED_VALUE"""),"VD034")</f>
        <v>VD034</v>
      </c>
      <c r="C301" s="2">
        <f>IFERROR(__xludf.DUMMYFUNCTION("""COMPUTED_VALUE"""),6.0)</f>
        <v>6</v>
      </c>
      <c r="D301" s="6">
        <f>IFERROR(__xludf.DUMMYFUNCTION("""COMPUTED_VALUE"""),1774.19)</f>
        <v>1774.19</v>
      </c>
      <c r="E301" s="6">
        <f>IFERROR(__xludf.DUMMYFUNCTION("GOOGLEFINANCE(""Currency:BRLMXN"")*D301"),6027.810525)</f>
        <v>6027.810525</v>
      </c>
      <c r="F301" s="6">
        <f>IFERROR(__xludf.DUMMYFUNCTION("GOOGLEFINANCE(""Currency:BRLPEN"")*D301"),1163.158964)</f>
        <v>1163.158964</v>
      </c>
      <c r="G301" s="2" t="str">
        <f t="array" ref="G301">_xlfn.XLOOKUP(B301,Vendedores!$A$2:$A$41,Vendedores!$B$2:$B$41,"No hay datos")</f>
        <v>Felipe Carvajal</v>
      </c>
      <c r="H301" s="2" t="str">
        <f t="array" ref="H301">_xlfn.XLOOKUP(B301,Vendedores!$A$2:$A$41,Vendedores!$C$2:$C$41,"No hay datos")</f>
        <v>San Pedro del Río</v>
      </c>
      <c r="I301" s="2" t="str">
        <f t="array" ref="I301">_xlfn.XLOOKUP(B301,Vendedores!$A$2:$A$41,Vendedores!$D$2:$D$41,"No hay datos")</f>
        <v>Región Sur 2</v>
      </c>
      <c r="J301" s="2" t="str">
        <f t="array" ref="J301:N301">_xlfn.XLOOKUP(A301,Productos!$A$2:$A$61,Productos!$B$2:$F$61)</f>
        <v>Chaqueta de cuero</v>
      </c>
      <c r="K301" s="2" t="s">
        <v>17</v>
      </c>
      <c r="L301" s="2" t="s">
        <v>10</v>
      </c>
      <c r="M301" s="2" t="s">
        <v>43</v>
      </c>
      <c r="N301" s="2" t="s">
        <v>44</v>
      </c>
    </row>
    <row r="302">
      <c r="A302" s="2" t="str">
        <f>IFERROR(__xludf.DUMMYFUNCTION("""COMPUTED_VALUE"""),"PR008")</f>
        <v>PR008</v>
      </c>
      <c r="B302" s="2" t="str">
        <f>IFERROR(__xludf.DUMMYFUNCTION("""COMPUTED_VALUE"""),"VD025")</f>
        <v>VD025</v>
      </c>
      <c r="C302" s="2">
        <f>IFERROR(__xludf.DUMMYFUNCTION("""COMPUTED_VALUE"""),12.0)</f>
        <v>12</v>
      </c>
      <c r="D302" s="6">
        <f>IFERROR(__xludf.DUMMYFUNCTION("""COMPUTED_VALUE"""),1121.95)</f>
        <v>1121.95</v>
      </c>
      <c r="E302" s="6">
        <f>IFERROR(__xludf.DUMMYFUNCTION("GOOGLEFINANCE(""Currency:BRLMXN"")*D302"),3811.8251250000003)</f>
        <v>3811.825125</v>
      </c>
      <c r="F302" s="6">
        <f>IFERROR(__xludf.DUMMYFUNCTION("GOOGLEFINANCE(""Currency:BRLPEN"")*D302"),735.55042)</f>
        <v>735.55042</v>
      </c>
      <c r="G302" s="2" t="str">
        <f t="array" ref="G302">_xlfn.XLOOKUP(B302,Vendedores!$A$2:$A$41,Vendedores!$B$2:$B$41,"No hay datos")</f>
        <v>Alina Santana</v>
      </c>
      <c r="H302" s="2" t="str">
        <f t="array" ref="H302">_xlfn.XLOOKUP(B302,Vendedores!$A$2:$A$41,Vendedores!$C$2:$C$41,"No hay datos")</f>
        <v>Playa Blanca</v>
      </c>
      <c r="I302" s="2" t="str">
        <f t="array" ref="I302">_xlfn.XLOOKUP(B302,Vendedores!$A$2:$A$41,Vendedores!$D$2:$D$41,"No hay datos")</f>
        <v>Región Norte</v>
      </c>
      <c r="J302" s="2" t="str">
        <f t="array" ref="J302:N302">_xlfn.XLOOKUP(A302,Productos!$A$2:$A$61,Productos!$B$2:$F$61)</f>
        <v>Pantalón de mezclilla</v>
      </c>
      <c r="K302" s="2" t="s">
        <v>17</v>
      </c>
      <c r="L302" s="2" t="s">
        <v>10</v>
      </c>
      <c r="M302" s="2" t="s">
        <v>65</v>
      </c>
      <c r="N302" s="2" t="s">
        <v>35</v>
      </c>
    </row>
    <row r="303">
      <c r="A303" s="2" t="str">
        <f>IFERROR(__xludf.DUMMYFUNCTION("""COMPUTED_VALUE"""),"PR045")</f>
        <v>PR045</v>
      </c>
      <c r="B303" s="2" t="str">
        <f>IFERROR(__xludf.DUMMYFUNCTION("""COMPUTED_VALUE"""),"VD035")</f>
        <v>VD035</v>
      </c>
      <c r="C303" s="2">
        <f>IFERROR(__xludf.DUMMYFUNCTION("""COMPUTED_VALUE"""),8.0)</f>
        <v>8</v>
      </c>
      <c r="D303" s="6">
        <f>IFERROR(__xludf.DUMMYFUNCTION("""COMPUTED_VALUE"""),609.0)</f>
        <v>609</v>
      </c>
      <c r="E303" s="6">
        <f>IFERROR(__xludf.DUMMYFUNCTION("GOOGLEFINANCE(""Currency:BRLMXN"")*D303"),2069.0775)</f>
        <v>2069.0775</v>
      </c>
      <c r="F303" s="6">
        <f>IFERROR(__xludf.DUMMYFUNCTION("GOOGLEFINANCE(""Currency:BRLPEN"")*D303"),399.2604)</f>
        <v>399.2604</v>
      </c>
      <c r="G303" s="2" t="str">
        <f t="array" ref="G303">_xlfn.XLOOKUP(B303,Vendedores!$A$2:$A$41,Vendedores!$B$2:$B$41,"No hay datos")</f>
        <v>Carolina Méndez</v>
      </c>
      <c r="H303" s="2" t="str">
        <f t="array" ref="H303">_xlfn.XLOOKUP(B303,Vendedores!$A$2:$A$41,Vendedores!$C$2:$C$41,"No hay datos")</f>
        <v>Valle de los Robles</v>
      </c>
      <c r="I303" s="2" t="str">
        <f t="array" ref="I303">_xlfn.XLOOKUP(B303,Vendedores!$A$2:$A$41,Vendedores!$D$2:$D$41,"No hay datos")</f>
        <v>Región Central 2</v>
      </c>
      <c r="J303" s="2" t="str">
        <f t="array" ref="J303:N303">_xlfn.XLOOKUP(A303,Productos!$A$2:$A$61,Productos!$B$2:$F$61)</f>
        <v>Vestido floral</v>
      </c>
      <c r="K303" s="2" t="s">
        <v>22</v>
      </c>
      <c r="L303" s="2" t="s">
        <v>10</v>
      </c>
      <c r="M303" s="2" t="s">
        <v>39</v>
      </c>
      <c r="N303" s="2" t="s">
        <v>40</v>
      </c>
    </row>
    <row r="304">
      <c r="A304" s="2" t="str">
        <f>IFERROR(__xludf.DUMMYFUNCTION("""COMPUTED_VALUE"""),"PR029")</f>
        <v>PR029</v>
      </c>
      <c r="B304" s="2" t="str">
        <f>IFERROR(__xludf.DUMMYFUNCTION("""COMPUTED_VALUE"""),"VD043")</f>
        <v>VD043</v>
      </c>
      <c r="C304" s="2">
        <f>IFERROR(__xludf.DUMMYFUNCTION("""COMPUTED_VALUE"""),21.0)</f>
        <v>21</v>
      </c>
      <c r="D304" s="6">
        <f>IFERROR(__xludf.DUMMYFUNCTION("""COMPUTED_VALUE"""),5462.1)</f>
        <v>5462.1</v>
      </c>
      <c r="E304" s="6">
        <f>IFERROR(__xludf.DUMMYFUNCTION("GOOGLEFINANCE(""Currency:BRLMXN"")*D304"),18557.48475)</f>
        <v>18557.48475</v>
      </c>
      <c r="F304" s="6">
        <f>IFERROR(__xludf.DUMMYFUNCTION("GOOGLEFINANCE(""Currency:BRLPEN"")*D304"),3580.95276)</f>
        <v>3580.95276</v>
      </c>
      <c r="G304" s="2" t="str">
        <f t="array" ref="G304">_xlfn.XLOOKUP(B304,Vendedores!$A$2:$A$41,Vendedores!$B$2:$B$41,"No hay datos")</f>
        <v>Carlos Henríquez</v>
      </c>
      <c r="H304" s="2" t="str">
        <f t="array" ref="H304">_xlfn.XLOOKUP(B304,Vendedores!$A$2:$A$41,Vendedores!$C$2:$C$41,"No hay datos")</f>
        <v>Ciudad Aeropuerto</v>
      </c>
      <c r="I304" s="2" t="str">
        <f t="array" ref="I304">_xlfn.XLOOKUP(B304,Vendedores!$A$2:$A$41,Vendedores!$D$2:$D$41,"No hay datos")</f>
        <v>Región Central 2</v>
      </c>
      <c r="J304" s="2" t="str">
        <f t="array" ref="J304:N304">_xlfn.XLOOKUP(A304,Productos!$A$2:$A$61,Productos!$B$2:$F$61)</f>
        <v>Tenis Atitas</v>
      </c>
      <c r="K304" s="2">
        <v>37.0</v>
      </c>
      <c r="L304" s="2" t="s">
        <v>33</v>
      </c>
      <c r="M304" s="2" t="s">
        <v>96</v>
      </c>
      <c r="N304" s="2" t="s">
        <v>97</v>
      </c>
    </row>
    <row r="305">
      <c r="A305" s="2" t="str">
        <f>IFERROR(__xludf.DUMMYFUNCTION("""COMPUTED_VALUE"""),"PR054")</f>
        <v>PR054</v>
      </c>
      <c r="B305" s="2" t="str">
        <f>IFERROR(__xludf.DUMMYFUNCTION("""COMPUTED_VALUE"""),"VD015")</f>
        <v>VD015</v>
      </c>
      <c r="C305" s="2">
        <f>IFERROR(__xludf.DUMMYFUNCTION("""COMPUTED_VALUE"""),2.0)</f>
        <v>2</v>
      </c>
      <c r="D305" s="6">
        <f>IFERROR(__xludf.DUMMYFUNCTION("""COMPUTED_VALUE"""),105.79)</f>
        <v>105.79</v>
      </c>
      <c r="E305" s="6">
        <f>IFERROR(__xludf.DUMMYFUNCTION("GOOGLEFINANCE(""Currency:BRLMXN"")*D305"),359.42152500000003)</f>
        <v>359.421525</v>
      </c>
      <c r="F305" s="6">
        <f>IFERROR(__xludf.DUMMYFUNCTION("GOOGLEFINANCE(""Currency:BRLPEN"")*D305"),69.355924)</f>
        <v>69.355924</v>
      </c>
      <c r="G305" s="2" t="str">
        <f t="array" ref="G305">_xlfn.XLOOKUP(B305,Vendedores!$A$2:$A$41,Vendedores!$B$2:$B$41,"No hay datos")</f>
        <v>Lucas Castillo</v>
      </c>
      <c r="H305" s="2" t="str">
        <f t="array" ref="H305">_xlfn.XLOOKUP(B305,Vendedores!$A$2:$A$41,Vendedores!$C$2:$C$41,"No hay datos")</f>
        <v>San Miguel de los Pinos</v>
      </c>
      <c r="I305" s="2" t="str">
        <f t="array" ref="I305">_xlfn.XLOOKUP(B305,Vendedores!$A$2:$A$41,Vendedores!$D$2:$D$41,"No hay datos")</f>
        <v>Región Sur</v>
      </c>
      <c r="J305" s="2" t="str">
        <f t="array" ref="J305:N305">_xlfn.XLOOKUP(A305,Productos!$A$2:$A$61,Productos!$B$2:$F$61)</f>
        <v>Falda plisada</v>
      </c>
      <c r="K305" s="2" t="s">
        <v>22</v>
      </c>
      <c r="L305" s="2" t="s">
        <v>10</v>
      </c>
      <c r="M305" s="2" t="s">
        <v>42</v>
      </c>
      <c r="N305" s="2" t="s">
        <v>32</v>
      </c>
    </row>
    <row r="306">
      <c r="A306" s="2" t="str">
        <f>IFERROR(__xludf.DUMMYFUNCTION("""COMPUTED_VALUE"""),"PR033")</f>
        <v>PR033</v>
      </c>
      <c r="B306" s="2" t="str">
        <f>IFERROR(__xludf.DUMMYFUNCTION("""COMPUTED_VALUE"""),"VD025")</f>
        <v>VD025</v>
      </c>
      <c r="C306" s="2">
        <f>IFERROR(__xludf.DUMMYFUNCTION("""COMPUTED_VALUE"""),4.0)</f>
        <v>4</v>
      </c>
      <c r="D306" s="6">
        <f>IFERROR(__xludf.DUMMYFUNCTION("""COMPUTED_VALUE"""),1133.16)</f>
        <v>1133.16</v>
      </c>
      <c r="E306" s="6">
        <f>IFERROR(__xludf.DUMMYFUNCTION("GOOGLEFINANCE(""Currency:BRLMXN"")*D306"),3849.9111000000003)</f>
        <v>3849.9111</v>
      </c>
      <c r="F306" s="6">
        <f>IFERROR(__xludf.DUMMYFUNCTION("GOOGLEFINANCE(""Currency:BRLPEN"")*D306"),742.8996960000001)</f>
        <v>742.899696</v>
      </c>
      <c r="G306" s="2" t="str">
        <f t="array" ref="G306">_xlfn.XLOOKUP(B306,Vendedores!$A$2:$A$41,Vendedores!$B$2:$B$41,"No hay datos")</f>
        <v>Alina Santana</v>
      </c>
      <c r="H306" s="2" t="str">
        <f t="array" ref="H306">_xlfn.XLOOKUP(B306,Vendedores!$A$2:$A$41,Vendedores!$C$2:$C$41,"No hay datos")</f>
        <v>Playa Blanca</v>
      </c>
      <c r="I306" s="2" t="str">
        <f t="array" ref="I306">_xlfn.XLOOKUP(B306,Vendedores!$A$2:$A$41,Vendedores!$D$2:$D$41,"No hay datos")</f>
        <v>Región Norte</v>
      </c>
      <c r="J306" s="2" t="str">
        <f t="array" ref="J306:N306">_xlfn.XLOOKUP(A306,Productos!$A$2:$A$61,Productos!$B$2:$F$61)</f>
        <v>Tenis Chunky</v>
      </c>
      <c r="K306" s="2">
        <v>38.0</v>
      </c>
      <c r="L306" s="2" t="s">
        <v>33</v>
      </c>
      <c r="M306" s="2" t="s">
        <v>63</v>
      </c>
      <c r="N306" s="2" t="s">
        <v>64</v>
      </c>
    </row>
    <row r="307">
      <c r="A307" s="2" t="str">
        <f>IFERROR(__xludf.DUMMYFUNCTION("""COMPUTED_VALUE"""),"PR001")</f>
        <v>PR001</v>
      </c>
      <c r="B307" s="2" t="str">
        <f>IFERROR(__xludf.DUMMYFUNCTION("""COMPUTED_VALUE"""),"VD021")</f>
        <v>VD021</v>
      </c>
      <c r="C307" s="2">
        <f>IFERROR(__xludf.DUMMYFUNCTION("""COMPUTED_VALUE"""),6.0)</f>
        <v>6</v>
      </c>
      <c r="D307" s="6">
        <f>IFERROR(__xludf.DUMMYFUNCTION("""COMPUTED_VALUE"""),430.99)</f>
        <v>430.99</v>
      </c>
      <c r="E307" s="6">
        <f>IFERROR(__xludf.DUMMYFUNCTION("GOOGLEFINANCE(""Currency:BRLMXN"")*D307"),1464.288525)</f>
        <v>1464.288525</v>
      </c>
      <c r="F307" s="6">
        <f>IFERROR(__xludf.DUMMYFUNCTION("GOOGLEFINANCE(""Currency:BRLPEN"")*D307"),282.55704399999996)</f>
        <v>282.557044</v>
      </c>
      <c r="G307" s="2" t="str">
        <f t="array" ref="G307">_xlfn.XLOOKUP(B307,Vendedores!$A$2:$A$41,Vendedores!$B$2:$B$41,"No hay datos")</f>
        <v>Fernanda Méndez</v>
      </c>
      <c r="H307" s="2" t="str">
        <f t="array" ref="H307">_xlfn.XLOOKUP(B307,Vendedores!$A$2:$A$41,Vendedores!$C$2:$C$41,"No hay datos")</f>
        <v>San Juan de la Sierra</v>
      </c>
      <c r="I307" s="2" t="str">
        <f t="array" ref="I307">_xlfn.XLOOKUP(B307,Vendedores!$A$2:$A$41,Vendedores!$D$2:$D$41,"No hay datos")</f>
        <v>Región Central</v>
      </c>
      <c r="J307" s="2" t="str">
        <f t="array" ref="J307:N307">_xlfn.XLOOKUP(A307,Productos!$A$2:$A$61,Productos!$B$2:$F$61)</f>
        <v>Bermuda</v>
      </c>
      <c r="K307" s="2" t="s">
        <v>9</v>
      </c>
      <c r="L307" s="2" t="s">
        <v>10</v>
      </c>
      <c r="M307" s="2" t="s">
        <v>11</v>
      </c>
      <c r="N307" s="2" t="s">
        <v>12</v>
      </c>
    </row>
    <row r="308">
      <c r="A308" s="2" t="str">
        <f>IFERROR(__xludf.DUMMYFUNCTION("""COMPUTED_VALUE"""),"PR010")</f>
        <v>PR010</v>
      </c>
      <c r="B308" s="2" t="str">
        <f>IFERROR(__xludf.DUMMYFUNCTION("""COMPUTED_VALUE"""),"VD029")</f>
        <v>VD029</v>
      </c>
      <c r="C308" s="2">
        <f>IFERROR(__xludf.DUMMYFUNCTION("""COMPUTED_VALUE"""),3.0)</f>
        <v>3</v>
      </c>
      <c r="D308" s="6">
        <f>IFERROR(__xludf.DUMMYFUNCTION("""COMPUTED_VALUE"""),134.7)</f>
        <v>134.7</v>
      </c>
      <c r="E308" s="6">
        <f>IFERROR(__xludf.DUMMYFUNCTION("GOOGLEFINANCE(""Currency:BRLMXN"")*D308"),457.64324999999997)</f>
        <v>457.64325</v>
      </c>
      <c r="F308" s="6">
        <f>IFERROR(__xludf.DUMMYFUNCTION("GOOGLEFINANCE(""Currency:BRLPEN"")*D308"),88.30931999999999)</f>
        <v>88.30932</v>
      </c>
      <c r="G308" s="2" t="str">
        <f t="array" ref="G308">_xlfn.XLOOKUP(B308,Vendedores!$A$2:$A$41,Vendedores!$B$2:$B$41,"No hay datos")</f>
        <v>Gabriela Sosa</v>
      </c>
      <c r="H308" s="2" t="str">
        <f t="array" ref="H308">_xlfn.XLOOKUP(B308,Vendedores!$A$2:$A$41,Vendedores!$C$2:$C$41,"No hay datos")</f>
        <v>Selva Verde</v>
      </c>
      <c r="I308" s="2" t="str">
        <f t="array" ref="I308">_xlfn.XLOOKUP(B308,Vendedores!$A$2:$A$41,Vendedores!$D$2:$D$41,"No hay datos")</f>
        <v>Región Amazónica</v>
      </c>
      <c r="J308" s="2" t="str">
        <f t="array" ref="J308:N308">_xlfn.XLOOKUP(A308,Productos!$A$2:$A$61,Productos!$B$2:$F$61)</f>
        <v>Pantalón legging</v>
      </c>
      <c r="K308" s="2" t="s">
        <v>9</v>
      </c>
      <c r="L308" s="2" t="s">
        <v>10</v>
      </c>
      <c r="M308" s="2" t="s">
        <v>86</v>
      </c>
      <c r="N308" s="2" t="s">
        <v>87</v>
      </c>
    </row>
    <row r="309">
      <c r="A309" s="2" t="str">
        <f>IFERROR(__xludf.DUMMYFUNCTION("""COMPUTED_VALUE"""),"PR005")</f>
        <v>PR005</v>
      </c>
      <c r="B309" s="2" t="str">
        <f>IFERROR(__xludf.DUMMYFUNCTION("""COMPUTED_VALUE"""),"VD038")</f>
        <v>VD038</v>
      </c>
      <c r="C309" s="2">
        <f>IFERROR(__xludf.DUMMYFUNCTION("""COMPUTED_VALUE"""),10.0)</f>
        <v>10</v>
      </c>
      <c r="D309" s="6">
        <f>IFERROR(__xludf.DUMMYFUNCTION("""COMPUTED_VALUE"""),2728.95)</f>
        <v>2728.95</v>
      </c>
      <c r="E309" s="6">
        <f>IFERROR(__xludf.DUMMYFUNCTION("GOOGLEFINANCE(""Currency:BRLMXN"")*D309"),9271.607624999999)</f>
        <v>9271.607625</v>
      </c>
      <c r="F309" s="6">
        <f>IFERROR(__xludf.DUMMYFUNCTION("GOOGLEFINANCE(""Currency:BRLPEN"")*D309"),1789.0996199999997)</f>
        <v>1789.09962</v>
      </c>
      <c r="G309" s="2" t="str">
        <f t="array" ref="G309">_xlfn.XLOOKUP(B309,Vendedores!$A$2:$A$41,Vendedores!$B$2:$B$41,"No hay datos")</f>
        <v>Bruno Olmedo</v>
      </c>
      <c r="H309" s="2" t="str">
        <f t="array" ref="H309">_xlfn.XLOOKUP(B309,Vendedores!$A$2:$A$41,Vendedores!$C$2:$C$41,"No hay datos")</f>
        <v>Tierra Fertil</v>
      </c>
      <c r="I309" s="2" t="str">
        <f t="array" ref="I309">_xlfn.XLOOKUP(B309,Vendedores!$A$2:$A$41,Vendedores!$D$2:$D$41,"No hay datos")</f>
        <v>Región Sur 2</v>
      </c>
      <c r="J309" s="2" t="str">
        <f t="array" ref="J309:N309">_xlfn.XLOOKUP(A309,Productos!$A$2:$A$61,Productos!$B$2:$F$61)</f>
        <v>Bolso de cuero</v>
      </c>
      <c r="K309" s="2" t="s">
        <v>29</v>
      </c>
      <c r="L309" s="2" t="s">
        <v>30</v>
      </c>
      <c r="M309" s="2" t="s">
        <v>100</v>
      </c>
      <c r="N309" s="2" t="s">
        <v>64</v>
      </c>
    </row>
    <row r="310">
      <c r="A310" s="2" t="str">
        <f>IFERROR(__xludf.DUMMYFUNCTION("""COMPUTED_VALUE"""),"PR040")</f>
        <v>PR040</v>
      </c>
      <c r="B310" s="2" t="str">
        <f>IFERROR(__xludf.DUMMYFUNCTION("""COMPUTED_VALUE"""),"VD045")</f>
        <v>VD045</v>
      </c>
      <c r="C310" s="2">
        <f>IFERROR(__xludf.DUMMYFUNCTION("""COMPUTED_VALUE"""),21.0)</f>
        <v>21</v>
      </c>
      <c r="D310" s="6">
        <f>IFERROR(__xludf.DUMMYFUNCTION("""COMPUTED_VALUE"""),1543.5)</f>
        <v>1543.5</v>
      </c>
      <c r="E310" s="6">
        <f>IFERROR(__xludf.DUMMYFUNCTION("GOOGLEFINANCE(""Currency:BRLMXN"")*D310"),5244.04125)</f>
        <v>5244.04125</v>
      </c>
      <c r="F310" s="6">
        <f>IFERROR(__xludf.DUMMYFUNCTION("GOOGLEFINANCE(""Currency:BRLPEN"")*D310"),1011.9186)</f>
        <v>1011.9186</v>
      </c>
      <c r="G310" s="2" t="str">
        <f t="array" ref="G310">_xlfn.XLOOKUP(B310,Vendedores!$A$2:$A$41,Vendedores!$B$2:$B$41,"No hay datos")</f>
        <v>Rafael Morales</v>
      </c>
      <c r="H310" s="2" t="str">
        <f t="array" ref="H310">_xlfn.XLOOKUP(B310,Vendedores!$A$2:$A$41,Vendedores!$C$2:$C$41,"No hay datos")</f>
        <v>Valle Dorado</v>
      </c>
      <c r="I310" s="2" t="str">
        <f t="array" ref="I310">_xlfn.XLOOKUP(B310,Vendedores!$A$2:$A$41,Vendedores!$D$2:$D$41,"No hay datos")</f>
        <v>Región Central 2</v>
      </c>
      <c r="J310" s="2" t="str">
        <f t="array" ref="J310:N310">_xlfn.XLOOKUP(A310,Productos!$A$2:$A$61,Productos!$B$2:$F$61)</f>
        <v>Playera confort</v>
      </c>
      <c r="K310" s="2" t="s">
        <v>9</v>
      </c>
      <c r="L310" s="2" t="s">
        <v>10</v>
      </c>
      <c r="M310" s="2" t="s">
        <v>68</v>
      </c>
      <c r="N310" s="2" t="s">
        <v>70</v>
      </c>
    </row>
    <row r="311">
      <c r="A311" s="2" t="str">
        <f>IFERROR(__xludf.DUMMYFUNCTION("""COMPUTED_VALUE"""),"PR017")</f>
        <v>PR017</v>
      </c>
      <c r="B311" s="2" t="str">
        <f>IFERROR(__xludf.DUMMYFUNCTION("""COMPUTED_VALUE"""),"VD029")</f>
        <v>VD029</v>
      </c>
      <c r="C311" s="2">
        <f>IFERROR(__xludf.DUMMYFUNCTION("""COMPUTED_VALUE"""),27.0)</f>
        <v>27</v>
      </c>
      <c r="D311" s="6">
        <f>IFERROR(__xludf.DUMMYFUNCTION("""COMPUTED_VALUE"""),815.37)</f>
        <v>815.37</v>
      </c>
      <c r="E311" s="6">
        <f>IFERROR(__xludf.DUMMYFUNCTION("GOOGLEFINANCE(""Currency:BRLMXN"")*D311"),2770.219575)</f>
        <v>2770.219575</v>
      </c>
      <c r="F311" s="6">
        <f>IFERROR(__xludf.DUMMYFUNCTION("GOOGLEFINANCE(""Currency:BRLPEN"")*D311"),534.556572)</f>
        <v>534.556572</v>
      </c>
      <c r="G311" s="2" t="str">
        <f t="array" ref="G311">_xlfn.XLOOKUP(B311,Vendedores!$A$2:$A$41,Vendedores!$B$2:$B$41,"No hay datos")</f>
        <v>Gabriela Sosa</v>
      </c>
      <c r="H311" s="2" t="str">
        <f t="array" ref="H311">_xlfn.XLOOKUP(B311,Vendedores!$A$2:$A$41,Vendedores!$C$2:$C$41,"No hay datos")</f>
        <v>Selva Verde</v>
      </c>
      <c r="I311" s="2" t="str">
        <f t="array" ref="I311">_xlfn.XLOOKUP(B311,Vendedores!$A$2:$A$41,Vendedores!$D$2:$D$41,"No hay datos")</f>
        <v>Región Amazónica</v>
      </c>
      <c r="J311" s="2" t="str">
        <f t="array" ref="J311:N311">_xlfn.XLOOKUP(A311,Productos!$A$2:$A$61,Productos!$B$2:$F$61)</f>
        <v>Playera lisa</v>
      </c>
      <c r="K311" s="2" t="s">
        <v>17</v>
      </c>
      <c r="L311" s="2" t="s">
        <v>10</v>
      </c>
      <c r="M311" s="2" t="s">
        <v>98</v>
      </c>
      <c r="N311" s="2" t="s">
        <v>99</v>
      </c>
    </row>
    <row r="312">
      <c r="A312" s="2" t="str">
        <f>IFERROR(__xludf.DUMMYFUNCTION("""COMPUTED_VALUE"""),"PR045")</f>
        <v>PR045</v>
      </c>
      <c r="B312" s="2" t="str">
        <f>IFERROR(__xludf.DUMMYFUNCTION("""COMPUTED_VALUE"""),"VD041")</f>
        <v>VD041</v>
      </c>
      <c r="C312" s="2">
        <f>IFERROR(__xludf.DUMMYFUNCTION("""COMPUTED_VALUE"""),10.0)</f>
        <v>10</v>
      </c>
      <c r="D312" s="6">
        <f>IFERROR(__xludf.DUMMYFUNCTION("""COMPUTED_VALUE"""),768.5)</f>
        <v>768.5</v>
      </c>
      <c r="E312" s="6">
        <f>IFERROR(__xludf.DUMMYFUNCTION("GOOGLEFINANCE(""Currency:BRLMXN"")*D312"),2610.9787499999998)</f>
        <v>2610.97875</v>
      </c>
      <c r="F312" s="6">
        <f>IFERROR(__xludf.DUMMYFUNCTION("GOOGLEFINANCE(""Currency:BRLPEN"")*D312"),503.8286)</f>
        <v>503.8286</v>
      </c>
      <c r="G312" s="2" t="str">
        <f t="array" ref="G312">_xlfn.XLOOKUP(B312,Vendedores!$A$2:$A$41,Vendedores!$B$2:$B$41,"No hay datos")</f>
        <v>Alejandro Ramos</v>
      </c>
      <c r="H312" s="2" t="str">
        <f t="array" ref="H312">_xlfn.XLOOKUP(B312,Vendedores!$A$2:$A$41,Vendedores!$C$2:$C$41,"No hay datos")</f>
        <v>San Martín de las Rosas</v>
      </c>
      <c r="I312" s="2" t="str">
        <f t="array" ref="I312">_xlfn.XLOOKUP(B312,Vendedores!$A$2:$A$41,Vendedores!$D$2:$D$41,"No hay datos")</f>
        <v>Región Central 2</v>
      </c>
      <c r="J312" s="2" t="str">
        <f t="array" ref="J312:N312">_xlfn.XLOOKUP(A312,Productos!$A$2:$A$61,Productos!$B$2:$F$61)</f>
        <v>Vestido floral</v>
      </c>
      <c r="K312" s="2" t="s">
        <v>22</v>
      </c>
      <c r="L312" s="2" t="s">
        <v>10</v>
      </c>
      <c r="M312" s="2" t="s">
        <v>39</v>
      </c>
      <c r="N312" s="2" t="s">
        <v>40</v>
      </c>
    </row>
    <row r="313">
      <c r="A313" s="2" t="str">
        <f>IFERROR(__xludf.DUMMYFUNCTION("""COMPUTED_VALUE"""),"PR014")</f>
        <v>PR014</v>
      </c>
      <c r="B313" s="2" t="str">
        <f>IFERROR(__xludf.DUMMYFUNCTION("""COMPUTED_VALUE"""),"VD018")</f>
        <v>VD018</v>
      </c>
      <c r="C313" s="2">
        <f>IFERROR(__xludf.DUMMYFUNCTION("""COMPUTED_VALUE"""),27.0)</f>
        <v>27</v>
      </c>
      <c r="D313" s="6">
        <f>IFERROR(__xludf.DUMMYFUNCTION("""COMPUTED_VALUE"""),1141.94)</f>
        <v>1141.94</v>
      </c>
      <c r="E313" s="6">
        <f>IFERROR(__xludf.DUMMYFUNCTION("GOOGLEFINANCE(""Currency:BRLMXN"")*D313"),3879.7411500000003)</f>
        <v>3879.74115</v>
      </c>
      <c r="F313" s="6">
        <f>IFERROR(__xludf.DUMMYFUNCTION("GOOGLEFINANCE(""Currency:BRLPEN"")*D313"),748.655864)</f>
        <v>748.655864</v>
      </c>
      <c r="G313" s="2" t="str">
        <f t="array" ref="G313">_xlfn.XLOOKUP(B313,Vendedores!$A$2:$A$41,Vendedores!$B$2:$B$41,"No hay datos")</f>
        <v>Leticia Rodríguez</v>
      </c>
      <c r="H313" s="2" t="str">
        <f t="array" ref="H313">_xlfn.XLOOKUP(B313,Vendedores!$A$2:$A$41,Vendedores!$C$2:$C$41,"No hay datos")</f>
        <v>Playa Blanca</v>
      </c>
      <c r="I313" s="2" t="str">
        <f t="array" ref="I313">_xlfn.XLOOKUP(B313,Vendedores!$A$2:$A$41,Vendedores!$D$2:$D$41,"No hay datos")</f>
        <v>Región Norte</v>
      </c>
      <c r="J313" s="2" t="str">
        <f t="array" ref="J313:N313">_xlfn.XLOOKUP(A313,Productos!$A$2:$A$61,Productos!$B$2:$F$61)</f>
        <v>Playera estampada</v>
      </c>
      <c r="K313" s="2" t="s">
        <v>17</v>
      </c>
      <c r="L313" s="2" t="s">
        <v>10</v>
      </c>
      <c r="M313" s="2" t="s">
        <v>37</v>
      </c>
      <c r="N313" s="2" t="s">
        <v>38</v>
      </c>
    </row>
    <row r="314">
      <c r="A314" s="2" t="str">
        <f>IFERROR(__xludf.DUMMYFUNCTION("""COMPUTED_VALUE"""),"PR028")</f>
        <v>PR028</v>
      </c>
      <c r="B314" s="2" t="str">
        <f>IFERROR(__xludf.DUMMYFUNCTION("""COMPUTED_VALUE"""),"VD015")</f>
        <v>VD015</v>
      </c>
      <c r="C314" s="2">
        <f>IFERROR(__xludf.DUMMYFUNCTION("""COMPUTED_VALUE"""),15.0)</f>
        <v>15</v>
      </c>
      <c r="D314" s="6">
        <f>IFERROR(__xludf.DUMMYFUNCTION("""COMPUTED_VALUE"""),3785.99)</f>
        <v>3785.99</v>
      </c>
      <c r="E314" s="6">
        <f>IFERROR(__xludf.DUMMYFUNCTION("GOOGLEFINANCE(""Currency:BRLMXN"")*D314"),12862.901025)</f>
        <v>12862.90103</v>
      </c>
      <c r="F314" s="6">
        <f>IFERROR(__xludf.DUMMYFUNCTION("GOOGLEFINANCE(""Currency:BRLPEN"")*D314"),2482.0950439999997)</f>
        <v>2482.095044</v>
      </c>
      <c r="G314" s="2" t="str">
        <f t="array" ref="G314">_xlfn.XLOOKUP(B314,Vendedores!$A$2:$A$41,Vendedores!$B$2:$B$41,"No hay datos")</f>
        <v>Lucas Castillo</v>
      </c>
      <c r="H314" s="2" t="str">
        <f t="array" ref="H314">_xlfn.XLOOKUP(B314,Vendedores!$A$2:$A$41,Vendedores!$C$2:$C$41,"No hay datos")</f>
        <v>San Miguel de los Pinos</v>
      </c>
      <c r="I314" s="2" t="str">
        <f t="array" ref="I314">_xlfn.XLOOKUP(B314,Vendedores!$A$2:$A$41,Vendedores!$D$2:$D$41,"No hay datos")</f>
        <v>Región Sur</v>
      </c>
      <c r="J314" s="2" t="str">
        <f t="array" ref="J314:N314">_xlfn.XLOOKUP(A314,Productos!$A$2:$A$61,Productos!$B$2:$F$61)</f>
        <v>Tenis Atitas</v>
      </c>
      <c r="K314" s="2">
        <v>36.0</v>
      </c>
      <c r="L314" s="2" t="s">
        <v>33</v>
      </c>
      <c r="M314" s="2" t="s">
        <v>55</v>
      </c>
      <c r="N314" s="2" t="s">
        <v>56</v>
      </c>
    </row>
    <row r="315">
      <c r="A315" s="2" t="str">
        <f>IFERROR(__xludf.DUMMYFUNCTION("""COMPUTED_VALUE"""),"PR046")</f>
        <v>PR046</v>
      </c>
      <c r="B315" s="2" t="str">
        <f>IFERROR(__xludf.DUMMYFUNCTION("""COMPUTED_VALUE"""),"VD021")</f>
        <v>VD021</v>
      </c>
      <c r="C315" s="2">
        <f>IFERROR(__xludf.DUMMYFUNCTION("""COMPUTED_VALUE"""),14.0)</f>
        <v>14</v>
      </c>
      <c r="D315" s="6">
        <f>IFERROR(__xludf.DUMMYFUNCTION("""COMPUTED_VALUE"""),4180.36)</f>
        <v>4180.36</v>
      </c>
      <c r="E315" s="6">
        <f>IFERROR(__xludf.DUMMYFUNCTION("GOOGLEFINANCE(""Currency:BRLMXN"")*D315"),14202.773099999999)</f>
        <v>14202.7731</v>
      </c>
      <c r="F315" s="6">
        <f>IFERROR(__xludf.DUMMYFUNCTION("GOOGLEFINANCE(""Currency:BRLPEN"")*D315"),2740.6440159999997)</f>
        <v>2740.644016</v>
      </c>
      <c r="G315" s="2" t="str">
        <f t="array" ref="G315">_xlfn.XLOOKUP(B315,Vendedores!$A$2:$A$41,Vendedores!$B$2:$B$41,"No hay datos")</f>
        <v>Fernanda Méndez</v>
      </c>
      <c r="H315" s="2" t="str">
        <f t="array" ref="H315">_xlfn.XLOOKUP(B315,Vendedores!$A$2:$A$41,Vendedores!$C$2:$C$41,"No hay datos")</f>
        <v>San Juan de la Sierra</v>
      </c>
      <c r="I315" s="2" t="str">
        <f t="array" ref="I315">_xlfn.XLOOKUP(B315,Vendedores!$A$2:$A$41,Vendedores!$D$2:$D$41,"No hay datos")</f>
        <v>Región Central</v>
      </c>
      <c r="J315" s="2" t="str">
        <f t="array" ref="J315:N315">_xlfn.XLOOKUP(A315,Productos!$A$2:$A$61,Productos!$B$2:$F$61)</f>
        <v>Chaqueta de cuero</v>
      </c>
      <c r="K315" s="2" t="s">
        <v>9</v>
      </c>
      <c r="L315" s="2" t="s">
        <v>10</v>
      </c>
      <c r="M315" s="2" t="s">
        <v>94</v>
      </c>
      <c r="N315" s="2" t="s">
        <v>44</v>
      </c>
    </row>
    <row r="316">
      <c r="A316" s="2" t="str">
        <f>IFERROR(__xludf.DUMMYFUNCTION("""COMPUTED_VALUE"""),"PR043")</f>
        <v>PR043</v>
      </c>
      <c r="B316" s="2" t="str">
        <f>IFERROR(__xludf.DUMMYFUNCTION("""COMPUTED_VALUE"""),"VD015")</f>
        <v>VD015</v>
      </c>
      <c r="C316" s="2">
        <f>IFERROR(__xludf.DUMMYFUNCTION("""COMPUTED_VALUE"""),20.0)</f>
        <v>20</v>
      </c>
      <c r="D316" s="6">
        <f>IFERROR(__xludf.DUMMYFUNCTION("""COMPUTED_VALUE"""),1595.0)</f>
        <v>1595</v>
      </c>
      <c r="E316" s="6">
        <f>IFERROR(__xludf.DUMMYFUNCTION("GOOGLEFINANCE(""Currency:BRLMXN"")*D316"),5419.0125)</f>
        <v>5419.0125</v>
      </c>
      <c r="F316" s="6">
        <f>IFERROR(__xludf.DUMMYFUNCTION("GOOGLEFINANCE(""Currency:BRLPEN"")*D316"),1045.682)</f>
        <v>1045.682</v>
      </c>
      <c r="G316" s="2" t="str">
        <f t="array" ref="G316">_xlfn.XLOOKUP(B316,Vendedores!$A$2:$A$41,Vendedores!$B$2:$B$41,"No hay datos")</f>
        <v>Lucas Castillo</v>
      </c>
      <c r="H316" s="2" t="str">
        <f t="array" ref="H316">_xlfn.XLOOKUP(B316,Vendedores!$A$2:$A$41,Vendedores!$C$2:$C$41,"No hay datos")</f>
        <v>San Miguel de los Pinos</v>
      </c>
      <c r="I316" s="2" t="str">
        <f t="array" ref="I316">_xlfn.XLOOKUP(B316,Vendedores!$A$2:$A$41,Vendedores!$D$2:$D$41,"No hay datos")</f>
        <v>Región Sur</v>
      </c>
      <c r="J316" s="2" t="str">
        <f t="array" ref="J316:N316">_xlfn.XLOOKUP(A316,Productos!$A$2:$A$61,Productos!$B$2:$F$61)</f>
        <v>Vestido floral</v>
      </c>
      <c r="K316" s="2" t="s">
        <v>9</v>
      </c>
      <c r="L316" s="2" t="s">
        <v>10</v>
      </c>
      <c r="M316" s="2" t="s">
        <v>69</v>
      </c>
      <c r="N316" s="2" t="s">
        <v>40</v>
      </c>
    </row>
    <row r="317">
      <c r="A317" s="2" t="str">
        <f>IFERROR(__xludf.DUMMYFUNCTION("""COMPUTED_VALUE"""),"PR030")</f>
        <v>PR030</v>
      </c>
      <c r="B317" s="2" t="str">
        <f>IFERROR(__xludf.DUMMYFUNCTION("""COMPUTED_VALUE"""),"VD017")</f>
        <v>VD017</v>
      </c>
      <c r="C317" s="2">
        <f>IFERROR(__xludf.DUMMYFUNCTION("""COMPUTED_VALUE"""),18.0)</f>
        <v>18</v>
      </c>
      <c r="D317" s="6">
        <f>IFERROR(__xludf.DUMMYFUNCTION("""COMPUTED_VALUE"""),4865.33)</f>
        <v>4865.33</v>
      </c>
      <c r="E317" s="6">
        <f>IFERROR(__xludf.DUMMYFUNCTION("GOOGLEFINANCE(""Currency:BRLMXN"")*D317"),16529.958674999998)</f>
        <v>16529.95868</v>
      </c>
      <c r="F317" s="6">
        <f>IFERROR(__xludf.DUMMYFUNCTION("GOOGLEFINANCE(""Currency:BRLPEN"")*D317"),3189.7103479999996)</f>
        <v>3189.710348</v>
      </c>
      <c r="G317" s="2" t="str">
        <f t="array" ref="G317">_xlfn.XLOOKUP(B317,Vendedores!$A$2:$A$41,Vendedores!$B$2:$B$41,"No hay datos")</f>
        <v>Bruno Peralta</v>
      </c>
      <c r="H317" s="2" t="str">
        <f t="array" ref="H317">_xlfn.XLOOKUP(B317,Vendedores!$A$2:$A$41,Vendedores!$C$2:$C$41,"No hay datos")</f>
        <v>Costa Azul</v>
      </c>
      <c r="I317" s="2" t="str">
        <f t="array" ref="I317">_xlfn.XLOOKUP(B317,Vendedores!$A$2:$A$41,Vendedores!$D$2:$D$41,"No hay datos")</f>
        <v>Región Norte</v>
      </c>
      <c r="J317" s="2" t="str">
        <f t="array" ref="J317:N317">_xlfn.XLOOKUP(A317,Productos!$A$2:$A$61,Productos!$B$2:$F$61)</f>
        <v>Tenis Atitas</v>
      </c>
      <c r="K317" s="2">
        <v>38.0</v>
      </c>
      <c r="L317" s="2" t="s">
        <v>33</v>
      </c>
      <c r="M317" s="2" t="s">
        <v>63</v>
      </c>
      <c r="N317" s="2" t="s">
        <v>64</v>
      </c>
    </row>
    <row r="318">
      <c r="A318" s="2" t="str">
        <f>IFERROR(__xludf.DUMMYFUNCTION("""COMPUTED_VALUE"""),"PR047")</f>
        <v>PR047</v>
      </c>
      <c r="B318" s="2" t="str">
        <f>IFERROR(__xludf.DUMMYFUNCTION("""COMPUTED_VALUE"""),"VD024")</f>
        <v>VD024</v>
      </c>
      <c r="C318" s="2">
        <f>IFERROR(__xludf.DUMMYFUNCTION("""COMPUTED_VALUE"""),24.0)</f>
        <v>24</v>
      </c>
      <c r="D318" s="6">
        <f>IFERROR(__xludf.DUMMYFUNCTION("""COMPUTED_VALUE"""),7027.18)</f>
        <v>7027.18</v>
      </c>
      <c r="E318" s="6">
        <f>IFERROR(__xludf.DUMMYFUNCTION("GOOGLEFINANCE(""Currency:BRLMXN"")*D318"),23874.84405)</f>
        <v>23874.84405</v>
      </c>
      <c r="F318" s="6">
        <f>IFERROR(__xludf.DUMMYFUNCTION("GOOGLEFINANCE(""Currency:BRLPEN"")*D318"),4607.019208)</f>
        <v>4607.019208</v>
      </c>
      <c r="G318" s="2" t="str">
        <f t="array" ref="G318">_xlfn.XLOOKUP(B318,Vendedores!$A$2:$A$41,Vendedores!$B$2:$B$41,"No hay datos")</f>
        <v>Marcos Rivera</v>
      </c>
      <c r="H318" s="2" t="str">
        <f t="array" ref="H318">_xlfn.XLOOKUP(B318,Vendedores!$A$2:$A$41,Vendedores!$C$2:$C$41,"No hay datos")</f>
        <v>Santa Rosa del Valle</v>
      </c>
      <c r="I318" s="2" t="str">
        <f t="array" ref="I318">_xlfn.XLOOKUP(B318,Vendedores!$A$2:$A$41,Vendedores!$D$2:$D$41,"No hay datos")</f>
        <v>Región Norte</v>
      </c>
      <c r="J318" s="2" t="str">
        <f t="array" ref="J318:N318">_xlfn.XLOOKUP(A318,Productos!$A$2:$A$61,Productos!$B$2:$F$61)</f>
        <v>Chaqueta de cuero</v>
      </c>
      <c r="K318" s="2" t="s">
        <v>17</v>
      </c>
      <c r="L318" s="2" t="s">
        <v>10</v>
      </c>
      <c r="M318" s="2" t="s">
        <v>43</v>
      </c>
      <c r="N318" s="2" t="s">
        <v>44</v>
      </c>
    </row>
    <row r="319">
      <c r="A319" s="2" t="str">
        <f>IFERROR(__xludf.DUMMYFUNCTION("""COMPUTED_VALUE"""),"PR010")</f>
        <v>PR010</v>
      </c>
      <c r="B319" s="2" t="str">
        <f>IFERROR(__xludf.DUMMYFUNCTION("""COMPUTED_VALUE"""),"VD028")</f>
        <v>VD028</v>
      </c>
      <c r="C319" s="2">
        <f>IFERROR(__xludf.DUMMYFUNCTION("""COMPUTED_VALUE"""),2.0)</f>
        <v>2</v>
      </c>
      <c r="D319" s="6">
        <f>IFERROR(__xludf.DUMMYFUNCTION("""COMPUTED_VALUE"""),95.19)</f>
        <v>95.19</v>
      </c>
      <c r="E319" s="6">
        <f>IFERROR(__xludf.DUMMYFUNCTION("GOOGLEFINANCE(""Currency:BRLMXN"")*D319"),323.408025)</f>
        <v>323.408025</v>
      </c>
      <c r="F319" s="6">
        <f>IFERROR(__xludf.DUMMYFUNCTION("GOOGLEFINANCE(""Currency:BRLPEN"")*D319"),62.406563999999996)</f>
        <v>62.406564</v>
      </c>
      <c r="G319" s="2" t="str">
        <f t="array" ref="G319">_xlfn.XLOOKUP(B319,Vendedores!$A$2:$A$41,Vendedores!$B$2:$B$41,"No hay datos")</f>
        <v>Rodrigo Almonte</v>
      </c>
      <c r="H319" s="2" t="str">
        <f t="array" ref="H319">_xlfn.XLOOKUP(B319,Vendedores!$A$2:$A$41,Vendedores!$C$2:$C$41,"No hay datos")</f>
        <v>Valle Escondido</v>
      </c>
      <c r="I319" s="2" t="str">
        <f t="array" ref="I319">_xlfn.XLOOKUP(B319,Vendedores!$A$2:$A$41,Vendedores!$D$2:$D$41,"No hay datos")</f>
        <v>Región Andina</v>
      </c>
      <c r="J319" s="2" t="str">
        <f t="array" ref="J319:N319">_xlfn.XLOOKUP(A319,Productos!$A$2:$A$61,Productos!$B$2:$F$61)</f>
        <v>Pantalón legging</v>
      </c>
      <c r="K319" s="2" t="s">
        <v>9</v>
      </c>
      <c r="L319" s="2" t="s">
        <v>10</v>
      </c>
      <c r="M319" s="2" t="s">
        <v>86</v>
      </c>
      <c r="N319" s="2" t="s">
        <v>87</v>
      </c>
    </row>
    <row r="320">
      <c r="A320" s="2" t="str">
        <f>IFERROR(__xludf.DUMMYFUNCTION("""COMPUTED_VALUE"""),"PR001")</f>
        <v>PR001</v>
      </c>
      <c r="B320" s="2" t="str">
        <f>IFERROR(__xludf.DUMMYFUNCTION("""COMPUTED_VALUE"""),"VD035")</f>
        <v>VD035</v>
      </c>
      <c r="C320" s="2">
        <f>IFERROR(__xludf.DUMMYFUNCTION("""COMPUTED_VALUE"""),1.0)</f>
        <v>1</v>
      </c>
      <c r="D320" s="6">
        <f>IFERROR(__xludf.DUMMYFUNCTION("""COMPUTED_VALUE"""),72.49)</f>
        <v>72.49</v>
      </c>
      <c r="E320" s="6">
        <f>IFERROR(__xludf.DUMMYFUNCTION("GOOGLEFINANCE(""Currency:BRLMXN"")*D320"),246.28477499999997)</f>
        <v>246.284775</v>
      </c>
      <c r="F320" s="6">
        <f>IFERROR(__xludf.DUMMYFUNCTION("GOOGLEFINANCE(""Currency:BRLPEN"")*D320"),47.524443999999995)</f>
        <v>47.524444</v>
      </c>
      <c r="G320" s="2" t="str">
        <f t="array" ref="G320">_xlfn.XLOOKUP(B320,Vendedores!$A$2:$A$41,Vendedores!$B$2:$B$41,"No hay datos")</f>
        <v>Carolina Méndez</v>
      </c>
      <c r="H320" s="2" t="str">
        <f t="array" ref="H320">_xlfn.XLOOKUP(B320,Vendedores!$A$2:$A$41,Vendedores!$C$2:$C$41,"No hay datos")</f>
        <v>Valle de los Robles</v>
      </c>
      <c r="I320" s="2" t="str">
        <f t="array" ref="I320">_xlfn.XLOOKUP(B320,Vendedores!$A$2:$A$41,Vendedores!$D$2:$D$41,"No hay datos")</f>
        <v>Región Central 2</v>
      </c>
      <c r="J320" s="2" t="str">
        <f t="array" ref="J320:N320">_xlfn.XLOOKUP(A320,Productos!$A$2:$A$61,Productos!$B$2:$F$61)</f>
        <v>Bermuda</v>
      </c>
      <c r="K320" s="2" t="s">
        <v>9</v>
      </c>
      <c r="L320" s="2" t="s">
        <v>10</v>
      </c>
      <c r="M320" s="2" t="s">
        <v>11</v>
      </c>
      <c r="N320" s="2" t="s">
        <v>12</v>
      </c>
    </row>
    <row r="321">
      <c r="A321" s="2" t="str">
        <f>IFERROR(__xludf.DUMMYFUNCTION("""COMPUTED_VALUE"""),"PR014")</f>
        <v>PR014</v>
      </c>
      <c r="B321" s="2" t="str">
        <f>IFERROR(__xludf.DUMMYFUNCTION("""COMPUTED_VALUE"""),"VD030")</f>
        <v>VD030</v>
      </c>
      <c r="C321" s="2">
        <f>IFERROR(__xludf.DUMMYFUNCTION("""COMPUTED_VALUE"""),9.0)</f>
        <v>9</v>
      </c>
      <c r="D321" s="6">
        <f>IFERROR(__xludf.DUMMYFUNCTION("""COMPUTED_VALUE"""),377.06)</f>
        <v>377.06</v>
      </c>
      <c r="E321" s="6">
        <f>IFERROR(__xludf.DUMMYFUNCTION("GOOGLEFINANCE(""Currency:BRLMXN"")*D321"),1281.06135)</f>
        <v>1281.06135</v>
      </c>
      <c r="F321" s="6">
        <f>IFERROR(__xludf.DUMMYFUNCTION("GOOGLEFINANCE(""Currency:BRLPEN"")*D321"),247.200536)</f>
        <v>247.200536</v>
      </c>
      <c r="G321" s="2" t="str">
        <f t="array" ref="G321">_xlfn.XLOOKUP(B321,Vendedores!$A$2:$A$41,Vendedores!$B$2:$B$41,"No hay datos")</f>
        <v>Leonardo Rojas</v>
      </c>
      <c r="H321" s="2" t="str">
        <f t="array" ref="H321">_xlfn.XLOOKUP(B321,Vendedores!$A$2:$A$41,Vendedores!$C$2:$C$41,"No hay datos")</f>
        <v>Villa del Sol</v>
      </c>
      <c r="I321" s="2" t="str">
        <f t="array" ref="I321">_xlfn.XLOOKUP(B321,Vendedores!$A$2:$A$41,Vendedores!$D$2:$D$41,"No hay datos")</f>
        <v>Región Central 2</v>
      </c>
      <c r="J321" s="2" t="str">
        <f t="array" ref="J321:N321">_xlfn.XLOOKUP(A321,Productos!$A$2:$A$61,Productos!$B$2:$F$61)</f>
        <v>Playera estampada</v>
      </c>
      <c r="K321" s="2" t="s">
        <v>17</v>
      </c>
      <c r="L321" s="2" t="s">
        <v>10</v>
      </c>
      <c r="M321" s="2" t="s">
        <v>37</v>
      </c>
      <c r="N321" s="2" t="s">
        <v>38</v>
      </c>
    </row>
    <row r="322">
      <c r="A322" s="2" t="str">
        <f>IFERROR(__xludf.DUMMYFUNCTION("""COMPUTED_VALUE"""),"PR041")</f>
        <v>PR041</v>
      </c>
      <c r="B322" s="2" t="str">
        <f>IFERROR(__xludf.DUMMYFUNCTION("""COMPUTED_VALUE"""),"VD042")</f>
        <v>VD042</v>
      </c>
      <c r="C322" s="2">
        <f>IFERROR(__xludf.DUMMYFUNCTION("""COMPUTED_VALUE"""),2.0)</f>
        <v>2</v>
      </c>
      <c r="D322" s="6">
        <f>IFERROR(__xludf.DUMMYFUNCTION("""COMPUTED_VALUE"""),109.8)</f>
        <v>109.8</v>
      </c>
      <c r="E322" s="6">
        <f>IFERROR(__xludf.DUMMYFUNCTION("GOOGLEFINANCE(""Currency:BRLMXN"")*D322"),373.0455)</f>
        <v>373.0455</v>
      </c>
      <c r="F322" s="6">
        <f>IFERROR(__xludf.DUMMYFUNCTION("GOOGLEFINANCE(""Currency:BRLPEN"")*D322"),71.98487999999999)</f>
        <v>71.98488</v>
      </c>
      <c r="G322" s="2" t="str">
        <f t="array" ref="G322">_xlfn.XLOOKUP(B322,Vendedores!$A$2:$A$41,Vendedores!$B$2:$B$41,"No hay datos")</f>
        <v>Priscila Duarte</v>
      </c>
      <c r="H322" s="2" t="str">
        <f t="array" ref="H322">_xlfn.XLOOKUP(B322,Vendedores!$A$2:$A$41,Vendedores!$C$2:$C$41,"No hay datos")</f>
        <v>Villa Comercial</v>
      </c>
      <c r="I322" s="2" t="str">
        <f t="array" ref="I322">_xlfn.XLOOKUP(B322,Vendedores!$A$2:$A$41,Vendedores!$D$2:$D$41,"No hay datos")</f>
        <v>Región Central 2</v>
      </c>
      <c r="J322" s="2" t="str">
        <f t="array" ref="J322:N322">_xlfn.XLOOKUP(A322,Productos!$A$2:$A$61,Productos!$B$2:$F$61)</f>
        <v>Playera confort</v>
      </c>
      <c r="K322" s="2" t="s">
        <v>17</v>
      </c>
      <c r="L322" s="2" t="s">
        <v>10</v>
      </c>
      <c r="M322" s="2" t="s">
        <v>95</v>
      </c>
      <c r="N322" s="2" t="s">
        <v>26</v>
      </c>
    </row>
    <row r="323">
      <c r="A323" s="2" t="str">
        <f>IFERROR(__xludf.DUMMYFUNCTION("""COMPUTED_VALUE"""),"PR037")</f>
        <v>PR037</v>
      </c>
      <c r="B323" s="2" t="str">
        <f>IFERROR(__xludf.DUMMYFUNCTION("""COMPUTED_VALUE"""),"VD028")</f>
        <v>VD028</v>
      </c>
      <c r="C323" s="2">
        <f>IFERROR(__xludf.DUMMYFUNCTION("""COMPUTED_VALUE"""),8.0)</f>
        <v>8</v>
      </c>
      <c r="D323" s="6">
        <f>IFERROR(__xludf.DUMMYFUNCTION("""COMPUTED_VALUE"""),1187.2)</f>
        <v>1187.2</v>
      </c>
      <c r="E323" s="6">
        <f>IFERROR(__xludf.DUMMYFUNCTION("GOOGLEFINANCE(""Currency:BRLMXN"")*D323"),4033.512)</f>
        <v>4033.512</v>
      </c>
      <c r="F323" s="6">
        <f>IFERROR(__xludf.DUMMYFUNCTION("GOOGLEFINANCE(""Currency:BRLPEN"")*D323"),778.32832)</f>
        <v>778.32832</v>
      </c>
      <c r="G323" s="2" t="str">
        <f t="array" ref="G323">_xlfn.XLOOKUP(B323,Vendedores!$A$2:$A$41,Vendedores!$B$2:$B$41,"No hay datos")</f>
        <v>Rodrigo Almonte</v>
      </c>
      <c r="H323" s="2" t="str">
        <f t="array" ref="H323">_xlfn.XLOOKUP(B323,Vendedores!$A$2:$A$41,Vendedores!$C$2:$C$41,"No hay datos")</f>
        <v>Valle Escondido</v>
      </c>
      <c r="I323" s="2" t="str">
        <f t="array" ref="I323">_xlfn.XLOOKUP(B323,Vendedores!$A$2:$A$41,Vendedores!$D$2:$D$41,"No hay datos")</f>
        <v>Región Andina</v>
      </c>
      <c r="J323" s="2" t="str">
        <f t="array" ref="J323:N323">_xlfn.XLOOKUP(A323,Productos!$A$2:$A$61,Productos!$B$2:$F$61)</f>
        <v>Vestido largo</v>
      </c>
      <c r="K323" s="2" t="s">
        <v>9</v>
      </c>
      <c r="L323" s="2" t="s">
        <v>10</v>
      </c>
      <c r="M323" s="2" t="s">
        <v>70</v>
      </c>
      <c r="N323" s="2" t="s">
        <v>71</v>
      </c>
    </row>
    <row r="324">
      <c r="A324" s="2" t="str">
        <f>IFERROR(__xludf.DUMMYFUNCTION("""COMPUTED_VALUE"""),"PR003")</f>
        <v>PR003</v>
      </c>
      <c r="B324" s="2" t="str">
        <f>IFERROR(__xludf.DUMMYFUNCTION("""COMPUTED_VALUE"""),"VD048")</f>
        <v>VD048</v>
      </c>
      <c r="C324" s="2">
        <f>IFERROR(__xludf.DUMMYFUNCTION("""COMPUTED_VALUE"""),3.0)</f>
        <v>3</v>
      </c>
      <c r="D324" s="6">
        <f>IFERROR(__xludf.DUMMYFUNCTION("""COMPUTED_VALUE"""),227.59)</f>
        <v>227.59</v>
      </c>
      <c r="E324" s="6">
        <f>IFERROR(__xludf.DUMMYFUNCTION("GOOGLEFINANCE(""Currency:BRLMXN"")*D324"),773.237025)</f>
        <v>773.237025</v>
      </c>
      <c r="F324" s="6">
        <f>IFERROR(__xludf.DUMMYFUNCTION("GOOGLEFINANCE(""Currency:BRLPEN"")*D324"),149.208004)</f>
        <v>149.208004</v>
      </c>
      <c r="G324" s="2" t="str">
        <f t="array" ref="G324">_xlfn.XLOOKUP(B324,Vendedores!$A$2:$A$41,Vendedores!$B$2:$B$41,"No hay datos")</f>
        <v>Mariana Castro</v>
      </c>
      <c r="H324" s="2" t="str">
        <f t="array" ref="H324">_xlfn.XLOOKUP(B324,Vendedores!$A$2:$A$41,Vendedores!$C$2:$C$41,"No hay datos")</f>
        <v>San Carlos del Valle</v>
      </c>
      <c r="I324" s="2" t="str">
        <f t="array" ref="I324">_xlfn.XLOOKUP(B324,Vendedores!$A$2:$A$41,Vendedores!$D$2:$D$41,"No hay datos")</f>
        <v>Región Central 2</v>
      </c>
      <c r="J324" s="2" t="str">
        <f t="array" ref="J324:N324">_xlfn.XLOOKUP(A324,Productos!$A$2:$A$61,Productos!$B$2:$F$61)</f>
        <v>Bermuda</v>
      </c>
      <c r="K324" s="2" t="s">
        <v>22</v>
      </c>
      <c r="L324" s="2" t="s">
        <v>10</v>
      </c>
      <c r="M324" s="2" t="s">
        <v>45</v>
      </c>
      <c r="N324" s="2" t="s">
        <v>46</v>
      </c>
    </row>
    <row r="325">
      <c r="A325" s="2" t="str">
        <f>IFERROR(__xludf.DUMMYFUNCTION("""COMPUTED_VALUE"""),"PR006")</f>
        <v>PR006</v>
      </c>
      <c r="B325" s="2" t="str">
        <f>IFERROR(__xludf.DUMMYFUNCTION("""COMPUTED_VALUE"""),"VD012")</f>
        <v>VD012</v>
      </c>
      <c r="C325" s="2">
        <f>IFERROR(__xludf.DUMMYFUNCTION("""COMPUTED_VALUE"""),3.0)</f>
        <v>3</v>
      </c>
      <c r="D325" s="6">
        <f>IFERROR(__xludf.DUMMYFUNCTION("""COMPUTED_VALUE"""),122.09)</f>
        <v>122.09</v>
      </c>
      <c r="E325" s="6">
        <f>IFERROR(__xludf.DUMMYFUNCTION("GOOGLEFINANCE(""Currency:BRLMXN"")*D325"),414.800775)</f>
        <v>414.800775</v>
      </c>
      <c r="F325" s="6">
        <f>IFERROR(__xludf.DUMMYFUNCTION("GOOGLEFINANCE(""Currency:BRLPEN"")*D325"),80.042204)</f>
        <v>80.042204</v>
      </c>
      <c r="G325" s="2" t="str">
        <f t="array" ref="G325">_xlfn.XLOOKUP(B325,Vendedores!$A$2:$A$41,Vendedores!$B$2:$B$41,"No hay datos")</f>
        <v>Ana Olmedo</v>
      </c>
      <c r="H325" s="2" t="str">
        <f t="array" ref="H325">_xlfn.XLOOKUP(B325,Vendedores!$A$2:$A$41,Vendedores!$C$2:$C$41,"No hay datos")</f>
        <v>Río Claro</v>
      </c>
      <c r="I325" s="2" t="str">
        <f t="array" ref="I325">_xlfn.XLOOKUP(B325,Vendedores!$A$2:$A$41,Vendedores!$D$2:$D$41,"No hay datos")</f>
        <v>Región Central</v>
      </c>
      <c r="J325" s="2" t="str">
        <f t="array" ref="J325:N325">_xlfn.XLOOKUP(A325,Productos!$A$2:$A$61,Productos!$B$2:$F$61)</f>
        <v>Gorra</v>
      </c>
      <c r="K325" s="2" t="s">
        <v>29</v>
      </c>
      <c r="L325" s="2" t="s">
        <v>30</v>
      </c>
      <c r="M325" s="2" t="s">
        <v>48</v>
      </c>
      <c r="N325" s="2" t="s">
        <v>38</v>
      </c>
    </row>
    <row r="326">
      <c r="A326" s="2" t="str">
        <f>IFERROR(__xludf.DUMMYFUNCTION("""COMPUTED_VALUE"""),"PR012")</f>
        <v>PR012</v>
      </c>
      <c r="B326" s="2" t="str">
        <f>IFERROR(__xludf.DUMMYFUNCTION("""COMPUTED_VALUE"""),"VD023")</f>
        <v>VD023</v>
      </c>
      <c r="C326" s="2">
        <f>IFERROR(__xludf.DUMMYFUNCTION("""COMPUTED_VALUE"""),16.0)</f>
        <v>16</v>
      </c>
      <c r="D326" s="6">
        <f>IFERROR(__xludf.DUMMYFUNCTION("""COMPUTED_VALUE"""),805.87)</f>
        <v>805.87</v>
      </c>
      <c r="E326" s="6">
        <f>IFERROR(__xludf.DUMMYFUNCTION("GOOGLEFINANCE(""Currency:BRLMXN"")*D326"),2737.943325)</f>
        <v>2737.943325</v>
      </c>
      <c r="F326" s="6">
        <f>IFERROR(__xludf.DUMMYFUNCTION("GOOGLEFINANCE(""Currency:BRLPEN"")*D326"),528.328372)</f>
        <v>528.328372</v>
      </c>
      <c r="G326" s="2" t="str">
        <f t="array" ref="G326">_xlfn.XLOOKUP(B326,Vendedores!$A$2:$A$41,Vendedores!$B$2:$B$41,"No hay datos")</f>
        <v>Juliana Castro</v>
      </c>
      <c r="H326" s="2" t="str">
        <f t="array" ref="H326">_xlfn.XLOOKUP(B326,Vendedores!$A$2:$A$41,Vendedores!$C$2:$C$41,"No hay datos")</f>
        <v>San Miguel de los Pinos</v>
      </c>
      <c r="I326" s="2" t="str">
        <f t="array" ref="I326">_xlfn.XLOOKUP(B326,Vendedores!$A$2:$A$41,Vendedores!$D$2:$D$41,"No hay datos")</f>
        <v>Región Sur</v>
      </c>
      <c r="J326" s="2" t="str">
        <f t="array" ref="J326:N326">_xlfn.XLOOKUP(A326,Productos!$A$2:$A$61,Productos!$B$2:$F$61)</f>
        <v>Pantalón legging</v>
      </c>
      <c r="K326" s="2" t="s">
        <v>22</v>
      </c>
      <c r="L326" s="2" t="s">
        <v>10</v>
      </c>
      <c r="M326" s="2" t="s">
        <v>88</v>
      </c>
      <c r="N326" s="2" t="s">
        <v>89</v>
      </c>
    </row>
    <row r="327">
      <c r="A327" s="2" t="str">
        <f>IFERROR(__xludf.DUMMYFUNCTION("""COMPUTED_VALUE"""),"PR028")</f>
        <v>PR028</v>
      </c>
      <c r="B327" s="2" t="str">
        <f>IFERROR(__xludf.DUMMYFUNCTION("""COMPUTED_VALUE"""),"VD015")</f>
        <v>VD015</v>
      </c>
      <c r="C327" s="2">
        <f>IFERROR(__xludf.DUMMYFUNCTION("""COMPUTED_VALUE"""),2.0)</f>
        <v>2</v>
      </c>
      <c r="D327" s="6">
        <f>IFERROR(__xludf.DUMMYFUNCTION("""COMPUTED_VALUE"""),549.78)</f>
        <v>549.78</v>
      </c>
      <c r="E327" s="6">
        <f>IFERROR(__xludf.DUMMYFUNCTION("GOOGLEFINANCE(""Currency:BRLMXN"")*D327"),1867.87755)</f>
        <v>1867.87755</v>
      </c>
      <c r="F327" s="6">
        <f>IFERROR(__xludf.DUMMYFUNCTION("GOOGLEFINANCE(""Currency:BRLPEN"")*D327"),360.43576799999994)</f>
        <v>360.435768</v>
      </c>
      <c r="G327" s="2" t="str">
        <f t="array" ref="G327">_xlfn.XLOOKUP(B327,Vendedores!$A$2:$A$41,Vendedores!$B$2:$B$41,"No hay datos")</f>
        <v>Lucas Castillo</v>
      </c>
      <c r="H327" s="2" t="str">
        <f t="array" ref="H327">_xlfn.XLOOKUP(B327,Vendedores!$A$2:$A$41,Vendedores!$C$2:$C$41,"No hay datos")</f>
        <v>San Miguel de los Pinos</v>
      </c>
      <c r="I327" s="2" t="str">
        <f t="array" ref="I327">_xlfn.XLOOKUP(B327,Vendedores!$A$2:$A$41,Vendedores!$D$2:$D$41,"No hay datos")</f>
        <v>Región Sur</v>
      </c>
      <c r="J327" s="2" t="str">
        <f t="array" ref="J327:N327">_xlfn.XLOOKUP(A327,Productos!$A$2:$A$61,Productos!$B$2:$F$61)</f>
        <v>Tenis Atitas</v>
      </c>
      <c r="K327" s="2">
        <v>36.0</v>
      </c>
      <c r="L327" s="2" t="s">
        <v>33</v>
      </c>
      <c r="M327" s="2" t="s">
        <v>55</v>
      </c>
      <c r="N327" s="2" t="s">
        <v>56</v>
      </c>
    </row>
    <row r="328">
      <c r="A328" s="2" t="str">
        <f>IFERROR(__xludf.DUMMYFUNCTION("""COMPUTED_VALUE"""),"PR043")</f>
        <v>PR043</v>
      </c>
      <c r="B328" s="2" t="str">
        <f>IFERROR(__xludf.DUMMYFUNCTION("""COMPUTED_VALUE"""),"VD031")</f>
        <v>VD031</v>
      </c>
      <c r="C328" s="2">
        <f>IFERROR(__xludf.DUMMYFUNCTION("""COMPUTED_VALUE"""),6.0)</f>
        <v>6</v>
      </c>
      <c r="D328" s="6">
        <f>IFERROR(__xludf.DUMMYFUNCTION("""COMPUTED_VALUE"""),443.7)</f>
        <v>443.7</v>
      </c>
      <c r="E328" s="6">
        <f>IFERROR(__xludf.DUMMYFUNCTION("GOOGLEFINANCE(""Currency:BRLMXN"")*D328"),1507.47075)</f>
        <v>1507.47075</v>
      </c>
      <c r="F328" s="6">
        <f>IFERROR(__xludf.DUMMYFUNCTION("GOOGLEFINANCE(""Currency:BRLPEN"")*D328"),290.88971999999995)</f>
        <v>290.88972</v>
      </c>
      <c r="G328" s="2" t="str">
        <f t="array" ref="G328">_xlfn.XLOOKUP(B328,Vendedores!$A$2:$A$41,Vendedores!$B$2:$B$41,"No hay datos")</f>
        <v>Vanessa Martínez</v>
      </c>
      <c r="H328" s="2" t="str">
        <f t="array" ref="H328">_xlfn.XLOOKUP(B328,Vendedores!$A$2:$A$41,Vendedores!$C$2:$C$41,"No hay datos")</f>
        <v>Monte Verde</v>
      </c>
      <c r="I328" s="2" t="str">
        <f t="array" ref="I328">_xlfn.XLOOKUP(B328,Vendedores!$A$2:$A$41,Vendedores!$D$2:$D$41,"No hay datos")</f>
        <v>Región Central 2</v>
      </c>
      <c r="J328" s="2" t="str">
        <f t="array" ref="J328:N328">_xlfn.XLOOKUP(A328,Productos!$A$2:$A$61,Productos!$B$2:$F$61)</f>
        <v>Vestido floral</v>
      </c>
      <c r="K328" s="2" t="s">
        <v>9</v>
      </c>
      <c r="L328" s="2" t="s">
        <v>10</v>
      </c>
      <c r="M328" s="2" t="s">
        <v>69</v>
      </c>
      <c r="N328" s="2" t="s">
        <v>40</v>
      </c>
    </row>
    <row r="329">
      <c r="A329" s="2" t="str">
        <f>IFERROR(__xludf.DUMMYFUNCTION("""COMPUTED_VALUE"""),"PR031")</f>
        <v>PR031</v>
      </c>
      <c r="B329" s="2" t="str">
        <f>IFERROR(__xludf.DUMMYFUNCTION("""COMPUTED_VALUE"""),"VD023")</f>
        <v>VD023</v>
      </c>
      <c r="C329" s="2">
        <f>IFERROR(__xludf.DUMMYFUNCTION("""COMPUTED_VALUE"""),8.0)</f>
        <v>8</v>
      </c>
      <c r="D329" s="6">
        <f>IFERROR(__xludf.DUMMYFUNCTION("""COMPUTED_VALUE"""),1999.2)</f>
        <v>1999.2</v>
      </c>
      <c r="E329" s="6">
        <f>IFERROR(__xludf.DUMMYFUNCTION("GOOGLEFINANCE(""Currency:BRLMXN"")*D329"),6792.282)</f>
        <v>6792.282</v>
      </c>
      <c r="F329" s="6">
        <f>IFERROR(__xludf.DUMMYFUNCTION("GOOGLEFINANCE(""Currency:BRLPEN"")*D329"),1310.67552)</f>
        <v>1310.67552</v>
      </c>
      <c r="G329" s="2" t="str">
        <f t="array" ref="G329">_xlfn.XLOOKUP(B329,Vendedores!$A$2:$A$41,Vendedores!$B$2:$B$41,"No hay datos")</f>
        <v>Juliana Castro</v>
      </c>
      <c r="H329" s="2" t="str">
        <f t="array" ref="H329">_xlfn.XLOOKUP(B329,Vendedores!$A$2:$A$41,Vendedores!$C$2:$C$41,"No hay datos")</f>
        <v>San Miguel de los Pinos</v>
      </c>
      <c r="I329" s="2" t="str">
        <f t="array" ref="I329">_xlfn.XLOOKUP(B329,Vendedores!$A$2:$A$41,Vendedores!$D$2:$D$41,"No hay datos")</f>
        <v>Región Sur</v>
      </c>
      <c r="J329" s="2" t="str">
        <f t="array" ref="J329:N329">_xlfn.XLOOKUP(A329,Productos!$A$2:$A$61,Productos!$B$2:$F$61)</f>
        <v>Tenis Chunky</v>
      </c>
      <c r="K329" s="2">
        <v>36.0</v>
      </c>
      <c r="L329" s="2" t="s">
        <v>33</v>
      </c>
      <c r="M329" s="2" t="s">
        <v>84</v>
      </c>
      <c r="N329" s="2" t="s">
        <v>85</v>
      </c>
    </row>
    <row r="330">
      <c r="A330" s="2" t="str">
        <f>IFERROR(__xludf.DUMMYFUNCTION("""COMPUTED_VALUE"""),"PR005")</f>
        <v>PR005</v>
      </c>
      <c r="B330" s="2" t="str">
        <f>IFERROR(__xludf.DUMMYFUNCTION("""COMPUTED_VALUE"""),"VD030")</f>
        <v>VD030</v>
      </c>
      <c r="C330" s="2">
        <f>IFERROR(__xludf.DUMMYFUNCTION("""COMPUTED_VALUE"""),15.0)</f>
        <v>15</v>
      </c>
      <c r="D330" s="6">
        <f>IFERROR(__xludf.DUMMYFUNCTION("""COMPUTED_VALUE"""),4210.38)</f>
        <v>4210.38</v>
      </c>
      <c r="E330" s="6">
        <f>IFERROR(__xludf.DUMMYFUNCTION("GOOGLEFINANCE(""Currency:BRLMXN"")*D330"),14304.76605)</f>
        <v>14304.76605</v>
      </c>
      <c r="F330" s="6">
        <f>IFERROR(__xludf.DUMMYFUNCTION("GOOGLEFINANCE(""Currency:BRLPEN"")*D330"),2760.325128)</f>
        <v>2760.325128</v>
      </c>
      <c r="G330" s="2" t="str">
        <f t="array" ref="G330">_xlfn.XLOOKUP(B330,Vendedores!$A$2:$A$41,Vendedores!$B$2:$B$41,"No hay datos")</f>
        <v>Leonardo Rojas</v>
      </c>
      <c r="H330" s="2" t="str">
        <f t="array" ref="H330">_xlfn.XLOOKUP(B330,Vendedores!$A$2:$A$41,Vendedores!$C$2:$C$41,"No hay datos")</f>
        <v>Villa del Sol</v>
      </c>
      <c r="I330" s="2" t="str">
        <f t="array" ref="I330">_xlfn.XLOOKUP(B330,Vendedores!$A$2:$A$41,Vendedores!$D$2:$D$41,"No hay datos")</f>
        <v>Región Central 2</v>
      </c>
      <c r="J330" s="2" t="str">
        <f t="array" ref="J330:N330">_xlfn.XLOOKUP(A330,Productos!$A$2:$A$61,Productos!$B$2:$F$61)</f>
        <v>Bolso de cuero</v>
      </c>
      <c r="K330" s="2" t="s">
        <v>29</v>
      </c>
      <c r="L330" s="2" t="s">
        <v>30</v>
      </c>
      <c r="M330" s="2" t="s">
        <v>100</v>
      </c>
      <c r="N330" s="2" t="s">
        <v>64</v>
      </c>
    </row>
    <row r="331">
      <c r="A331" s="2" t="str">
        <f>IFERROR(__xludf.DUMMYFUNCTION("""COMPUTED_VALUE"""),"PR051")</f>
        <v>PR051</v>
      </c>
      <c r="B331" s="2" t="str">
        <f>IFERROR(__xludf.DUMMYFUNCTION("""COMPUTED_VALUE"""),"VD041")</f>
        <v>VD041</v>
      </c>
      <c r="C331" s="2">
        <f>IFERROR(__xludf.DUMMYFUNCTION("""COMPUTED_VALUE"""),5.0)</f>
        <v>5</v>
      </c>
      <c r="D331" s="6">
        <f>IFERROR(__xludf.DUMMYFUNCTION("""COMPUTED_VALUE"""),171.08)</f>
        <v>171.08</v>
      </c>
      <c r="E331" s="6">
        <f>IFERROR(__xludf.DUMMYFUNCTION("GOOGLEFINANCE(""Currency:BRLMXN"")*D331"),581.2443000000001)</f>
        <v>581.2443</v>
      </c>
      <c r="F331" s="6">
        <f>IFERROR(__xludf.DUMMYFUNCTION("GOOGLEFINANCE(""Currency:BRLPEN"")*D331"),112.160048)</f>
        <v>112.160048</v>
      </c>
      <c r="G331" s="2" t="str">
        <f t="array" ref="G331">_xlfn.XLOOKUP(B331,Vendedores!$A$2:$A$41,Vendedores!$B$2:$B$41,"No hay datos")</f>
        <v>Alejandro Ramos</v>
      </c>
      <c r="H331" s="2" t="str">
        <f t="array" ref="H331">_xlfn.XLOOKUP(B331,Vendedores!$A$2:$A$41,Vendedores!$C$2:$C$41,"No hay datos")</f>
        <v>San Martín de las Rosas</v>
      </c>
      <c r="I331" s="2" t="str">
        <f t="array" ref="I331">_xlfn.XLOOKUP(B331,Vendedores!$A$2:$A$41,Vendedores!$D$2:$D$41,"No hay datos")</f>
        <v>Región Central 2</v>
      </c>
      <c r="J331" s="2" t="str">
        <f t="array" ref="J331:N331">_xlfn.XLOOKUP(A331,Productos!$A$2:$A$61,Productos!$B$2:$F$61)</f>
        <v>Playera a rayas</v>
      </c>
      <c r="K331" s="2" t="s">
        <v>22</v>
      </c>
      <c r="L331" s="2" t="s">
        <v>10</v>
      </c>
      <c r="M331" s="2" t="s">
        <v>23</v>
      </c>
      <c r="N331" s="2" t="s">
        <v>24</v>
      </c>
    </row>
    <row r="332">
      <c r="A332" s="2" t="str">
        <f>IFERROR(__xludf.DUMMYFUNCTION("""COMPUTED_VALUE"""),"PR018")</f>
        <v>PR018</v>
      </c>
      <c r="B332" s="2" t="str">
        <f>IFERROR(__xludf.DUMMYFUNCTION("""COMPUTED_VALUE"""),"VD028")</f>
        <v>VD028</v>
      </c>
      <c r="C332" s="2">
        <f>IFERROR(__xludf.DUMMYFUNCTION("""COMPUTED_VALUE"""),12.0)</f>
        <v>12</v>
      </c>
      <c r="D332" s="6">
        <f>IFERROR(__xludf.DUMMYFUNCTION("""COMPUTED_VALUE"""),430.33)</f>
        <v>430.33</v>
      </c>
      <c r="E332" s="6">
        <f>IFERROR(__xludf.DUMMYFUNCTION("GOOGLEFINANCE(""Currency:BRLMXN"")*D332"),1462.046175)</f>
        <v>1462.046175</v>
      </c>
      <c r="F332" s="6">
        <f>IFERROR(__xludf.DUMMYFUNCTION("GOOGLEFINANCE(""Currency:BRLPEN"")*D332"),282.124348)</f>
        <v>282.124348</v>
      </c>
      <c r="G332" s="2" t="str">
        <f t="array" ref="G332">_xlfn.XLOOKUP(B332,Vendedores!$A$2:$A$41,Vendedores!$B$2:$B$41,"No hay datos")</f>
        <v>Rodrigo Almonte</v>
      </c>
      <c r="H332" s="2" t="str">
        <f t="array" ref="H332">_xlfn.XLOOKUP(B332,Vendedores!$A$2:$A$41,Vendedores!$C$2:$C$41,"No hay datos")</f>
        <v>Valle Escondido</v>
      </c>
      <c r="I332" s="2" t="str">
        <f t="array" ref="I332">_xlfn.XLOOKUP(B332,Vendedores!$A$2:$A$41,Vendedores!$D$2:$D$41,"No hay datos")</f>
        <v>Región Andina</v>
      </c>
      <c r="J332" s="2" t="str">
        <f t="array" ref="J332:N332">_xlfn.XLOOKUP(A332,Productos!$A$2:$A$61,Productos!$B$2:$F$61)</f>
        <v>Playera lisa</v>
      </c>
      <c r="K332" s="2" t="s">
        <v>22</v>
      </c>
      <c r="L332" s="2" t="s">
        <v>10</v>
      </c>
      <c r="M332" s="2" t="s">
        <v>57</v>
      </c>
      <c r="N332" s="2" t="s">
        <v>24</v>
      </c>
    </row>
    <row r="333">
      <c r="A333" s="2" t="str">
        <f>IFERROR(__xludf.DUMMYFUNCTION("""COMPUTED_VALUE"""),"PR016")</f>
        <v>PR016</v>
      </c>
      <c r="B333" s="2" t="str">
        <f>IFERROR(__xludf.DUMMYFUNCTION("""COMPUTED_VALUE"""),"VD042")</f>
        <v>VD042</v>
      </c>
      <c r="C333" s="2">
        <f>IFERROR(__xludf.DUMMYFUNCTION("""COMPUTED_VALUE"""),5.0)</f>
        <v>5</v>
      </c>
      <c r="D333" s="6">
        <f>IFERROR(__xludf.DUMMYFUNCTION("""COMPUTED_VALUE"""),138.57)</f>
        <v>138.57</v>
      </c>
      <c r="E333" s="6">
        <f>IFERROR(__xludf.DUMMYFUNCTION("GOOGLEFINANCE(""Currency:BRLMXN"")*D333"),470.79157499999997)</f>
        <v>470.791575</v>
      </c>
      <c r="F333" s="6">
        <f>IFERROR(__xludf.DUMMYFUNCTION("GOOGLEFINANCE(""Currency:BRLPEN"")*D333"),90.84649199999998)</f>
        <v>90.846492</v>
      </c>
      <c r="G333" s="2" t="str">
        <f t="array" ref="G333">_xlfn.XLOOKUP(B333,Vendedores!$A$2:$A$41,Vendedores!$B$2:$B$41,"No hay datos")</f>
        <v>Priscila Duarte</v>
      </c>
      <c r="H333" s="2" t="str">
        <f t="array" ref="H333">_xlfn.XLOOKUP(B333,Vendedores!$A$2:$A$41,Vendedores!$C$2:$C$41,"No hay datos")</f>
        <v>Villa Comercial</v>
      </c>
      <c r="I333" s="2" t="str">
        <f t="array" ref="I333">_xlfn.XLOOKUP(B333,Vendedores!$A$2:$A$41,Vendedores!$D$2:$D$41,"No hay datos")</f>
        <v>Región Central 2</v>
      </c>
      <c r="J333" s="2" t="str">
        <f t="array" ref="J333:N333">_xlfn.XLOOKUP(A333,Productos!$A$2:$A$61,Productos!$B$2:$F$61)</f>
        <v>Playera lisa</v>
      </c>
      <c r="K333" s="2" t="s">
        <v>9</v>
      </c>
      <c r="L333" s="2" t="s">
        <v>10</v>
      </c>
      <c r="M333" s="2" t="s">
        <v>20</v>
      </c>
      <c r="N333" s="2" t="s">
        <v>21</v>
      </c>
    </row>
    <row r="334">
      <c r="A334" s="2" t="str">
        <f>IFERROR(__xludf.DUMMYFUNCTION("""COMPUTED_VALUE"""),"PR048")</f>
        <v>PR048</v>
      </c>
      <c r="B334" s="2" t="str">
        <f>IFERROR(__xludf.DUMMYFUNCTION("""COMPUTED_VALUE"""),"VD019")</f>
        <v>VD019</v>
      </c>
      <c r="C334" s="2">
        <f>IFERROR(__xludf.DUMMYFUNCTION("""COMPUTED_VALUE"""),2.0)</f>
        <v>2</v>
      </c>
      <c r="D334" s="6">
        <f>IFERROR(__xludf.DUMMYFUNCTION("""COMPUTED_VALUE"""),614.59)</f>
        <v>614.59</v>
      </c>
      <c r="E334" s="6">
        <f>IFERROR(__xludf.DUMMYFUNCTION("GOOGLEFINANCE(""Currency:BRLMXN"")*D334"),2088.069525)</f>
        <v>2088.069525</v>
      </c>
      <c r="F334" s="6">
        <f>IFERROR(__xludf.DUMMYFUNCTION("GOOGLEFINANCE(""Currency:BRLPEN"")*D334"),402.925204)</f>
        <v>402.925204</v>
      </c>
      <c r="G334" s="2" t="str">
        <f t="array" ref="G334">_xlfn.XLOOKUP(B334,Vendedores!$A$2:$A$41,Vendedores!$B$2:$B$41,"No hay datos")</f>
        <v>Rafael Sosa</v>
      </c>
      <c r="H334" s="2" t="str">
        <f t="array" ref="H334">_xlfn.XLOOKUP(B334,Vendedores!$A$2:$A$41,Vendedores!$C$2:$C$41,"No hay datos")</f>
        <v>Selva Verde</v>
      </c>
      <c r="I334" s="2" t="str">
        <f t="array" ref="I334">_xlfn.XLOOKUP(B334,Vendedores!$A$2:$A$41,Vendedores!$D$2:$D$41,"No hay datos")</f>
        <v>Región Amazónica</v>
      </c>
      <c r="J334" s="2" t="str">
        <f t="array" ref="J334:N334">_xlfn.XLOOKUP(A334,Productos!$A$2:$A$61,Productos!$B$2:$F$61)</f>
        <v>Chaqueta de cuero</v>
      </c>
      <c r="K334" s="2" t="s">
        <v>22</v>
      </c>
      <c r="L334" s="2" t="s">
        <v>10</v>
      </c>
      <c r="M334" s="2" t="s">
        <v>94</v>
      </c>
      <c r="N334" s="2" t="s">
        <v>44</v>
      </c>
    </row>
    <row r="335">
      <c r="A335" s="2" t="str">
        <f>IFERROR(__xludf.DUMMYFUNCTION("""COMPUTED_VALUE"""),"PR036")</f>
        <v>PR036</v>
      </c>
      <c r="B335" s="2" t="str">
        <f>IFERROR(__xludf.DUMMYFUNCTION("""COMPUTED_VALUE"""),"VD036")</f>
        <v>VD036</v>
      </c>
      <c r="C335" s="2">
        <f>IFERROR(__xludf.DUMMYFUNCTION("""COMPUTED_VALUE"""),16.0)</f>
        <v>16</v>
      </c>
      <c r="D335" s="6">
        <f>IFERROR(__xludf.DUMMYFUNCTION("""COMPUTED_VALUE"""),1630.64)</f>
        <v>1630.64</v>
      </c>
      <c r="E335" s="6">
        <f>IFERROR(__xludf.DUMMYFUNCTION("GOOGLEFINANCE(""Currency:BRLMXN"")*D335"),5540.0994)</f>
        <v>5540.0994</v>
      </c>
      <c r="F335" s="6">
        <f>IFERROR(__xludf.DUMMYFUNCTION("GOOGLEFINANCE(""Currency:BRLPEN"")*D335"),1069.047584)</f>
        <v>1069.047584</v>
      </c>
      <c r="G335" s="2" t="str">
        <f t="array" ref="G335">_xlfn.XLOOKUP(B335,Vendedores!$A$2:$A$41,Vendedores!$B$2:$B$41,"No hay datos")</f>
        <v>Ricardo Sosa</v>
      </c>
      <c r="H335" s="2" t="str">
        <f t="array" ref="H335">_xlfn.XLOOKUP(B335,Vendedores!$A$2:$A$41,Vendedores!$C$2:$C$41,"No hay datos")</f>
        <v>Puerto Nuevo</v>
      </c>
      <c r="I335" s="2" t="str">
        <f t="array" ref="I335">_xlfn.XLOOKUP(B335,Vendedores!$A$2:$A$41,Vendedores!$D$2:$D$41,"No hay datos")</f>
        <v>Región Central 2</v>
      </c>
      <c r="J335" s="2" t="str">
        <f t="array" ref="J335:N335">_xlfn.XLOOKUP(A335,Productos!$A$2:$A$61,Productos!$B$2:$F$61)</f>
        <v>Vestido corto</v>
      </c>
      <c r="K335" s="2" t="s">
        <v>22</v>
      </c>
      <c r="L335" s="2" t="s">
        <v>10</v>
      </c>
      <c r="M335" s="2" t="s">
        <v>82</v>
      </c>
      <c r="N335" s="2" t="s">
        <v>83</v>
      </c>
    </row>
    <row r="336">
      <c r="A336" s="2" t="str">
        <f>IFERROR(__xludf.DUMMYFUNCTION("""COMPUTED_VALUE"""),"PR023")</f>
        <v>PR023</v>
      </c>
      <c r="B336" s="2" t="str">
        <f>IFERROR(__xludf.DUMMYFUNCTION("""COMPUTED_VALUE"""),"VD032")</f>
        <v>VD032</v>
      </c>
      <c r="C336" s="2">
        <f>IFERROR(__xludf.DUMMYFUNCTION("""COMPUTED_VALUE"""),8.0)</f>
        <v>8</v>
      </c>
      <c r="D336" s="6">
        <f>IFERROR(__xludf.DUMMYFUNCTION("""COMPUTED_VALUE"""),2199.12)</f>
        <v>2199.12</v>
      </c>
      <c r="E336" s="6">
        <f>IFERROR(__xludf.DUMMYFUNCTION("GOOGLEFINANCE(""Currency:BRLMXN"")*D336"),7471.5102)</f>
        <v>7471.5102</v>
      </c>
      <c r="F336" s="6">
        <f>IFERROR(__xludf.DUMMYFUNCTION("GOOGLEFINANCE(""Currency:BRLPEN"")*D336"),1441.7430719999998)</f>
        <v>1441.743072</v>
      </c>
      <c r="G336" s="2" t="str">
        <f t="array" ref="G336">_xlfn.XLOOKUP(B336,Vendedores!$A$2:$A$41,Vendedores!$B$2:$B$41,"No hay datos")</f>
        <v>Eduardo Almonte</v>
      </c>
      <c r="H336" s="2" t="str">
        <f t="array" ref="H336">_xlfn.XLOOKUP(B336,Vendedores!$A$2:$A$41,Vendedores!$C$2:$C$41,"No hay datos")</f>
        <v>Tierra Colorada</v>
      </c>
      <c r="I336" s="2" t="str">
        <f t="array" ref="I336">_xlfn.XLOOKUP(B336,Vendedores!$A$2:$A$41,Vendedores!$D$2:$D$41,"No hay datos")</f>
        <v>Región Central 2</v>
      </c>
      <c r="J336" s="2" t="str">
        <f t="array" ref="J336:N336">_xlfn.XLOOKUP(A336,Productos!$A$2:$A$61,Productos!$B$2:$F$61)</f>
        <v>Chaqueta de mezclilla</v>
      </c>
      <c r="K336" s="2" t="s">
        <v>9</v>
      </c>
      <c r="L336" s="2" t="s">
        <v>10</v>
      </c>
      <c r="M336" s="2" t="s">
        <v>72</v>
      </c>
      <c r="N336" s="2" t="s">
        <v>56</v>
      </c>
    </row>
    <row r="337">
      <c r="A337" s="2" t="str">
        <f>IFERROR(__xludf.DUMMYFUNCTION("""COMPUTED_VALUE"""),"PR038")</f>
        <v>PR038</v>
      </c>
      <c r="B337" s="2" t="str">
        <f>IFERROR(__xludf.DUMMYFUNCTION("""COMPUTED_VALUE"""),"VD032")</f>
        <v>VD032</v>
      </c>
      <c r="C337" s="2">
        <f>IFERROR(__xludf.DUMMYFUNCTION("""COMPUTED_VALUE"""),15.0)</f>
        <v>15</v>
      </c>
      <c r="D337" s="6">
        <f>IFERROR(__xludf.DUMMYFUNCTION("""COMPUTED_VALUE"""),2357.85)</f>
        <v>2357.85</v>
      </c>
      <c r="E337" s="6">
        <f>IFERROR(__xludf.DUMMYFUNCTION("GOOGLEFINANCE(""Currency:BRLMXN"")*D337"),8010.795375)</f>
        <v>8010.795375</v>
      </c>
      <c r="F337" s="6">
        <f>IFERROR(__xludf.DUMMYFUNCTION("GOOGLEFINANCE(""Currency:BRLPEN"")*D337"),1545.8064599999998)</f>
        <v>1545.80646</v>
      </c>
      <c r="G337" s="2" t="str">
        <f t="array" ref="G337">_xlfn.XLOOKUP(B337,Vendedores!$A$2:$A$41,Vendedores!$B$2:$B$41,"No hay datos")</f>
        <v>Eduardo Almonte</v>
      </c>
      <c r="H337" s="2" t="str">
        <f t="array" ref="H337">_xlfn.XLOOKUP(B337,Vendedores!$A$2:$A$41,Vendedores!$C$2:$C$41,"No hay datos")</f>
        <v>Tierra Colorada</v>
      </c>
      <c r="I337" s="2" t="str">
        <f t="array" ref="I337">_xlfn.XLOOKUP(B337,Vendedores!$A$2:$A$41,Vendedores!$D$2:$D$41,"No hay datos")</f>
        <v>Región Central 2</v>
      </c>
      <c r="J337" s="2" t="str">
        <f t="array" ref="J337:N337">_xlfn.XLOOKUP(A337,Productos!$A$2:$A$61,Productos!$B$2:$F$61)</f>
        <v>Vestido largo</v>
      </c>
      <c r="K337" s="2" t="s">
        <v>17</v>
      </c>
      <c r="L337" s="2" t="s">
        <v>10</v>
      </c>
      <c r="M337" s="2" t="s">
        <v>51</v>
      </c>
      <c r="N337" s="2" t="s">
        <v>52</v>
      </c>
    </row>
    <row r="338">
      <c r="A338" s="2" t="str">
        <f>IFERROR(__xludf.DUMMYFUNCTION("""COMPUTED_VALUE"""),"PR037")</f>
        <v>PR037</v>
      </c>
      <c r="B338" s="2" t="str">
        <f>IFERROR(__xludf.DUMMYFUNCTION("""COMPUTED_VALUE"""),"VD025")</f>
        <v>VD025</v>
      </c>
      <c r="C338" s="2">
        <f>IFERROR(__xludf.DUMMYFUNCTION("""COMPUTED_VALUE"""),27.0)</f>
        <v>27</v>
      </c>
      <c r="D338" s="6">
        <f>IFERROR(__xludf.DUMMYFUNCTION("""COMPUTED_VALUE"""),3780.0)</f>
        <v>3780</v>
      </c>
      <c r="E338" s="6">
        <f>IFERROR(__xludf.DUMMYFUNCTION("GOOGLEFINANCE(""Currency:BRLMXN"")*D338"),12842.55)</f>
        <v>12842.55</v>
      </c>
      <c r="F338" s="6">
        <f>IFERROR(__xludf.DUMMYFUNCTION("GOOGLEFINANCE(""Currency:BRLPEN"")*D338"),2478.1679999999997)</f>
        <v>2478.168</v>
      </c>
      <c r="G338" s="2" t="str">
        <f t="array" ref="G338">_xlfn.XLOOKUP(B338,Vendedores!$A$2:$A$41,Vendedores!$B$2:$B$41,"No hay datos")</f>
        <v>Alina Santana</v>
      </c>
      <c r="H338" s="2" t="str">
        <f t="array" ref="H338">_xlfn.XLOOKUP(B338,Vendedores!$A$2:$A$41,Vendedores!$C$2:$C$41,"No hay datos")</f>
        <v>Playa Blanca</v>
      </c>
      <c r="I338" s="2" t="str">
        <f t="array" ref="I338">_xlfn.XLOOKUP(B338,Vendedores!$A$2:$A$41,Vendedores!$D$2:$D$41,"No hay datos")</f>
        <v>Región Norte</v>
      </c>
      <c r="J338" s="2" t="str">
        <f t="array" ref="J338:N338">_xlfn.XLOOKUP(A338,Productos!$A$2:$A$61,Productos!$B$2:$F$61)</f>
        <v>Vestido largo</v>
      </c>
      <c r="K338" s="2" t="s">
        <v>9</v>
      </c>
      <c r="L338" s="2" t="s">
        <v>10</v>
      </c>
      <c r="M338" s="2" t="s">
        <v>70</v>
      </c>
      <c r="N338" s="2" t="s">
        <v>71</v>
      </c>
    </row>
    <row r="339">
      <c r="A339" s="2" t="str">
        <f>IFERROR(__xludf.DUMMYFUNCTION("""COMPUTED_VALUE"""),"PR020")</f>
        <v>PR020</v>
      </c>
      <c r="B339" s="2" t="str">
        <f>IFERROR(__xludf.DUMMYFUNCTION("""COMPUTED_VALUE"""),"VD016")</f>
        <v>VD016</v>
      </c>
      <c r="C339" s="2">
        <f>IFERROR(__xludf.DUMMYFUNCTION("""COMPUTED_VALUE"""),12.0)</f>
        <v>12</v>
      </c>
      <c r="D339" s="6">
        <f>IFERROR(__xludf.DUMMYFUNCTION("""COMPUTED_VALUE"""),3778.74)</f>
        <v>3778.74</v>
      </c>
      <c r="E339" s="6">
        <f>IFERROR(__xludf.DUMMYFUNCTION("GOOGLEFINANCE(""Currency:BRLMXN"")*D339"),12838.269149999998)</f>
        <v>12838.26915</v>
      </c>
      <c r="F339" s="6">
        <f>IFERROR(__xludf.DUMMYFUNCTION("GOOGLEFINANCE(""Currency:BRLPEN"")*D339"),2477.341944)</f>
        <v>2477.341944</v>
      </c>
      <c r="G339" s="2" t="str">
        <f t="array" ref="G339">_xlfn.XLOOKUP(B339,Vendedores!$A$2:$A$41,Vendedores!$B$2:$B$41,"No hay datos")</f>
        <v>Beatriz Linares</v>
      </c>
      <c r="H339" s="2" t="str">
        <f t="array" ref="H339">_xlfn.XLOOKUP(B339,Vendedores!$A$2:$A$41,Vendedores!$C$2:$C$41,"No hay datos")</f>
        <v>Puerto Esperanza</v>
      </c>
      <c r="I339" s="2" t="str">
        <f t="array" ref="I339">_xlfn.XLOOKUP(B339,Vendedores!$A$2:$A$41,Vendedores!$D$2:$D$41,"No hay datos")</f>
        <v>Región Sur</v>
      </c>
      <c r="J339" s="2" t="str">
        <f t="array" ref="J339:N339">_xlfn.XLOOKUP(A339,Productos!$A$2:$A$61,Productos!$B$2:$F$61)</f>
        <v>Chaqueta de cuero</v>
      </c>
      <c r="K339" s="2" t="s">
        <v>9</v>
      </c>
      <c r="L339" s="2" t="s">
        <v>10</v>
      </c>
      <c r="M339" s="2" t="s">
        <v>15</v>
      </c>
      <c r="N339" s="2" t="s">
        <v>16</v>
      </c>
    </row>
    <row r="340">
      <c r="A340" s="2" t="str">
        <f>IFERROR(__xludf.DUMMYFUNCTION("""COMPUTED_VALUE"""),"PR049")</f>
        <v>PR049</v>
      </c>
      <c r="B340" s="2" t="str">
        <f>IFERROR(__xludf.DUMMYFUNCTION("""COMPUTED_VALUE"""),"VD017")</f>
        <v>VD017</v>
      </c>
      <c r="C340" s="2">
        <f>IFERROR(__xludf.DUMMYFUNCTION("""COMPUTED_VALUE"""),21.0)</f>
        <v>21</v>
      </c>
      <c r="D340" s="6">
        <f>IFERROR(__xludf.DUMMYFUNCTION("""COMPUTED_VALUE"""),753.08)</f>
        <v>753.08</v>
      </c>
      <c r="E340" s="6">
        <f>IFERROR(__xludf.DUMMYFUNCTION("GOOGLEFINANCE(""Currency:BRLMXN"")*D340"),2558.5893)</f>
        <v>2558.5893</v>
      </c>
      <c r="F340" s="6">
        <f>IFERROR(__xludf.DUMMYFUNCTION("GOOGLEFINANCE(""Currency:BRLPEN"")*D340"),493.719248)</f>
        <v>493.719248</v>
      </c>
      <c r="G340" s="2" t="str">
        <f t="array" ref="G340">_xlfn.XLOOKUP(B340,Vendedores!$A$2:$A$41,Vendedores!$B$2:$B$41,"No hay datos")</f>
        <v>Bruno Peralta</v>
      </c>
      <c r="H340" s="2" t="str">
        <f t="array" ref="H340">_xlfn.XLOOKUP(B340,Vendedores!$A$2:$A$41,Vendedores!$C$2:$C$41,"No hay datos")</f>
        <v>Costa Azul</v>
      </c>
      <c r="I340" s="2" t="str">
        <f t="array" ref="I340">_xlfn.XLOOKUP(B340,Vendedores!$A$2:$A$41,Vendedores!$D$2:$D$41,"No hay datos")</f>
        <v>Región Norte</v>
      </c>
      <c r="J340" s="2" t="str">
        <f t="array" ref="J340:N340">_xlfn.XLOOKUP(A340,Productos!$A$2:$A$61,Productos!$B$2:$F$61)</f>
        <v>Playera a rayas</v>
      </c>
      <c r="K340" s="2" t="s">
        <v>9</v>
      </c>
      <c r="L340" s="2" t="s">
        <v>10</v>
      </c>
      <c r="M340" s="2" t="s">
        <v>47</v>
      </c>
      <c r="N340" s="2" t="s">
        <v>24</v>
      </c>
    </row>
    <row r="341">
      <c r="A341" s="2" t="str">
        <f>IFERROR(__xludf.DUMMYFUNCTION("""COMPUTED_VALUE"""),"PR007")</f>
        <v>PR007</v>
      </c>
      <c r="B341" s="2" t="str">
        <f>IFERROR(__xludf.DUMMYFUNCTION("""COMPUTED_VALUE"""),"VD029")</f>
        <v>VD029</v>
      </c>
      <c r="C341" s="2">
        <f>IFERROR(__xludf.DUMMYFUNCTION("""COMPUTED_VALUE"""),18.0)</f>
        <v>18</v>
      </c>
      <c r="D341" s="6">
        <f>IFERROR(__xludf.DUMMYFUNCTION("""COMPUTED_VALUE"""),1561.66)</f>
        <v>1561.66</v>
      </c>
      <c r="E341" s="6">
        <f>IFERROR(__xludf.DUMMYFUNCTION("GOOGLEFINANCE(""Currency:BRLMXN"")*D341"),5305.73985)</f>
        <v>5305.73985</v>
      </c>
      <c r="F341" s="6">
        <f>IFERROR(__xludf.DUMMYFUNCTION("GOOGLEFINANCE(""Currency:BRLPEN"")*D341"),1023.824296)</f>
        <v>1023.824296</v>
      </c>
      <c r="G341" s="2" t="str">
        <f t="array" ref="G341">_xlfn.XLOOKUP(B341,Vendedores!$A$2:$A$41,Vendedores!$B$2:$B$41,"No hay datos")</f>
        <v>Gabriela Sosa</v>
      </c>
      <c r="H341" s="2" t="str">
        <f t="array" ref="H341">_xlfn.XLOOKUP(B341,Vendedores!$A$2:$A$41,Vendedores!$C$2:$C$41,"No hay datos")</f>
        <v>Selva Verde</v>
      </c>
      <c r="I341" s="2" t="str">
        <f t="array" ref="I341">_xlfn.XLOOKUP(B341,Vendedores!$A$2:$A$41,Vendedores!$D$2:$D$41,"No hay datos")</f>
        <v>Región Amazónica</v>
      </c>
      <c r="J341" s="2" t="str">
        <f t="array" ref="J341:N341">_xlfn.XLOOKUP(A341,Productos!$A$2:$A$61,Productos!$B$2:$F$61)</f>
        <v>Pantalón de mezclilla</v>
      </c>
      <c r="K341" s="2" t="s">
        <v>9</v>
      </c>
      <c r="L341" s="2" t="s">
        <v>10</v>
      </c>
      <c r="M341" s="2" t="s">
        <v>103</v>
      </c>
      <c r="N341" s="2" t="s">
        <v>104</v>
      </c>
    </row>
    <row r="342">
      <c r="A342" s="2" t="str">
        <f>IFERROR(__xludf.DUMMYFUNCTION("""COMPUTED_VALUE"""),"PR056")</f>
        <v>PR056</v>
      </c>
      <c r="B342" s="2" t="str">
        <f>IFERROR(__xludf.DUMMYFUNCTION("""COMPUTED_VALUE"""),"VD043")</f>
        <v>VD043</v>
      </c>
      <c r="C342" s="2">
        <f>IFERROR(__xludf.DUMMYFUNCTION("""COMPUTED_VALUE"""),3.0)</f>
        <v>3</v>
      </c>
      <c r="D342" s="6">
        <f>IFERROR(__xludf.DUMMYFUNCTION("""COMPUTED_VALUE"""),272.4)</f>
        <v>272.4</v>
      </c>
      <c r="E342" s="6">
        <f>IFERROR(__xludf.DUMMYFUNCTION("GOOGLEFINANCE(""Currency:BRLMXN"")*D342"),925.4789999999999)</f>
        <v>925.479</v>
      </c>
      <c r="F342" s="6">
        <f>IFERROR(__xludf.DUMMYFUNCTION("GOOGLEFINANCE(""Currency:BRLPEN"")*D342"),178.58543999999998)</f>
        <v>178.58544</v>
      </c>
      <c r="G342" s="2" t="str">
        <f t="array" ref="G342">_xlfn.XLOOKUP(B342,Vendedores!$A$2:$A$41,Vendedores!$B$2:$B$41,"No hay datos")</f>
        <v>Carlos Henríquez</v>
      </c>
      <c r="H342" s="2" t="str">
        <f t="array" ref="H342">_xlfn.XLOOKUP(B342,Vendedores!$A$2:$A$41,Vendedores!$C$2:$C$41,"No hay datos")</f>
        <v>Ciudad Aeropuerto</v>
      </c>
      <c r="I342" s="2" t="str">
        <f t="array" ref="I342">_xlfn.XLOOKUP(B342,Vendedores!$A$2:$A$41,Vendedores!$D$2:$D$41,"No hay datos")</f>
        <v>Región Central 2</v>
      </c>
      <c r="J342" s="2" t="str">
        <f t="array" ref="J342:N342">_xlfn.XLOOKUP(A342,Productos!$A$2:$A$61,Productos!$B$2:$F$61)</f>
        <v>Sandalia plana</v>
      </c>
      <c r="K342" s="2">
        <v>36.0</v>
      </c>
      <c r="L342" s="2" t="s">
        <v>33</v>
      </c>
      <c r="M342" s="2" t="s">
        <v>106</v>
      </c>
      <c r="N342" s="2" t="s">
        <v>35</v>
      </c>
    </row>
    <row r="343">
      <c r="A343" s="2" t="str">
        <f>IFERROR(__xludf.DUMMYFUNCTION("""COMPUTED_VALUE"""),"PR019")</f>
        <v>PR019</v>
      </c>
      <c r="B343" s="2" t="str">
        <f>IFERROR(__xludf.DUMMYFUNCTION("""COMPUTED_VALUE"""),"VD039")</f>
        <v>VD039</v>
      </c>
      <c r="C343" s="2">
        <f>IFERROR(__xludf.DUMMYFUNCTION("""COMPUTED_VALUE"""),20.0)</f>
        <v>20</v>
      </c>
      <c r="D343" s="6">
        <f>IFERROR(__xludf.DUMMYFUNCTION("""COMPUTED_VALUE"""),1057.88)</f>
        <v>1057.88</v>
      </c>
      <c r="E343" s="6">
        <f>IFERROR(__xludf.DUMMYFUNCTION("GOOGLEFINANCE(""Currency:BRLMXN"")*D343"),3594.1473000000005)</f>
        <v>3594.1473</v>
      </c>
      <c r="F343" s="6">
        <f>IFERROR(__xludf.DUMMYFUNCTION("GOOGLEFINANCE(""Currency:BRLPEN"")*D343"),693.5461280000001)</f>
        <v>693.546128</v>
      </c>
      <c r="G343" s="2" t="str">
        <f t="array" ref="G343">_xlfn.XLOOKUP(B343,Vendedores!$A$2:$A$41,Vendedores!$B$2:$B$41,"No hay datos")</f>
        <v>Daniela Rodríguez</v>
      </c>
      <c r="H343" s="2" t="str">
        <f t="array" ref="H343">_xlfn.XLOOKUP(B343,Vendedores!$A$2:$A$41,Vendedores!$C$2:$C$41,"No hay datos")</f>
        <v>Bahía del Sol</v>
      </c>
      <c r="I343" s="2" t="str">
        <f t="array" ref="I343">_xlfn.XLOOKUP(B343,Vendedores!$A$2:$A$41,Vendedores!$D$2:$D$41,"No hay datos")</f>
        <v>Región Central 2</v>
      </c>
      <c r="J343" s="2" t="str">
        <f t="array" ref="J343:N343">_xlfn.XLOOKUP(A343,Productos!$A$2:$A$61,Productos!$B$2:$F$61)</f>
        <v>Cinturón</v>
      </c>
      <c r="K343" s="2" t="s">
        <v>29</v>
      </c>
      <c r="L343" s="2" t="s">
        <v>30</v>
      </c>
      <c r="M343" s="2" t="s">
        <v>31</v>
      </c>
      <c r="N343" s="2" t="s">
        <v>32</v>
      </c>
    </row>
    <row r="344">
      <c r="A344" s="2" t="str">
        <f>IFERROR(__xludf.DUMMYFUNCTION("""COMPUTED_VALUE"""),"PR015")</f>
        <v>PR015</v>
      </c>
      <c r="B344" s="2" t="str">
        <f>IFERROR(__xludf.DUMMYFUNCTION("""COMPUTED_VALUE"""),"VD046")</f>
        <v>VD046</v>
      </c>
      <c r="C344" s="2">
        <f>IFERROR(__xludf.DUMMYFUNCTION("""COMPUTED_VALUE"""),3.0)</f>
        <v>3</v>
      </c>
      <c r="D344" s="6">
        <f>IFERROR(__xludf.DUMMYFUNCTION("""COMPUTED_VALUE"""),135.15)</f>
        <v>135.15</v>
      </c>
      <c r="E344" s="6">
        <f>IFERROR(__xludf.DUMMYFUNCTION("GOOGLEFINANCE(""Currency:BRLMXN"")*D344"),459.172125)</f>
        <v>459.172125</v>
      </c>
      <c r="F344" s="6">
        <f>IFERROR(__xludf.DUMMYFUNCTION("GOOGLEFINANCE(""Currency:BRLPEN"")*D344"),88.60434)</f>
        <v>88.60434</v>
      </c>
      <c r="G344" s="2" t="str">
        <f t="array" ref="G344">_xlfn.XLOOKUP(B344,Vendedores!$A$2:$A$41,Vendedores!$B$2:$B$41,"No hay datos")</f>
        <v>Juliana Pérez</v>
      </c>
      <c r="H344" s="2" t="str">
        <f t="array" ref="H344">_xlfn.XLOOKUP(B344,Vendedores!$A$2:$A$41,Vendedores!$C$2:$C$41,"No hay datos")</f>
        <v>Santa Cruz de la Sierra</v>
      </c>
      <c r="I344" s="2" t="str">
        <f t="array" ref="I344">_xlfn.XLOOKUP(B344,Vendedores!$A$2:$A$41,Vendedores!$D$2:$D$41,"No hay datos")</f>
        <v>Región Central 2</v>
      </c>
      <c r="J344" s="2" t="str">
        <f t="array" ref="J344:N344">_xlfn.XLOOKUP(A344,Productos!$A$2:$A$61,Productos!$B$2:$F$61)</f>
        <v>Playera estampada</v>
      </c>
      <c r="K344" s="2" t="s">
        <v>22</v>
      </c>
      <c r="L344" s="2" t="s">
        <v>10</v>
      </c>
      <c r="M344" s="2" t="s">
        <v>101</v>
      </c>
      <c r="N344" s="2" t="s">
        <v>102</v>
      </c>
    </row>
    <row r="345">
      <c r="A345" s="2" t="str">
        <f>IFERROR(__xludf.DUMMYFUNCTION("""COMPUTED_VALUE"""),"PR019")</f>
        <v>PR019</v>
      </c>
      <c r="B345" s="2" t="str">
        <f>IFERROR(__xludf.DUMMYFUNCTION("""COMPUTED_VALUE"""),"VD043")</f>
        <v>VD043</v>
      </c>
      <c r="C345" s="2">
        <f>IFERROR(__xludf.DUMMYFUNCTION("""COMPUTED_VALUE"""),21.0)</f>
        <v>21</v>
      </c>
      <c r="D345" s="6">
        <f>IFERROR(__xludf.DUMMYFUNCTION("""COMPUTED_VALUE"""),1100.3)</f>
        <v>1100.3</v>
      </c>
      <c r="E345" s="6">
        <f>IFERROR(__xludf.DUMMYFUNCTION("GOOGLEFINANCE(""Currency:BRLMXN"")*D345"),3738.26925)</f>
        <v>3738.26925</v>
      </c>
      <c r="F345" s="6">
        <f>IFERROR(__xludf.DUMMYFUNCTION("GOOGLEFINANCE(""Currency:BRLPEN"")*D345"),721.35668)</f>
        <v>721.35668</v>
      </c>
      <c r="G345" s="2" t="str">
        <f t="array" ref="G345">_xlfn.XLOOKUP(B345,Vendedores!$A$2:$A$41,Vendedores!$B$2:$B$41,"No hay datos")</f>
        <v>Carlos Henríquez</v>
      </c>
      <c r="H345" s="2" t="str">
        <f t="array" ref="H345">_xlfn.XLOOKUP(B345,Vendedores!$A$2:$A$41,Vendedores!$C$2:$C$41,"No hay datos")</f>
        <v>Ciudad Aeropuerto</v>
      </c>
      <c r="I345" s="2" t="str">
        <f t="array" ref="I345">_xlfn.XLOOKUP(B345,Vendedores!$A$2:$A$41,Vendedores!$D$2:$D$41,"No hay datos")</f>
        <v>Región Central 2</v>
      </c>
      <c r="J345" s="2" t="str">
        <f t="array" ref="J345:N345">_xlfn.XLOOKUP(A345,Productos!$A$2:$A$61,Productos!$B$2:$F$61)</f>
        <v>Cinturón</v>
      </c>
      <c r="K345" s="2" t="s">
        <v>29</v>
      </c>
      <c r="L345" s="2" t="s">
        <v>30</v>
      </c>
      <c r="M345" s="2" t="s">
        <v>31</v>
      </c>
      <c r="N345" s="2" t="s">
        <v>32</v>
      </c>
    </row>
    <row r="346">
      <c r="A346" s="2" t="str">
        <f>IFERROR(__xludf.DUMMYFUNCTION("""COMPUTED_VALUE"""),"PR043")</f>
        <v>PR043</v>
      </c>
      <c r="B346" s="2" t="str">
        <f>IFERROR(__xludf.DUMMYFUNCTION("""COMPUTED_VALUE"""),"VD031")</f>
        <v>VD031</v>
      </c>
      <c r="C346" s="2">
        <f>IFERROR(__xludf.DUMMYFUNCTION("""COMPUTED_VALUE"""),9.0)</f>
        <v>9</v>
      </c>
      <c r="D346" s="6">
        <f>IFERROR(__xludf.DUMMYFUNCTION("""COMPUTED_VALUE"""),698.18)</f>
        <v>698.18</v>
      </c>
      <c r="E346" s="6">
        <f>IFERROR(__xludf.DUMMYFUNCTION("GOOGLEFINANCE(""Currency:BRLMXN"")*D346"),2372.06655)</f>
        <v>2372.06655</v>
      </c>
      <c r="F346" s="6">
        <f>IFERROR(__xludf.DUMMYFUNCTION("GOOGLEFINANCE(""Currency:BRLPEN"")*D346"),457.72680799999995)</f>
        <v>457.726808</v>
      </c>
      <c r="G346" s="2" t="str">
        <f t="array" ref="G346">_xlfn.XLOOKUP(B346,Vendedores!$A$2:$A$41,Vendedores!$B$2:$B$41,"No hay datos")</f>
        <v>Vanessa Martínez</v>
      </c>
      <c r="H346" s="2" t="str">
        <f t="array" ref="H346">_xlfn.XLOOKUP(B346,Vendedores!$A$2:$A$41,Vendedores!$C$2:$C$41,"No hay datos")</f>
        <v>Monte Verde</v>
      </c>
      <c r="I346" s="2" t="str">
        <f t="array" ref="I346">_xlfn.XLOOKUP(B346,Vendedores!$A$2:$A$41,Vendedores!$D$2:$D$41,"No hay datos")</f>
        <v>Región Central 2</v>
      </c>
      <c r="J346" s="2" t="str">
        <f t="array" ref="J346:N346">_xlfn.XLOOKUP(A346,Productos!$A$2:$A$61,Productos!$B$2:$F$61)</f>
        <v>Vestido floral</v>
      </c>
      <c r="K346" s="2" t="s">
        <v>9</v>
      </c>
      <c r="L346" s="2" t="s">
        <v>10</v>
      </c>
      <c r="M346" s="2" t="s">
        <v>69</v>
      </c>
      <c r="N346" s="2" t="s">
        <v>40</v>
      </c>
    </row>
    <row r="347">
      <c r="A347" s="2" t="str">
        <f>IFERROR(__xludf.DUMMYFUNCTION("""COMPUTED_VALUE"""),"PR038")</f>
        <v>PR038</v>
      </c>
      <c r="B347" s="2" t="str">
        <f>IFERROR(__xludf.DUMMYFUNCTION("""COMPUTED_VALUE"""),"VD015")</f>
        <v>VD015</v>
      </c>
      <c r="C347" s="2">
        <f>IFERROR(__xludf.DUMMYFUNCTION("""COMPUTED_VALUE"""),12.0)</f>
        <v>12</v>
      </c>
      <c r="D347" s="6">
        <f>IFERROR(__xludf.DUMMYFUNCTION("""COMPUTED_VALUE"""),1869.13)</f>
        <v>1869.13</v>
      </c>
      <c r="E347" s="6">
        <f>IFERROR(__xludf.DUMMYFUNCTION("GOOGLEFINANCE(""Currency:BRLMXN"")*D347"),6350.369175000001)</f>
        <v>6350.369175</v>
      </c>
      <c r="F347" s="6">
        <f>IFERROR(__xludf.DUMMYFUNCTION("GOOGLEFINANCE(""Currency:BRLPEN"")*D347"),1225.401628)</f>
        <v>1225.401628</v>
      </c>
      <c r="G347" s="2" t="str">
        <f t="array" ref="G347">_xlfn.XLOOKUP(B347,Vendedores!$A$2:$A$41,Vendedores!$B$2:$B$41,"No hay datos")</f>
        <v>Lucas Castillo</v>
      </c>
      <c r="H347" s="2" t="str">
        <f t="array" ref="H347">_xlfn.XLOOKUP(B347,Vendedores!$A$2:$A$41,Vendedores!$C$2:$C$41,"No hay datos")</f>
        <v>San Miguel de los Pinos</v>
      </c>
      <c r="I347" s="2" t="str">
        <f t="array" ref="I347">_xlfn.XLOOKUP(B347,Vendedores!$A$2:$A$41,Vendedores!$D$2:$D$41,"No hay datos")</f>
        <v>Región Sur</v>
      </c>
      <c r="J347" s="2" t="str">
        <f t="array" ref="J347:N347">_xlfn.XLOOKUP(A347,Productos!$A$2:$A$61,Productos!$B$2:$F$61)</f>
        <v>Vestido largo</v>
      </c>
      <c r="K347" s="2" t="s">
        <v>17</v>
      </c>
      <c r="L347" s="2" t="s">
        <v>10</v>
      </c>
      <c r="M347" s="2" t="s">
        <v>51</v>
      </c>
      <c r="N347" s="2" t="s">
        <v>52</v>
      </c>
    </row>
    <row r="348">
      <c r="A348" s="2" t="str">
        <f>IFERROR(__xludf.DUMMYFUNCTION("""COMPUTED_VALUE"""),"PR050")</f>
        <v>PR050</v>
      </c>
      <c r="B348" s="2" t="str">
        <f>IFERROR(__xludf.DUMMYFUNCTION("""COMPUTED_VALUE"""),"VD042")</f>
        <v>VD042</v>
      </c>
      <c r="C348" s="2">
        <f>IFERROR(__xludf.DUMMYFUNCTION("""COMPUTED_VALUE"""),1.0)</f>
        <v>1</v>
      </c>
      <c r="D348" s="6">
        <f>IFERROR(__xludf.DUMMYFUNCTION("""COMPUTED_VALUE"""),33.89)</f>
        <v>33.89</v>
      </c>
      <c r="E348" s="6">
        <f>IFERROR(__xludf.DUMMYFUNCTION("GOOGLEFINANCE(""Currency:BRLMXN"")*D348"),115.14127500000001)</f>
        <v>115.141275</v>
      </c>
      <c r="F348" s="6">
        <f>IFERROR(__xludf.DUMMYFUNCTION("GOOGLEFINANCE(""Currency:BRLPEN"")*D348"),22.218284)</f>
        <v>22.218284</v>
      </c>
      <c r="G348" s="2" t="str">
        <f t="array" ref="G348">_xlfn.XLOOKUP(B348,Vendedores!$A$2:$A$41,Vendedores!$B$2:$B$41,"No hay datos")</f>
        <v>Priscila Duarte</v>
      </c>
      <c r="H348" s="2" t="str">
        <f t="array" ref="H348">_xlfn.XLOOKUP(B348,Vendedores!$A$2:$A$41,Vendedores!$C$2:$C$41,"No hay datos")</f>
        <v>Villa Comercial</v>
      </c>
      <c r="I348" s="2" t="str">
        <f t="array" ref="I348">_xlfn.XLOOKUP(B348,Vendedores!$A$2:$A$41,Vendedores!$D$2:$D$41,"No hay datos")</f>
        <v>Región Central 2</v>
      </c>
      <c r="J348" s="2" t="str">
        <f t="array" ref="J348:N348">_xlfn.XLOOKUP(A348,Productos!$A$2:$A$61,Productos!$B$2:$F$61)</f>
        <v>Playera a rayas</v>
      </c>
      <c r="K348" s="2" t="s">
        <v>17</v>
      </c>
      <c r="L348" s="2" t="s">
        <v>10</v>
      </c>
      <c r="M348" s="2" t="s">
        <v>27</v>
      </c>
      <c r="N348" s="2" t="s">
        <v>24</v>
      </c>
    </row>
    <row r="349">
      <c r="A349" s="2" t="str">
        <f>IFERROR(__xludf.DUMMYFUNCTION("""COMPUTED_VALUE"""),"PR005")</f>
        <v>PR005</v>
      </c>
      <c r="B349" s="2" t="str">
        <f>IFERROR(__xludf.DUMMYFUNCTION("""COMPUTED_VALUE"""),"VD022")</f>
        <v>VD022</v>
      </c>
      <c r="C349" s="2">
        <f>IFERROR(__xludf.DUMMYFUNCTION("""COMPUTED_VALUE"""),6.0)</f>
        <v>6</v>
      </c>
      <c r="D349" s="6">
        <f>IFERROR(__xludf.DUMMYFUNCTION("""COMPUTED_VALUE"""),1574.99)</f>
        <v>1574.99</v>
      </c>
      <c r="E349" s="6">
        <f>IFERROR(__xludf.DUMMYFUNCTION("GOOGLEFINANCE(""Currency:BRLMXN"")*D349"),5351.028525)</f>
        <v>5351.028525</v>
      </c>
      <c r="F349" s="6">
        <f>IFERROR(__xludf.DUMMYFUNCTION("GOOGLEFINANCE(""Currency:BRLPEN"")*D349"),1032.563444)</f>
        <v>1032.563444</v>
      </c>
      <c r="G349" s="2" t="str">
        <f t="array" ref="G349">_xlfn.XLOOKUP(B349,Vendedores!$A$2:$A$41,Vendedores!$B$2:$B$41,"No hay datos")</f>
        <v>Santiago Linares</v>
      </c>
      <c r="H349" s="2" t="str">
        <f t="array" ref="H349">_xlfn.XLOOKUP(B349,Vendedores!$A$2:$A$41,Vendedores!$C$2:$C$41,"No hay datos")</f>
        <v>Vista Hermosa</v>
      </c>
      <c r="I349" s="2" t="str">
        <f t="array" ref="I349">_xlfn.XLOOKUP(B349,Vendedores!$A$2:$A$41,Vendedores!$D$2:$D$41,"No hay datos")</f>
        <v>Región Central</v>
      </c>
      <c r="J349" s="2" t="str">
        <f t="array" ref="J349:N349">_xlfn.XLOOKUP(A349,Productos!$A$2:$A$61,Productos!$B$2:$F$61)</f>
        <v>Bolso de cuero</v>
      </c>
      <c r="K349" s="2" t="s">
        <v>29</v>
      </c>
      <c r="L349" s="2" t="s">
        <v>30</v>
      </c>
      <c r="M349" s="2" t="s">
        <v>100</v>
      </c>
      <c r="N349" s="2" t="s">
        <v>64</v>
      </c>
    </row>
    <row r="350">
      <c r="A350" s="2" t="str">
        <f>IFERROR(__xludf.DUMMYFUNCTION("""COMPUTED_VALUE"""),"PR018")</f>
        <v>PR018</v>
      </c>
      <c r="B350" s="2" t="str">
        <f>IFERROR(__xludf.DUMMYFUNCTION("""COMPUTED_VALUE"""),"VD047")</f>
        <v>VD047</v>
      </c>
      <c r="C350" s="2">
        <f>IFERROR(__xludf.DUMMYFUNCTION("""COMPUTED_VALUE"""),6.0)</f>
        <v>6</v>
      </c>
      <c r="D350" s="6">
        <f>IFERROR(__xludf.DUMMYFUNCTION("""COMPUTED_VALUE"""),197.4)</f>
        <v>197.4</v>
      </c>
      <c r="E350" s="6">
        <f>IFERROR(__xludf.DUMMYFUNCTION("GOOGLEFINANCE(""Currency:BRLMXN"")*D350"),670.6665)</f>
        <v>670.6665</v>
      </c>
      <c r="F350" s="6">
        <f>IFERROR(__xludf.DUMMYFUNCTION("GOOGLEFINANCE(""Currency:BRLPEN"")*D350"),129.41544)</f>
        <v>129.41544</v>
      </c>
      <c r="G350" s="2" t="str">
        <f t="array" ref="G350">_xlfn.XLOOKUP(B350,Vendedores!$A$2:$A$41,Vendedores!$B$2:$B$41,"No hay datos")</f>
        <v>Andrés López</v>
      </c>
      <c r="H350" s="2" t="str">
        <f t="array" ref="H350">_xlfn.XLOOKUP(B350,Vendedores!$A$2:$A$41,Vendedores!$C$2:$C$41,"No hay datos")</f>
        <v>Villa Progreso</v>
      </c>
      <c r="I350" s="2" t="str">
        <f t="array" ref="I350">_xlfn.XLOOKUP(B350,Vendedores!$A$2:$A$41,Vendedores!$D$2:$D$41,"No hay datos")</f>
        <v>Región Central 2</v>
      </c>
      <c r="J350" s="2" t="str">
        <f t="array" ref="J350:N350">_xlfn.XLOOKUP(A350,Productos!$A$2:$A$61,Productos!$B$2:$F$61)</f>
        <v>Playera lisa</v>
      </c>
      <c r="K350" s="2" t="s">
        <v>22</v>
      </c>
      <c r="L350" s="2" t="s">
        <v>10</v>
      </c>
      <c r="M350" s="2" t="s">
        <v>57</v>
      </c>
      <c r="N350" s="2" t="s">
        <v>24</v>
      </c>
    </row>
    <row r="351">
      <c r="A351" s="2" t="str">
        <f>IFERROR(__xludf.DUMMYFUNCTION("""COMPUTED_VALUE"""),"PR057")</f>
        <v>PR057</v>
      </c>
      <c r="B351" s="2" t="str">
        <f>IFERROR(__xludf.DUMMYFUNCTION("""COMPUTED_VALUE"""),"VD043")</f>
        <v>VD043</v>
      </c>
      <c r="C351" s="2">
        <f>IFERROR(__xludf.DUMMYFUNCTION("""COMPUTED_VALUE"""),1.0)</f>
        <v>1</v>
      </c>
      <c r="D351" s="6">
        <f>IFERROR(__xludf.DUMMYFUNCTION("""COMPUTED_VALUE"""),96.19)</f>
        <v>96.19</v>
      </c>
      <c r="E351" s="6">
        <f>IFERROR(__xludf.DUMMYFUNCTION("GOOGLEFINANCE(""Currency:BRLMXN"")*D351"),326.805525)</f>
        <v>326.805525</v>
      </c>
      <c r="F351" s="6">
        <f>IFERROR(__xludf.DUMMYFUNCTION("GOOGLEFINANCE(""Currency:BRLPEN"")*D351"),63.062163999999996)</f>
        <v>63.062164</v>
      </c>
      <c r="G351" s="2" t="str">
        <f t="array" ref="G351">_xlfn.XLOOKUP(B351,Vendedores!$A$2:$A$41,Vendedores!$B$2:$B$41,"No hay datos")</f>
        <v>Carlos Henríquez</v>
      </c>
      <c r="H351" s="2" t="str">
        <f t="array" ref="H351">_xlfn.XLOOKUP(B351,Vendedores!$A$2:$A$41,Vendedores!$C$2:$C$41,"No hay datos")</f>
        <v>Ciudad Aeropuerto</v>
      </c>
      <c r="I351" s="2" t="str">
        <f t="array" ref="I351">_xlfn.XLOOKUP(B351,Vendedores!$A$2:$A$41,Vendedores!$D$2:$D$41,"No hay datos")</f>
        <v>Región Central 2</v>
      </c>
      <c r="J351" s="2" t="str">
        <f t="array" ref="J351:N351">_xlfn.XLOOKUP(A351,Productos!$A$2:$A$61,Productos!$B$2:$F$61)</f>
        <v>Sandalia plana</v>
      </c>
      <c r="K351" s="2">
        <v>37.0</v>
      </c>
      <c r="L351" s="2" t="s">
        <v>33</v>
      </c>
      <c r="M351" s="2" t="s">
        <v>58</v>
      </c>
      <c r="N351" s="2" t="s">
        <v>35</v>
      </c>
    </row>
    <row r="352">
      <c r="A352" s="2" t="str">
        <f>IFERROR(__xludf.DUMMYFUNCTION("""COMPUTED_VALUE"""),"PR010")</f>
        <v>PR010</v>
      </c>
      <c r="B352" s="2" t="str">
        <f>IFERROR(__xludf.DUMMYFUNCTION("""COMPUTED_VALUE"""),"VD042")</f>
        <v>VD042</v>
      </c>
      <c r="C352" s="2">
        <f>IFERROR(__xludf.DUMMYFUNCTION("""COMPUTED_VALUE"""),16.0)</f>
        <v>16</v>
      </c>
      <c r="D352" s="6">
        <f>IFERROR(__xludf.DUMMYFUNCTION("""COMPUTED_VALUE"""),732.77)</f>
        <v>732.77</v>
      </c>
      <c r="E352" s="6">
        <f>IFERROR(__xludf.DUMMYFUNCTION("GOOGLEFINANCE(""Currency:BRLMXN"")*D352"),2489.5860749999997)</f>
        <v>2489.586075</v>
      </c>
      <c r="F352" s="6">
        <f>IFERROR(__xludf.DUMMYFUNCTION("GOOGLEFINANCE(""Currency:BRLPEN"")*D352"),480.40401199999997)</f>
        <v>480.404012</v>
      </c>
      <c r="G352" s="2" t="str">
        <f t="array" ref="G352">_xlfn.XLOOKUP(B352,Vendedores!$A$2:$A$41,Vendedores!$B$2:$B$41,"No hay datos")</f>
        <v>Priscila Duarte</v>
      </c>
      <c r="H352" s="2" t="str">
        <f t="array" ref="H352">_xlfn.XLOOKUP(B352,Vendedores!$A$2:$A$41,Vendedores!$C$2:$C$41,"No hay datos")</f>
        <v>Villa Comercial</v>
      </c>
      <c r="I352" s="2" t="str">
        <f t="array" ref="I352">_xlfn.XLOOKUP(B352,Vendedores!$A$2:$A$41,Vendedores!$D$2:$D$41,"No hay datos")</f>
        <v>Región Central 2</v>
      </c>
      <c r="J352" s="2" t="str">
        <f t="array" ref="J352:N352">_xlfn.XLOOKUP(A352,Productos!$A$2:$A$61,Productos!$B$2:$F$61)</f>
        <v>Pantalón legging</v>
      </c>
      <c r="K352" s="2" t="s">
        <v>9</v>
      </c>
      <c r="L352" s="2" t="s">
        <v>10</v>
      </c>
      <c r="M352" s="2" t="s">
        <v>86</v>
      </c>
      <c r="N352" s="2" t="s">
        <v>87</v>
      </c>
    </row>
    <row r="353">
      <c r="A353" s="2" t="str">
        <f>IFERROR(__xludf.DUMMYFUNCTION("""COMPUTED_VALUE"""),"PR001")</f>
        <v>PR001</v>
      </c>
      <c r="B353" s="2" t="str">
        <f>IFERROR(__xludf.DUMMYFUNCTION("""COMPUTED_VALUE"""),"VD034")</f>
        <v>VD034</v>
      </c>
      <c r="C353" s="2">
        <f>IFERROR(__xludf.DUMMYFUNCTION("""COMPUTED_VALUE"""),6.0)</f>
        <v>6</v>
      </c>
      <c r="D353" s="6">
        <f>IFERROR(__xludf.DUMMYFUNCTION("""COMPUTED_VALUE"""),419.12)</f>
        <v>419.12</v>
      </c>
      <c r="E353" s="6">
        <f>IFERROR(__xludf.DUMMYFUNCTION("GOOGLEFINANCE(""Currency:BRLMXN"")*D353"),1423.9602)</f>
        <v>1423.9602</v>
      </c>
      <c r="F353" s="6">
        <f>IFERROR(__xludf.DUMMYFUNCTION("GOOGLEFINANCE(""Currency:BRLPEN"")*D353"),274.77507199999997)</f>
        <v>274.775072</v>
      </c>
      <c r="G353" s="2" t="str">
        <f t="array" ref="G353">_xlfn.XLOOKUP(B353,Vendedores!$A$2:$A$41,Vendedores!$B$2:$B$41,"No hay datos")</f>
        <v>Felipe Carvajal</v>
      </c>
      <c r="H353" s="2" t="str">
        <f t="array" ref="H353">_xlfn.XLOOKUP(B353,Vendedores!$A$2:$A$41,Vendedores!$C$2:$C$41,"No hay datos")</f>
        <v>San Pedro del Río</v>
      </c>
      <c r="I353" s="2" t="str">
        <f t="array" ref="I353">_xlfn.XLOOKUP(B353,Vendedores!$A$2:$A$41,Vendedores!$D$2:$D$41,"No hay datos")</f>
        <v>Región Sur 2</v>
      </c>
      <c r="J353" s="2" t="str">
        <f t="array" ref="J353:N353">_xlfn.XLOOKUP(A353,Productos!$A$2:$A$61,Productos!$B$2:$F$61)</f>
        <v>Bermuda</v>
      </c>
      <c r="K353" s="2" t="s">
        <v>9</v>
      </c>
      <c r="L353" s="2" t="s">
        <v>10</v>
      </c>
      <c r="M353" s="2" t="s">
        <v>11</v>
      </c>
      <c r="N353" s="2" t="s">
        <v>12</v>
      </c>
    </row>
    <row r="354">
      <c r="A354" s="2" t="str">
        <f>IFERROR(__xludf.DUMMYFUNCTION("""COMPUTED_VALUE"""),"PR036")</f>
        <v>PR036</v>
      </c>
      <c r="B354" s="2" t="str">
        <f>IFERROR(__xludf.DUMMYFUNCTION("""COMPUTED_VALUE"""),"VD046")</f>
        <v>VD046</v>
      </c>
      <c r="C354" s="2">
        <f>IFERROR(__xludf.DUMMYFUNCTION("""COMPUTED_VALUE"""),7.0)</f>
        <v>7</v>
      </c>
      <c r="D354" s="6">
        <f>IFERROR(__xludf.DUMMYFUNCTION("""COMPUTED_VALUE"""),706.86)</f>
        <v>706.86</v>
      </c>
      <c r="E354" s="6">
        <f>IFERROR(__xludf.DUMMYFUNCTION("GOOGLEFINANCE(""Currency:BRLMXN"")*D354"),2401.55685)</f>
        <v>2401.55685</v>
      </c>
      <c r="F354" s="6">
        <f>IFERROR(__xludf.DUMMYFUNCTION("GOOGLEFINANCE(""Currency:BRLPEN"")*D354"),463.417416)</f>
        <v>463.417416</v>
      </c>
      <c r="G354" s="2" t="str">
        <f t="array" ref="G354">_xlfn.XLOOKUP(B354,Vendedores!$A$2:$A$41,Vendedores!$B$2:$B$41,"No hay datos")</f>
        <v>Juliana Pérez</v>
      </c>
      <c r="H354" s="2" t="str">
        <f t="array" ref="H354">_xlfn.XLOOKUP(B354,Vendedores!$A$2:$A$41,Vendedores!$C$2:$C$41,"No hay datos")</f>
        <v>Santa Cruz de la Sierra</v>
      </c>
      <c r="I354" s="2" t="str">
        <f t="array" ref="I354">_xlfn.XLOOKUP(B354,Vendedores!$A$2:$A$41,Vendedores!$D$2:$D$41,"No hay datos")</f>
        <v>Región Central 2</v>
      </c>
      <c r="J354" s="2" t="str">
        <f t="array" ref="J354:N354">_xlfn.XLOOKUP(A354,Productos!$A$2:$A$61,Productos!$B$2:$F$61)</f>
        <v>Vestido corto</v>
      </c>
      <c r="K354" s="2" t="s">
        <v>22</v>
      </c>
      <c r="L354" s="2" t="s">
        <v>10</v>
      </c>
      <c r="M354" s="2" t="s">
        <v>82</v>
      </c>
      <c r="N354" s="2" t="s">
        <v>83</v>
      </c>
    </row>
    <row r="355">
      <c r="A355" s="2" t="str">
        <f>IFERROR(__xludf.DUMMYFUNCTION("""COMPUTED_VALUE"""),"PR051")</f>
        <v>PR051</v>
      </c>
      <c r="B355" s="2" t="str">
        <f>IFERROR(__xludf.DUMMYFUNCTION("""COMPUTED_VALUE"""),"VD026")</f>
        <v>VD026</v>
      </c>
      <c r="C355" s="2">
        <f>IFERROR(__xludf.DUMMYFUNCTION("""COMPUTED_VALUE"""),20.0)</f>
        <v>20</v>
      </c>
      <c r="D355" s="6">
        <f>IFERROR(__xludf.DUMMYFUNCTION("""COMPUTED_VALUE"""),704.06)</f>
        <v>704.06</v>
      </c>
      <c r="E355" s="6">
        <f>IFERROR(__xludf.DUMMYFUNCTION("GOOGLEFINANCE(""Currency:BRLMXN"")*D355"),2392.0438499999996)</f>
        <v>2392.04385</v>
      </c>
      <c r="F355" s="6">
        <f>IFERROR(__xludf.DUMMYFUNCTION("GOOGLEFINANCE(""Currency:BRLPEN"")*D355"),461.5817359999999)</f>
        <v>461.581736</v>
      </c>
      <c r="G355" s="2" t="str">
        <f t="array" ref="G355">_xlfn.XLOOKUP(B355,Vendedores!$A$2:$A$41,Vendedores!$B$2:$B$41,"No hay datos")</f>
        <v>Daniel Fernández</v>
      </c>
      <c r="H355" s="2" t="str">
        <f t="array" ref="H355">_xlfn.XLOOKUP(B355,Vendedores!$A$2:$A$41,Vendedores!$C$2:$C$41,"No hay datos")</f>
        <v>Puerto Esperanza</v>
      </c>
      <c r="I355" s="2" t="str">
        <f t="array" ref="I355">_xlfn.XLOOKUP(B355,Vendedores!$A$2:$A$41,Vendedores!$D$2:$D$41,"No hay datos")</f>
        <v>Región Sur</v>
      </c>
      <c r="J355" s="2" t="str">
        <f t="array" ref="J355:N355">_xlfn.XLOOKUP(A355,Productos!$A$2:$A$61,Productos!$B$2:$F$61)</f>
        <v>Playera a rayas</v>
      </c>
      <c r="K355" s="2" t="s">
        <v>22</v>
      </c>
      <c r="L355" s="2" t="s">
        <v>10</v>
      </c>
      <c r="M355" s="2" t="s">
        <v>23</v>
      </c>
      <c r="N355" s="2" t="s">
        <v>24</v>
      </c>
    </row>
    <row r="356">
      <c r="A356" s="2" t="str">
        <f>IFERROR(__xludf.DUMMYFUNCTION("""COMPUTED_VALUE"""),"PR030")</f>
        <v>PR030</v>
      </c>
      <c r="B356" s="2" t="str">
        <f>IFERROR(__xludf.DUMMYFUNCTION("""COMPUTED_VALUE"""),"VD036")</f>
        <v>VD036</v>
      </c>
      <c r="C356" s="2">
        <f>IFERROR(__xludf.DUMMYFUNCTION("""COMPUTED_VALUE"""),21.0)</f>
        <v>21</v>
      </c>
      <c r="D356" s="6">
        <f>IFERROR(__xludf.DUMMYFUNCTION("""COMPUTED_VALUE"""),5457.9)</f>
        <v>5457.9</v>
      </c>
      <c r="E356" s="6">
        <f>IFERROR(__xludf.DUMMYFUNCTION("GOOGLEFINANCE(""Currency:BRLMXN"")*D356"),18543.215249999997)</f>
        <v>18543.21525</v>
      </c>
      <c r="F356" s="6">
        <f>IFERROR(__xludf.DUMMYFUNCTION("GOOGLEFINANCE(""Currency:BRLPEN"")*D356"),3578.1992399999995)</f>
        <v>3578.19924</v>
      </c>
      <c r="G356" s="2" t="str">
        <f t="array" ref="G356">_xlfn.XLOOKUP(B356,Vendedores!$A$2:$A$41,Vendedores!$B$2:$B$41,"No hay datos")</f>
        <v>Ricardo Sosa</v>
      </c>
      <c r="H356" s="2" t="str">
        <f t="array" ref="H356">_xlfn.XLOOKUP(B356,Vendedores!$A$2:$A$41,Vendedores!$C$2:$C$41,"No hay datos")</f>
        <v>Puerto Nuevo</v>
      </c>
      <c r="I356" s="2" t="str">
        <f t="array" ref="I356">_xlfn.XLOOKUP(B356,Vendedores!$A$2:$A$41,Vendedores!$D$2:$D$41,"No hay datos")</f>
        <v>Región Central 2</v>
      </c>
      <c r="J356" s="2" t="str">
        <f t="array" ref="J356:N356">_xlfn.XLOOKUP(A356,Productos!$A$2:$A$61,Productos!$B$2:$F$61)</f>
        <v>Tenis Atitas</v>
      </c>
      <c r="K356" s="2">
        <v>38.0</v>
      </c>
      <c r="L356" s="2" t="s">
        <v>33</v>
      </c>
      <c r="M356" s="2" t="s">
        <v>63</v>
      </c>
      <c r="N356" s="2" t="s">
        <v>64</v>
      </c>
    </row>
    <row r="357">
      <c r="A357" s="2" t="str">
        <f>IFERROR(__xludf.DUMMYFUNCTION("""COMPUTED_VALUE"""),"PR045")</f>
        <v>PR045</v>
      </c>
      <c r="B357" s="2" t="str">
        <f>IFERROR(__xludf.DUMMYFUNCTION("""COMPUTED_VALUE"""),"VD039")</f>
        <v>VD039</v>
      </c>
      <c r="C357" s="2">
        <f>IFERROR(__xludf.DUMMYFUNCTION("""COMPUTED_VALUE"""),18.0)</f>
        <v>18</v>
      </c>
      <c r="D357" s="6">
        <f>IFERROR(__xludf.DUMMYFUNCTION("""COMPUTED_VALUE"""),1409.4)</f>
        <v>1409.4</v>
      </c>
      <c r="E357" s="6">
        <f>IFERROR(__xludf.DUMMYFUNCTION("GOOGLEFINANCE(""Currency:BRLMXN"")*D357"),4788.436500000001)</f>
        <v>4788.4365</v>
      </c>
      <c r="F357" s="6">
        <f>IFERROR(__xludf.DUMMYFUNCTION("GOOGLEFINANCE(""Currency:BRLPEN"")*D357"),924.00264)</f>
        <v>924.00264</v>
      </c>
      <c r="G357" s="2" t="str">
        <f t="array" ref="G357">_xlfn.XLOOKUP(B357,Vendedores!$A$2:$A$41,Vendedores!$B$2:$B$41,"No hay datos")</f>
        <v>Daniela Rodríguez</v>
      </c>
      <c r="H357" s="2" t="str">
        <f t="array" ref="H357">_xlfn.XLOOKUP(B357,Vendedores!$A$2:$A$41,Vendedores!$C$2:$C$41,"No hay datos")</f>
        <v>Bahía del Sol</v>
      </c>
      <c r="I357" s="2" t="str">
        <f t="array" ref="I357">_xlfn.XLOOKUP(B357,Vendedores!$A$2:$A$41,Vendedores!$D$2:$D$41,"No hay datos")</f>
        <v>Región Central 2</v>
      </c>
      <c r="J357" s="2" t="str">
        <f t="array" ref="J357:N357">_xlfn.XLOOKUP(A357,Productos!$A$2:$A$61,Productos!$B$2:$F$61)</f>
        <v>Vestido floral</v>
      </c>
      <c r="K357" s="2" t="s">
        <v>22</v>
      </c>
      <c r="L357" s="2" t="s">
        <v>10</v>
      </c>
      <c r="M357" s="2" t="s">
        <v>39</v>
      </c>
      <c r="N357" s="2" t="s">
        <v>40</v>
      </c>
    </row>
    <row r="358">
      <c r="A358" s="2" t="str">
        <f>IFERROR(__xludf.DUMMYFUNCTION("""COMPUTED_VALUE"""),"PR025")</f>
        <v>PR025</v>
      </c>
      <c r="B358" s="2" t="str">
        <f>IFERROR(__xludf.DUMMYFUNCTION("""COMPUTED_VALUE"""),"VD013")</f>
        <v>VD013</v>
      </c>
      <c r="C358" s="2">
        <f>IFERROR(__xludf.DUMMYFUNCTION("""COMPUTED_VALUE"""),6.0)</f>
        <v>6</v>
      </c>
      <c r="D358" s="6">
        <f>IFERROR(__xludf.DUMMYFUNCTION("""COMPUTED_VALUE"""),1817.39)</f>
        <v>1817.39</v>
      </c>
      <c r="E358" s="6">
        <f>IFERROR(__xludf.DUMMYFUNCTION("GOOGLEFINANCE(""Currency:BRLMXN"")*D358"),6174.582525000001)</f>
        <v>6174.582525</v>
      </c>
      <c r="F358" s="6">
        <f>IFERROR(__xludf.DUMMYFUNCTION("GOOGLEFINANCE(""Currency:BRLPEN"")*D358"),1191.480884)</f>
        <v>1191.480884</v>
      </c>
      <c r="G358" s="2" t="str">
        <f t="array" ref="G358">_xlfn.XLOOKUP(B358,Vendedores!$A$2:$A$41,Vendedores!$B$2:$B$41,"No hay datos")</f>
        <v>Pedro Almonte</v>
      </c>
      <c r="H358" s="2" t="str">
        <f t="array" ref="H358">_xlfn.XLOOKUP(B358,Vendedores!$A$2:$A$41,Vendedores!$C$2:$C$41,"No hay datos")</f>
        <v>Santa Rosa del Valle</v>
      </c>
      <c r="I358" s="2" t="str">
        <f t="array" ref="I358">_xlfn.XLOOKUP(B358,Vendedores!$A$2:$A$41,Vendedores!$D$2:$D$41,"No hay datos")</f>
        <v>Región Norte</v>
      </c>
      <c r="J358" s="2" t="str">
        <f t="array" ref="J358:N358">_xlfn.XLOOKUP(A358,Productos!$A$2:$A$61,Productos!$B$2:$F$61)</f>
        <v>Chaqueta de mezclilla</v>
      </c>
      <c r="K358" s="2" t="s">
        <v>22</v>
      </c>
      <c r="L358" s="2" t="s">
        <v>10</v>
      </c>
      <c r="M358" s="2" t="s">
        <v>107</v>
      </c>
      <c r="N358" s="2" t="s">
        <v>16</v>
      </c>
    </row>
    <row r="359">
      <c r="A359" s="2" t="str">
        <f>IFERROR(__xludf.DUMMYFUNCTION("""COMPUTED_VALUE"""),"PR025")</f>
        <v>PR025</v>
      </c>
      <c r="B359" s="2" t="str">
        <f>IFERROR(__xludf.DUMMYFUNCTION("""COMPUTED_VALUE"""),"VD043")</f>
        <v>VD043</v>
      </c>
      <c r="C359" s="2">
        <f>IFERROR(__xludf.DUMMYFUNCTION("""COMPUTED_VALUE"""),16.0)</f>
        <v>16</v>
      </c>
      <c r="D359" s="6">
        <f>IFERROR(__xludf.DUMMYFUNCTION("""COMPUTED_VALUE"""),4990.34)</f>
        <v>4990.34</v>
      </c>
      <c r="E359" s="6">
        <f>IFERROR(__xludf.DUMMYFUNCTION("GOOGLEFINANCE(""Currency:BRLMXN"")*D359"),16954.68015)</f>
        <v>16954.68015</v>
      </c>
      <c r="F359" s="6">
        <f>IFERROR(__xludf.DUMMYFUNCTION("GOOGLEFINANCE(""Currency:BRLPEN"")*D359"),3271.6669039999997)</f>
        <v>3271.666904</v>
      </c>
      <c r="G359" s="2" t="str">
        <f t="array" ref="G359">_xlfn.XLOOKUP(B359,Vendedores!$A$2:$A$41,Vendedores!$B$2:$B$41,"No hay datos")</f>
        <v>Carlos Henríquez</v>
      </c>
      <c r="H359" s="2" t="str">
        <f t="array" ref="H359">_xlfn.XLOOKUP(B359,Vendedores!$A$2:$A$41,Vendedores!$C$2:$C$41,"No hay datos")</f>
        <v>Ciudad Aeropuerto</v>
      </c>
      <c r="I359" s="2" t="str">
        <f t="array" ref="I359">_xlfn.XLOOKUP(B359,Vendedores!$A$2:$A$41,Vendedores!$D$2:$D$41,"No hay datos")</f>
        <v>Región Central 2</v>
      </c>
      <c r="J359" s="2" t="str">
        <f t="array" ref="J359:N359">_xlfn.XLOOKUP(A359,Productos!$A$2:$A$61,Productos!$B$2:$F$61)</f>
        <v>Chaqueta de mezclilla</v>
      </c>
      <c r="K359" s="2" t="s">
        <v>22</v>
      </c>
      <c r="L359" s="2" t="s">
        <v>10</v>
      </c>
      <c r="M359" s="2" t="s">
        <v>107</v>
      </c>
      <c r="N359" s="2" t="s">
        <v>16</v>
      </c>
    </row>
    <row r="360">
      <c r="A360" s="2" t="str">
        <f>IFERROR(__xludf.DUMMYFUNCTION("""COMPUTED_VALUE"""),"PR047")</f>
        <v>PR047</v>
      </c>
      <c r="B360" s="2" t="str">
        <f>IFERROR(__xludf.DUMMYFUNCTION("""COMPUTED_VALUE"""),"VD011")</f>
        <v>VD011</v>
      </c>
      <c r="C360" s="2">
        <f>IFERROR(__xludf.DUMMYFUNCTION("""COMPUTED_VALUE"""),3.0)</f>
        <v>3</v>
      </c>
      <c r="D360" s="6">
        <f>IFERROR(__xludf.DUMMYFUNCTION("""COMPUTED_VALUE"""),913.19)</f>
        <v>913.19</v>
      </c>
      <c r="E360" s="6">
        <f>IFERROR(__xludf.DUMMYFUNCTION("GOOGLEFINANCE(""Currency:BRLMXN"")*D360"),3102.5630250000004)</f>
        <v>3102.563025</v>
      </c>
      <c r="F360" s="6">
        <f>IFERROR(__xludf.DUMMYFUNCTION("GOOGLEFINANCE(""Currency:BRLPEN"")*D360"),598.687364)</f>
        <v>598.687364</v>
      </c>
      <c r="G360" s="2" t="str">
        <f t="array" ref="G360">_xlfn.XLOOKUP(B360,Vendedores!$A$2:$A$41,Vendedores!$B$2:$B$41,"No hay datos")</f>
        <v>Juan Santos</v>
      </c>
      <c r="H360" s="2" t="str">
        <f t="array" ref="H360">_xlfn.XLOOKUP(B360,Vendedores!$A$2:$A$41,Vendedores!$C$2:$C$41,"No hay datos")</f>
        <v>Vista Hermosa</v>
      </c>
      <c r="I360" s="2" t="str">
        <f t="array" ref="I360">_xlfn.XLOOKUP(B360,Vendedores!$A$2:$A$41,Vendedores!$D$2:$D$41,"No hay datos")</f>
        <v>Región Central</v>
      </c>
      <c r="J360" s="2" t="str">
        <f t="array" ref="J360:N360">_xlfn.XLOOKUP(A360,Productos!$A$2:$A$61,Productos!$B$2:$F$61)</f>
        <v>Chaqueta de cuero</v>
      </c>
      <c r="K360" s="2" t="s">
        <v>17</v>
      </c>
      <c r="L360" s="2" t="s">
        <v>10</v>
      </c>
      <c r="M360" s="2" t="s">
        <v>43</v>
      </c>
      <c r="N360" s="2" t="s">
        <v>44</v>
      </c>
    </row>
    <row r="361">
      <c r="A361" s="2" t="str">
        <f>IFERROR(__xludf.DUMMYFUNCTION("""COMPUTED_VALUE"""),"PR060")</f>
        <v>PR060</v>
      </c>
      <c r="B361" s="2" t="str">
        <f>IFERROR(__xludf.DUMMYFUNCTION("""COMPUTED_VALUE"""),"VD044")</f>
        <v>VD044</v>
      </c>
      <c r="C361" s="2">
        <f>IFERROR(__xludf.DUMMYFUNCTION("""COMPUTED_VALUE"""),6.0)</f>
        <v>6</v>
      </c>
      <c r="D361" s="6">
        <f>IFERROR(__xludf.DUMMYFUNCTION("""COMPUTED_VALUE"""),1101.6)</f>
        <v>1101.6</v>
      </c>
      <c r="E361" s="6">
        <f>IFERROR(__xludf.DUMMYFUNCTION("GOOGLEFINANCE(""Currency:BRLMXN"")*D361"),3742.6859999999997)</f>
        <v>3742.686</v>
      </c>
      <c r="F361" s="6">
        <f>IFERROR(__xludf.DUMMYFUNCTION("GOOGLEFINANCE(""Currency:BRLPEN"")*D361"),722.2089599999999)</f>
        <v>722.20896</v>
      </c>
      <c r="G361" s="2" t="str">
        <f t="array" ref="G361">_xlfn.XLOOKUP(B361,Vendedores!$A$2:$A$41,Vendedores!$B$2:$B$41,"No hay datos")</f>
        <v>Silvia Menéndez</v>
      </c>
      <c r="H361" s="2" t="str">
        <f t="array" ref="H361">_xlfn.XLOOKUP(B361,Vendedores!$A$2:$A$41,Vendedores!$C$2:$C$41,"No hay datos")</f>
        <v>San Antonio del Monte</v>
      </c>
      <c r="I361" s="2" t="str">
        <f t="array" ref="I361">_xlfn.XLOOKUP(B361,Vendedores!$A$2:$A$41,Vendedores!$D$2:$D$41,"No hay datos")</f>
        <v>Región Central 2</v>
      </c>
      <c r="J361" s="2" t="str">
        <f t="array" ref="J361:N361">_xlfn.XLOOKUP(A361,Productos!$A$2:$A$61,Productos!$B$2:$F$61)</f>
        <v>Pantalón de sastre</v>
      </c>
      <c r="K361" s="2" t="s">
        <v>22</v>
      </c>
      <c r="L361" s="2" t="s">
        <v>10</v>
      </c>
      <c r="M361" s="2" t="s">
        <v>75</v>
      </c>
      <c r="N361" s="2" t="s">
        <v>14</v>
      </c>
    </row>
    <row r="362">
      <c r="A362" s="2" t="str">
        <f>IFERROR(__xludf.DUMMYFUNCTION("""COMPUTED_VALUE"""),"PR012")</f>
        <v>PR012</v>
      </c>
      <c r="B362" s="2" t="str">
        <f>IFERROR(__xludf.DUMMYFUNCTION("""COMPUTED_VALUE"""),"VD022")</f>
        <v>VD022</v>
      </c>
      <c r="C362" s="2">
        <f>IFERROR(__xludf.DUMMYFUNCTION("""COMPUTED_VALUE"""),27.0)</f>
        <v>27</v>
      </c>
      <c r="D362" s="6">
        <f>IFERROR(__xludf.DUMMYFUNCTION("""COMPUTED_VALUE"""),1333.5)</f>
        <v>1333.5</v>
      </c>
      <c r="E362" s="6">
        <f>IFERROR(__xludf.DUMMYFUNCTION("GOOGLEFINANCE(""Currency:BRLMXN"")*D362"),4530.56625)</f>
        <v>4530.56625</v>
      </c>
      <c r="F362" s="6">
        <f>IFERROR(__xludf.DUMMYFUNCTION("GOOGLEFINANCE(""Currency:BRLPEN"")*D362"),874.2425999999999)</f>
        <v>874.2426</v>
      </c>
      <c r="G362" s="2" t="str">
        <f t="array" ref="G362">_xlfn.XLOOKUP(B362,Vendedores!$A$2:$A$41,Vendedores!$B$2:$B$41,"No hay datos")</f>
        <v>Santiago Linares</v>
      </c>
      <c r="H362" s="2" t="str">
        <f t="array" ref="H362">_xlfn.XLOOKUP(B362,Vendedores!$A$2:$A$41,Vendedores!$C$2:$C$41,"No hay datos")</f>
        <v>Vista Hermosa</v>
      </c>
      <c r="I362" s="2" t="str">
        <f t="array" ref="I362">_xlfn.XLOOKUP(B362,Vendedores!$A$2:$A$41,Vendedores!$D$2:$D$41,"No hay datos")</f>
        <v>Región Central</v>
      </c>
      <c r="J362" s="2" t="str">
        <f t="array" ref="J362:N362">_xlfn.XLOOKUP(A362,Productos!$A$2:$A$61,Productos!$B$2:$F$61)</f>
        <v>Pantalón legging</v>
      </c>
      <c r="K362" s="2" t="s">
        <v>22</v>
      </c>
      <c r="L362" s="2" t="s">
        <v>10</v>
      </c>
      <c r="M362" s="2" t="s">
        <v>88</v>
      </c>
      <c r="N362" s="2" t="s">
        <v>89</v>
      </c>
    </row>
    <row r="363">
      <c r="A363" s="2" t="str">
        <f>IFERROR(__xludf.DUMMYFUNCTION("""COMPUTED_VALUE"""),"PR009")</f>
        <v>PR009</v>
      </c>
      <c r="B363" s="2" t="str">
        <f>IFERROR(__xludf.DUMMYFUNCTION("""COMPUTED_VALUE"""),"VD019")</f>
        <v>VD019</v>
      </c>
      <c r="C363" s="2">
        <f>IFERROR(__xludf.DUMMYFUNCTION("""COMPUTED_VALUE"""),2.0)</f>
        <v>2</v>
      </c>
      <c r="D363" s="6">
        <f>IFERROR(__xludf.DUMMYFUNCTION("""COMPUTED_VALUE"""),185.8)</f>
        <v>185.8</v>
      </c>
      <c r="E363" s="6">
        <f>IFERROR(__xludf.DUMMYFUNCTION("GOOGLEFINANCE(""Currency:BRLMXN"")*D363"),631.2555)</f>
        <v>631.2555</v>
      </c>
      <c r="F363" s="6">
        <f>IFERROR(__xludf.DUMMYFUNCTION("GOOGLEFINANCE(""Currency:BRLPEN"")*D363"),121.81048)</f>
        <v>121.81048</v>
      </c>
      <c r="G363" s="2" t="str">
        <f t="array" ref="G363">_xlfn.XLOOKUP(B363,Vendedores!$A$2:$A$41,Vendedores!$B$2:$B$41,"No hay datos")</f>
        <v>Rafael Sosa</v>
      </c>
      <c r="H363" s="2" t="str">
        <f t="array" ref="H363">_xlfn.XLOOKUP(B363,Vendedores!$A$2:$A$41,Vendedores!$C$2:$C$41,"No hay datos")</f>
        <v>Selva Verde</v>
      </c>
      <c r="I363" s="2" t="str">
        <f t="array" ref="I363">_xlfn.XLOOKUP(B363,Vendedores!$A$2:$A$41,Vendedores!$D$2:$D$41,"No hay datos")</f>
        <v>Región Amazónica</v>
      </c>
      <c r="J363" s="2" t="str">
        <f t="array" ref="J363:N363">_xlfn.XLOOKUP(A363,Productos!$A$2:$A$61,Productos!$B$2:$F$61)</f>
        <v>Pantalón de mezclilla</v>
      </c>
      <c r="K363" s="2" t="s">
        <v>22</v>
      </c>
      <c r="L363" s="2" t="s">
        <v>10</v>
      </c>
      <c r="M363" s="2" t="s">
        <v>76</v>
      </c>
      <c r="N363" s="2" t="s">
        <v>77</v>
      </c>
    </row>
    <row r="364">
      <c r="A364" s="2" t="str">
        <f>IFERROR(__xludf.DUMMYFUNCTION("""COMPUTED_VALUE"""),"PR010")</f>
        <v>PR010</v>
      </c>
      <c r="B364" s="2" t="str">
        <f>IFERROR(__xludf.DUMMYFUNCTION("""COMPUTED_VALUE"""),"VD041")</f>
        <v>VD041</v>
      </c>
      <c r="C364" s="2">
        <f>IFERROR(__xludf.DUMMYFUNCTION("""COMPUTED_VALUE"""),5.0)</f>
        <v>5</v>
      </c>
      <c r="D364" s="6">
        <f>IFERROR(__xludf.DUMMYFUNCTION("""COMPUTED_VALUE"""),237.97)</f>
        <v>237.97</v>
      </c>
      <c r="E364" s="6">
        <f>IFERROR(__xludf.DUMMYFUNCTION("GOOGLEFINANCE(""Currency:BRLMXN"")*D364"),808.503075)</f>
        <v>808.503075</v>
      </c>
      <c r="F364" s="6">
        <f>IFERROR(__xludf.DUMMYFUNCTION("GOOGLEFINANCE(""Currency:BRLPEN"")*D364"),156.01313199999998)</f>
        <v>156.013132</v>
      </c>
      <c r="G364" s="2" t="str">
        <f t="array" ref="G364">_xlfn.XLOOKUP(B364,Vendedores!$A$2:$A$41,Vendedores!$B$2:$B$41,"No hay datos")</f>
        <v>Alejandro Ramos</v>
      </c>
      <c r="H364" s="2" t="str">
        <f t="array" ref="H364">_xlfn.XLOOKUP(B364,Vendedores!$A$2:$A$41,Vendedores!$C$2:$C$41,"No hay datos")</f>
        <v>San Martín de las Rosas</v>
      </c>
      <c r="I364" s="2" t="str">
        <f t="array" ref="I364">_xlfn.XLOOKUP(B364,Vendedores!$A$2:$A$41,Vendedores!$D$2:$D$41,"No hay datos")</f>
        <v>Región Central 2</v>
      </c>
      <c r="J364" s="2" t="str">
        <f t="array" ref="J364:N364">_xlfn.XLOOKUP(A364,Productos!$A$2:$A$61,Productos!$B$2:$F$61)</f>
        <v>Pantalón legging</v>
      </c>
      <c r="K364" s="2" t="s">
        <v>9</v>
      </c>
      <c r="L364" s="2" t="s">
        <v>10</v>
      </c>
      <c r="M364" s="2" t="s">
        <v>86</v>
      </c>
      <c r="N364" s="2" t="s">
        <v>87</v>
      </c>
    </row>
    <row r="365">
      <c r="A365" s="2" t="str">
        <f>IFERROR(__xludf.DUMMYFUNCTION("""COMPUTED_VALUE"""),"PR049")</f>
        <v>PR049</v>
      </c>
      <c r="B365" s="2" t="str">
        <f>IFERROR(__xludf.DUMMYFUNCTION("""COMPUTED_VALUE"""),"VD049")</f>
        <v>VD049</v>
      </c>
      <c r="C365" s="2">
        <f>IFERROR(__xludf.DUMMYFUNCTION("""COMPUTED_VALUE"""),4.0)</f>
        <v>4</v>
      </c>
      <c r="D365" s="6">
        <f>IFERROR(__xludf.DUMMYFUNCTION("""COMPUTED_VALUE"""),143.44)</f>
        <v>143.44</v>
      </c>
      <c r="E365" s="6">
        <f>IFERROR(__xludf.DUMMYFUNCTION("GOOGLEFINANCE(""Currency:BRLMXN"")*D365"),487.3374)</f>
        <v>487.3374</v>
      </c>
      <c r="F365" s="6">
        <f>IFERROR(__xludf.DUMMYFUNCTION("GOOGLEFINANCE(""Currency:BRLPEN"")*D365"),94.03926399999999)</f>
        <v>94.039264</v>
      </c>
      <c r="G365" s="2" t="str">
        <f t="array" ref="G365">_xlfn.XLOOKUP(B365,Vendedores!$A$2:$A$41,Vendedores!$B$2:$B$41,"No hay datos")</f>
        <v>Fernando Navarro</v>
      </c>
      <c r="H365" s="2" t="str">
        <f t="array" ref="H365">_xlfn.XLOOKUP(B365,Vendedores!$A$2:$A$41,Vendedores!$C$2:$C$41,"No hay datos")</f>
        <v>Colinas Verdes</v>
      </c>
      <c r="I365" s="2" t="str">
        <f t="array" ref="I365">_xlfn.XLOOKUP(B365,Vendedores!$A$2:$A$41,Vendedores!$D$2:$D$41,"No hay datos")</f>
        <v>Región Central 2</v>
      </c>
      <c r="J365" s="2" t="str">
        <f t="array" ref="J365:N365">_xlfn.XLOOKUP(A365,Productos!$A$2:$A$61,Productos!$B$2:$F$61)</f>
        <v>Playera a rayas</v>
      </c>
      <c r="K365" s="2" t="s">
        <v>9</v>
      </c>
      <c r="L365" s="2" t="s">
        <v>10</v>
      </c>
      <c r="M365" s="2" t="s">
        <v>47</v>
      </c>
      <c r="N365" s="2" t="s">
        <v>24</v>
      </c>
    </row>
    <row r="366">
      <c r="A366" s="2" t="str">
        <f>IFERROR(__xludf.DUMMYFUNCTION("""COMPUTED_VALUE"""),"PR016")</f>
        <v>PR016</v>
      </c>
      <c r="B366" s="2" t="str">
        <f>IFERROR(__xludf.DUMMYFUNCTION("""COMPUTED_VALUE"""),"VD044")</f>
        <v>VD044</v>
      </c>
      <c r="C366" s="2">
        <f>IFERROR(__xludf.DUMMYFUNCTION("""COMPUTED_VALUE"""),6.0)</f>
        <v>6</v>
      </c>
      <c r="D366" s="6">
        <f>IFERROR(__xludf.DUMMYFUNCTION("""COMPUTED_VALUE"""),161.62)</f>
        <v>161.62</v>
      </c>
      <c r="E366" s="6">
        <f>IFERROR(__xludf.DUMMYFUNCTION("GOOGLEFINANCE(""Currency:BRLMXN"")*D366"),549.10395)</f>
        <v>549.10395</v>
      </c>
      <c r="F366" s="6">
        <f>IFERROR(__xludf.DUMMYFUNCTION("GOOGLEFINANCE(""Currency:BRLPEN"")*D366"),105.958072)</f>
        <v>105.958072</v>
      </c>
      <c r="G366" s="2" t="str">
        <f t="array" ref="G366">_xlfn.XLOOKUP(B366,Vendedores!$A$2:$A$41,Vendedores!$B$2:$B$41,"No hay datos")</f>
        <v>Silvia Menéndez</v>
      </c>
      <c r="H366" s="2" t="str">
        <f t="array" ref="H366">_xlfn.XLOOKUP(B366,Vendedores!$A$2:$A$41,Vendedores!$C$2:$C$41,"No hay datos")</f>
        <v>San Antonio del Monte</v>
      </c>
      <c r="I366" s="2" t="str">
        <f t="array" ref="I366">_xlfn.XLOOKUP(B366,Vendedores!$A$2:$A$41,Vendedores!$D$2:$D$41,"No hay datos")</f>
        <v>Región Central 2</v>
      </c>
      <c r="J366" s="2" t="str">
        <f t="array" ref="J366:N366">_xlfn.XLOOKUP(A366,Productos!$A$2:$A$61,Productos!$B$2:$F$61)</f>
        <v>Playera lisa</v>
      </c>
      <c r="K366" s="2" t="s">
        <v>9</v>
      </c>
      <c r="L366" s="2" t="s">
        <v>10</v>
      </c>
      <c r="M366" s="2" t="s">
        <v>20</v>
      </c>
      <c r="N366" s="2" t="s">
        <v>21</v>
      </c>
    </row>
    <row r="367">
      <c r="A367" s="2" t="str">
        <f>IFERROR(__xludf.DUMMYFUNCTION("""COMPUTED_VALUE"""),"PR008")</f>
        <v>PR008</v>
      </c>
      <c r="B367" s="2" t="str">
        <f>IFERROR(__xludf.DUMMYFUNCTION("""COMPUTED_VALUE"""),"VD033")</f>
        <v>VD033</v>
      </c>
      <c r="C367" s="2">
        <f>IFERROR(__xludf.DUMMYFUNCTION("""COMPUTED_VALUE"""),27.0)</f>
        <v>27</v>
      </c>
      <c r="D367" s="6">
        <f>IFERROR(__xludf.DUMMYFUNCTION("""COMPUTED_VALUE"""),2548.67)</f>
        <v>2548.67</v>
      </c>
      <c r="E367" s="6">
        <f>IFERROR(__xludf.DUMMYFUNCTION("GOOGLEFINANCE(""Currency:BRLMXN"")*D367"),8659.106325)</f>
        <v>8659.106325</v>
      </c>
      <c r="F367" s="6">
        <f>IFERROR(__xludf.DUMMYFUNCTION("GOOGLEFINANCE(""Currency:BRLPEN"")*D367"),1670.908052)</f>
        <v>1670.908052</v>
      </c>
      <c r="G367" s="2" t="str">
        <f t="array" ref="G367">_xlfn.XLOOKUP(B367,Vendedores!$A$2:$A$41,Vendedores!$B$2:$B$41,"No hay datos")</f>
        <v>Renata Flores</v>
      </c>
      <c r="H367" s="2" t="str">
        <f t="array" ref="H367">_xlfn.XLOOKUP(B367,Vendedores!$A$2:$A$41,Vendedores!$C$2:$C$41,"No hay datos")</f>
        <v>Altos del Sur</v>
      </c>
      <c r="I367" s="2" t="str">
        <f t="array" ref="I367">_xlfn.XLOOKUP(B367,Vendedores!$A$2:$A$41,Vendedores!$D$2:$D$41,"No hay datos")</f>
        <v>Región Central 2</v>
      </c>
      <c r="J367" s="2" t="str">
        <f t="array" ref="J367:N367">_xlfn.XLOOKUP(A367,Productos!$A$2:$A$61,Productos!$B$2:$F$61)</f>
        <v>Pantalón de mezclilla</v>
      </c>
      <c r="K367" s="2" t="s">
        <v>17</v>
      </c>
      <c r="L367" s="2" t="s">
        <v>10</v>
      </c>
      <c r="M367" s="2" t="s">
        <v>65</v>
      </c>
      <c r="N367" s="2" t="s">
        <v>35</v>
      </c>
    </row>
    <row r="368">
      <c r="A368" s="2" t="str">
        <f>IFERROR(__xludf.DUMMYFUNCTION("""COMPUTED_VALUE"""),"PR018")</f>
        <v>PR018</v>
      </c>
      <c r="B368" s="2" t="str">
        <f>IFERROR(__xludf.DUMMYFUNCTION("""COMPUTED_VALUE"""),"VD033")</f>
        <v>VD033</v>
      </c>
      <c r="C368" s="2">
        <f>IFERROR(__xludf.DUMMYFUNCTION("""COMPUTED_VALUE"""),1.0)</f>
        <v>1</v>
      </c>
      <c r="D368" s="6">
        <f>IFERROR(__xludf.DUMMYFUNCTION("""COMPUTED_VALUE"""),34.87)</f>
        <v>34.87</v>
      </c>
      <c r="E368" s="6">
        <f>IFERROR(__xludf.DUMMYFUNCTION("GOOGLEFINANCE(""Currency:BRLMXN"")*D368"),118.47082499999999)</f>
        <v>118.470825</v>
      </c>
      <c r="F368" s="6">
        <f>IFERROR(__xludf.DUMMYFUNCTION("GOOGLEFINANCE(""Currency:BRLPEN"")*D368"),22.860771999999997)</f>
        <v>22.860772</v>
      </c>
      <c r="G368" s="2" t="str">
        <f t="array" ref="G368">_xlfn.XLOOKUP(B368,Vendedores!$A$2:$A$41,Vendedores!$B$2:$B$41,"No hay datos")</f>
        <v>Renata Flores</v>
      </c>
      <c r="H368" s="2" t="str">
        <f t="array" ref="H368">_xlfn.XLOOKUP(B368,Vendedores!$A$2:$A$41,Vendedores!$C$2:$C$41,"No hay datos")</f>
        <v>Altos del Sur</v>
      </c>
      <c r="I368" s="2" t="str">
        <f t="array" ref="I368">_xlfn.XLOOKUP(B368,Vendedores!$A$2:$A$41,Vendedores!$D$2:$D$41,"No hay datos")</f>
        <v>Región Central 2</v>
      </c>
      <c r="J368" s="2" t="str">
        <f t="array" ref="J368:N368">_xlfn.XLOOKUP(A368,Productos!$A$2:$A$61,Productos!$B$2:$F$61)</f>
        <v>Playera lisa</v>
      </c>
      <c r="K368" s="2" t="s">
        <v>22</v>
      </c>
      <c r="L368" s="2" t="s">
        <v>10</v>
      </c>
      <c r="M368" s="2" t="s">
        <v>57</v>
      </c>
      <c r="N368" s="2" t="s">
        <v>24</v>
      </c>
    </row>
    <row r="369">
      <c r="A369" s="2" t="str">
        <f>IFERROR(__xludf.DUMMYFUNCTION("""COMPUTED_VALUE"""),"PR017")</f>
        <v>PR017</v>
      </c>
      <c r="B369" s="2" t="str">
        <f>IFERROR(__xludf.DUMMYFUNCTION("""COMPUTED_VALUE"""),"VD013")</f>
        <v>VD013</v>
      </c>
      <c r="C369" s="2">
        <f>IFERROR(__xludf.DUMMYFUNCTION("""COMPUTED_VALUE"""),9.0)</f>
        <v>9</v>
      </c>
      <c r="D369" s="6">
        <f>IFERROR(__xludf.DUMMYFUNCTION("""COMPUTED_VALUE"""),293.32)</f>
        <v>293.32</v>
      </c>
      <c r="E369" s="6">
        <f>IFERROR(__xludf.DUMMYFUNCTION("GOOGLEFINANCE(""Currency:BRLMXN"")*D369"),996.5546999999999)</f>
        <v>996.5547</v>
      </c>
      <c r="F369" s="6">
        <f>IFERROR(__xludf.DUMMYFUNCTION("GOOGLEFINANCE(""Currency:BRLPEN"")*D369"),192.300592)</f>
        <v>192.300592</v>
      </c>
      <c r="G369" s="2" t="str">
        <f t="array" ref="G369">_xlfn.XLOOKUP(B369,Vendedores!$A$2:$A$41,Vendedores!$B$2:$B$41,"No hay datos")</f>
        <v>Pedro Almonte</v>
      </c>
      <c r="H369" s="2" t="str">
        <f t="array" ref="H369">_xlfn.XLOOKUP(B369,Vendedores!$A$2:$A$41,Vendedores!$C$2:$C$41,"No hay datos")</f>
        <v>Santa Rosa del Valle</v>
      </c>
      <c r="I369" s="2" t="str">
        <f t="array" ref="I369">_xlfn.XLOOKUP(B369,Vendedores!$A$2:$A$41,Vendedores!$D$2:$D$41,"No hay datos")</f>
        <v>Región Norte</v>
      </c>
      <c r="J369" s="2" t="str">
        <f t="array" ref="J369:N369">_xlfn.XLOOKUP(A369,Productos!$A$2:$A$61,Productos!$B$2:$F$61)</f>
        <v>Playera lisa</v>
      </c>
      <c r="K369" s="2" t="s">
        <v>17</v>
      </c>
      <c r="L369" s="2" t="s">
        <v>10</v>
      </c>
      <c r="M369" s="2" t="s">
        <v>98</v>
      </c>
      <c r="N369" s="2" t="s">
        <v>99</v>
      </c>
    </row>
    <row r="370">
      <c r="A370" s="2" t="str">
        <f>IFERROR(__xludf.DUMMYFUNCTION("""COMPUTED_VALUE"""),"PR050")</f>
        <v>PR050</v>
      </c>
      <c r="B370" s="2" t="str">
        <f>IFERROR(__xludf.DUMMYFUNCTION("""COMPUTED_VALUE"""),"VD030")</f>
        <v>VD030</v>
      </c>
      <c r="C370" s="2">
        <f>IFERROR(__xludf.DUMMYFUNCTION("""COMPUTED_VALUE"""),6.0)</f>
        <v>6</v>
      </c>
      <c r="D370" s="6">
        <f>IFERROR(__xludf.DUMMYFUNCTION("""COMPUTED_VALUE"""),205.3)</f>
        <v>205.3</v>
      </c>
      <c r="E370" s="6">
        <f>IFERROR(__xludf.DUMMYFUNCTION("GOOGLEFINANCE(""Currency:BRLMXN"")*D370"),697.50675)</f>
        <v>697.50675</v>
      </c>
      <c r="F370" s="6">
        <f>IFERROR(__xludf.DUMMYFUNCTION("GOOGLEFINANCE(""Currency:BRLPEN"")*D370"),134.59468)</f>
        <v>134.59468</v>
      </c>
      <c r="G370" s="2" t="str">
        <f t="array" ref="G370">_xlfn.XLOOKUP(B370,Vendedores!$A$2:$A$41,Vendedores!$B$2:$B$41,"No hay datos")</f>
        <v>Leonardo Rojas</v>
      </c>
      <c r="H370" s="2" t="str">
        <f t="array" ref="H370">_xlfn.XLOOKUP(B370,Vendedores!$A$2:$A$41,Vendedores!$C$2:$C$41,"No hay datos")</f>
        <v>Villa del Sol</v>
      </c>
      <c r="I370" s="2" t="str">
        <f t="array" ref="I370">_xlfn.XLOOKUP(B370,Vendedores!$A$2:$A$41,Vendedores!$D$2:$D$41,"No hay datos")</f>
        <v>Región Central 2</v>
      </c>
      <c r="J370" s="2" t="str">
        <f t="array" ref="J370:N370">_xlfn.XLOOKUP(A370,Productos!$A$2:$A$61,Productos!$B$2:$F$61)</f>
        <v>Playera a rayas</v>
      </c>
      <c r="K370" s="2" t="s">
        <v>17</v>
      </c>
      <c r="L370" s="2" t="s">
        <v>10</v>
      </c>
      <c r="M370" s="2" t="s">
        <v>27</v>
      </c>
      <c r="N370" s="2" t="s">
        <v>24</v>
      </c>
    </row>
    <row r="371">
      <c r="A371" s="2" t="str">
        <f>IFERROR(__xludf.DUMMYFUNCTION("""COMPUTED_VALUE"""),"PR018")</f>
        <v>PR018</v>
      </c>
      <c r="B371" s="2" t="str">
        <f>IFERROR(__xludf.DUMMYFUNCTION("""COMPUTED_VALUE"""),"VD040")</f>
        <v>VD040</v>
      </c>
      <c r="C371" s="2">
        <f>IFERROR(__xludf.DUMMYFUNCTION("""COMPUTED_VALUE"""),20.0)</f>
        <v>20</v>
      </c>
      <c r="D371" s="6">
        <f>IFERROR(__xludf.DUMMYFUNCTION("""COMPUTED_VALUE"""),671.16)</f>
        <v>671.16</v>
      </c>
      <c r="E371" s="6">
        <f>IFERROR(__xludf.DUMMYFUNCTION("GOOGLEFINANCE(""Currency:BRLMXN"")*D371"),2280.2661)</f>
        <v>2280.2661</v>
      </c>
      <c r="F371" s="6">
        <f>IFERROR(__xludf.DUMMYFUNCTION("GOOGLEFINANCE(""Currency:BRLPEN"")*D371"),440.01249599999994)</f>
        <v>440.012496</v>
      </c>
      <c r="G371" s="2" t="str">
        <f t="array" ref="G371">_xlfn.XLOOKUP(B371,Vendedores!$A$2:$A$41,Vendedores!$B$2:$B$41,"No hay datos")</f>
        <v>Tatiana Montero</v>
      </c>
      <c r="H371" s="2" t="str">
        <f t="array" ref="H371">_xlfn.XLOOKUP(B371,Vendedores!$A$2:$A$41,Vendedores!$C$2:$C$41,"No hay datos")</f>
        <v>Ciudad Industrial</v>
      </c>
      <c r="I371" s="2" t="str">
        <f t="array" ref="I371">_xlfn.XLOOKUP(B371,Vendedores!$A$2:$A$41,Vendedores!$D$2:$D$41,"No hay datos")</f>
        <v>Región Central 2</v>
      </c>
      <c r="J371" s="2" t="str">
        <f t="array" ref="J371:N371">_xlfn.XLOOKUP(A371,Productos!$A$2:$A$61,Productos!$B$2:$F$61)</f>
        <v>Playera lisa</v>
      </c>
      <c r="K371" s="2" t="s">
        <v>22</v>
      </c>
      <c r="L371" s="2" t="s">
        <v>10</v>
      </c>
      <c r="M371" s="2" t="s">
        <v>57</v>
      </c>
      <c r="N371" s="2" t="s">
        <v>24</v>
      </c>
    </row>
    <row r="372">
      <c r="A372" s="2" t="str">
        <f>IFERROR(__xludf.DUMMYFUNCTION("""COMPUTED_VALUE"""),"PR001")</f>
        <v>PR001</v>
      </c>
      <c r="B372" s="2" t="str">
        <f>IFERROR(__xludf.DUMMYFUNCTION("""COMPUTED_VALUE"""),"VD045")</f>
        <v>VD045</v>
      </c>
      <c r="C372" s="2">
        <f>IFERROR(__xludf.DUMMYFUNCTION("""COMPUTED_VALUE"""),9.0)</f>
        <v>9</v>
      </c>
      <c r="D372" s="6">
        <f>IFERROR(__xludf.DUMMYFUNCTION("""COMPUTED_VALUE"""),634.62)</f>
        <v>634.62</v>
      </c>
      <c r="E372" s="6">
        <f>IFERROR(__xludf.DUMMYFUNCTION("GOOGLEFINANCE(""Currency:BRLMXN"")*D372"),2156.12145)</f>
        <v>2156.12145</v>
      </c>
      <c r="F372" s="6">
        <f>IFERROR(__xludf.DUMMYFUNCTION("GOOGLEFINANCE(""Currency:BRLPEN"")*D372"),416.056872)</f>
        <v>416.056872</v>
      </c>
      <c r="G372" s="2" t="str">
        <f t="array" ref="G372">_xlfn.XLOOKUP(B372,Vendedores!$A$2:$A$41,Vendedores!$B$2:$B$41,"No hay datos")</f>
        <v>Rafael Morales</v>
      </c>
      <c r="H372" s="2" t="str">
        <f t="array" ref="H372">_xlfn.XLOOKUP(B372,Vendedores!$A$2:$A$41,Vendedores!$C$2:$C$41,"No hay datos")</f>
        <v>Valle Dorado</v>
      </c>
      <c r="I372" s="2" t="str">
        <f t="array" ref="I372">_xlfn.XLOOKUP(B372,Vendedores!$A$2:$A$41,Vendedores!$D$2:$D$41,"No hay datos")</f>
        <v>Región Central 2</v>
      </c>
      <c r="J372" s="2" t="str">
        <f t="array" ref="J372:N372">_xlfn.XLOOKUP(A372,Productos!$A$2:$A$61,Productos!$B$2:$F$61)</f>
        <v>Bermuda</v>
      </c>
      <c r="K372" s="2" t="s">
        <v>9</v>
      </c>
      <c r="L372" s="2" t="s">
        <v>10</v>
      </c>
      <c r="M372" s="2" t="s">
        <v>11</v>
      </c>
      <c r="N372" s="2" t="s">
        <v>12</v>
      </c>
    </row>
    <row r="373">
      <c r="A373" s="2" t="str">
        <f>IFERROR(__xludf.DUMMYFUNCTION("""COMPUTED_VALUE"""),"PR053")</f>
        <v>PR053</v>
      </c>
      <c r="B373" s="2" t="str">
        <f>IFERROR(__xludf.DUMMYFUNCTION("""COMPUTED_VALUE"""),"VD033")</f>
        <v>VD033</v>
      </c>
      <c r="C373" s="2">
        <f>IFERROR(__xludf.DUMMYFUNCTION("""COMPUTED_VALUE"""),6.0)</f>
        <v>6</v>
      </c>
      <c r="D373" s="6">
        <f>IFERROR(__xludf.DUMMYFUNCTION("""COMPUTED_VALUE"""),314.37)</f>
        <v>314.37</v>
      </c>
      <c r="E373" s="6">
        <f>IFERROR(__xludf.DUMMYFUNCTION("GOOGLEFINANCE(""Currency:BRLMXN"")*D373"),1068.072075)</f>
        <v>1068.072075</v>
      </c>
      <c r="F373" s="6">
        <f>IFERROR(__xludf.DUMMYFUNCTION("GOOGLEFINANCE(""Currency:BRLPEN"")*D373"),206.10097199999998)</f>
        <v>206.100972</v>
      </c>
      <c r="G373" s="2" t="str">
        <f t="array" ref="G373">_xlfn.XLOOKUP(B373,Vendedores!$A$2:$A$41,Vendedores!$B$2:$B$41,"No hay datos")</f>
        <v>Renata Flores</v>
      </c>
      <c r="H373" s="2" t="str">
        <f t="array" ref="H373">_xlfn.XLOOKUP(B373,Vendedores!$A$2:$A$41,Vendedores!$C$2:$C$41,"No hay datos")</f>
        <v>Altos del Sur</v>
      </c>
      <c r="I373" s="2" t="str">
        <f t="array" ref="I373">_xlfn.XLOOKUP(B373,Vendedores!$A$2:$A$41,Vendedores!$D$2:$D$41,"No hay datos")</f>
        <v>Región Central 2</v>
      </c>
      <c r="J373" s="2" t="str">
        <f t="array" ref="J373:N373">_xlfn.XLOOKUP(A373,Productos!$A$2:$A$61,Productos!$B$2:$F$61)</f>
        <v>Falda plisada</v>
      </c>
      <c r="K373" s="2" t="s">
        <v>17</v>
      </c>
      <c r="L373" s="2" t="s">
        <v>10</v>
      </c>
      <c r="M373" s="2" t="s">
        <v>41</v>
      </c>
      <c r="N373" s="2" t="s">
        <v>32</v>
      </c>
    </row>
    <row r="374">
      <c r="A374" s="2" t="str">
        <f>IFERROR(__xludf.DUMMYFUNCTION("""COMPUTED_VALUE"""),"PR011")</f>
        <v>PR011</v>
      </c>
      <c r="B374" s="2" t="str">
        <f>IFERROR(__xludf.DUMMYFUNCTION("""COMPUTED_VALUE"""),"VD046")</f>
        <v>VD046</v>
      </c>
      <c r="C374" s="2">
        <f>IFERROR(__xludf.DUMMYFUNCTION("""COMPUTED_VALUE"""),8.0)</f>
        <v>8</v>
      </c>
      <c r="D374" s="6">
        <f>IFERROR(__xludf.DUMMYFUNCTION("""COMPUTED_VALUE"""),375.2)</f>
        <v>375.2</v>
      </c>
      <c r="E374" s="6">
        <f>IFERROR(__xludf.DUMMYFUNCTION("GOOGLEFINANCE(""Currency:BRLMXN"")*D374"),1274.742)</f>
        <v>1274.742</v>
      </c>
      <c r="F374" s="6">
        <f>IFERROR(__xludf.DUMMYFUNCTION("GOOGLEFINANCE(""Currency:BRLPEN"")*D374"),245.98111999999998)</f>
        <v>245.98112</v>
      </c>
      <c r="G374" s="2" t="str">
        <f t="array" ref="G374">_xlfn.XLOOKUP(B374,Vendedores!$A$2:$A$41,Vendedores!$B$2:$B$41,"No hay datos")</f>
        <v>Juliana Pérez</v>
      </c>
      <c r="H374" s="2" t="str">
        <f t="array" ref="H374">_xlfn.XLOOKUP(B374,Vendedores!$A$2:$A$41,Vendedores!$C$2:$C$41,"No hay datos")</f>
        <v>Santa Cruz de la Sierra</v>
      </c>
      <c r="I374" s="2" t="str">
        <f t="array" ref="I374">_xlfn.XLOOKUP(B374,Vendedores!$A$2:$A$41,Vendedores!$D$2:$D$41,"No hay datos")</f>
        <v>Región Central 2</v>
      </c>
      <c r="J374" s="2" t="str">
        <f t="array" ref="J374:N374">_xlfn.XLOOKUP(A374,Productos!$A$2:$A$61,Productos!$B$2:$F$61)</f>
        <v>Pantalón legging</v>
      </c>
      <c r="K374" s="2" t="s">
        <v>17</v>
      </c>
      <c r="L374" s="2" t="s">
        <v>10</v>
      </c>
      <c r="M374" s="2" t="s">
        <v>67</v>
      </c>
      <c r="N374" s="2" t="s">
        <v>68</v>
      </c>
    </row>
    <row r="375">
      <c r="A375" s="2" t="str">
        <f>IFERROR(__xludf.DUMMYFUNCTION("""COMPUTED_VALUE"""),"PR036")</f>
        <v>PR036</v>
      </c>
      <c r="B375" s="2" t="str">
        <f>IFERROR(__xludf.DUMMYFUNCTION("""COMPUTED_VALUE"""),"VD044")</f>
        <v>VD044</v>
      </c>
      <c r="C375" s="2">
        <f>IFERROR(__xludf.DUMMYFUNCTION("""COMPUTED_VALUE"""),9.0)</f>
        <v>9</v>
      </c>
      <c r="D375" s="6">
        <f>IFERROR(__xludf.DUMMYFUNCTION("""COMPUTED_VALUE"""),849.92)</f>
        <v>849.92</v>
      </c>
      <c r="E375" s="6">
        <f>IFERROR(__xludf.DUMMYFUNCTION("GOOGLEFINANCE(""Currency:BRLMXN"")*D375"),2887.6032)</f>
        <v>2887.6032</v>
      </c>
      <c r="F375" s="6">
        <f>IFERROR(__xludf.DUMMYFUNCTION("GOOGLEFINANCE(""Currency:BRLPEN"")*D375"),557.207552)</f>
        <v>557.207552</v>
      </c>
      <c r="G375" s="2" t="str">
        <f t="array" ref="G375">_xlfn.XLOOKUP(B375,Vendedores!$A$2:$A$41,Vendedores!$B$2:$B$41,"No hay datos")</f>
        <v>Silvia Menéndez</v>
      </c>
      <c r="H375" s="2" t="str">
        <f t="array" ref="H375">_xlfn.XLOOKUP(B375,Vendedores!$A$2:$A$41,Vendedores!$C$2:$C$41,"No hay datos")</f>
        <v>San Antonio del Monte</v>
      </c>
      <c r="I375" s="2" t="str">
        <f t="array" ref="I375">_xlfn.XLOOKUP(B375,Vendedores!$A$2:$A$41,Vendedores!$D$2:$D$41,"No hay datos")</f>
        <v>Región Central 2</v>
      </c>
      <c r="J375" s="2" t="str">
        <f t="array" ref="J375:N375">_xlfn.XLOOKUP(A375,Productos!$A$2:$A$61,Productos!$B$2:$F$61)</f>
        <v>Vestido corto</v>
      </c>
      <c r="K375" s="2" t="s">
        <v>22</v>
      </c>
      <c r="L375" s="2" t="s">
        <v>10</v>
      </c>
      <c r="M375" s="2" t="s">
        <v>82</v>
      </c>
      <c r="N375" s="2" t="s">
        <v>83</v>
      </c>
    </row>
    <row r="376">
      <c r="A376" s="2" t="str">
        <f>IFERROR(__xludf.DUMMYFUNCTION("""COMPUTED_VALUE"""),"PR007")</f>
        <v>PR007</v>
      </c>
      <c r="B376" s="2" t="str">
        <f>IFERROR(__xludf.DUMMYFUNCTION("""COMPUTED_VALUE"""),"VD035")</f>
        <v>VD035</v>
      </c>
      <c r="C376" s="2">
        <f>IFERROR(__xludf.DUMMYFUNCTION("""COMPUTED_VALUE"""),8.0)</f>
        <v>8</v>
      </c>
      <c r="D376" s="6">
        <f>IFERROR(__xludf.DUMMYFUNCTION("""COMPUTED_VALUE"""),700.94)</f>
        <v>700.94</v>
      </c>
      <c r="E376" s="6">
        <f>IFERROR(__xludf.DUMMYFUNCTION("GOOGLEFINANCE(""Currency:BRLMXN"")*D376"),2381.44365)</f>
        <v>2381.44365</v>
      </c>
      <c r="F376" s="6">
        <f>IFERROR(__xludf.DUMMYFUNCTION("GOOGLEFINANCE(""Currency:BRLPEN"")*D376"),459.536264)</f>
        <v>459.536264</v>
      </c>
      <c r="G376" s="2" t="str">
        <f t="array" ref="G376">_xlfn.XLOOKUP(B376,Vendedores!$A$2:$A$41,Vendedores!$B$2:$B$41,"No hay datos")</f>
        <v>Carolina Méndez</v>
      </c>
      <c r="H376" s="2" t="str">
        <f t="array" ref="H376">_xlfn.XLOOKUP(B376,Vendedores!$A$2:$A$41,Vendedores!$C$2:$C$41,"No hay datos")</f>
        <v>Valle de los Robles</v>
      </c>
      <c r="I376" s="2" t="str">
        <f t="array" ref="I376">_xlfn.XLOOKUP(B376,Vendedores!$A$2:$A$41,Vendedores!$D$2:$D$41,"No hay datos")</f>
        <v>Región Central 2</v>
      </c>
      <c r="J376" s="2" t="str">
        <f t="array" ref="J376:N376">_xlfn.XLOOKUP(A376,Productos!$A$2:$A$61,Productos!$B$2:$F$61)</f>
        <v>Pantalón de mezclilla</v>
      </c>
      <c r="K376" s="2" t="s">
        <v>9</v>
      </c>
      <c r="L376" s="2" t="s">
        <v>10</v>
      </c>
      <c r="M376" s="2" t="s">
        <v>103</v>
      </c>
      <c r="N376" s="2" t="s">
        <v>104</v>
      </c>
    </row>
    <row r="377">
      <c r="A377" s="2" t="str">
        <f>IFERROR(__xludf.DUMMYFUNCTION("""COMPUTED_VALUE"""),"PR017")</f>
        <v>PR017</v>
      </c>
      <c r="B377" s="2" t="str">
        <f>IFERROR(__xludf.DUMMYFUNCTION("""COMPUTED_VALUE"""),"VD013")</f>
        <v>VD013</v>
      </c>
      <c r="C377" s="2">
        <f>IFERROR(__xludf.DUMMYFUNCTION("""COMPUTED_VALUE"""),2.0)</f>
        <v>2</v>
      </c>
      <c r="D377" s="6">
        <f>IFERROR(__xludf.DUMMYFUNCTION("""COMPUTED_VALUE"""),62.79)</f>
        <v>62.79</v>
      </c>
      <c r="E377" s="6">
        <f>IFERROR(__xludf.DUMMYFUNCTION("GOOGLEFINANCE(""Currency:BRLMXN"")*D377"),213.329025)</f>
        <v>213.329025</v>
      </c>
      <c r="F377" s="6">
        <f>IFERROR(__xludf.DUMMYFUNCTION("GOOGLEFINANCE(""Currency:BRLPEN"")*D377"),41.165124)</f>
        <v>41.165124</v>
      </c>
      <c r="G377" s="2" t="str">
        <f t="array" ref="G377">_xlfn.XLOOKUP(B377,Vendedores!$A$2:$A$41,Vendedores!$B$2:$B$41,"No hay datos")</f>
        <v>Pedro Almonte</v>
      </c>
      <c r="H377" s="2" t="str">
        <f t="array" ref="H377">_xlfn.XLOOKUP(B377,Vendedores!$A$2:$A$41,Vendedores!$C$2:$C$41,"No hay datos")</f>
        <v>Santa Rosa del Valle</v>
      </c>
      <c r="I377" s="2" t="str">
        <f t="array" ref="I377">_xlfn.XLOOKUP(B377,Vendedores!$A$2:$A$41,Vendedores!$D$2:$D$41,"No hay datos")</f>
        <v>Región Norte</v>
      </c>
      <c r="J377" s="2" t="str">
        <f t="array" ref="J377:N377">_xlfn.XLOOKUP(A377,Productos!$A$2:$A$61,Productos!$B$2:$F$61)</f>
        <v>Playera lisa</v>
      </c>
      <c r="K377" s="2" t="s">
        <v>17</v>
      </c>
      <c r="L377" s="2" t="s">
        <v>10</v>
      </c>
      <c r="M377" s="2" t="s">
        <v>98</v>
      </c>
      <c r="N377" s="2" t="s">
        <v>99</v>
      </c>
    </row>
    <row r="378">
      <c r="A378" s="2" t="str">
        <f>IFERROR(__xludf.DUMMYFUNCTION("""COMPUTED_VALUE"""),"PR029")</f>
        <v>PR029</v>
      </c>
      <c r="B378" s="2" t="str">
        <f>IFERROR(__xludf.DUMMYFUNCTION("""COMPUTED_VALUE"""),"VD022")</f>
        <v>VD022</v>
      </c>
      <c r="C378" s="2">
        <f>IFERROR(__xludf.DUMMYFUNCTION("""COMPUTED_VALUE"""),24.0)</f>
        <v>24</v>
      </c>
      <c r="D378" s="6">
        <f>IFERROR(__xludf.DUMMYFUNCTION("""COMPUTED_VALUE"""),6364.8)</f>
        <v>6364.8</v>
      </c>
      <c r="E378" s="6">
        <f>IFERROR(__xludf.DUMMYFUNCTION("GOOGLEFINANCE(""Currency:BRLMXN"")*D378"),21624.408)</f>
        <v>21624.408</v>
      </c>
      <c r="F378" s="6">
        <f>IFERROR(__xludf.DUMMYFUNCTION("GOOGLEFINANCE(""Currency:BRLPEN"")*D378"),4172.76288)</f>
        <v>4172.76288</v>
      </c>
      <c r="G378" s="2" t="str">
        <f t="array" ref="G378">_xlfn.XLOOKUP(B378,Vendedores!$A$2:$A$41,Vendedores!$B$2:$B$41,"No hay datos")</f>
        <v>Santiago Linares</v>
      </c>
      <c r="H378" s="2" t="str">
        <f t="array" ref="H378">_xlfn.XLOOKUP(B378,Vendedores!$A$2:$A$41,Vendedores!$C$2:$C$41,"No hay datos")</f>
        <v>Vista Hermosa</v>
      </c>
      <c r="I378" s="2" t="str">
        <f t="array" ref="I378">_xlfn.XLOOKUP(B378,Vendedores!$A$2:$A$41,Vendedores!$D$2:$D$41,"No hay datos")</f>
        <v>Región Central</v>
      </c>
      <c r="J378" s="2" t="str">
        <f t="array" ref="J378:N378">_xlfn.XLOOKUP(A378,Productos!$A$2:$A$61,Productos!$B$2:$F$61)</f>
        <v>Tenis Atitas</v>
      </c>
      <c r="K378" s="2">
        <v>37.0</v>
      </c>
      <c r="L378" s="2" t="s">
        <v>33</v>
      </c>
      <c r="M378" s="2" t="s">
        <v>96</v>
      </c>
      <c r="N378" s="2" t="s">
        <v>97</v>
      </c>
    </row>
    <row r="379">
      <c r="A379" s="2" t="str">
        <f>IFERROR(__xludf.DUMMYFUNCTION("""COMPUTED_VALUE"""),"PR049")</f>
        <v>PR049</v>
      </c>
      <c r="B379" s="2" t="str">
        <f>IFERROR(__xludf.DUMMYFUNCTION("""COMPUTED_VALUE"""),"VD046")</f>
        <v>VD046</v>
      </c>
      <c r="C379" s="2">
        <f>IFERROR(__xludf.DUMMYFUNCTION("""COMPUTED_VALUE"""),2.0)</f>
        <v>2</v>
      </c>
      <c r="D379" s="6">
        <f>IFERROR(__xludf.DUMMYFUNCTION("""COMPUTED_VALUE"""),71.72)</f>
        <v>71.72</v>
      </c>
      <c r="E379" s="6">
        <f>IFERROR(__xludf.DUMMYFUNCTION("GOOGLEFINANCE(""Currency:BRLMXN"")*D379"),243.6687)</f>
        <v>243.6687</v>
      </c>
      <c r="F379" s="6">
        <f>IFERROR(__xludf.DUMMYFUNCTION("GOOGLEFINANCE(""Currency:BRLPEN"")*D379"),47.019631999999994)</f>
        <v>47.019632</v>
      </c>
      <c r="G379" s="2" t="str">
        <f t="array" ref="G379">_xlfn.XLOOKUP(B379,Vendedores!$A$2:$A$41,Vendedores!$B$2:$B$41,"No hay datos")</f>
        <v>Juliana Pérez</v>
      </c>
      <c r="H379" s="2" t="str">
        <f t="array" ref="H379">_xlfn.XLOOKUP(B379,Vendedores!$A$2:$A$41,Vendedores!$C$2:$C$41,"No hay datos")</f>
        <v>Santa Cruz de la Sierra</v>
      </c>
      <c r="I379" s="2" t="str">
        <f t="array" ref="I379">_xlfn.XLOOKUP(B379,Vendedores!$A$2:$A$41,Vendedores!$D$2:$D$41,"No hay datos")</f>
        <v>Región Central 2</v>
      </c>
      <c r="J379" s="2" t="str">
        <f t="array" ref="J379:N379">_xlfn.XLOOKUP(A379,Productos!$A$2:$A$61,Productos!$B$2:$F$61)</f>
        <v>Playera a rayas</v>
      </c>
      <c r="K379" s="2" t="s">
        <v>9</v>
      </c>
      <c r="L379" s="2" t="s">
        <v>10</v>
      </c>
      <c r="M379" s="2" t="s">
        <v>47</v>
      </c>
      <c r="N379" s="2" t="s">
        <v>24</v>
      </c>
    </row>
    <row r="380">
      <c r="A380" s="2" t="str">
        <f>IFERROR(__xludf.DUMMYFUNCTION("""COMPUTED_VALUE"""),"PR036")</f>
        <v>PR036</v>
      </c>
      <c r="B380" s="2" t="str">
        <f>IFERROR(__xludf.DUMMYFUNCTION("""COMPUTED_VALUE"""),"VD035")</f>
        <v>VD035</v>
      </c>
      <c r="C380" s="2">
        <f>IFERROR(__xludf.DUMMYFUNCTION("""COMPUTED_VALUE"""),18.0)</f>
        <v>18</v>
      </c>
      <c r="D380" s="6">
        <f>IFERROR(__xludf.DUMMYFUNCTION("""COMPUTED_VALUE"""),1783.98)</f>
        <v>1783.98</v>
      </c>
      <c r="E380" s="6">
        <f>IFERROR(__xludf.DUMMYFUNCTION("GOOGLEFINANCE(""Currency:BRLMXN"")*D380"),6061.07205)</f>
        <v>6061.07205</v>
      </c>
      <c r="F380" s="6">
        <f>IFERROR(__xludf.DUMMYFUNCTION("GOOGLEFINANCE(""Currency:BRLPEN"")*D380"),1169.577288)</f>
        <v>1169.577288</v>
      </c>
      <c r="G380" s="2" t="str">
        <f t="array" ref="G380">_xlfn.XLOOKUP(B380,Vendedores!$A$2:$A$41,Vendedores!$B$2:$B$41,"No hay datos")</f>
        <v>Carolina Méndez</v>
      </c>
      <c r="H380" s="2" t="str">
        <f t="array" ref="H380">_xlfn.XLOOKUP(B380,Vendedores!$A$2:$A$41,Vendedores!$C$2:$C$41,"No hay datos")</f>
        <v>Valle de los Robles</v>
      </c>
      <c r="I380" s="2" t="str">
        <f t="array" ref="I380">_xlfn.XLOOKUP(B380,Vendedores!$A$2:$A$41,Vendedores!$D$2:$D$41,"No hay datos")</f>
        <v>Región Central 2</v>
      </c>
      <c r="J380" s="2" t="str">
        <f t="array" ref="J380:N380">_xlfn.XLOOKUP(A380,Productos!$A$2:$A$61,Productos!$B$2:$F$61)</f>
        <v>Vestido corto</v>
      </c>
      <c r="K380" s="2" t="s">
        <v>22</v>
      </c>
      <c r="L380" s="2" t="s">
        <v>10</v>
      </c>
      <c r="M380" s="2" t="s">
        <v>82</v>
      </c>
      <c r="N380" s="2" t="s">
        <v>83</v>
      </c>
    </row>
    <row r="381">
      <c r="A381" s="2" t="str">
        <f>IFERROR(__xludf.DUMMYFUNCTION("""COMPUTED_VALUE"""),"PR039")</f>
        <v>PR039</v>
      </c>
      <c r="B381" s="2" t="str">
        <f>IFERROR(__xludf.DUMMYFUNCTION("""COMPUTED_VALUE"""),"VD047")</f>
        <v>VD047</v>
      </c>
      <c r="C381" s="2">
        <f>IFERROR(__xludf.DUMMYFUNCTION("""COMPUTED_VALUE"""),14.0)</f>
        <v>14</v>
      </c>
      <c r="D381" s="6">
        <f>IFERROR(__xludf.DUMMYFUNCTION("""COMPUTED_VALUE"""),2227.96)</f>
        <v>2227.96</v>
      </c>
      <c r="E381" s="6">
        <f>IFERROR(__xludf.DUMMYFUNCTION("GOOGLEFINANCE(""Currency:BRLMXN"")*D381"),7569.4941)</f>
        <v>7569.4941</v>
      </c>
      <c r="F381" s="6">
        <f>IFERROR(__xludf.DUMMYFUNCTION("GOOGLEFINANCE(""Currency:BRLPEN"")*D381"),1460.650576)</f>
        <v>1460.650576</v>
      </c>
      <c r="G381" s="2" t="str">
        <f t="array" ref="G381">_xlfn.XLOOKUP(B381,Vendedores!$A$2:$A$41,Vendedores!$B$2:$B$41,"No hay datos")</f>
        <v>Andrés López</v>
      </c>
      <c r="H381" s="2" t="str">
        <f t="array" ref="H381">_xlfn.XLOOKUP(B381,Vendedores!$A$2:$A$41,Vendedores!$C$2:$C$41,"No hay datos")</f>
        <v>Villa Progreso</v>
      </c>
      <c r="I381" s="2" t="str">
        <f t="array" ref="I381">_xlfn.XLOOKUP(B381,Vendedores!$A$2:$A$41,Vendedores!$D$2:$D$41,"No hay datos")</f>
        <v>Región Central 2</v>
      </c>
      <c r="J381" s="2" t="str">
        <f t="array" ref="J381:N381">_xlfn.XLOOKUP(A381,Productos!$A$2:$A$61,Productos!$B$2:$F$61)</f>
        <v>Vestido largo</v>
      </c>
      <c r="K381" s="2" t="s">
        <v>22</v>
      </c>
      <c r="L381" s="2" t="s">
        <v>10</v>
      </c>
      <c r="M381" s="2" t="s">
        <v>73</v>
      </c>
      <c r="N381" s="2" t="s">
        <v>74</v>
      </c>
    </row>
    <row r="382">
      <c r="A382" s="2" t="str">
        <f>IFERROR(__xludf.DUMMYFUNCTION("""COMPUTED_VALUE"""),"PR043")</f>
        <v>PR043</v>
      </c>
      <c r="B382" s="2" t="str">
        <f>IFERROR(__xludf.DUMMYFUNCTION("""COMPUTED_VALUE"""),"VD049")</f>
        <v>VD049</v>
      </c>
      <c r="C382" s="2">
        <f>IFERROR(__xludf.DUMMYFUNCTION("""COMPUTED_VALUE"""),8.0)</f>
        <v>8</v>
      </c>
      <c r="D382" s="6">
        <f>IFERROR(__xludf.DUMMYFUNCTION("""COMPUTED_VALUE"""),585.8)</f>
        <v>585.8</v>
      </c>
      <c r="E382" s="6">
        <f>IFERROR(__xludf.DUMMYFUNCTION("GOOGLEFINANCE(""Currency:BRLMXN"")*D382"),1990.2554999999998)</f>
        <v>1990.2555</v>
      </c>
      <c r="F382" s="6">
        <f>IFERROR(__xludf.DUMMYFUNCTION("GOOGLEFINANCE(""Currency:BRLPEN"")*D382"),384.05047999999994)</f>
        <v>384.05048</v>
      </c>
      <c r="G382" s="2" t="str">
        <f t="array" ref="G382">_xlfn.XLOOKUP(B382,Vendedores!$A$2:$A$41,Vendedores!$B$2:$B$41,"No hay datos")</f>
        <v>Fernando Navarro</v>
      </c>
      <c r="H382" s="2" t="str">
        <f t="array" ref="H382">_xlfn.XLOOKUP(B382,Vendedores!$A$2:$A$41,Vendedores!$C$2:$C$41,"No hay datos")</f>
        <v>Colinas Verdes</v>
      </c>
      <c r="I382" s="2" t="str">
        <f t="array" ref="I382">_xlfn.XLOOKUP(B382,Vendedores!$A$2:$A$41,Vendedores!$D$2:$D$41,"No hay datos")</f>
        <v>Región Central 2</v>
      </c>
      <c r="J382" s="2" t="str">
        <f t="array" ref="J382:N382">_xlfn.XLOOKUP(A382,Productos!$A$2:$A$61,Productos!$B$2:$F$61)</f>
        <v>Vestido floral</v>
      </c>
      <c r="K382" s="2" t="s">
        <v>9</v>
      </c>
      <c r="L382" s="2" t="s">
        <v>10</v>
      </c>
      <c r="M382" s="2" t="s">
        <v>69</v>
      </c>
      <c r="N382" s="2" t="s">
        <v>40</v>
      </c>
    </row>
    <row r="383">
      <c r="A383" s="2" t="str">
        <f>IFERROR(__xludf.DUMMYFUNCTION("""COMPUTED_VALUE"""),"PR039")</f>
        <v>PR039</v>
      </c>
      <c r="B383" s="2" t="str">
        <f>IFERROR(__xludf.DUMMYFUNCTION("""COMPUTED_VALUE"""),"VD036")</f>
        <v>VD036</v>
      </c>
      <c r="C383" s="2">
        <f>IFERROR(__xludf.DUMMYFUNCTION("""COMPUTED_VALUE"""),7.0)</f>
        <v>7</v>
      </c>
      <c r="D383" s="6">
        <f>IFERROR(__xludf.DUMMYFUNCTION("""COMPUTED_VALUE"""),1124.2)</f>
        <v>1124.2</v>
      </c>
      <c r="E383" s="6">
        <f>IFERROR(__xludf.DUMMYFUNCTION("GOOGLEFINANCE(""Currency:BRLMXN"")*D383"),3819.4695)</f>
        <v>3819.4695</v>
      </c>
      <c r="F383" s="6">
        <f>IFERROR(__xludf.DUMMYFUNCTION("GOOGLEFINANCE(""Currency:BRLPEN"")*D383"),737.02552)</f>
        <v>737.02552</v>
      </c>
      <c r="G383" s="2" t="str">
        <f t="array" ref="G383">_xlfn.XLOOKUP(B383,Vendedores!$A$2:$A$41,Vendedores!$B$2:$B$41,"No hay datos")</f>
        <v>Ricardo Sosa</v>
      </c>
      <c r="H383" s="2" t="str">
        <f t="array" ref="H383">_xlfn.XLOOKUP(B383,Vendedores!$A$2:$A$41,Vendedores!$C$2:$C$41,"No hay datos")</f>
        <v>Puerto Nuevo</v>
      </c>
      <c r="I383" s="2" t="str">
        <f t="array" ref="I383">_xlfn.XLOOKUP(B383,Vendedores!$A$2:$A$41,Vendedores!$D$2:$D$41,"No hay datos")</f>
        <v>Región Central 2</v>
      </c>
      <c r="J383" s="2" t="str">
        <f t="array" ref="J383:N383">_xlfn.XLOOKUP(A383,Productos!$A$2:$A$61,Productos!$B$2:$F$61)</f>
        <v>Vestido largo</v>
      </c>
      <c r="K383" s="2" t="s">
        <v>22</v>
      </c>
      <c r="L383" s="2" t="s">
        <v>10</v>
      </c>
      <c r="M383" s="2" t="s">
        <v>73</v>
      </c>
      <c r="N383" s="2" t="s">
        <v>74</v>
      </c>
    </row>
    <row r="384">
      <c r="A384" s="2" t="str">
        <f>IFERROR(__xludf.DUMMYFUNCTION("""COMPUTED_VALUE"""),"PR039")</f>
        <v>PR039</v>
      </c>
      <c r="B384" s="2" t="str">
        <f>IFERROR(__xludf.DUMMYFUNCTION("""COMPUTED_VALUE"""),"VD032")</f>
        <v>VD032</v>
      </c>
      <c r="C384" s="2">
        <f>IFERROR(__xludf.DUMMYFUNCTION("""COMPUTED_VALUE"""),2.0)</f>
        <v>2</v>
      </c>
      <c r="D384" s="6">
        <f>IFERROR(__xludf.DUMMYFUNCTION("""COMPUTED_VALUE"""),312.44)</f>
        <v>312.44</v>
      </c>
      <c r="E384" s="6">
        <f>IFERROR(__xludf.DUMMYFUNCTION("GOOGLEFINANCE(""Currency:BRLMXN"")*D384"),1061.5149)</f>
        <v>1061.5149</v>
      </c>
      <c r="F384" s="6">
        <f>IFERROR(__xludf.DUMMYFUNCTION("GOOGLEFINANCE(""Currency:BRLPEN"")*D384"),204.83566399999998)</f>
        <v>204.835664</v>
      </c>
      <c r="G384" s="2" t="str">
        <f t="array" ref="G384">_xlfn.XLOOKUP(B384,Vendedores!$A$2:$A$41,Vendedores!$B$2:$B$41,"No hay datos")</f>
        <v>Eduardo Almonte</v>
      </c>
      <c r="H384" s="2" t="str">
        <f t="array" ref="H384">_xlfn.XLOOKUP(B384,Vendedores!$A$2:$A$41,Vendedores!$C$2:$C$41,"No hay datos")</f>
        <v>Tierra Colorada</v>
      </c>
      <c r="I384" s="2" t="str">
        <f t="array" ref="I384">_xlfn.XLOOKUP(B384,Vendedores!$A$2:$A$41,Vendedores!$D$2:$D$41,"No hay datos")</f>
        <v>Región Central 2</v>
      </c>
      <c r="J384" s="2" t="str">
        <f t="array" ref="J384:N384">_xlfn.XLOOKUP(A384,Productos!$A$2:$A$61,Productos!$B$2:$F$61)</f>
        <v>Vestido largo</v>
      </c>
      <c r="K384" s="2" t="s">
        <v>22</v>
      </c>
      <c r="L384" s="2" t="s">
        <v>10</v>
      </c>
      <c r="M384" s="2" t="s">
        <v>73</v>
      </c>
      <c r="N384" s="2" t="s">
        <v>74</v>
      </c>
    </row>
    <row r="385">
      <c r="A385" s="2" t="str">
        <f>IFERROR(__xludf.DUMMYFUNCTION("""COMPUTED_VALUE"""),"PR043")</f>
        <v>PR043</v>
      </c>
      <c r="B385" s="2" t="str">
        <f>IFERROR(__xludf.DUMMYFUNCTION("""COMPUTED_VALUE"""),"VD038")</f>
        <v>VD038</v>
      </c>
      <c r="C385" s="2">
        <f>IFERROR(__xludf.DUMMYFUNCTION("""COMPUTED_VALUE"""),3.0)</f>
        <v>3</v>
      </c>
      <c r="D385" s="6">
        <f>IFERROR(__xludf.DUMMYFUNCTION("""COMPUTED_VALUE"""),221.85)</f>
        <v>221.85</v>
      </c>
      <c r="E385" s="6">
        <f>IFERROR(__xludf.DUMMYFUNCTION("GOOGLEFINANCE(""Currency:BRLMXN"")*D385"),753.735375)</f>
        <v>753.735375</v>
      </c>
      <c r="F385" s="6">
        <f>IFERROR(__xludf.DUMMYFUNCTION("GOOGLEFINANCE(""Currency:BRLPEN"")*D385"),145.44485999999998)</f>
        <v>145.44486</v>
      </c>
      <c r="G385" s="2" t="str">
        <f t="array" ref="G385">_xlfn.XLOOKUP(B385,Vendedores!$A$2:$A$41,Vendedores!$B$2:$B$41,"No hay datos")</f>
        <v>Bruno Olmedo</v>
      </c>
      <c r="H385" s="2" t="str">
        <f t="array" ref="H385">_xlfn.XLOOKUP(B385,Vendedores!$A$2:$A$41,Vendedores!$C$2:$C$41,"No hay datos")</f>
        <v>Tierra Fertil</v>
      </c>
      <c r="I385" s="2" t="str">
        <f t="array" ref="I385">_xlfn.XLOOKUP(B385,Vendedores!$A$2:$A$41,Vendedores!$D$2:$D$41,"No hay datos")</f>
        <v>Región Sur 2</v>
      </c>
      <c r="J385" s="2" t="str">
        <f t="array" ref="J385:N385">_xlfn.XLOOKUP(A385,Productos!$A$2:$A$61,Productos!$B$2:$F$61)</f>
        <v>Vestido floral</v>
      </c>
      <c r="K385" s="2" t="s">
        <v>9</v>
      </c>
      <c r="L385" s="2" t="s">
        <v>10</v>
      </c>
      <c r="M385" s="2" t="s">
        <v>69</v>
      </c>
      <c r="N385" s="2" t="s">
        <v>40</v>
      </c>
    </row>
    <row r="386">
      <c r="A386" s="2" t="str">
        <f>IFERROR(__xludf.DUMMYFUNCTION("""COMPUTED_VALUE"""),"PR005")</f>
        <v>PR005</v>
      </c>
      <c r="B386" s="2" t="str">
        <f>IFERROR(__xludf.DUMMYFUNCTION("""COMPUTED_VALUE"""),"VD021")</f>
        <v>VD021</v>
      </c>
      <c r="C386" s="2">
        <f>IFERROR(__xludf.DUMMYFUNCTION("""COMPUTED_VALUE"""),14.0)</f>
        <v>14</v>
      </c>
      <c r="D386" s="6">
        <f>IFERROR(__xludf.DUMMYFUNCTION("""COMPUTED_VALUE"""),3893.3)</f>
        <v>3893.3</v>
      </c>
      <c r="E386" s="6">
        <f>IFERROR(__xludf.DUMMYFUNCTION("GOOGLEFINANCE(""Currency:BRLMXN"")*D386"),13227.48675)</f>
        <v>13227.48675</v>
      </c>
      <c r="F386" s="6">
        <f>IFERROR(__xludf.DUMMYFUNCTION("GOOGLEFINANCE(""Currency:BRLPEN"")*D386"),2552.44748)</f>
        <v>2552.44748</v>
      </c>
      <c r="G386" s="2" t="str">
        <f t="array" ref="G386">_xlfn.XLOOKUP(B386,Vendedores!$A$2:$A$41,Vendedores!$B$2:$B$41,"No hay datos")</f>
        <v>Fernanda Méndez</v>
      </c>
      <c r="H386" s="2" t="str">
        <f t="array" ref="H386">_xlfn.XLOOKUP(B386,Vendedores!$A$2:$A$41,Vendedores!$C$2:$C$41,"No hay datos")</f>
        <v>San Juan de la Sierra</v>
      </c>
      <c r="I386" s="2" t="str">
        <f t="array" ref="I386">_xlfn.XLOOKUP(B386,Vendedores!$A$2:$A$41,Vendedores!$D$2:$D$41,"No hay datos")</f>
        <v>Región Central</v>
      </c>
      <c r="J386" s="2" t="str">
        <f t="array" ref="J386:N386">_xlfn.XLOOKUP(A386,Productos!$A$2:$A$61,Productos!$B$2:$F$61)</f>
        <v>Bolso de cuero</v>
      </c>
      <c r="K386" s="2" t="s">
        <v>29</v>
      </c>
      <c r="L386" s="2" t="s">
        <v>30</v>
      </c>
      <c r="M386" s="2" t="s">
        <v>100</v>
      </c>
      <c r="N386" s="2" t="s">
        <v>64</v>
      </c>
    </row>
    <row r="387">
      <c r="A387" s="2" t="str">
        <f>IFERROR(__xludf.DUMMYFUNCTION("""COMPUTED_VALUE"""),"PR012")</f>
        <v>PR012</v>
      </c>
      <c r="B387" s="2" t="str">
        <f>IFERROR(__xludf.DUMMYFUNCTION("""COMPUTED_VALUE"""),"VD047")</f>
        <v>VD047</v>
      </c>
      <c r="C387" s="2">
        <f>IFERROR(__xludf.DUMMYFUNCTION("""COMPUTED_VALUE"""),2.0)</f>
        <v>2</v>
      </c>
      <c r="D387" s="6">
        <f>IFERROR(__xludf.DUMMYFUNCTION("""COMPUTED_VALUE"""),101.71)</f>
        <v>101.71</v>
      </c>
      <c r="E387" s="6">
        <f>IFERROR(__xludf.DUMMYFUNCTION("GOOGLEFINANCE(""Currency:BRLMXN"")*D387"),345.55972499999996)</f>
        <v>345.559725</v>
      </c>
      <c r="F387" s="6">
        <f>IFERROR(__xludf.DUMMYFUNCTION("GOOGLEFINANCE(""Currency:BRLPEN"")*D387"),66.68107599999999)</f>
        <v>66.681076</v>
      </c>
      <c r="G387" s="2" t="str">
        <f t="array" ref="G387">_xlfn.XLOOKUP(B387,Vendedores!$A$2:$A$41,Vendedores!$B$2:$B$41,"No hay datos")</f>
        <v>Andrés López</v>
      </c>
      <c r="H387" s="2" t="str">
        <f t="array" ref="H387">_xlfn.XLOOKUP(B387,Vendedores!$A$2:$A$41,Vendedores!$C$2:$C$41,"No hay datos")</f>
        <v>Villa Progreso</v>
      </c>
      <c r="I387" s="2" t="str">
        <f t="array" ref="I387">_xlfn.XLOOKUP(B387,Vendedores!$A$2:$A$41,Vendedores!$D$2:$D$41,"No hay datos")</f>
        <v>Región Central 2</v>
      </c>
      <c r="J387" s="2" t="str">
        <f t="array" ref="J387:N387">_xlfn.XLOOKUP(A387,Productos!$A$2:$A$61,Productos!$B$2:$F$61)</f>
        <v>Pantalón legging</v>
      </c>
      <c r="K387" s="2" t="s">
        <v>22</v>
      </c>
      <c r="L387" s="2" t="s">
        <v>10</v>
      </c>
      <c r="M387" s="2" t="s">
        <v>88</v>
      </c>
      <c r="N387" s="2" t="s">
        <v>89</v>
      </c>
    </row>
    <row r="388">
      <c r="A388" s="2" t="str">
        <f>IFERROR(__xludf.DUMMYFUNCTION("""COMPUTED_VALUE"""),"PR039")</f>
        <v>PR039</v>
      </c>
      <c r="B388" s="2" t="str">
        <f>IFERROR(__xludf.DUMMYFUNCTION("""COMPUTED_VALUE"""),"VD042")</f>
        <v>VD042</v>
      </c>
      <c r="C388" s="2">
        <f>IFERROR(__xludf.DUMMYFUNCTION("""COMPUTED_VALUE"""),2.0)</f>
        <v>2</v>
      </c>
      <c r="D388" s="6">
        <f>IFERROR(__xludf.DUMMYFUNCTION("""COMPUTED_VALUE"""),292.0)</f>
        <v>292</v>
      </c>
      <c r="E388" s="6">
        <f>IFERROR(__xludf.DUMMYFUNCTION("GOOGLEFINANCE(""Currency:BRLMXN"")*D388"),992.0699999999999)</f>
        <v>992.07</v>
      </c>
      <c r="F388" s="6">
        <f>IFERROR(__xludf.DUMMYFUNCTION("GOOGLEFINANCE(""Currency:BRLPEN"")*D388"),191.43519999999998)</f>
        <v>191.4352</v>
      </c>
      <c r="G388" s="2" t="str">
        <f t="array" ref="G388">_xlfn.XLOOKUP(B388,Vendedores!$A$2:$A$41,Vendedores!$B$2:$B$41,"No hay datos")</f>
        <v>Priscila Duarte</v>
      </c>
      <c r="H388" s="2" t="str">
        <f t="array" ref="H388">_xlfn.XLOOKUP(B388,Vendedores!$A$2:$A$41,Vendedores!$C$2:$C$41,"No hay datos")</f>
        <v>Villa Comercial</v>
      </c>
      <c r="I388" s="2" t="str">
        <f t="array" ref="I388">_xlfn.XLOOKUP(B388,Vendedores!$A$2:$A$41,Vendedores!$D$2:$D$41,"No hay datos")</f>
        <v>Región Central 2</v>
      </c>
      <c r="J388" s="2" t="str">
        <f t="array" ref="J388:N388">_xlfn.XLOOKUP(A388,Productos!$A$2:$A$61,Productos!$B$2:$F$61)</f>
        <v>Vestido largo</v>
      </c>
      <c r="K388" s="2" t="s">
        <v>22</v>
      </c>
      <c r="L388" s="2" t="s">
        <v>10</v>
      </c>
      <c r="M388" s="2" t="s">
        <v>73</v>
      </c>
      <c r="N388" s="2" t="s">
        <v>74</v>
      </c>
    </row>
    <row r="389">
      <c r="A389" s="2" t="str">
        <f>IFERROR(__xludf.DUMMYFUNCTION("""COMPUTED_VALUE"""),"PR040")</f>
        <v>PR040</v>
      </c>
      <c r="B389" s="2" t="str">
        <f>IFERROR(__xludf.DUMMYFUNCTION("""COMPUTED_VALUE"""),"VD038")</f>
        <v>VD038</v>
      </c>
      <c r="C389" s="2">
        <f>IFERROR(__xludf.DUMMYFUNCTION("""COMPUTED_VALUE"""),2.0)</f>
        <v>2</v>
      </c>
      <c r="D389" s="6">
        <f>IFERROR(__xludf.DUMMYFUNCTION("""COMPUTED_VALUE"""),145.6)</f>
        <v>145.6</v>
      </c>
      <c r="E389" s="6">
        <f>IFERROR(__xludf.DUMMYFUNCTION("GOOGLEFINANCE(""Currency:BRLMXN"")*D389"),494.676)</f>
        <v>494.676</v>
      </c>
      <c r="F389" s="6">
        <f>IFERROR(__xludf.DUMMYFUNCTION("GOOGLEFINANCE(""Currency:BRLPEN"")*D389"),95.45535999999998)</f>
        <v>95.45536</v>
      </c>
      <c r="G389" s="2" t="str">
        <f t="array" ref="G389">_xlfn.XLOOKUP(B389,Vendedores!$A$2:$A$41,Vendedores!$B$2:$B$41,"No hay datos")</f>
        <v>Bruno Olmedo</v>
      </c>
      <c r="H389" s="2" t="str">
        <f t="array" ref="H389">_xlfn.XLOOKUP(B389,Vendedores!$A$2:$A$41,Vendedores!$C$2:$C$41,"No hay datos")</f>
        <v>Tierra Fertil</v>
      </c>
      <c r="I389" s="2" t="str">
        <f t="array" ref="I389">_xlfn.XLOOKUP(B389,Vendedores!$A$2:$A$41,Vendedores!$D$2:$D$41,"No hay datos")</f>
        <v>Región Sur 2</v>
      </c>
      <c r="J389" s="2" t="str">
        <f t="array" ref="J389:N389">_xlfn.XLOOKUP(A389,Productos!$A$2:$A$61,Productos!$B$2:$F$61)</f>
        <v>Playera confort</v>
      </c>
      <c r="K389" s="2" t="s">
        <v>9</v>
      </c>
      <c r="L389" s="2" t="s">
        <v>10</v>
      </c>
      <c r="M389" s="2" t="s">
        <v>68</v>
      </c>
      <c r="N389" s="2" t="s">
        <v>70</v>
      </c>
    </row>
    <row r="390">
      <c r="A390" s="2" t="str">
        <f>IFERROR(__xludf.DUMMYFUNCTION("""COMPUTED_VALUE"""),"PR053")</f>
        <v>PR053</v>
      </c>
      <c r="B390" s="2" t="str">
        <f>IFERROR(__xludf.DUMMYFUNCTION("""COMPUTED_VALUE"""),"VD031")</f>
        <v>VD031</v>
      </c>
      <c r="C390" s="2">
        <f>IFERROR(__xludf.DUMMYFUNCTION("""COMPUTED_VALUE"""),10.0)</f>
        <v>10</v>
      </c>
      <c r="D390" s="6">
        <f>IFERROR(__xludf.DUMMYFUNCTION("""COMPUTED_VALUE"""),523.95)</f>
        <v>523.95</v>
      </c>
      <c r="E390" s="6">
        <f>IFERROR(__xludf.DUMMYFUNCTION("GOOGLEFINANCE(""Currency:BRLMXN"")*D390"),1780.1201250000001)</f>
        <v>1780.120125</v>
      </c>
      <c r="F390" s="6">
        <f>IFERROR(__xludf.DUMMYFUNCTION("GOOGLEFINANCE(""Currency:BRLPEN"")*D390"),343.50162)</f>
        <v>343.50162</v>
      </c>
      <c r="G390" s="2" t="str">
        <f t="array" ref="G390">_xlfn.XLOOKUP(B390,Vendedores!$A$2:$A$41,Vendedores!$B$2:$B$41,"No hay datos")</f>
        <v>Vanessa Martínez</v>
      </c>
      <c r="H390" s="2" t="str">
        <f t="array" ref="H390">_xlfn.XLOOKUP(B390,Vendedores!$A$2:$A$41,Vendedores!$C$2:$C$41,"No hay datos")</f>
        <v>Monte Verde</v>
      </c>
      <c r="I390" s="2" t="str">
        <f t="array" ref="I390">_xlfn.XLOOKUP(B390,Vendedores!$A$2:$A$41,Vendedores!$D$2:$D$41,"No hay datos")</f>
        <v>Región Central 2</v>
      </c>
      <c r="J390" s="2" t="str">
        <f t="array" ref="J390:N390">_xlfn.XLOOKUP(A390,Productos!$A$2:$A$61,Productos!$B$2:$F$61)</f>
        <v>Falda plisada</v>
      </c>
      <c r="K390" s="2" t="s">
        <v>17</v>
      </c>
      <c r="L390" s="2" t="s">
        <v>10</v>
      </c>
      <c r="M390" s="2" t="s">
        <v>41</v>
      </c>
      <c r="N390" s="2" t="s">
        <v>32</v>
      </c>
    </row>
    <row r="391">
      <c r="A391" s="2" t="str">
        <f>IFERROR(__xludf.DUMMYFUNCTION("""COMPUTED_VALUE"""),"PR033")</f>
        <v>PR033</v>
      </c>
      <c r="B391" s="2" t="str">
        <f>IFERROR(__xludf.DUMMYFUNCTION("""COMPUTED_VALUE"""),"VD030")</f>
        <v>VD030</v>
      </c>
      <c r="C391" s="2">
        <f>IFERROR(__xludf.DUMMYFUNCTION("""COMPUTED_VALUE"""),10.0)</f>
        <v>10</v>
      </c>
      <c r="D391" s="6">
        <f>IFERROR(__xludf.DUMMYFUNCTION("""COMPUTED_VALUE"""),2858.9)</f>
        <v>2858.9</v>
      </c>
      <c r="E391" s="6">
        <f>IFERROR(__xludf.DUMMYFUNCTION("GOOGLEFINANCE(""Currency:BRLMXN"")*D391"),9713.11275)</f>
        <v>9713.11275</v>
      </c>
      <c r="F391" s="6">
        <f>IFERROR(__xludf.DUMMYFUNCTION("GOOGLEFINANCE(""Currency:BRLPEN"")*D391"),1874.29484)</f>
        <v>1874.29484</v>
      </c>
      <c r="G391" s="2" t="str">
        <f t="array" ref="G391">_xlfn.XLOOKUP(B391,Vendedores!$A$2:$A$41,Vendedores!$B$2:$B$41,"No hay datos")</f>
        <v>Leonardo Rojas</v>
      </c>
      <c r="H391" s="2" t="str">
        <f t="array" ref="H391">_xlfn.XLOOKUP(B391,Vendedores!$A$2:$A$41,Vendedores!$C$2:$C$41,"No hay datos")</f>
        <v>Villa del Sol</v>
      </c>
      <c r="I391" s="2" t="str">
        <f t="array" ref="I391">_xlfn.XLOOKUP(B391,Vendedores!$A$2:$A$41,Vendedores!$D$2:$D$41,"No hay datos")</f>
        <v>Región Central 2</v>
      </c>
      <c r="J391" s="2" t="str">
        <f t="array" ref="J391:N391">_xlfn.XLOOKUP(A391,Productos!$A$2:$A$61,Productos!$B$2:$F$61)</f>
        <v>Tenis Chunky</v>
      </c>
      <c r="K391" s="2">
        <v>38.0</v>
      </c>
      <c r="L391" s="2" t="s">
        <v>33</v>
      </c>
      <c r="M391" s="2" t="s">
        <v>63</v>
      </c>
      <c r="N391" s="2" t="s">
        <v>64</v>
      </c>
    </row>
    <row r="392">
      <c r="A392" s="2" t="str">
        <f>IFERROR(__xludf.DUMMYFUNCTION("""COMPUTED_VALUE"""),"PR045")</f>
        <v>PR045</v>
      </c>
      <c r="B392" s="2" t="str">
        <f>IFERROR(__xludf.DUMMYFUNCTION("""COMPUTED_VALUE"""),"VD026")</f>
        <v>VD026</v>
      </c>
      <c r="C392" s="2">
        <f>IFERROR(__xludf.DUMMYFUNCTION("""COMPUTED_VALUE"""),12.0)</f>
        <v>12</v>
      </c>
      <c r="D392" s="6">
        <f>IFERROR(__xludf.DUMMYFUNCTION("""COMPUTED_VALUE"""),913.5)</f>
        <v>913.5</v>
      </c>
      <c r="E392" s="6">
        <f>IFERROR(__xludf.DUMMYFUNCTION("GOOGLEFINANCE(""Currency:BRLMXN"")*D392"),3103.61625)</f>
        <v>3103.61625</v>
      </c>
      <c r="F392" s="6">
        <f>IFERROR(__xludf.DUMMYFUNCTION("GOOGLEFINANCE(""Currency:BRLPEN"")*D392"),598.8906)</f>
        <v>598.8906</v>
      </c>
      <c r="G392" s="2" t="str">
        <f t="array" ref="G392">_xlfn.XLOOKUP(B392,Vendedores!$A$2:$A$41,Vendedores!$B$2:$B$41,"No hay datos")</f>
        <v>Daniel Fernández</v>
      </c>
      <c r="H392" s="2" t="str">
        <f t="array" ref="H392">_xlfn.XLOOKUP(B392,Vendedores!$A$2:$A$41,Vendedores!$C$2:$C$41,"No hay datos")</f>
        <v>Puerto Esperanza</v>
      </c>
      <c r="I392" s="2" t="str">
        <f t="array" ref="I392">_xlfn.XLOOKUP(B392,Vendedores!$A$2:$A$41,Vendedores!$D$2:$D$41,"No hay datos")</f>
        <v>Región Sur</v>
      </c>
      <c r="J392" s="2" t="str">
        <f t="array" ref="J392:N392">_xlfn.XLOOKUP(A392,Productos!$A$2:$A$61,Productos!$B$2:$F$61)</f>
        <v>Vestido floral</v>
      </c>
      <c r="K392" s="2" t="s">
        <v>22</v>
      </c>
      <c r="L392" s="2" t="s">
        <v>10</v>
      </c>
      <c r="M392" s="2" t="s">
        <v>39</v>
      </c>
      <c r="N392" s="2" t="s">
        <v>40</v>
      </c>
    </row>
    <row r="393">
      <c r="A393" s="2" t="str">
        <f>IFERROR(__xludf.DUMMYFUNCTION("""COMPUTED_VALUE"""),"PR012")</f>
        <v>PR012</v>
      </c>
      <c r="B393" s="2" t="str">
        <f>IFERROR(__xludf.DUMMYFUNCTION("""COMPUTED_VALUE"""),"VD042")</f>
        <v>VD042</v>
      </c>
      <c r="C393" s="2">
        <f>IFERROR(__xludf.DUMMYFUNCTION("""COMPUTED_VALUE"""),10.0)</f>
        <v>10</v>
      </c>
      <c r="D393" s="6">
        <f>IFERROR(__xludf.DUMMYFUNCTION("""COMPUTED_VALUE"""),498.78)</f>
        <v>498.78</v>
      </c>
      <c r="E393" s="6">
        <f>IFERROR(__xludf.DUMMYFUNCTION("GOOGLEFINANCE(""Currency:BRLMXN"")*D393"),1694.60505)</f>
        <v>1694.60505</v>
      </c>
      <c r="F393" s="6">
        <f>IFERROR(__xludf.DUMMYFUNCTION("GOOGLEFINANCE(""Currency:BRLPEN"")*D393"),327.000168)</f>
        <v>327.000168</v>
      </c>
      <c r="G393" s="2" t="str">
        <f t="array" ref="G393">_xlfn.XLOOKUP(B393,Vendedores!$A$2:$A$41,Vendedores!$B$2:$B$41,"No hay datos")</f>
        <v>Priscila Duarte</v>
      </c>
      <c r="H393" s="2" t="str">
        <f t="array" ref="H393">_xlfn.XLOOKUP(B393,Vendedores!$A$2:$A$41,Vendedores!$C$2:$C$41,"No hay datos")</f>
        <v>Villa Comercial</v>
      </c>
      <c r="I393" s="2" t="str">
        <f t="array" ref="I393">_xlfn.XLOOKUP(B393,Vendedores!$A$2:$A$41,Vendedores!$D$2:$D$41,"No hay datos")</f>
        <v>Región Central 2</v>
      </c>
      <c r="J393" s="2" t="str">
        <f t="array" ref="J393:N393">_xlfn.XLOOKUP(A393,Productos!$A$2:$A$61,Productos!$B$2:$F$61)</f>
        <v>Pantalón legging</v>
      </c>
      <c r="K393" s="2" t="s">
        <v>22</v>
      </c>
      <c r="L393" s="2" t="s">
        <v>10</v>
      </c>
      <c r="M393" s="2" t="s">
        <v>88</v>
      </c>
      <c r="N393" s="2" t="s">
        <v>89</v>
      </c>
    </row>
    <row r="394">
      <c r="A394" s="2" t="str">
        <f>IFERROR(__xludf.DUMMYFUNCTION("""COMPUTED_VALUE"""),"PR002")</f>
        <v>PR002</v>
      </c>
      <c r="B394" s="2" t="str">
        <f>IFERROR(__xludf.DUMMYFUNCTION("""COMPUTED_VALUE"""),"VD037")</f>
        <v>VD037</v>
      </c>
      <c r="C394" s="2">
        <f>IFERROR(__xludf.DUMMYFUNCTION("""COMPUTED_VALUE"""),3.0)</f>
        <v>3</v>
      </c>
      <c r="D394" s="6">
        <f>IFERROR(__xludf.DUMMYFUNCTION("""COMPUTED_VALUE"""),215.99)</f>
        <v>215.99</v>
      </c>
      <c r="E394" s="6">
        <f>IFERROR(__xludf.DUMMYFUNCTION("GOOGLEFINANCE(""Currency:BRLMXN"")*D394"),733.8260250000001)</f>
        <v>733.826025</v>
      </c>
      <c r="F394" s="6">
        <f>IFERROR(__xludf.DUMMYFUNCTION("GOOGLEFINANCE(""Currency:BRLPEN"")*D394"),141.603044)</f>
        <v>141.603044</v>
      </c>
      <c r="G394" s="2" t="str">
        <f t="array" ref="G394">_xlfn.XLOOKUP(B394,Vendedores!$A$2:$A$41,Vendedores!$B$2:$B$41,"No hay datos")</f>
        <v>Amanda Silva</v>
      </c>
      <c r="H394" s="2" t="str">
        <f t="array" ref="H394">_xlfn.XLOOKUP(B394,Vendedores!$A$2:$A$41,Vendedores!$C$2:$C$41,"No hay datos")</f>
        <v>Villa Esperanza</v>
      </c>
      <c r="I394" s="2" t="str">
        <f t="array" ref="I394">_xlfn.XLOOKUP(B394,Vendedores!$A$2:$A$41,Vendedores!$D$2:$D$41,"No hay datos")</f>
        <v>Región Sur 2</v>
      </c>
      <c r="J394" s="2" t="str">
        <f t="array" ref="J394:N394">_xlfn.XLOOKUP(A394,Productos!$A$2:$A$61,Productos!$B$2:$F$61)</f>
        <v>Bermuda</v>
      </c>
      <c r="K394" s="2" t="s">
        <v>17</v>
      </c>
      <c r="L394" s="2" t="s">
        <v>10</v>
      </c>
      <c r="M394" s="2" t="s">
        <v>49</v>
      </c>
      <c r="N394" s="2" t="s">
        <v>50</v>
      </c>
    </row>
    <row r="395">
      <c r="A395" s="2" t="str">
        <f>IFERROR(__xludf.DUMMYFUNCTION("""COMPUTED_VALUE"""),"PR024")</f>
        <v>PR024</v>
      </c>
      <c r="B395" s="2" t="str">
        <f>IFERROR(__xludf.DUMMYFUNCTION("""COMPUTED_VALUE"""),"VD023")</f>
        <v>VD023</v>
      </c>
      <c r="C395" s="2">
        <f>IFERROR(__xludf.DUMMYFUNCTION("""COMPUTED_VALUE"""),9.0)</f>
        <v>9</v>
      </c>
      <c r="D395" s="6">
        <f>IFERROR(__xludf.DUMMYFUNCTION("""COMPUTED_VALUE"""),2549.62)</f>
        <v>2549.62</v>
      </c>
      <c r="E395" s="6">
        <f>IFERROR(__xludf.DUMMYFUNCTION("GOOGLEFINANCE(""Currency:BRLMXN"")*D395"),8662.33395)</f>
        <v>8662.33395</v>
      </c>
      <c r="F395" s="6">
        <f>IFERROR(__xludf.DUMMYFUNCTION("GOOGLEFINANCE(""Currency:BRLPEN"")*D395"),1671.5308719999998)</f>
        <v>1671.530872</v>
      </c>
      <c r="G395" s="2" t="str">
        <f t="array" ref="G395">_xlfn.XLOOKUP(B395,Vendedores!$A$2:$A$41,Vendedores!$B$2:$B$41,"No hay datos")</f>
        <v>Juliana Castro</v>
      </c>
      <c r="H395" s="2" t="str">
        <f t="array" ref="H395">_xlfn.XLOOKUP(B395,Vendedores!$A$2:$A$41,Vendedores!$C$2:$C$41,"No hay datos")</f>
        <v>San Miguel de los Pinos</v>
      </c>
      <c r="I395" s="2" t="str">
        <f t="array" ref="I395">_xlfn.XLOOKUP(B395,Vendedores!$A$2:$A$41,Vendedores!$D$2:$D$41,"No hay datos")</f>
        <v>Región Sur</v>
      </c>
      <c r="J395" s="2" t="str">
        <f t="array" ref="J395:N395">_xlfn.XLOOKUP(A395,Productos!$A$2:$A$61,Productos!$B$2:$F$61)</f>
        <v>Chaqueta de mezclilla</v>
      </c>
      <c r="K395" s="2" t="s">
        <v>17</v>
      </c>
      <c r="L395" s="2" t="s">
        <v>10</v>
      </c>
      <c r="M395" s="2" t="s">
        <v>92</v>
      </c>
      <c r="N395" s="2" t="s">
        <v>64</v>
      </c>
    </row>
    <row r="396">
      <c r="A396" s="2" t="str">
        <f>IFERROR(__xludf.DUMMYFUNCTION("""COMPUTED_VALUE"""),"PR039")</f>
        <v>PR039</v>
      </c>
      <c r="B396" s="2" t="str">
        <f>IFERROR(__xludf.DUMMYFUNCTION("""COMPUTED_VALUE"""),"VD028")</f>
        <v>VD028</v>
      </c>
      <c r="C396" s="2">
        <f>IFERROR(__xludf.DUMMYFUNCTION("""COMPUTED_VALUE"""),4.0)</f>
        <v>4</v>
      </c>
      <c r="D396" s="6">
        <f>IFERROR(__xludf.DUMMYFUNCTION("""COMPUTED_VALUE"""),601.52)</f>
        <v>601.52</v>
      </c>
      <c r="E396" s="6">
        <f>IFERROR(__xludf.DUMMYFUNCTION("GOOGLEFINANCE(""Currency:BRLMXN"")*D396"),2043.6642)</f>
        <v>2043.6642</v>
      </c>
      <c r="F396" s="6">
        <f>IFERROR(__xludf.DUMMYFUNCTION("GOOGLEFINANCE(""Currency:BRLPEN"")*D396"),394.35651199999995)</f>
        <v>394.356512</v>
      </c>
      <c r="G396" s="2" t="str">
        <f t="array" ref="G396">_xlfn.XLOOKUP(B396,Vendedores!$A$2:$A$41,Vendedores!$B$2:$B$41,"No hay datos")</f>
        <v>Rodrigo Almonte</v>
      </c>
      <c r="H396" s="2" t="str">
        <f t="array" ref="H396">_xlfn.XLOOKUP(B396,Vendedores!$A$2:$A$41,Vendedores!$C$2:$C$41,"No hay datos")</f>
        <v>Valle Escondido</v>
      </c>
      <c r="I396" s="2" t="str">
        <f t="array" ref="I396">_xlfn.XLOOKUP(B396,Vendedores!$A$2:$A$41,Vendedores!$D$2:$D$41,"No hay datos")</f>
        <v>Región Andina</v>
      </c>
      <c r="J396" s="2" t="str">
        <f t="array" ref="J396:N396">_xlfn.XLOOKUP(A396,Productos!$A$2:$A$61,Productos!$B$2:$F$61)</f>
        <v>Vestido largo</v>
      </c>
      <c r="K396" s="2" t="s">
        <v>22</v>
      </c>
      <c r="L396" s="2" t="s">
        <v>10</v>
      </c>
      <c r="M396" s="2" t="s">
        <v>73</v>
      </c>
      <c r="N396" s="2" t="s">
        <v>74</v>
      </c>
    </row>
    <row r="397">
      <c r="A397" s="2" t="str">
        <f>IFERROR(__xludf.DUMMYFUNCTION("""COMPUTED_VALUE"""),"PR058")</f>
        <v>PR058</v>
      </c>
      <c r="B397" s="2" t="str">
        <f>IFERROR(__xludf.DUMMYFUNCTION("""COMPUTED_VALUE"""),"VD028")</f>
        <v>VD028</v>
      </c>
      <c r="C397" s="2">
        <f>IFERROR(__xludf.DUMMYFUNCTION("""COMPUTED_VALUE"""),3.0)</f>
        <v>3</v>
      </c>
      <c r="D397" s="6">
        <f>IFERROR(__xludf.DUMMYFUNCTION("""COMPUTED_VALUE"""),594.0)</f>
        <v>594</v>
      </c>
      <c r="E397" s="6">
        <f>IFERROR(__xludf.DUMMYFUNCTION("GOOGLEFINANCE(""Currency:BRLMXN"")*D397"),2018.115)</f>
        <v>2018.115</v>
      </c>
      <c r="F397" s="6">
        <f>IFERROR(__xludf.DUMMYFUNCTION("GOOGLEFINANCE(""Currency:BRLPEN"")*D397"),389.4264)</f>
        <v>389.4264</v>
      </c>
      <c r="G397" s="2" t="str">
        <f t="array" ref="G397">_xlfn.XLOOKUP(B397,Vendedores!$A$2:$A$41,Vendedores!$B$2:$B$41,"No hay datos")</f>
        <v>Rodrigo Almonte</v>
      </c>
      <c r="H397" s="2" t="str">
        <f t="array" ref="H397">_xlfn.XLOOKUP(B397,Vendedores!$A$2:$A$41,Vendedores!$C$2:$C$41,"No hay datos")</f>
        <v>Valle Escondido</v>
      </c>
      <c r="I397" s="2" t="str">
        <f t="array" ref="I397">_xlfn.XLOOKUP(B397,Vendedores!$A$2:$A$41,Vendedores!$D$2:$D$41,"No hay datos")</f>
        <v>Región Andina</v>
      </c>
      <c r="J397" s="2" t="str">
        <f t="array" ref="J397:N397">_xlfn.XLOOKUP(A397,Productos!$A$2:$A$61,Productos!$B$2:$F$61)</f>
        <v>Pantalón de sastre</v>
      </c>
      <c r="K397" s="2" t="s">
        <v>9</v>
      </c>
      <c r="L397" s="2" t="s">
        <v>10</v>
      </c>
      <c r="M397" s="2" t="s">
        <v>13</v>
      </c>
      <c r="N397" s="2" t="s">
        <v>14</v>
      </c>
    </row>
    <row r="398">
      <c r="A398" s="2" t="str">
        <f>IFERROR(__xludf.DUMMYFUNCTION("""COMPUTED_VALUE"""),"PR027")</f>
        <v>PR027</v>
      </c>
      <c r="B398" s="2" t="str">
        <f>IFERROR(__xludf.DUMMYFUNCTION("""COMPUTED_VALUE"""),"VD040")</f>
        <v>VD040</v>
      </c>
      <c r="C398" s="2">
        <f>IFERROR(__xludf.DUMMYFUNCTION("""COMPUTED_VALUE"""),14.0)</f>
        <v>14</v>
      </c>
      <c r="D398" s="6">
        <f>IFERROR(__xludf.DUMMYFUNCTION("""COMPUTED_VALUE"""),1730.4)</f>
        <v>1730.4</v>
      </c>
      <c r="E398" s="6">
        <f>IFERROR(__xludf.DUMMYFUNCTION("GOOGLEFINANCE(""Currency:BRLMXN"")*D398"),5879.034000000001)</f>
        <v>5879.034</v>
      </c>
      <c r="F398" s="6">
        <f>IFERROR(__xludf.DUMMYFUNCTION("GOOGLEFINANCE(""Currency:BRLPEN"")*D398"),1134.45024)</f>
        <v>1134.45024</v>
      </c>
      <c r="G398" s="2" t="str">
        <f t="array" ref="G398">_xlfn.XLOOKUP(B398,Vendedores!$A$2:$A$41,Vendedores!$B$2:$B$41,"No hay datos")</f>
        <v>Tatiana Montero</v>
      </c>
      <c r="H398" s="2" t="str">
        <f t="array" ref="H398">_xlfn.XLOOKUP(B398,Vendedores!$A$2:$A$41,Vendedores!$C$2:$C$41,"No hay datos")</f>
        <v>Ciudad Industrial</v>
      </c>
      <c r="I398" s="2" t="str">
        <f t="array" ref="I398">_xlfn.XLOOKUP(B398,Vendedores!$A$2:$A$41,Vendedores!$D$2:$D$41,"No hay datos")</f>
        <v>Región Central 2</v>
      </c>
      <c r="J398" s="2" t="str">
        <f t="array" ref="J398:N398">_xlfn.XLOOKUP(A398,Productos!$A$2:$A$61,Productos!$B$2:$F$61)</f>
        <v>Gafas redondas</v>
      </c>
      <c r="K398" s="2" t="s">
        <v>29</v>
      </c>
      <c r="L398" s="2" t="s">
        <v>30</v>
      </c>
      <c r="M398" s="2" t="s">
        <v>53</v>
      </c>
      <c r="N398" s="2" t="s">
        <v>54</v>
      </c>
    </row>
    <row r="399">
      <c r="A399" s="2" t="str">
        <f>IFERROR(__xludf.DUMMYFUNCTION("""COMPUTED_VALUE"""),"PR003")</f>
        <v>PR003</v>
      </c>
      <c r="B399" s="2" t="str">
        <f>IFERROR(__xludf.DUMMYFUNCTION("""COMPUTED_VALUE"""),"VD029")</f>
        <v>VD029</v>
      </c>
      <c r="C399" s="2">
        <f>IFERROR(__xludf.DUMMYFUNCTION("""COMPUTED_VALUE"""),24.0)</f>
        <v>24</v>
      </c>
      <c r="D399" s="6">
        <f>IFERROR(__xludf.DUMMYFUNCTION("""COMPUTED_VALUE"""),1769.66)</f>
        <v>1769.66</v>
      </c>
      <c r="E399" s="6">
        <f>IFERROR(__xludf.DUMMYFUNCTION("GOOGLEFINANCE(""Currency:BRLMXN"")*D399"),6012.41985)</f>
        <v>6012.41985</v>
      </c>
      <c r="F399" s="6">
        <f>IFERROR(__xludf.DUMMYFUNCTION("GOOGLEFINANCE(""Currency:BRLPEN"")*D399"),1160.189096)</f>
        <v>1160.189096</v>
      </c>
      <c r="G399" s="2" t="str">
        <f t="array" ref="G399">_xlfn.XLOOKUP(B399,Vendedores!$A$2:$A$41,Vendedores!$B$2:$B$41,"No hay datos")</f>
        <v>Gabriela Sosa</v>
      </c>
      <c r="H399" s="2" t="str">
        <f t="array" ref="H399">_xlfn.XLOOKUP(B399,Vendedores!$A$2:$A$41,Vendedores!$C$2:$C$41,"No hay datos")</f>
        <v>Selva Verde</v>
      </c>
      <c r="I399" s="2" t="str">
        <f t="array" ref="I399">_xlfn.XLOOKUP(B399,Vendedores!$A$2:$A$41,Vendedores!$D$2:$D$41,"No hay datos")</f>
        <v>Región Amazónica</v>
      </c>
      <c r="J399" s="2" t="str">
        <f t="array" ref="J399:N399">_xlfn.XLOOKUP(A399,Productos!$A$2:$A$61,Productos!$B$2:$F$61)</f>
        <v>Bermuda</v>
      </c>
      <c r="K399" s="2" t="s">
        <v>22</v>
      </c>
      <c r="L399" s="2" t="s">
        <v>10</v>
      </c>
      <c r="M399" s="2" t="s">
        <v>45</v>
      </c>
      <c r="N399" s="2" t="s">
        <v>46</v>
      </c>
    </row>
    <row r="400">
      <c r="A400" s="2" t="str">
        <f>IFERROR(__xludf.DUMMYFUNCTION("""COMPUTED_VALUE"""),"PR032")</f>
        <v>PR032</v>
      </c>
      <c r="B400" s="2" t="str">
        <f>IFERROR(__xludf.DUMMYFUNCTION("""COMPUTED_VALUE"""),"VD016")</f>
        <v>VD016</v>
      </c>
      <c r="C400" s="2">
        <f>IFERROR(__xludf.DUMMYFUNCTION("""COMPUTED_VALUE"""),4.0)</f>
        <v>4</v>
      </c>
      <c r="D400" s="6">
        <f>IFERROR(__xludf.DUMMYFUNCTION("""COMPUTED_VALUE"""),1060.0)</f>
        <v>1060</v>
      </c>
      <c r="E400" s="6">
        <f>IFERROR(__xludf.DUMMYFUNCTION("GOOGLEFINANCE(""Currency:BRLMXN"")*D400"),3601.35)</f>
        <v>3601.35</v>
      </c>
      <c r="F400" s="6">
        <f>IFERROR(__xludf.DUMMYFUNCTION("GOOGLEFINANCE(""Currency:BRLPEN"")*D400"),694.9359999999999)</f>
        <v>694.936</v>
      </c>
      <c r="G400" s="2" t="str">
        <f t="array" ref="G400">_xlfn.XLOOKUP(B400,Vendedores!$A$2:$A$41,Vendedores!$B$2:$B$41,"No hay datos")</f>
        <v>Beatriz Linares</v>
      </c>
      <c r="H400" s="2" t="str">
        <f t="array" ref="H400">_xlfn.XLOOKUP(B400,Vendedores!$A$2:$A$41,Vendedores!$C$2:$C$41,"No hay datos")</f>
        <v>Puerto Esperanza</v>
      </c>
      <c r="I400" s="2" t="str">
        <f t="array" ref="I400">_xlfn.XLOOKUP(B400,Vendedores!$A$2:$A$41,Vendedores!$D$2:$D$41,"No hay datos")</f>
        <v>Región Sur</v>
      </c>
      <c r="J400" s="2" t="str">
        <f t="array" ref="J400:N400">_xlfn.XLOOKUP(A400,Productos!$A$2:$A$61,Productos!$B$2:$F$61)</f>
        <v>Tenis Chunky</v>
      </c>
      <c r="K400" s="2">
        <v>37.0</v>
      </c>
      <c r="L400" s="2" t="s">
        <v>33</v>
      </c>
      <c r="M400" s="2" t="s">
        <v>61</v>
      </c>
      <c r="N400" s="2" t="s">
        <v>62</v>
      </c>
    </row>
    <row r="401">
      <c r="A401" s="2" t="str">
        <f>IFERROR(__xludf.DUMMYFUNCTION("""COMPUTED_VALUE"""),"PR049")</f>
        <v>PR049</v>
      </c>
      <c r="B401" s="2" t="str">
        <f>IFERROR(__xludf.DUMMYFUNCTION("""COMPUTED_VALUE"""),"VD015")</f>
        <v>VD015</v>
      </c>
      <c r="C401" s="2">
        <f>IFERROR(__xludf.DUMMYFUNCTION("""COMPUTED_VALUE"""),12.0)</f>
        <v>12</v>
      </c>
      <c r="D401" s="6">
        <f>IFERROR(__xludf.DUMMYFUNCTION("""COMPUTED_VALUE"""),406.64)</f>
        <v>406.64</v>
      </c>
      <c r="E401" s="6">
        <f>IFERROR(__xludf.DUMMYFUNCTION("GOOGLEFINANCE(""Currency:BRLMXN"")*D401"),1381.5593999999999)</f>
        <v>1381.5594</v>
      </c>
      <c r="F401" s="6">
        <f>IFERROR(__xludf.DUMMYFUNCTION("GOOGLEFINANCE(""Currency:BRLPEN"")*D401"),266.59318399999995)</f>
        <v>266.593184</v>
      </c>
      <c r="G401" s="2" t="str">
        <f t="array" ref="G401">_xlfn.XLOOKUP(B401,Vendedores!$A$2:$A$41,Vendedores!$B$2:$B$41,"No hay datos")</f>
        <v>Lucas Castillo</v>
      </c>
      <c r="H401" s="2" t="str">
        <f t="array" ref="H401">_xlfn.XLOOKUP(B401,Vendedores!$A$2:$A$41,Vendedores!$C$2:$C$41,"No hay datos")</f>
        <v>San Miguel de los Pinos</v>
      </c>
      <c r="I401" s="2" t="str">
        <f t="array" ref="I401">_xlfn.XLOOKUP(B401,Vendedores!$A$2:$A$41,Vendedores!$D$2:$D$41,"No hay datos")</f>
        <v>Región Sur</v>
      </c>
      <c r="J401" s="2" t="str">
        <f t="array" ref="J401:N401">_xlfn.XLOOKUP(A401,Productos!$A$2:$A$61,Productos!$B$2:$F$61)</f>
        <v>Playera a rayas</v>
      </c>
      <c r="K401" s="2" t="s">
        <v>9</v>
      </c>
      <c r="L401" s="2" t="s">
        <v>10</v>
      </c>
      <c r="M401" s="2" t="s">
        <v>47</v>
      </c>
      <c r="N401" s="2" t="s">
        <v>24</v>
      </c>
    </row>
    <row r="402">
      <c r="A402" s="2" t="str">
        <f>IFERROR(__xludf.DUMMYFUNCTION("""COMPUTED_VALUE"""),"PR011")</f>
        <v>PR011</v>
      </c>
      <c r="B402" s="2" t="str">
        <f>IFERROR(__xludf.DUMMYFUNCTION("""COMPUTED_VALUE"""),"VD016")</f>
        <v>VD016</v>
      </c>
      <c r="C402" s="2">
        <f>IFERROR(__xludf.DUMMYFUNCTION("""COMPUTED_VALUE"""),18.0)</f>
        <v>18</v>
      </c>
      <c r="D402" s="6">
        <f>IFERROR(__xludf.DUMMYFUNCTION("""COMPUTED_VALUE"""),903.29)</f>
        <v>903.29</v>
      </c>
      <c r="E402" s="6">
        <f>IFERROR(__xludf.DUMMYFUNCTION("GOOGLEFINANCE(""Currency:BRLMXN"")*D402"),3068.9277749999997)</f>
        <v>3068.927775</v>
      </c>
      <c r="F402" s="6">
        <f>IFERROR(__xludf.DUMMYFUNCTION("GOOGLEFINANCE(""Currency:BRLPEN"")*D402"),592.196924)</f>
        <v>592.196924</v>
      </c>
      <c r="G402" s="2" t="str">
        <f t="array" ref="G402">_xlfn.XLOOKUP(B402,Vendedores!$A$2:$A$41,Vendedores!$B$2:$B$41,"No hay datos")</f>
        <v>Beatriz Linares</v>
      </c>
      <c r="H402" s="2" t="str">
        <f t="array" ref="H402">_xlfn.XLOOKUP(B402,Vendedores!$A$2:$A$41,Vendedores!$C$2:$C$41,"No hay datos")</f>
        <v>Puerto Esperanza</v>
      </c>
      <c r="I402" s="2" t="str">
        <f t="array" ref="I402">_xlfn.XLOOKUP(B402,Vendedores!$A$2:$A$41,Vendedores!$D$2:$D$41,"No hay datos")</f>
        <v>Región Sur</v>
      </c>
      <c r="J402" s="2" t="str">
        <f t="array" ref="J402:N402">_xlfn.XLOOKUP(A402,Productos!$A$2:$A$61,Productos!$B$2:$F$61)</f>
        <v>Pantalón legging</v>
      </c>
      <c r="K402" s="2" t="s">
        <v>17</v>
      </c>
      <c r="L402" s="2" t="s">
        <v>10</v>
      </c>
      <c r="M402" s="2" t="s">
        <v>67</v>
      </c>
      <c r="N402" s="2" t="s">
        <v>68</v>
      </c>
    </row>
    <row r="403">
      <c r="A403" s="2" t="str">
        <f>IFERROR(__xludf.DUMMYFUNCTION("""COMPUTED_VALUE"""),"PR015")</f>
        <v>PR015</v>
      </c>
      <c r="B403" s="2" t="str">
        <f>IFERROR(__xludf.DUMMYFUNCTION("""COMPUTED_VALUE"""),"VD028")</f>
        <v>VD028</v>
      </c>
      <c r="C403" s="2">
        <f>IFERROR(__xludf.DUMMYFUNCTION("""COMPUTED_VALUE"""),1.0)</f>
        <v>1</v>
      </c>
      <c r="D403" s="6">
        <f>IFERROR(__xludf.DUMMYFUNCTION("""COMPUTED_VALUE"""),42.93)</f>
        <v>42.93</v>
      </c>
      <c r="E403" s="6">
        <f>IFERROR(__xludf.DUMMYFUNCTION("GOOGLEFINANCE(""Currency:BRLMXN"")*D403"),145.854675)</f>
        <v>145.854675</v>
      </c>
      <c r="F403" s="6">
        <f>IFERROR(__xludf.DUMMYFUNCTION("GOOGLEFINANCE(""Currency:BRLPEN"")*D403"),28.144907999999997)</f>
        <v>28.144908</v>
      </c>
      <c r="G403" s="2" t="str">
        <f t="array" ref="G403">_xlfn.XLOOKUP(B403,Vendedores!$A$2:$A$41,Vendedores!$B$2:$B$41,"No hay datos")</f>
        <v>Rodrigo Almonte</v>
      </c>
      <c r="H403" s="2" t="str">
        <f t="array" ref="H403">_xlfn.XLOOKUP(B403,Vendedores!$A$2:$A$41,Vendedores!$C$2:$C$41,"No hay datos")</f>
        <v>Valle Escondido</v>
      </c>
      <c r="I403" s="2" t="str">
        <f t="array" ref="I403">_xlfn.XLOOKUP(B403,Vendedores!$A$2:$A$41,Vendedores!$D$2:$D$41,"No hay datos")</f>
        <v>Región Andina</v>
      </c>
      <c r="J403" s="2" t="str">
        <f t="array" ref="J403:N403">_xlfn.XLOOKUP(A403,Productos!$A$2:$A$61,Productos!$B$2:$F$61)</f>
        <v>Playera estampada</v>
      </c>
      <c r="K403" s="2" t="s">
        <v>22</v>
      </c>
      <c r="L403" s="2" t="s">
        <v>10</v>
      </c>
      <c r="M403" s="2" t="s">
        <v>101</v>
      </c>
      <c r="N403" s="2" t="s">
        <v>102</v>
      </c>
    </row>
    <row r="404">
      <c r="A404" s="2" t="str">
        <f>IFERROR(__xludf.DUMMYFUNCTION("""COMPUTED_VALUE"""),"PR025")</f>
        <v>PR025</v>
      </c>
      <c r="B404" s="2" t="str">
        <f>IFERROR(__xludf.DUMMYFUNCTION("""COMPUTED_VALUE"""),"VD025")</f>
        <v>VD025</v>
      </c>
      <c r="C404" s="2">
        <f>IFERROR(__xludf.DUMMYFUNCTION("""COMPUTED_VALUE"""),16.0)</f>
        <v>16</v>
      </c>
      <c r="D404" s="6">
        <f>IFERROR(__xludf.DUMMYFUNCTION("""COMPUTED_VALUE"""),4942.35)</f>
        <v>4942.35</v>
      </c>
      <c r="E404" s="6">
        <f>IFERROR(__xludf.DUMMYFUNCTION("GOOGLEFINANCE(""Currency:BRLMXN"")*D404"),16791.634125)</f>
        <v>16791.63413</v>
      </c>
      <c r="F404" s="6">
        <f>IFERROR(__xludf.DUMMYFUNCTION("GOOGLEFINANCE(""Currency:BRLPEN"")*D404"),3240.20466)</f>
        <v>3240.20466</v>
      </c>
      <c r="G404" s="2" t="str">
        <f t="array" ref="G404">_xlfn.XLOOKUP(B404,Vendedores!$A$2:$A$41,Vendedores!$B$2:$B$41,"No hay datos")</f>
        <v>Alina Santana</v>
      </c>
      <c r="H404" s="2" t="str">
        <f t="array" ref="H404">_xlfn.XLOOKUP(B404,Vendedores!$A$2:$A$41,Vendedores!$C$2:$C$41,"No hay datos")</f>
        <v>Playa Blanca</v>
      </c>
      <c r="I404" s="2" t="str">
        <f t="array" ref="I404">_xlfn.XLOOKUP(B404,Vendedores!$A$2:$A$41,Vendedores!$D$2:$D$41,"No hay datos")</f>
        <v>Región Norte</v>
      </c>
      <c r="J404" s="2" t="str">
        <f t="array" ref="J404:N404">_xlfn.XLOOKUP(A404,Productos!$A$2:$A$61,Productos!$B$2:$F$61)</f>
        <v>Chaqueta de mezclilla</v>
      </c>
      <c r="K404" s="2" t="s">
        <v>22</v>
      </c>
      <c r="L404" s="2" t="s">
        <v>10</v>
      </c>
      <c r="M404" s="2" t="s">
        <v>107</v>
      </c>
      <c r="N404" s="2" t="s">
        <v>16</v>
      </c>
    </row>
    <row r="405">
      <c r="A405" s="2" t="str">
        <f>IFERROR(__xludf.DUMMYFUNCTION("""COMPUTED_VALUE"""),"PR023")</f>
        <v>PR023</v>
      </c>
      <c r="B405" s="2" t="str">
        <f>IFERROR(__xludf.DUMMYFUNCTION("""COMPUTED_VALUE"""),"VD047")</f>
        <v>VD047</v>
      </c>
      <c r="C405" s="2">
        <f>IFERROR(__xludf.DUMMYFUNCTION("""COMPUTED_VALUE"""),2.0)</f>
        <v>2</v>
      </c>
      <c r="D405" s="6">
        <f>IFERROR(__xludf.DUMMYFUNCTION("""COMPUTED_VALUE"""),539.78)</f>
        <v>539.78</v>
      </c>
      <c r="E405" s="6">
        <f>IFERROR(__xludf.DUMMYFUNCTION("GOOGLEFINANCE(""Currency:BRLMXN"")*D405"),1833.9025499999998)</f>
        <v>1833.90255</v>
      </c>
      <c r="F405" s="6">
        <f>IFERROR(__xludf.DUMMYFUNCTION("GOOGLEFINANCE(""Currency:BRLPEN"")*D405"),353.87976799999996)</f>
        <v>353.879768</v>
      </c>
      <c r="G405" s="2" t="str">
        <f t="array" ref="G405">_xlfn.XLOOKUP(B405,Vendedores!$A$2:$A$41,Vendedores!$B$2:$B$41,"No hay datos")</f>
        <v>Andrés López</v>
      </c>
      <c r="H405" s="2" t="str">
        <f t="array" ref="H405">_xlfn.XLOOKUP(B405,Vendedores!$A$2:$A$41,Vendedores!$C$2:$C$41,"No hay datos")</f>
        <v>Villa Progreso</v>
      </c>
      <c r="I405" s="2" t="str">
        <f t="array" ref="I405">_xlfn.XLOOKUP(B405,Vendedores!$A$2:$A$41,Vendedores!$D$2:$D$41,"No hay datos")</f>
        <v>Región Central 2</v>
      </c>
      <c r="J405" s="2" t="str">
        <f t="array" ref="J405:N405">_xlfn.XLOOKUP(A405,Productos!$A$2:$A$61,Productos!$B$2:$F$61)</f>
        <v>Chaqueta de mezclilla</v>
      </c>
      <c r="K405" s="2" t="s">
        <v>9</v>
      </c>
      <c r="L405" s="2" t="s">
        <v>10</v>
      </c>
      <c r="M405" s="2" t="s">
        <v>72</v>
      </c>
      <c r="N405" s="2" t="s">
        <v>56</v>
      </c>
    </row>
    <row r="406">
      <c r="A406" s="2" t="str">
        <f>IFERROR(__xludf.DUMMYFUNCTION("""COMPUTED_VALUE"""),"PR031")</f>
        <v>PR031</v>
      </c>
      <c r="B406" s="2" t="str">
        <f>IFERROR(__xludf.DUMMYFUNCTION("""COMPUTED_VALUE"""),"VD035")</f>
        <v>VD035</v>
      </c>
      <c r="C406" s="2">
        <f>IFERROR(__xludf.DUMMYFUNCTION("""COMPUTED_VALUE"""),9.0)</f>
        <v>9</v>
      </c>
      <c r="D406" s="6">
        <f>IFERROR(__xludf.DUMMYFUNCTION("""COMPUTED_VALUE"""),2337.3)</f>
        <v>2337.3</v>
      </c>
      <c r="E406" s="6">
        <f>IFERROR(__xludf.DUMMYFUNCTION("GOOGLEFINANCE(""Currency:BRLMXN"")*D406"),7940.976750000001)</f>
        <v>7940.97675</v>
      </c>
      <c r="F406" s="6">
        <f>IFERROR(__xludf.DUMMYFUNCTION("GOOGLEFINANCE(""Currency:BRLPEN"")*D406"),1532.3338800000001)</f>
        <v>1532.33388</v>
      </c>
      <c r="G406" s="2" t="str">
        <f t="array" ref="G406">_xlfn.XLOOKUP(B406,Vendedores!$A$2:$A$41,Vendedores!$B$2:$B$41,"No hay datos")</f>
        <v>Carolina Méndez</v>
      </c>
      <c r="H406" s="2" t="str">
        <f t="array" ref="H406">_xlfn.XLOOKUP(B406,Vendedores!$A$2:$A$41,Vendedores!$C$2:$C$41,"No hay datos")</f>
        <v>Valle de los Robles</v>
      </c>
      <c r="I406" s="2" t="str">
        <f t="array" ref="I406">_xlfn.XLOOKUP(B406,Vendedores!$A$2:$A$41,Vendedores!$D$2:$D$41,"No hay datos")</f>
        <v>Región Central 2</v>
      </c>
      <c r="J406" s="2" t="str">
        <f t="array" ref="J406:N406">_xlfn.XLOOKUP(A406,Productos!$A$2:$A$61,Productos!$B$2:$F$61)</f>
        <v>Tenis Chunky</v>
      </c>
      <c r="K406" s="2">
        <v>36.0</v>
      </c>
      <c r="L406" s="2" t="s">
        <v>33</v>
      </c>
      <c r="M406" s="2" t="s">
        <v>84</v>
      </c>
      <c r="N406" s="2" t="s">
        <v>85</v>
      </c>
    </row>
    <row r="407">
      <c r="A407" s="2" t="str">
        <f>IFERROR(__xludf.DUMMYFUNCTION("""COMPUTED_VALUE"""),"PR004")</f>
        <v>PR004</v>
      </c>
      <c r="B407" s="2" t="str">
        <f>IFERROR(__xludf.DUMMYFUNCTION("""COMPUTED_VALUE"""),"VD030")</f>
        <v>VD030</v>
      </c>
      <c r="C407" s="2">
        <f>IFERROR(__xludf.DUMMYFUNCTION("""COMPUTED_VALUE"""),5.0)</f>
        <v>5</v>
      </c>
      <c r="D407" s="6">
        <f>IFERROR(__xludf.DUMMYFUNCTION("""COMPUTED_VALUE"""),768.5)</f>
        <v>768.5</v>
      </c>
      <c r="E407" s="6">
        <f>IFERROR(__xludf.DUMMYFUNCTION("GOOGLEFINANCE(""Currency:BRLMXN"")*D407"),2610.9787499999998)</f>
        <v>2610.97875</v>
      </c>
      <c r="F407" s="6">
        <f>IFERROR(__xludf.DUMMYFUNCTION("GOOGLEFINANCE(""Currency:BRLPEN"")*D407"),503.8286)</f>
        <v>503.8286</v>
      </c>
      <c r="G407" s="2" t="str">
        <f t="array" ref="G407">_xlfn.XLOOKUP(B407,Vendedores!$A$2:$A$41,Vendedores!$B$2:$B$41,"No hay datos")</f>
        <v>Leonardo Rojas</v>
      </c>
      <c r="H407" s="2" t="str">
        <f t="array" ref="H407">_xlfn.XLOOKUP(B407,Vendedores!$A$2:$A$41,Vendedores!$C$2:$C$41,"No hay datos")</f>
        <v>Villa del Sol</v>
      </c>
      <c r="I407" s="2" t="str">
        <f t="array" ref="I407">_xlfn.XLOOKUP(B407,Vendedores!$A$2:$A$41,Vendedores!$D$2:$D$41,"No hay datos")</f>
        <v>Región Central 2</v>
      </c>
      <c r="J407" s="2" t="str">
        <f t="array" ref="J407:N407">_xlfn.XLOOKUP(A407,Productos!$A$2:$A$61,Productos!$B$2:$F$61)</f>
        <v>Bolso versátil</v>
      </c>
      <c r="K407" s="2" t="s">
        <v>29</v>
      </c>
      <c r="L407" s="2" t="s">
        <v>30</v>
      </c>
      <c r="M407" s="2" t="s">
        <v>59</v>
      </c>
      <c r="N407" s="2" t="s">
        <v>60</v>
      </c>
    </row>
    <row r="408">
      <c r="A408" s="2" t="str">
        <f>IFERROR(__xludf.DUMMYFUNCTION("""COMPUTED_VALUE"""),"PR001")</f>
        <v>PR001</v>
      </c>
      <c r="B408" s="2" t="str">
        <f>IFERROR(__xludf.DUMMYFUNCTION("""COMPUTED_VALUE"""),"VD037")</f>
        <v>VD037</v>
      </c>
      <c r="C408" s="2">
        <f>IFERROR(__xludf.DUMMYFUNCTION("""COMPUTED_VALUE"""),4.0)</f>
        <v>4</v>
      </c>
      <c r="D408" s="6">
        <f>IFERROR(__xludf.DUMMYFUNCTION("""COMPUTED_VALUE"""),263.6)</f>
        <v>263.6</v>
      </c>
      <c r="E408" s="6">
        <f>IFERROR(__xludf.DUMMYFUNCTION("GOOGLEFINANCE(""Currency:BRLMXN"")*D408"),895.581)</f>
        <v>895.581</v>
      </c>
      <c r="F408" s="6">
        <f>IFERROR(__xludf.DUMMYFUNCTION("GOOGLEFINANCE(""Currency:BRLPEN"")*D408"),172.81616)</f>
        <v>172.81616</v>
      </c>
      <c r="G408" s="2" t="str">
        <f t="array" ref="G408">_xlfn.XLOOKUP(B408,Vendedores!$A$2:$A$41,Vendedores!$B$2:$B$41,"No hay datos")</f>
        <v>Amanda Silva</v>
      </c>
      <c r="H408" s="2" t="str">
        <f t="array" ref="H408">_xlfn.XLOOKUP(B408,Vendedores!$A$2:$A$41,Vendedores!$C$2:$C$41,"No hay datos")</f>
        <v>Villa Esperanza</v>
      </c>
      <c r="I408" s="2" t="str">
        <f t="array" ref="I408">_xlfn.XLOOKUP(B408,Vendedores!$A$2:$A$41,Vendedores!$D$2:$D$41,"No hay datos")</f>
        <v>Región Sur 2</v>
      </c>
      <c r="J408" s="2" t="str">
        <f t="array" ref="J408:N408">_xlfn.XLOOKUP(A408,Productos!$A$2:$A$61,Productos!$B$2:$F$61)</f>
        <v>Bermuda</v>
      </c>
      <c r="K408" s="2" t="s">
        <v>9</v>
      </c>
      <c r="L408" s="2" t="s">
        <v>10</v>
      </c>
      <c r="M408" s="2" t="s">
        <v>11</v>
      </c>
      <c r="N408" s="2" t="s">
        <v>12</v>
      </c>
    </row>
    <row r="409">
      <c r="A409" s="2" t="str">
        <f>IFERROR(__xludf.DUMMYFUNCTION("""COMPUTED_VALUE"""),"PR006")</f>
        <v>PR006</v>
      </c>
      <c r="B409" s="2" t="str">
        <f>IFERROR(__xludf.DUMMYFUNCTION("""COMPUTED_VALUE"""),"VD025")</f>
        <v>VD025</v>
      </c>
      <c r="C409" s="2">
        <f>IFERROR(__xludf.DUMMYFUNCTION("""COMPUTED_VALUE"""),8.0)</f>
        <v>8</v>
      </c>
      <c r="D409" s="6">
        <f>IFERROR(__xludf.DUMMYFUNCTION("""COMPUTED_VALUE"""),328.78)</f>
        <v>328.78</v>
      </c>
      <c r="E409" s="6">
        <f>IFERROR(__xludf.DUMMYFUNCTION("GOOGLEFINANCE(""Currency:BRLMXN"")*D409"),1117.0300499999998)</f>
        <v>1117.03005</v>
      </c>
      <c r="F409" s="6">
        <f>IFERROR(__xludf.DUMMYFUNCTION("GOOGLEFINANCE(""Currency:BRLPEN"")*D409"),215.54816799999998)</f>
        <v>215.548168</v>
      </c>
      <c r="G409" s="2" t="str">
        <f t="array" ref="G409">_xlfn.XLOOKUP(B409,Vendedores!$A$2:$A$41,Vendedores!$B$2:$B$41,"No hay datos")</f>
        <v>Alina Santana</v>
      </c>
      <c r="H409" s="2" t="str">
        <f t="array" ref="H409">_xlfn.XLOOKUP(B409,Vendedores!$A$2:$A$41,Vendedores!$C$2:$C$41,"No hay datos")</f>
        <v>Playa Blanca</v>
      </c>
      <c r="I409" s="2" t="str">
        <f t="array" ref="I409">_xlfn.XLOOKUP(B409,Vendedores!$A$2:$A$41,Vendedores!$D$2:$D$41,"No hay datos")</f>
        <v>Región Norte</v>
      </c>
      <c r="J409" s="2" t="str">
        <f t="array" ref="J409:N409">_xlfn.XLOOKUP(A409,Productos!$A$2:$A$61,Productos!$B$2:$F$61)</f>
        <v>Gorra</v>
      </c>
      <c r="K409" s="2" t="s">
        <v>29</v>
      </c>
      <c r="L409" s="2" t="s">
        <v>30</v>
      </c>
      <c r="M409" s="2" t="s">
        <v>48</v>
      </c>
      <c r="N409" s="2" t="s">
        <v>38</v>
      </c>
    </row>
    <row r="410">
      <c r="A410" s="2" t="str">
        <f>IFERROR(__xludf.DUMMYFUNCTION("""COMPUTED_VALUE"""),"PR019")</f>
        <v>PR019</v>
      </c>
      <c r="B410" s="2" t="str">
        <f>IFERROR(__xludf.DUMMYFUNCTION("""COMPUTED_VALUE"""),"VD030")</f>
        <v>VD030</v>
      </c>
      <c r="C410" s="2">
        <f>IFERROR(__xludf.DUMMYFUNCTION("""COMPUTED_VALUE"""),6.0)</f>
        <v>6</v>
      </c>
      <c r="D410" s="6">
        <f>IFERROR(__xludf.DUMMYFUNCTION("""COMPUTED_VALUE"""),299.4)</f>
        <v>299.4</v>
      </c>
      <c r="E410" s="6">
        <f>IFERROR(__xludf.DUMMYFUNCTION("GOOGLEFINANCE(""Currency:BRLMXN"")*D410"),1017.2114999999999)</f>
        <v>1017.2115</v>
      </c>
      <c r="F410" s="6">
        <f>IFERROR(__xludf.DUMMYFUNCTION("GOOGLEFINANCE(""Currency:BRLPEN"")*D410"),196.28663999999998)</f>
        <v>196.28664</v>
      </c>
      <c r="G410" s="2" t="str">
        <f t="array" ref="G410">_xlfn.XLOOKUP(B410,Vendedores!$A$2:$A$41,Vendedores!$B$2:$B$41,"No hay datos")</f>
        <v>Leonardo Rojas</v>
      </c>
      <c r="H410" s="2" t="str">
        <f t="array" ref="H410">_xlfn.XLOOKUP(B410,Vendedores!$A$2:$A$41,Vendedores!$C$2:$C$41,"No hay datos")</f>
        <v>Villa del Sol</v>
      </c>
      <c r="I410" s="2" t="str">
        <f t="array" ref="I410">_xlfn.XLOOKUP(B410,Vendedores!$A$2:$A$41,Vendedores!$D$2:$D$41,"No hay datos")</f>
        <v>Región Central 2</v>
      </c>
      <c r="J410" s="2" t="str">
        <f t="array" ref="J410:N410">_xlfn.XLOOKUP(A410,Productos!$A$2:$A$61,Productos!$B$2:$F$61)</f>
        <v>Cinturón</v>
      </c>
      <c r="K410" s="2" t="s">
        <v>29</v>
      </c>
      <c r="L410" s="2" t="s">
        <v>30</v>
      </c>
      <c r="M410" s="2" t="s">
        <v>31</v>
      </c>
      <c r="N410" s="2" t="s">
        <v>32</v>
      </c>
    </row>
    <row r="411">
      <c r="A411" s="2" t="str">
        <f>IFERROR(__xludf.DUMMYFUNCTION("""COMPUTED_VALUE"""),"PR048")</f>
        <v>PR048</v>
      </c>
      <c r="B411" s="2" t="str">
        <f>IFERROR(__xludf.DUMMYFUNCTION("""COMPUTED_VALUE"""),"VD037")</f>
        <v>VD037</v>
      </c>
      <c r="C411" s="2">
        <f>IFERROR(__xludf.DUMMYFUNCTION("""COMPUTED_VALUE"""),6.0)</f>
        <v>6</v>
      </c>
      <c r="D411" s="6">
        <f>IFERROR(__xludf.DUMMYFUNCTION("""COMPUTED_VALUE"""),1861.16)</f>
        <v>1861.16</v>
      </c>
      <c r="E411" s="6">
        <f>IFERROR(__xludf.DUMMYFUNCTION("GOOGLEFINANCE(""Currency:BRLMXN"")*D411"),6323.2911)</f>
        <v>6323.2911</v>
      </c>
      <c r="F411" s="6">
        <f>IFERROR(__xludf.DUMMYFUNCTION("GOOGLEFINANCE(""Currency:BRLPEN"")*D411"),1220.176496)</f>
        <v>1220.176496</v>
      </c>
      <c r="G411" s="2" t="str">
        <f t="array" ref="G411">_xlfn.XLOOKUP(B411,Vendedores!$A$2:$A$41,Vendedores!$B$2:$B$41,"No hay datos")</f>
        <v>Amanda Silva</v>
      </c>
      <c r="H411" s="2" t="str">
        <f t="array" ref="H411">_xlfn.XLOOKUP(B411,Vendedores!$A$2:$A$41,Vendedores!$C$2:$C$41,"No hay datos")</f>
        <v>Villa Esperanza</v>
      </c>
      <c r="I411" s="2" t="str">
        <f t="array" ref="I411">_xlfn.XLOOKUP(B411,Vendedores!$A$2:$A$41,Vendedores!$D$2:$D$41,"No hay datos")</f>
        <v>Región Sur 2</v>
      </c>
      <c r="J411" s="2" t="str">
        <f t="array" ref="J411:N411">_xlfn.XLOOKUP(A411,Productos!$A$2:$A$61,Productos!$B$2:$F$61)</f>
        <v>Chaqueta de cuero</v>
      </c>
      <c r="K411" s="2" t="s">
        <v>22</v>
      </c>
      <c r="L411" s="2" t="s">
        <v>10</v>
      </c>
      <c r="M411" s="2" t="s">
        <v>94</v>
      </c>
      <c r="N411" s="2" t="s">
        <v>44</v>
      </c>
    </row>
    <row r="412">
      <c r="A412" s="2" t="str">
        <f>IFERROR(__xludf.DUMMYFUNCTION("""COMPUTED_VALUE"""),"PR060")</f>
        <v>PR060</v>
      </c>
      <c r="B412" s="2" t="str">
        <f>IFERROR(__xludf.DUMMYFUNCTION("""COMPUTED_VALUE"""),"VD032")</f>
        <v>VD032</v>
      </c>
      <c r="C412" s="2">
        <f>IFERROR(__xludf.DUMMYFUNCTION("""COMPUTED_VALUE"""),30.0)</f>
        <v>30</v>
      </c>
      <c r="D412" s="6">
        <f>IFERROR(__xludf.DUMMYFUNCTION("""COMPUTED_VALUE"""),5832.0)</f>
        <v>5832</v>
      </c>
      <c r="E412" s="6">
        <f>IFERROR(__xludf.DUMMYFUNCTION("GOOGLEFINANCE(""Currency:BRLMXN"")*D412"),19814.22)</f>
        <v>19814.22</v>
      </c>
      <c r="F412" s="6">
        <f>IFERROR(__xludf.DUMMYFUNCTION("GOOGLEFINANCE(""Currency:BRLPEN"")*D412"),3823.4592)</f>
        <v>3823.4592</v>
      </c>
      <c r="G412" s="2" t="str">
        <f t="array" ref="G412">_xlfn.XLOOKUP(B412,Vendedores!$A$2:$A$41,Vendedores!$B$2:$B$41,"No hay datos")</f>
        <v>Eduardo Almonte</v>
      </c>
      <c r="H412" s="2" t="str">
        <f t="array" ref="H412">_xlfn.XLOOKUP(B412,Vendedores!$A$2:$A$41,Vendedores!$C$2:$C$41,"No hay datos")</f>
        <v>Tierra Colorada</v>
      </c>
      <c r="I412" s="2" t="str">
        <f t="array" ref="I412">_xlfn.XLOOKUP(B412,Vendedores!$A$2:$A$41,Vendedores!$D$2:$D$41,"No hay datos")</f>
        <v>Región Central 2</v>
      </c>
      <c r="J412" s="2" t="str">
        <f t="array" ref="J412:N412">_xlfn.XLOOKUP(A412,Productos!$A$2:$A$61,Productos!$B$2:$F$61)</f>
        <v>Pantalón de sastre</v>
      </c>
      <c r="K412" s="2" t="s">
        <v>22</v>
      </c>
      <c r="L412" s="2" t="s">
        <v>10</v>
      </c>
      <c r="M412" s="2" t="s">
        <v>75</v>
      </c>
      <c r="N412" s="2" t="s">
        <v>14</v>
      </c>
    </row>
    <row r="413">
      <c r="A413" s="2" t="str">
        <f>IFERROR(__xludf.DUMMYFUNCTION("""COMPUTED_VALUE"""),"PR045")</f>
        <v>PR045</v>
      </c>
      <c r="B413" s="2" t="str">
        <f>IFERROR(__xludf.DUMMYFUNCTION("""COMPUTED_VALUE"""),"VD041")</f>
        <v>VD041</v>
      </c>
      <c r="C413" s="2">
        <f>IFERROR(__xludf.DUMMYFUNCTION("""COMPUTED_VALUE"""),7.0)</f>
        <v>7</v>
      </c>
      <c r="D413" s="6">
        <f>IFERROR(__xludf.DUMMYFUNCTION("""COMPUTED_VALUE"""),553.18)</f>
        <v>553.18</v>
      </c>
      <c r="E413" s="6">
        <f>IFERROR(__xludf.DUMMYFUNCTION("GOOGLEFINANCE(""Currency:BRLMXN"")*D413"),1879.4290499999997)</f>
        <v>1879.42905</v>
      </c>
      <c r="F413" s="6">
        <f>IFERROR(__xludf.DUMMYFUNCTION("GOOGLEFINANCE(""Currency:BRLPEN"")*D413"),362.66480799999994)</f>
        <v>362.664808</v>
      </c>
      <c r="G413" s="2" t="str">
        <f t="array" ref="G413">_xlfn.XLOOKUP(B413,Vendedores!$A$2:$A$41,Vendedores!$B$2:$B$41,"No hay datos")</f>
        <v>Alejandro Ramos</v>
      </c>
      <c r="H413" s="2" t="str">
        <f t="array" ref="H413">_xlfn.XLOOKUP(B413,Vendedores!$A$2:$A$41,Vendedores!$C$2:$C$41,"No hay datos")</f>
        <v>San Martín de las Rosas</v>
      </c>
      <c r="I413" s="2" t="str">
        <f t="array" ref="I413">_xlfn.XLOOKUP(B413,Vendedores!$A$2:$A$41,Vendedores!$D$2:$D$41,"No hay datos")</f>
        <v>Región Central 2</v>
      </c>
      <c r="J413" s="2" t="str">
        <f t="array" ref="J413:N413">_xlfn.XLOOKUP(A413,Productos!$A$2:$A$61,Productos!$B$2:$F$61)</f>
        <v>Vestido floral</v>
      </c>
      <c r="K413" s="2" t="s">
        <v>22</v>
      </c>
      <c r="L413" s="2" t="s">
        <v>10</v>
      </c>
      <c r="M413" s="2" t="s">
        <v>39</v>
      </c>
      <c r="N413" s="2" t="s">
        <v>40</v>
      </c>
    </row>
    <row r="414">
      <c r="A414" s="2" t="str">
        <f>IFERROR(__xludf.DUMMYFUNCTION("""COMPUTED_VALUE"""),"PR003")</f>
        <v>PR003</v>
      </c>
      <c r="B414" s="2" t="str">
        <f>IFERROR(__xludf.DUMMYFUNCTION("""COMPUTED_VALUE"""),"VD012")</f>
        <v>VD012</v>
      </c>
      <c r="C414" s="2">
        <f>IFERROR(__xludf.DUMMYFUNCTION("""COMPUTED_VALUE"""),27.0)</f>
        <v>27</v>
      </c>
      <c r="D414" s="6">
        <f>IFERROR(__xludf.DUMMYFUNCTION("""COMPUTED_VALUE"""),1914.3)</f>
        <v>1914.3</v>
      </c>
      <c r="E414" s="6">
        <f>IFERROR(__xludf.DUMMYFUNCTION("GOOGLEFINANCE(""Currency:BRLMXN"")*D414"),6503.83425)</f>
        <v>6503.83425</v>
      </c>
      <c r="F414" s="6">
        <f>IFERROR(__xludf.DUMMYFUNCTION("GOOGLEFINANCE(""Currency:BRLPEN"")*D414"),1255.01508)</f>
        <v>1255.01508</v>
      </c>
      <c r="G414" s="2" t="str">
        <f t="array" ref="G414">_xlfn.XLOOKUP(B414,Vendedores!$A$2:$A$41,Vendedores!$B$2:$B$41,"No hay datos")</f>
        <v>Ana Olmedo</v>
      </c>
      <c r="H414" s="2" t="str">
        <f t="array" ref="H414">_xlfn.XLOOKUP(B414,Vendedores!$A$2:$A$41,Vendedores!$C$2:$C$41,"No hay datos")</f>
        <v>Río Claro</v>
      </c>
      <c r="I414" s="2" t="str">
        <f t="array" ref="I414">_xlfn.XLOOKUP(B414,Vendedores!$A$2:$A$41,Vendedores!$D$2:$D$41,"No hay datos")</f>
        <v>Región Central</v>
      </c>
      <c r="J414" s="2" t="str">
        <f t="array" ref="J414:N414">_xlfn.XLOOKUP(A414,Productos!$A$2:$A$61,Productos!$B$2:$F$61)</f>
        <v>Bermuda</v>
      </c>
      <c r="K414" s="2" t="s">
        <v>22</v>
      </c>
      <c r="L414" s="2" t="s">
        <v>10</v>
      </c>
      <c r="M414" s="2" t="s">
        <v>45</v>
      </c>
      <c r="N414" s="2" t="s">
        <v>46</v>
      </c>
    </row>
    <row r="415">
      <c r="A415" s="2" t="str">
        <f>IFERROR(__xludf.DUMMYFUNCTION("""COMPUTED_VALUE"""),"PR056")</f>
        <v>PR056</v>
      </c>
      <c r="B415" s="2" t="str">
        <f>IFERROR(__xludf.DUMMYFUNCTION("""COMPUTED_VALUE"""),"VD030")</f>
        <v>VD030</v>
      </c>
      <c r="C415" s="2">
        <f>IFERROR(__xludf.DUMMYFUNCTION("""COMPUTED_VALUE"""),12.0)</f>
        <v>12</v>
      </c>
      <c r="D415" s="6">
        <f>IFERROR(__xludf.DUMMYFUNCTION("""COMPUTED_VALUE"""),1089.59)</f>
        <v>1089.59</v>
      </c>
      <c r="E415" s="6">
        <f>IFERROR(__xludf.DUMMYFUNCTION("GOOGLEFINANCE(""Currency:BRLMXN"")*D415"),3701.882025)</f>
        <v>3701.882025</v>
      </c>
      <c r="F415" s="6">
        <f>IFERROR(__xludf.DUMMYFUNCTION("GOOGLEFINANCE(""Currency:BRLPEN"")*D415"),714.3352039999999)</f>
        <v>714.335204</v>
      </c>
      <c r="G415" s="2" t="str">
        <f t="array" ref="G415">_xlfn.XLOOKUP(B415,Vendedores!$A$2:$A$41,Vendedores!$B$2:$B$41,"No hay datos")</f>
        <v>Leonardo Rojas</v>
      </c>
      <c r="H415" s="2" t="str">
        <f t="array" ref="H415">_xlfn.XLOOKUP(B415,Vendedores!$A$2:$A$41,Vendedores!$C$2:$C$41,"No hay datos")</f>
        <v>Villa del Sol</v>
      </c>
      <c r="I415" s="2" t="str">
        <f t="array" ref="I415">_xlfn.XLOOKUP(B415,Vendedores!$A$2:$A$41,Vendedores!$D$2:$D$41,"No hay datos")</f>
        <v>Región Central 2</v>
      </c>
      <c r="J415" s="2" t="str">
        <f t="array" ref="J415:N415">_xlfn.XLOOKUP(A415,Productos!$A$2:$A$61,Productos!$B$2:$F$61)</f>
        <v>Sandalia plana</v>
      </c>
      <c r="K415" s="2">
        <v>36.0</v>
      </c>
      <c r="L415" s="2" t="s">
        <v>33</v>
      </c>
      <c r="M415" s="2" t="s">
        <v>106</v>
      </c>
      <c r="N415" s="2" t="s">
        <v>35</v>
      </c>
    </row>
    <row r="416">
      <c r="A416" s="2" t="str">
        <f>IFERROR(__xludf.DUMMYFUNCTION("""COMPUTED_VALUE"""),"PR033")</f>
        <v>PR033</v>
      </c>
      <c r="B416" s="2" t="str">
        <f>IFERROR(__xludf.DUMMYFUNCTION("""COMPUTED_VALUE"""),"VD014")</f>
        <v>VD014</v>
      </c>
      <c r="C416" s="2">
        <f>IFERROR(__xludf.DUMMYFUNCTION("""COMPUTED_VALUE"""),10.0)</f>
        <v>10</v>
      </c>
      <c r="D416" s="6">
        <f>IFERROR(__xludf.DUMMYFUNCTION("""COMPUTED_VALUE"""),2702.96)</f>
        <v>2702.96</v>
      </c>
      <c r="E416" s="6">
        <f>IFERROR(__xludf.DUMMYFUNCTION("GOOGLEFINANCE(""Currency:BRLMXN"")*D416"),9183.3066)</f>
        <v>9183.3066</v>
      </c>
      <c r="F416" s="6">
        <f>IFERROR(__xludf.DUMMYFUNCTION("GOOGLEFINANCE(""Currency:BRLPEN"")*D416"),1772.0605759999999)</f>
        <v>1772.060576</v>
      </c>
      <c r="G416" s="2" t="str">
        <f t="array" ref="G416">_xlfn.XLOOKUP(B416,Vendedores!$A$2:$A$41,Vendedores!$B$2:$B$41,"No hay datos")</f>
        <v>Carla Flores</v>
      </c>
      <c r="H416" s="2" t="str">
        <f t="array" ref="H416">_xlfn.XLOOKUP(B416,Vendedores!$A$2:$A$41,Vendedores!$C$2:$C$41,"No hay datos")</f>
        <v>Valle Escondido</v>
      </c>
      <c r="I416" s="2" t="str">
        <f t="array" ref="I416">_xlfn.XLOOKUP(B416,Vendedores!$A$2:$A$41,Vendedores!$D$2:$D$41,"No hay datos")</f>
        <v>Región Andina</v>
      </c>
      <c r="J416" s="2" t="str">
        <f t="array" ref="J416:N416">_xlfn.XLOOKUP(A416,Productos!$A$2:$A$61,Productos!$B$2:$F$61)</f>
        <v>Tenis Chunky</v>
      </c>
      <c r="K416" s="2">
        <v>38.0</v>
      </c>
      <c r="L416" s="2" t="s">
        <v>33</v>
      </c>
      <c r="M416" s="2" t="s">
        <v>63</v>
      </c>
      <c r="N416" s="2" t="s">
        <v>64</v>
      </c>
    </row>
    <row r="417">
      <c r="A417" s="2" t="str">
        <f>IFERROR(__xludf.DUMMYFUNCTION("""COMPUTED_VALUE"""),"PR041")</f>
        <v>PR041</v>
      </c>
      <c r="B417" s="2" t="str">
        <f>IFERROR(__xludf.DUMMYFUNCTION("""COMPUTED_VALUE"""),"VD014")</f>
        <v>VD014</v>
      </c>
      <c r="C417" s="2">
        <f>IFERROR(__xludf.DUMMYFUNCTION("""COMPUTED_VALUE"""),20.0)</f>
        <v>20</v>
      </c>
      <c r="D417" s="6">
        <f>IFERROR(__xludf.DUMMYFUNCTION("""COMPUTED_VALUE"""),1108.98)</f>
        <v>1108.98</v>
      </c>
      <c r="E417" s="6">
        <f>IFERROR(__xludf.DUMMYFUNCTION("GOOGLEFINANCE(""Currency:BRLMXN"")*D417"),3767.75955)</f>
        <v>3767.75955</v>
      </c>
      <c r="F417" s="6">
        <f>IFERROR(__xludf.DUMMYFUNCTION("GOOGLEFINANCE(""Currency:BRLPEN"")*D417"),727.047288)</f>
        <v>727.047288</v>
      </c>
      <c r="G417" s="2" t="str">
        <f t="array" ref="G417">_xlfn.XLOOKUP(B417,Vendedores!$A$2:$A$41,Vendedores!$B$2:$B$41,"No hay datos")</f>
        <v>Carla Flores</v>
      </c>
      <c r="H417" s="2" t="str">
        <f t="array" ref="H417">_xlfn.XLOOKUP(B417,Vendedores!$A$2:$A$41,Vendedores!$C$2:$C$41,"No hay datos")</f>
        <v>Valle Escondido</v>
      </c>
      <c r="I417" s="2" t="str">
        <f t="array" ref="I417">_xlfn.XLOOKUP(B417,Vendedores!$A$2:$A$41,Vendedores!$D$2:$D$41,"No hay datos")</f>
        <v>Región Andina</v>
      </c>
      <c r="J417" s="2" t="str">
        <f t="array" ref="J417:N417">_xlfn.XLOOKUP(A417,Productos!$A$2:$A$61,Productos!$B$2:$F$61)</f>
        <v>Playera confort</v>
      </c>
      <c r="K417" s="2" t="s">
        <v>17</v>
      </c>
      <c r="L417" s="2" t="s">
        <v>10</v>
      </c>
      <c r="M417" s="2" t="s">
        <v>95</v>
      </c>
      <c r="N417" s="2" t="s">
        <v>26</v>
      </c>
    </row>
    <row r="418">
      <c r="A418" s="2" t="str">
        <f>IFERROR(__xludf.DUMMYFUNCTION("""COMPUTED_VALUE"""),"PR004")</f>
        <v>PR004</v>
      </c>
      <c r="B418" s="2" t="str">
        <f>IFERROR(__xludf.DUMMYFUNCTION("""COMPUTED_VALUE"""),"VD011")</f>
        <v>VD011</v>
      </c>
      <c r="C418" s="2">
        <f>IFERROR(__xludf.DUMMYFUNCTION("""COMPUTED_VALUE"""),10.0)</f>
        <v>10</v>
      </c>
      <c r="D418" s="6">
        <f>IFERROR(__xludf.DUMMYFUNCTION("""COMPUTED_VALUE"""),1464.5)</f>
        <v>1464.5</v>
      </c>
      <c r="E418" s="6">
        <f>IFERROR(__xludf.DUMMYFUNCTION("GOOGLEFINANCE(""Currency:BRLMXN"")*D418"),4975.63875)</f>
        <v>4975.63875</v>
      </c>
      <c r="F418" s="6">
        <f>IFERROR(__xludf.DUMMYFUNCTION("GOOGLEFINANCE(""Currency:BRLPEN"")*D418"),960.1261999999999)</f>
        <v>960.1262</v>
      </c>
      <c r="G418" s="2" t="str">
        <f t="array" ref="G418">_xlfn.XLOOKUP(B418,Vendedores!$A$2:$A$41,Vendedores!$B$2:$B$41,"No hay datos")</f>
        <v>Juan Santos</v>
      </c>
      <c r="H418" s="2" t="str">
        <f t="array" ref="H418">_xlfn.XLOOKUP(B418,Vendedores!$A$2:$A$41,Vendedores!$C$2:$C$41,"No hay datos")</f>
        <v>Vista Hermosa</v>
      </c>
      <c r="I418" s="2" t="str">
        <f t="array" ref="I418">_xlfn.XLOOKUP(B418,Vendedores!$A$2:$A$41,Vendedores!$D$2:$D$41,"No hay datos")</f>
        <v>Región Central</v>
      </c>
      <c r="J418" s="2" t="str">
        <f t="array" ref="J418:N418">_xlfn.XLOOKUP(A418,Productos!$A$2:$A$61,Productos!$B$2:$F$61)</f>
        <v>Bolso versátil</v>
      </c>
      <c r="K418" s="2" t="s">
        <v>29</v>
      </c>
      <c r="L418" s="2" t="s">
        <v>30</v>
      </c>
      <c r="M418" s="2" t="s">
        <v>59</v>
      </c>
      <c r="N418" s="2" t="s">
        <v>60</v>
      </c>
    </row>
    <row r="419">
      <c r="A419" s="2" t="str">
        <f>IFERROR(__xludf.DUMMYFUNCTION("""COMPUTED_VALUE"""),"PR007")</f>
        <v>PR007</v>
      </c>
      <c r="B419" s="2" t="str">
        <f>IFERROR(__xludf.DUMMYFUNCTION("""COMPUTED_VALUE"""),"VD020")</f>
        <v>VD020</v>
      </c>
      <c r="C419" s="2">
        <f>IFERROR(__xludf.DUMMYFUNCTION("""COMPUTED_VALUE"""),9.0)</f>
        <v>9</v>
      </c>
      <c r="D419" s="6">
        <f>IFERROR(__xludf.DUMMYFUNCTION("""COMPUTED_VALUE"""),850.41)</f>
        <v>850.41</v>
      </c>
      <c r="E419" s="6">
        <f>IFERROR(__xludf.DUMMYFUNCTION("GOOGLEFINANCE(""Currency:BRLMXN"")*D419"),2889.2679749999998)</f>
        <v>2889.267975</v>
      </c>
      <c r="F419" s="6">
        <f>IFERROR(__xludf.DUMMYFUNCTION("GOOGLEFINANCE(""Currency:BRLPEN"")*D419"),557.5287959999999)</f>
        <v>557.528796</v>
      </c>
      <c r="G419" s="2" t="str">
        <f t="array" ref="G419">_xlfn.XLOOKUP(B419,Vendedores!$A$2:$A$41,Vendedores!$B$2:$B$41,"No hay datos")</f>
        <v>Gustavo Morales</v>
      </c>
      <c r="H419" s="2" t="str">
        <f t="array" ref="H419">_xlfn.XLOOKUP(B419,Vendedores!$A$2:$A$41,Vendedores!$C$2:$C$41,"No hay datos")</f>
        <v>Villa del Sol</v>
      </c>
      <c r="I419" s="2" t="str">
        <f t="array" ref="I419">_xlfn.XLOOKUP(B419,Vendedores!$A$2:$A$41,Vendedores!$D$2:$D$41,"No hay datos")</f>
        <v>Región Central 2</v>
      </c>
      <c r="J419" s="2" t="str">
        <f t="array" ref="J419:N419">_xlfn.XLOOKUP(A419,Productos!$A$2:$A$61,Productos!$B$2:$F$61)</f>
        <v>Pantalón de mezclilla</v>
      </c>
      <c r="K419" s="2" t="s">
        <v>9</v>
      </c>
      <c r="L419" s="2" t="s">
        <v>10</v>
      </c>
      <c r="M419" s="2" t="s">
        <v>103</v>
      </c>
      <c r="N419" s="2" t="s">
        <v>104</v>
      </c>
    </row>
    <row r="420">
      <c r="A420" s="2" t="str">
        <f>IFERROR(__xludf.DUMMYFUNCTION("""COMPUTED_VALUE"""),"PR046")</f>
        <v>PR046</v>
      </c>
      <c r="B420" s="2" t="str">
        <f>IFERROR(__xludf.DUMMYFUNCTION("""COMPUTED_VALUE"""),"VD015")</f>
        <v>VD015</v>
      </c>
      <c r="C420" s="2">
        <f>IFERROR(__xludf.DUMMYFUNCTION("""COMPUTED_VALUE"""),9.0)</f>
        <v>9</v>
      </c>
      <c r="D420" s="6">
        <f>IFERROR(__xludf.DUMMYFUNCTION("""COMPUTED_VALUE"""),2713.46)</f>
        <v>2713.46</v>
      </c>
      <c r="E420" s="6">
        <f>IFERROR(__xludf.DUMMYFUNCTION("GOOGLEFINANCE(""Currency:BRLMXN"")*D420"),9218.98035)</f>
        <v>9218.98035</v>
      </c>
      <c r="F420" s="6">
        <f>IFERROR(__xludf.DUMMYFUNCTION("GOOGLEFINANCE(""Currency:BRLPEN"")*D420"),1778.944376)</f>
        <v>1778.944376</v>
      </c>
      <c r="G420" s="2" t="str">
        <f t="array" ref="G420">_xlfn.XLOOKUP(B420,Vendedores!$A$2:$A$41,Vendedores!$B$2:$B$41,"No hay datos")</f>
        <v>Lucas Castillo</v>
      </c>
      <c r="H420" s="2" t="str">
        <f t="array" ref="H420">_xlfn.XLOOKUP(B420,Vendedores!$A$2:$A$41,Vendedores!$C$2:$C$41,"No hay datos")</f>
        <v>San Miguel de los Pinos</v>
      </c>
      <c r="I420" s="2" t="str">
        <f t="array" ref="I420">_xlfn.XLOOKUP(B420,Vendedores!$A$2:$A$41,Vendedores!$D$2:$D$41,"No hay datos")</f>
        <v>Región Sur</v>
      </c>
      <c r="J420" s="2" t="str">
        <f t="array" ref="J420:N420">_xlfn.XLOOKUP(A420,Productos!$A$2:$A$61,Productos!$B$2:$F$61)</f>
        <v>Chaqueta de cuero</v>
      </c>
      <c r="K420" s="2" t="s">
        <v>9</v>
      </c>
      <c r="L420" s="2" t="s">
        <v>10</v>
      </c>
      <c r="M420" s="2" t="s">
        <v>94</v>
      </c>
      <c r="N420" s="2" t="s">
        <v>44</v>
      </c>
    </row>
    <row r="421">
      <c r="A421" s="2" t="str">
        <f>IFERROR(__xludf.DUMMYFUNCTION("""COMPUTED_VALUE"""),"PR024")</f>
        <v>PR024</v>
      </c>
      <c r="B421" s="2" t="str">
        <f>IFERROR(__xludf.DUMMYFUNCTION("""COMPUTED_VALUE"""),"VD011")</f>
        <v>VD011</v>
      </c>
      <c r="C421" s="2">
        <f>IFERROR(__xludf.DUMMYFUNCTION("""COMPUTED_VALUE"""),3.0)</f>
        <v>3</v>
      </c>
      <c r="D421" s="6">
        <f>IFERROR(__xludf.DUMMYFUNCTION("""COMPUTED_VALUE"""),834.28)</f>
        <v>834.28</v>
      </c>
      <c r="E421" s="6">
        <f>IFERROR(__xludf.DUMMYFUNCTION("GOOGLEFINANCE(""Currency:BRLMXN"")*D421"),2834.4663)</f>
        <v>2834.4663</v>
      </c>
      <c r="F421" s="6">
        <f>IFERROR(__xludf.DUMMYFUNCTION("GOOGLEFINANCE(""Currency:BRLPEN"")*D421"),546.9539679999999)</f>
        <v>546.953968</v>
      </c>
      <c r="G421" s="2" t="str">
        <f t="array" ref="G421">_xlfn.XLOOKUP(B421,Vendedores!$A$2:$A$41,Vendedores!$B$2:$B$41,"No hay datos")</f>
        <v>Juan Santos</v>
      </c>
      <c r="H421" s="2" t="str">
        <f t="array" ref="H421">_xlfn.XLOOKUP(B421,Vendedores!$A$2:$A$41,Vendedores!$C$2:$C$41,"No hay datos")</f>
        <v>Vista Hermosa</v>
      </c>
      <c r="I421" s="2" t="str">
        <f t="array" ref="I421">_xlfn.XLOOKUP(B421,Vendedores!$A$2:$A$41,Vendedores!$D$2:$D$41,"No hay datos")</f>
        <v>Región Central</v>
      </c>
      <c r="J421" s="2" t="str">
        <f t="array" ref="J421:N421">_xlfn.XLOOKUP(A421,Productos!$A$2:$A$61,Productos!$B$2:$F$61)</f>
        <v>Chaqueta de mezclilla</v>
      </c>
      <c r="K421" s="2" t="s">
        <v>17</v>
      </c>
      <c r="L421" s="2" t="s">
        <v>10</v>
      </c>
      <c r="M421" s="2" t="s">
        <v>92</v>
      </c>
      <c r="N421" s="2" t="s">
        <v>64</v>
      </c>
    </row>
    <row r="422">
      <c r="A422" s="2" t="str">
        <f>IFERROR(__xludf.DUMMYFUNCTION("""COMPUTED_VALUE"""),"PR047")</f>
        <v>PR047</v>
      </c>
      <c r="B422" s="2" t="str">
        <f>IFERROR(__xludf.DUMMYFUNCTION("""COMPUTED_VALUE"""),"VD033")</f>
        <v>VD033</v>
      </c>
      <c r="C422" s="2">
        <f>IFERROR(__xludf.DUMMYFUNCTION("""COMPUTED_VALUE"""),1.0)</f>
        <v>1</v>
      </c>
      <c r="D422" s="6">
        <f>IFERROR(__xludf.DUMMYFUNCTION("""COMPUTED_VALUE"""),307.29)</f>
        <v>307.29</v>
      </c>
      <c r="E422" s="6">
        <f>IFERROR(__xludf.DUMMYFUNCTION("GOOGLEFINANCE(""Currency:BRLMXN"")*D422"),1044.017775)</f>
        <v>1044.017775</v>
      </c>
      <c r="F422" s="6">
        <f>IFERROR(__xludf.DUMMYFUNCTION("GOOGLEFINANCE(""Currency:BRLPEN"")*D422"),201.459324)</f>
        <v>201.459324</v>
      </c>
      <c r="G422" s="2" t="str">
        <f t="array" ref="G422">_xlfn.XLOOKUP(B422,Vendedores!$A$2:$A$41,Vendedores!$B$2:$B$41,"No hay datos")</f>
        <v>Renata Flores</v>
      </c>
      <c r="H422" s="2" t="str">
        <f t="array" ref="H422">_xlfn.XLOOKUP(B422,Vendedores!$A$2:$A$41,Vendedores!$C$2:$C$41,"No hay datos")</f>
        <v>Altos del Sur</v>
      </c>
      <c r="I422" s="2" t="str">
        <f t="array" ref="I422">_xlfn.XLOOKUP(B422,Vendedores!$A$2:$A$41,Vendedores!$D$2:$D$41,"No hay datos")</f>
        <v>Región Central 2</v>
      </c>
      <c r="J422" s="2" t="str">
        <f t="array" ref="J422:N422">_xlfn.XLOOKUP(A422,Productos!$A$2:$A$61,Productos!$B$2:$F$61)</f>
        <v>Chaqueta de cuero</v>
      </c>
      <c r="K422" s="2" t="s">
        <v>17</v>
      </c>
      <c r="L422" s="2" t="s">
        <v>10</v>
      </c>
      <c r="M422" s="2" t="s">
        <v>43</v>
      </c>
      <c r="N422" s="2" t="s">
        <v>44</v>
      </c>
    </row>
    <row r="423">
      <c r="A423" s="2" t="str">
        <f>IFERROR(__xludf.DUMMYFUNCTION("""COMPUTED_VALUE"""),"PR032")</f>
        <v>PR032</v>
      </c>
      <c r="B423" s="2" t="str">
        <f>IFERROR(__xludf.DUMMYFUNCTION("""COMPUTED_VALUE"""),"VD025")</f>
        <v>VD025</v>
      </c>
      <c r="C423" s="2">
        <f>IFERROR(__xludf.DUMMYFUNCTION("""COMPUTED_VALUE"""),16.0)</f>
        <v>16</v>
      </c>
      <c r="D423" s="6">
        <f>IFERROR(__xludf.DUMMYFUNCTION("""COMPUTED_VALUE"""),4080.0)</f>
        <v>4080</v>
      </c>
      <c r="E423" s="6">
        <f>IFERROR(__xludf.DUMMYFUNCTION("GOOGLEFINANCE(""Currency:BRLMXN"")*D423"),13861.8)</f>
        <v>13861.8</v>
      </c>
      <c r="F423" s="6">
        <f>IFERROR(__xludf.DUMMYFUNCTION("GOOGLEFINANCE(""Currency:BRLPEN"")*D423"),2674.848)</f>
        <v>2674.848</v>
      </c>
      <c r="G423" s="2" t="str">
        <f t="array" ref="G423">_xlfn.XLOOKUP(B423,Vendedores!$A$2:$A$41,Vendedores!$B$2:$B$41,"No hay datos")</f>
        <v>Alina Santana</v>
      </c>
      <c r="H423" s="2" t="str">
        <f t="array" ref="H423">_xlfn.XLOOKUP(B423,Vendedores!$A$2:$A$41,Vendedores!$C$2:$C$41,"No hay datos")</f>
        <v>Playa Blanca</v>
      </c>
      <c r="I423" s="2" t="str">
        <f t="array" ref="I423">_xlfn.XLOOKUP(B423,Vendedores!$A$2:$A$41,Vendedores!$D$2:$D$41,"No hay datos")</f>
        <v>Región Norte</v>
      </c>
      <c r="J423" s="2" t="str">
        <f t="array" ref="J423:N423">_xlfn.XLOOKUP(A423,Productos!$A$2:$A$61,Productos!$B$2:$F$61)</f>
        <v>Tenis Chunky</v>
      </c>
      <c r="K423" s="2">
        <v>37.0</v>
      </c>
      <c r="L423" s="2" t="s">
        <v>33</v>
      </c>
      <c r="M423" s="2" t="s">
        <v>61</v>
      </c>
      <c r="N423" s="2" t="s">
        <v>62</v>
      </c>
    </row>
    <row r="424">
      <c r="A424" s="2" t="str">
        <f>IFERROR(__xludf.DUMMYFUNCTION("""COMPUTED_VALUE"""),"PR020")</f>
        <v>PR020</v>
      </c>
      <c r="B424" s="2" t="str">
        <f>IFERROR(__xludf.DUMMYFUNCTION("""COMPUTED_VALUE"""),"VD015")</f>
        <v>VD015</v>
      </c>
      <c r="C424" s="2">
        <f>IFERROR(__xludf.DUMMYFUNCTION("""COMPUTED_VALUE"""),10.0)</f>
        <v>10</v>
      </c>
      <c r="D424" s="6">
        <f>IFERROR(__xludf.DUMMYFUNCTION("""COMPUTED_VALUE"""),3088.97)</f>
        <v>3088.97</v>
      </c>
      <c r="E424" s="6">
        <f>IFERROR(__xludf.DUMMYFUNCTION("GOOGLEFINANCE(""Currency:BRLMXN"")*D424"),10494.775575)</f>
        <v>10494.77558</v>
      </c>
      <c r="F424" s="6">
        <f>IFERROR(__xludf.DUMMYFUNCTION("GOOGLEFINANCE(""Currency:BRLPEN"")*D424"),2025.1287319999997)</f>
        <v>2025.128732</v>
      </c>
      <c r="G424" s="2" t="str">
        <f t="array" ref="G424">_xlfn.XLOOKUP(B424,Vendedores!$A$2:$A$41,Vendedores!$B$2:$B$41,"No hay datos")</f>
        <v>Lucas Castillo</v>
      </c>
      <c r="H424" s="2" t="str">
        <f t="array" ref="H424">_xlfn.XLOOKUP(B424,Vendedores!$A$2:$A$41,Vendedores!$C$2:$C$41,"No hay datos")</f>
        <v>San Miguel de los Pinos</v>
      </c>
      <c r="I424" s="2" t="str">
        <f t="array" ref="I424">_xlfn.XLOOKUP(B424,Vendedores!$A$2:$A$41,Vendedores!$D$2:$D$41,"No hay datos")</f>
        <v>Región Sur</v>
      </c>
      <c r="J424" s="2" t="str">
        <f t="array" ref="J424:N424">_xlfn.XLOOKUP(A424,Productos!$A$2:$A$61,Productos!$B$2:$F$61)</f>
        <v>Chaqueta de cuero</v>
      </c>
      <c r="K424" s="2" t="s">
        <v>9</v>
      </c>
      <c r="L424" s="2" t="s">
        <v>10</v>
      </c>
      <c r="M424" s="2" t="s">
        <v>15</v>
      </c>
      <c r="N424" s="2" t="s">
        <v>16</v>
      </c>
    </row>
    <row r="425">
      <c r="A425" s="2" t="str">
        <f>IFERROR(__xludf.DUMMYFUNCTION("""COMPUTED_VALUE"""),"PR006")</f>
        <v>PR006</v>
      </c>
      <c r="B425" s="2" t="str">
        <f>IFERROR(__xludf.DUMMYFUNCTION("""COMPUTED_VALUE"""),"VD012")</f>
        <v>VD012</v>
      </c>
      <c r="C425" s="2">
        <f>IFERROR(__xludf.DUMMYFUNCTION("""COMPUTED_VALUE"""),15.0)</f>
        <v>15</v>
      </c>
      <c r="D425" s="6">
        <f>IFERROR(__xludf.DUMMYFUNCTION("""COMPUTED_VALUE"""),634.41)</f>
        <v>634.41</v>
      </c>
      <c r="E425" s="6">
        <f>IFERROR(__xludf.DUMMYFUNCTION("GOOGLEFINANCE(""Currency:BRLMXN"")*D425"),2155.407975)</f>
        <v>2155.407975</v>
      </c>
      <c r="F425" s="6">
        <f>IFERROR(__xludf.DUMMYFUNCTION("GOOGLEFINANCE(""Currency:BRLPEN"")*D425"),415.91919599999994)</f>
        <v>415.919196</v>
      </c>
      <c r="G425" s="2" t="str">
        <f t="array" ref="G425">_xlfn.XLOOKUP(B425,Vendedores!$A$2:$A$41,Vendedores!$B$2:$B$41,"No hay datos")</f>
        <v>Ana Olmedo</v>
      </c>
      <c r="H425" s="2" t="str">
        <f t="array" ref="H425">_xlfn.XLOOKUP(B425,Vendedores!$A$2:$A$41,Vendedores!$C$2:$C$41,"No hay datos")</f>
        <v>Río Claro</v>
      </c>
      <c r="I425" s="2" t="str">
        <f t="array" ref="I425">_xlfn.XLOOKUP(B425,Vendedores!$A$2:$A$41,Vendedores!$D$2:$D$41,"No hay datos")</f>
        <v>Región Central</v>
      </c>
      <c r="J425" s="2" t="str">
        <f t="array" ref="J425:N425">_xlfn.XLOOKUP(A425,Productos!$A$2:$A$61,Productos!$B$2:$F$61)</f>
        <v>Gorra</v>
      </c>
      <c r="K425" s="2" t="s">
        <v>29</v>
      </c>
      <c r="L425" s="2" t="s">
        <v>30</v>
      </c>
      <c r="M425" s="2" t="s">
        <v>48</v>
      </c>
      <c r="N425" s="2" t="s">
        <v>38</v>
      </c>
    </row>
    <row r="426">
      <c r="A426" s="2" t="str">
        <f>IFERROR(__xludf.DUMMYFUNCTION("""COMPUTED_VALUE"""),"PR031")</f>
        <v>PR031</v>
      </c>
      <c r="B426" s="2" t="str">
        <f>IFERROR(__xludf.DUMMYFUNCTION("""COMPUTED_VALUE"""),"VD034")</f>
        <v>VD034</v>
      </c>
      <c r="C426" s="2">
        <f>IFERROR(__xludf.DUMMYFUNCTION("""COMPUTED_VALUE"""),9.0)</f>
        <v>9</v>
      </c>
      <c r="D426" s="6">
        <f>IFERROR(__xludf.DUMMYFUNCTION("""COMPUTED_VALUE"""),2227.05)</f>
        <v>2227.05</v>
      </c>
      <c r="E426" s="6">
        <f>IFERROR(__xludf.DUMMYFUNCTION("GOOGLEFINANCE(""Currency:BRLMXN"")*D426"),7566.402375000001)</f>
        <v>7566.402375</v>
      </c>
      <c r="F426" s="6">
        <f>IFERROR(__xludf.DUMMYFUNCTION("GOOGLEFINANCE(""Currency:BRLPEN"")*D426"),1460.0539800000001)</f>
        <v>1460.05398</v>
      </c>
      <c r="G426" s="2" t="str">
        <f t="array" ref="G426">_xlfn.XLOOKUP(B426,Vendedores!$A$2:$A$41,Vendedores!$B$2:$B$41,"No hay datos")</f>
        <v>Felipe Carvajal</v>
      </c>
      <c r="H426" s="2" t="str">
        <f t="array" ref="H426">_xlfn.XLOOKUP(B426,Vendedores!$A$2:$A$41,Vendedores!$C$2:$C$41,"No hay datos")</f>
        <v>San Pedro del Río</v>
      </c>
      <c r="I426" s="2" t="str">
        <f t="array" ref="I426">_xlfn.XLOOKUP(B426,Vendedores!$A$2:$A$41,Vendedores!$D$2:$D$41,"No hay datos")</f>
        <v>Región Sur 2</v>
      </c>
      <c r="J426" s="2" t="str">
        <f t="array" ref="J426:N426">_xlfn.XLOOKUP(A426,Productos!$A$2:$A$61,Productos!$B$2:$F$61)</f>
        <v>Tenis Chunky</v>
      </c>
      <c r="K426" s="2">
        <v>36.0</v>
      </c>
      <c r="L426" s="2" t="s">
        <v>33</v>
      </c>
      <c r="M426" s="2" t="s">
        <v>84</v>
      </c>
      <c r="N426" s="2" t="s">
        <v>85</v>
      </c>
    </row>
    <row r="427">
      <c r="A427" s="2" t="str">
        <f>IFERROR(__xludf.DUMMYFUNCTION("""COMPUTED_VALUE"""),"PR052")</f>
        <v>PR052</v>
      </c>
      <c r="B427" s="2" t="str">
        <f>IFERROR(__xludf.DUMMYFUNCTION("""COMPUTED_VALUE"""),"VD044")</f>
        <v>VD044</v>
      </c>
      <c r="C427" s="2">
        <f>IFERROR(__xludf.DUMMYFUNCTION("""COMPUTED_VALUE"""),12.0)</f>
        <v>12</v>
      </c>
      <c r="D427" s="6">
        <f>IFERROR(__xludf.DUMMYFUNCTION("""COMPUTED_VALUE"""),658.68)</f>
        <v>658.68</v>
      </c>
      <c r="E427" s="6">
        <f>IFERROR(__xludf.DUMMYFUNCTION("GOOGLEFINANCE(""Currency:BRLMXN"")*D427"),2237.8653)</f>
        <v>2237.8653</v>
      </c>
      <c r="F427" s="6">
        <f>IFERROR(__xludf.DUMMYFUNCTION("GOOGLEFINANCE(""Currency:BRLPEN"")*D427"),431.8306079999999)</f>
        <v>431.830608</v>
      </c>
      <c r="G427" s="2" t="str">
        <f t="array" ref="G427">_xlfn.XLOOKUP(B427,Vendedores!$A$2:$A$41,Vendedores!$B$2:$B$41,"No hay datos")</f>
        <v>Silvia Menéndez</v>
      </c>
      <c r="H427" s="2" t="str">
        <f t="array" ref="H427">_xlfn.XLOOKUP(B427,Vendedores!$A$2:$A$41,Vendedores!$C$2:$C$41,"No hay datos")</f>
        <v>San Antonio del Monte</v>
      </c>
      <c r="I427" s="2" t="str">
        <f t="array" ref="I427">_xlfn.XLOOKUP(B427,Vendedores!$A$2:$A$41,Vendedores!$D$2:$D$41,"No hay datos")</f>
        <v>Región Central 2</v>
      </c>
      <c r="J427" s="2" t="str">
        <f t="array" ref="J427:N427">_xlfn.XLOOKUP(A427,Productos!$A$2:$A$61,Productos!$B$2:$F$61)</f>
        <v>Falda plisada</v>
      </c>
      <c r="K427" s="2" t="s">
        <v>9</v>
      </c>
      <c r="L427" s="2" t="s">
        <v>10</v>
      </c>
      <c r="M427" s="2" t="s">
        <v>36</v>
      </c>
      <c r="N427" s="2" t="s">
        <v>32</v>
      </c>
    </row>
    <row r="428">
      <c r="A428" s="2" t="str">
        <f>IFERROR(__xludf.DUMMYFUNCTION("""COMPUTED_VALUE"""),"PR050")</f>
        <v>PR050</v>
      </c>
      <c r="B428" s="2" t="str">
        <f>IFERROR(__xludf.DUMMYFUNCTION("""COMPUTED_VALUE"""),"VD018")</f>
        <v>VD018</v>
      </c>
      <c r="C428" s="2">
        <f>IFERROR(__xludf.DUMMYFUNCTION("""COMPUTED_VALUE"""),14.0)</f>
        <v>14</v>
      </c>
      <c r="D428" s="6">
        <f>IFERROR(__xludf.DUMMYFUNCTION("""COMPUTED_VALUE"""),502.05)</f>
        <v>502.05</v>
      </c>
      <c r="E428" s="6">
        <f>IFERROR(__xludf.DUMMYFUNCTION("GOOGLEFINANCE(""Currency:BRLMXN"")*D428"),1705.7148750000001)</f>
        <v>1705.714875</v>
      </c>
      <c r="F428" s="6">
        <f>IFERROR(__xludf.DUMMYFUNCTION("GOOGLEFINANCE(""Currency:BRLPEN"")*D428"),329.14398)</f>
        <v>329.14398</v>
      </c>
      <c r="G428" s="2" t="str">
        <f t="array" ref="G428">_xlfn.XLOOKUP(B428,Vendedores!$A$2:$A$41,Vendedores!$B$2:$B$41,"No hay datos")</f>
        <v>Leticia Rodríguez</v>
      </c>
      <c r="H428" s="2" t="str">
        <f t="array" ref="H428">_xlfn.XLOOKUP(B428,Vendedores!$A$2:$A$41,Vendedores!$C$2:$C$41,"No hay datos")</f>
        <v>Playa Blanca</v>
      </c>
      <c r="I428" s="2" t="str">
        <f t="array" ref="I428">_xlfn.XLOOKUP(B428,Vendedores!$A$2:$A$41,Vendedores!$D$2:$D$41,"No hay datos")</f>
        <v>Región Norte</v>
      </c>
      <c r="J428" s="2" t="str">
        <f t="array" ref="J428:N428">_xlfn.XLOOKUP(A428,Productos!$A$2:$A$61,Productos!$B$2:$F$61)</f>
        <v>Playera a rayas</v>
      </c>
      <c r="K428" s="2" t="s">
        <v>17</v>
      </c>
      <c r="L428" s="2" t="s">
        <v>10</v>
      </c>
      <c r="M428" s="2" t="s">
        <v>27</v>
      </c>
      <c r="N428" s="2" t="s">
        <v>24</v>
      </c>
    </row>
    <row r="429">
      <c r="A429" s="2" t="str">
        <f>IFERROR(__xludf.DUMMYFUNCTION("""COMPUTED_VALUE"""),"PR042")</f>
        <v>PR042</v>
      </c>
      <c r="B429" s="2" t="str">
        <f>IFERROR(__xludf.DUMMYFUNCTION("""COMPUTED_VALUE"""),"VD018")</f>
        <v>VD018</v>
      </c>
      <c r="C429" s="2">
        <f>IFERROR(__xludf.DUMMYFUNCTION("""COMPUTED_VALUE"""),4.0)</f>
        <v>4</v>
      </c>
      <c r="D429" s="6">
        <f>IFERROR(__xludf.DUMMYFUNCTION("""COMPUTED_VALUE"""),228.38)</f>
        <v>228.38</v>
      </c>
      <c r="E429" s="6">
        <f>IFERROR(__xludf.DUMMYFUNCTION("GOOGLEFINANCE(""Currency:BRLMXN"")*D429"),775.9210499999999)</f>
        <v>775.92105</v>
      </c>
      <c r="F429" s="6">
        <f>IFERROR(__xludf.DUMMYFUNCTION("GOOGLEFINANCE(""Currency:BRLPEN"")*D429"),149.72592799999998)</f>
        <v>149.725928</v>
      </c>
      <c r="G429" s="2" t="str">
        <f t="array" ref="G429">_xlfn.XLOOKUP(B429,Vendedores!$A$2:$A$41,Vendedores!$B$2:$B$41,"No hay datos")</f>
        <v>Leticia Rodríguez</v>
      </c>
      <c r="H429" s="2" t="str">
        <f t="array" ref="H429">_xlfn.XLOOKUP(B429,Vendedores!$A$2:$A$41,Vendedores!$C$2:$C$41,"No hay datos")</f>
        <v>Playa Blanca</v>
      </c>
      <c r="I429" s="2" t="str">
        <f t="array" ref="I429">_xlfn.XLOOKUP(B429,Vendedores!$A$2:$A$41,Vendedores!$D$2:$D$41,"No hay datos")</f>
        <v>Región Norte</v>
      </c>
      <c r="J429" s="2" t="str">
        <f t="array" ref="J429:N429">_xlfn.XLOOKUP(A429,Productos!$A$2:$A$61,Productos!$B$2:$F$61)</f>
        <v>Playera confort</v>
      </c>
      <c r="K429" s="2" t="s">
        <v>22</v>
      </c>
      <c r="L429" s="2" t="s">
        <v>10</v>
      </c>
      <c r="M429" s="2" t="s">
        <v>25</v>
      </c>
      <c r="N429" s="2" t="s">
        <v>26</v>
      </c>
    </row>
    <row r="430">
      <c r="A430" s="2" t="str">
        <f>IFERROR(__xludf.DUMMYFUNCTION("""COMPUTED_VALUE"""),"PR006")</f>
        <v>PR006</v>
      </c>
      <c r="B430" s="2" t="str">
        <f>IFERROR(__xludf.DUMMYFUNCTION("""COMPUTED_VALUE"""),"VD021")</f>
        <v>VD021</v>
      </c>
      <c r="C430" s="2">
        <f>IFERROR(__xludf.DUMMYFUNCTION("""COMPUTED_VALUE"""),8.0)</f>
        <v>8</v>
      </c>
      <c r="D430" s="6">
        <f>IFERROR(__xludf.DUMMYFUNCTION("""COMPUTED_VALUE"""),347.93)</f>
        <v>347.93</v>
      </c>
      <c r="E430" s="6">
        <f>IFERROR(__xludf.DUMMYFUNCTION("GOOGLEFINANCE(""Currency:BRLMXN"")*D430"),1182.092175)</f>
        <v>1182.092175</v>
      </c>
      <c r="F430" s="6">
        <f>IFERROR(__xludf.DUMMYFUNCTION("GOOGLEFINANCE(""Currency:BRLPEN"")*D430"),228.10290799999999)</f>
        <v>228.102908</v>
      </c>
      <c r="G430" s="2" t="str">
        <f t="array" ref="G430">_xlfn.XLOOKUP(B430,Vendedores!$A$2:$A$41,Vendedores!$B$2:$B$41,"No hay datos")</f>
        <v>Fernanda Méndez</v>
      </c>
      <c r="H430" s="2" t="str">
        <f t="array" ref="H430">_xlfn.XLOOKUP(B430,Vendedores!$A$2:$A$41,Vendedores!$C$2:$C$41,"No hay datos")</f>
        <v>San Juan de la Sierra</v>
      </c>
      <c r="I430" s="2" t="str">
        <f t="array" ref="I430">_xlfn.XLOOKUP(B430,Vendedores!$A$2:$A$41,Vendedores!$D$2:$D$41,"No hay datos")</f>
        <v>Región Central</v>
      </c>
      <c r="J430" s="2" t="str">
        <f t="array" ref="J430:N430">_xlfn.XLOOKUP(A430,Productos!$A$2:$A$61,Productos!$B$2:$F$61)</f>
        <v>Gorra</v>
      </c>
      <c r="K430" s="2" t="s">
        <v>29</v>
      </c>
      <c r="L430" s="2" t="s">
        <v>30</v>
      </c>
      <c r="M430" s="2" t="s">
        <v>48</v>
      </c>
      <c r="N430" s="2" t="s">
        <v>38</v>
      </c>
    </row>
    <row r="431">
      <c r="A431" s="2" t="str">
        <f>IFERROR(__xludf.DUMMYFUNCTION("""COMPUTED_VALUE"""),"PR016")</f>
        <v>PR016</v>
      </c>
      <c r="B431" s="2" t="str">
        <f>IFERROR(__xludf.DUMMYFUNCTION("""COMPUTED_VALUE"""),"VD017")</f>
        <v>VD017</v>
      </c>
      <c r="C431" s="2">
        <f>IFERROR(__xludf.DUMMYFUNCTION("""COMPUTED_VALUE"""),12.0)</f>
        <v>12</v>
      </c>
      <c r="D431" s="6">
        <f>IFERROR(__xludf.DUMMYFUNCTION("""COMPUTED_VALUE"""),341.88)</f>
        <v>341.88</v>
      </c>
      <c r="E431" s="6">
        <f>IFERROR(__xludf.DUMMYFUNCTION("GOOGLEFINANCE(""Currency:BRLMXN"")*D431"),1161.5373)</f>
        <v>1161.5373</v>
      </c>
      <c r="F431" s="6">
        <f>IFERROR(__xludf.DUMMYFUNCTION("GOOGLEFINANCE(""Currency:BRLPEN"")*D431"),224.13652799999997)</f>
        <v>224.136528</v>
      </c>
      <c r="G431" s="2" t="str">
        <f t="array" ref="G431">_xlfn.XLOOKUP(B431,Vendedores!$A$2:$A$41,Vendedores!$B$2:$B$41,"No hay datos")</f>
        <v>Bruno Peralta</v>
      </c>
      <c r="H431" s="2" t="str">
        <f t="array" ref="H431">_xlfn.XLOOKUP(B431,Vendedores!$A$2:$A$41,Vendedores!$C$2:$C$41,"No hay datos")</f>
        <v>Costa Azul</v>
      </c>
      <c r="I431" s="2" t="str">
        <f t="array" ref="I431">_xlfn.XLOOKUP(B431,Vendedores!$A$2:$A$41,Vendedores!$D$2:$D$41,"No hay datos")</f>
        <v>Región Norte</v>
      </c>
      <c r="J431" s="2" t="str">
        <f t="array" ref="J431:N431">_xlfn.XLOOKUP(A431,Productos!$A$2:$A$61,Productos!$B$2:$F$61)</f>
        <v>Playera lisa</v>
      </c>
      <c r="K431" s="2" t="s">
        <v>9</v>
      </c>
      <c r="L431" s="2" t="s">
        <v>10</v>
      </c>
      <c r="M431" s="2" t="s">
        <v>20</v>
      </c>
      <c r="N431" s="2" t="s">
        <v>21</v>
      </c>
    </row>
    <row r="432">
      <c r="A432" s="2" t="str">
        <f>IFERROR(__xludf.DUMMYFUNCTION("""COMPUTED_VALUE"""),"PR015")</f>
        <v>PR015</v>
      </c>
      <c r="B432" s="2" t="str">
        <f>IFERROR(__xludf.DUMMYFUNCTION("""COMPUTED_VALUE"""),"VD034")</f>
        <v>VD034</v>
      </c>
      <c r="C432" s="2">
        <f>IFERROR(__xludf.DUMMYFUNCTION("""COMPUTED_VALUE"""),5.0)</f>
        <v>5</v>
      </c>
      <c r="D432" s="6">
        <f>IFERROR(__xludf.DUMMYFUNCTION("""COMPUTED_VALUE"""),233.75)</f>
        <v>233.75</v>
      </c>
      <c r="E432" s="6">
        <f>IFERROR(__xludf.DUMMYFUNCTION("GOOGLEFINANCE(""Currency:BRLMXN"")*D432"),794.165625)</f>
        <v>794.165625</v>
      </c>
      <c r="F432" s="6">
        <f>IFERROR(__xludf.DUMMYFUNCTION("GOOGLEFINANCE(""Currency:BRLPEN"")*D432"),153.2465)</f>
        <v>153.2465</v>
      </c>
      <c r="G432" s="2" t="str">
        <f t="array" ref="G432">_xlfn.XLOOKUP(B432,Vendedores!$A$2:$A$41,Vendedores!$B$2:$B$41,"No hay datos")</f>
        <v>Felipe Carvajal</v>
      </c>
      <c r="H432" s="2" t="str">
        <f t="array" ref="H432">_xlfn.XLOOKUP(B432,Vendedores!$A$2:$A$41,Vendedores!$C$2:$C$41,"No hay datos")</f>
        <v>San Pedro del Río</v>
      </c>
      <c r="I432" s="2" t="str">
        <f t="array" ref="I432">_xlfn.XLOOKUP(B432,Vendedores!$A$2:$A$41,Vendedores!$D$2:$D$41,"No hay datos")</f>
        <v>Región Sur 2</v>
      </c>
      <c r="J432" s="2" t="str">
        <f t="array" ref="J432:N432">_xlfn.XLOOKUP(A432,Productos!$A$2:$A$61,Productos!$B$2:$F$61)</f>
        <v>Playera estampada</v>
      </c>
      <c r="K432" s="2" t="s">
        <v>22</v>
      </c>
      <c r="L432" s="2" t="s">
        <v>10</v>
      </c>
      <c r="M432" s="2" t="s">
        <v>101</v>
      </c>
      <c r="N432" s="2" t="s">
        <v>102</v>
      </c>
    </row>
    <row r="433">
      <c r="A433" s="2" t="str">
        <f>IFERROR(__xludf.DUMMYFUNCTION("""COMPUTED_VALUE"""),"PR003")</f>
        <v>PR003</v>
      </c>
      <c r="B433" s="2" t="str">
        <f>IFERROR(__xludf.DUMMYFUNCTION("""COMPUTED_VALUE"""),"VD041")</f>
        <v>VD041</v>
      </c>
      <c r="C433" s="2">
        <f>IFERROR(__xludf.DUMMYFUNCTION("""COMPUTED_VALUE"""),5.0)</f>
        <v>5</v>
      </c>
      <c r="D433" s="6">
        <f>IFERROR(__xludf.DUMMYFUNCTION("""COMPUTED_VALUE"""),361.59)</f>
        <v>361.59</v>
      </c>
      <c r="E433" s="6">
        <f>IFERROR(__xludf.DUMMYFUNCTION("GOOGLEFINANCE(""Currency:BRLMXN"")*D433"),1228.502025)</f>
        <v>1228.502025</v>
      </c>
      <c r="F433" s="6">
        <f>IFERROR(__xludf.DUMMYFUNCTION("GOOGLEFINANCE(""Currency:BRLPEN"")*D433"),237.05840399999997)</f>
        <v>237.058404</v>
      </c>
      <c r="G433" s="2" t="str">
        <f t="array" ref="G433">_xlfn.XLOOKUP(B433,Vendedores!$A$2:$A$41,Vendedores!$B$2:$B$41,"No hay datos")</f>
        <v>Alejandro Ramos</v>
      </c>
      <c r="H433" s="2" t="str">
        <f t="array" ref="H433">_xlfn.XLOOKUP(B433,Vendedores!$A$2:$A$41,Vendedores!$C$2:$C$41,"No hay datos")</f>
        <v>San Martín de las Rosas</v>
      </c>
      <c r="I433" s="2" t="str">
        <f t="array" ref="I433">_xlfn.XLOOKUP(B433,Vendedores!$A$2:$A$41,Vendedores!$D$2:$D$41,"No hay datos")</f>
        <v>Región Central 2</v>
      </c>
      <c r="J433" s="2" t="str">
        <f t="array" ref="J433:N433">_xlfn.XLOOKUP(A433,Productos!$A$2:$A$61,Productos!$B$2:$F$61)</f>
        <v>Bermuda</v>
      </c>
      <c r="K433" s="2" t="s">
        <v>22</v>
      </c>
      <c r="L433" s="2" t="s">
        <v>10</v>
      </c>
      <c r="M433" s="2" t="s">
        <v>45</v>
      </c>
      <c r="N433" s="2" t="s">
        <v>46</v>
      </c>
    </row>
    <row r="434">
      <c r="A434" s="2" t="str">
        <f>IFERROR(__xludf.DUMMYFUNCTION("""COMPUTED_VALUE"""),"PR007")</f>
        <v>PR007</v>
      </c>
      <c r="B434" s="2" t="str">
        <f>IFERROR(__xludf.DUMMYFUNCTION("""COMPUTED_VALUE"""),"VD025")</f>
        <v>VD025</v>
      </c>
      <c r="C434" s="2">
        <f>IFERROR(__xludf.DUMMYFUNCTION("""COMPUTED_VALUE"""),1.0)</f>
        <v>1</v>
      </c>
      <c r="D434" s="6">
        <f>IFERROR(__xludf.DUMMYFUNCTION("""COMPUTED_VALUE"""),88.48)</f>
        <v>88.48</v>
      </c>
      <c r="E434" s="6">
        <f>IFERROR(__xludf.DUMMYFUNCTION("GOOGLEFINANCE(""Currency:BRLMXN"")*D434"),300.6108)</f>
        <v>300.6108</v>
      </c>
      <c r="F434" s="6">
        <f>IFERROR(__xludf.DUMMYFUNCTION("GOOGLEFINANCE(""Currency:BRLPEN"")*D434"),58.007488)</f>
        <v>58.007488</v>
      </c>
      <c r="G434" s="2" t="str">
        <f t="array" ref="G434">_xlfn.XLOOKUP(B434,Vendedores!$A$2:$A$41,Vendedores!$B$2:$B$41,"No hay datos")</f>
        <v>Alina Santana</v>
      </c>
      <c r="H434" s="2" t="str">
        <f t="array" ref="H434">_xlfn.XLOOKUP(B434,Vendedores!$A$2:$A$41,Vendedores!$C$2:$C$41,"No hay datos")</f>
        <v>Playa Blanca</v>
      </c>
      <c r="I434" s="2" t="str">
        <f t="array" ref="I434">_xlfn.XLOOKUP(B434,Vendedores!$A$2:$A$41,Vendedores!$D$2:$D$41,"No hay datos")</f>
        <v>Región Norte</v>
      </c>
      <c r="J434" s="2" t="str">
        <f t="array" ref="J434:N434">_xlfn.XLOOKUP(A434,Productos!$A$2:$A$61,Productos!$B$2:$F$61)</f>
        <v>Pantalón de mezclilla</v>
      </c>
      <c r="K434" s="2" t="s">
        <v>9</v>
      </c>
      <c r="L434" s="2" t="s">
        <v>10</v>
      </c>
      <c r="M434" s="2" t="s">
        <v>103</v>
      </c>
      <c r="N434" s="2" t="s">
        <v>104</v>
      </c>
    </row>
    <row r="435">
      <c r="A435" s="2" t="str">
        <f>IFERROR(__xludf.DUMMYFUNCTION("""COMPUTED_VALUE"""),"PR031")</f>
        <v>PR031</v>
      </c>
      <c r="B435" s="2" t="str">
        <f>IFERROR(__xludf.DUMMYFUNCTION("""COMPUTED_VALUE"""),"VD046")</f>
        <v>VD046</v>
      </c>
      <c r="C435" s="2">
        <f>IFERROR(__xludf.DUMMYFUNCTION("""COMPUTED_VALUE"""),4.0)</f>
        <v>4</v>
      </c>
      <c r="D435" s="6">
        <f>IFERROR(__xludf.DUMMYFUNCTION("""COMPUTED_VALUE"""),1078.0)</f>
        <v>1078</v>
      </c>
      <c r="E435" s="6">
        <f>IFERROR(__xludf.DUMMYFUNCTION("GOOGLEFINANCE(""Currency:BRLMXN"")*D435"),3662.505)</f>
        <v>3662.505</v>
      </c>
      <c r="F435" s="6">
        <f>IFERROR(__xludf.DUMMYFUNCTION("GOOGLEFINANCE(""Currency:BRLPEN"")*D435"),706.7367999999999)</f>
        <v>706.7368</v>
      </c>
      <c r="G435" s="2" t="str">
        <f t="array" ref="G435">_xlfn.XLOOKUP(B435,Vendedores!$A$2:$A$41,Vendedores!$B$2:$B$41,"No hay datos")</f>
        <v>Juliana Pérez</v>
      </c>
      <c r="H435" s="2" t="str">
        <f t="array" ref="H435">_xlfn.XLOOKUP(B435,Vendedores!$A$2:$A$41,Vendedores!$C$2:$C$41,"No hay datos")</f>
        <v>Santa Cruz de la Sierra</v>
      </c>
      <c r="I435" s="2" t="str">
        <f t="array" ref="I435">_xlfn.XLOOKUP(B435,Vendedores!$A$2:$A$41,Vendedores!$D$2:$D$41,"No hay datos")</f>
        <v>Región Central 2</v>
      </c>
      <c r="J435" s="2" t="str">
        <f t="array" ref="J435:N435">_xlfn.XLOOKUP(A435,Productos!$A$2:$A$61,Productos!$B$2:$F$61)</f>
        <v>Tenis Chunky</v>
      </c>
      <c r="K435" s="2">
        <v>36.0</v>
      </c>
      <c r="L435" s="2" t="s">
        <v>33</v>
      </c>
      <c r="M435" s="2" t="s">
        <v>84</v>
      </c>
      <c r="N435" s="2" t="s">
        <v>85</v>
      </c>
    </row>
    <row r="436">
      <c r="A436" s="2" t="str">
        <f>IFERROR(__xludf.DUMMYFUNCTION("""COMPUTED_VALUE"""),"PR037")</f>
        <v>PR037</v>
      </c>
      <c r="B436" s="2" t="str">
        <f>IFERROR(__xludf.DUMMYFUNCTION("""COMPUTED_VALUE"""),"VD021")</f>
        <v>VD021</v>
      </c>
      <c r="C436" s="2">
        <f>IFERROR(__xludf.DUMMYFUNCTION("""COMPUTED_VALUE"""),4.0)</f>
        <v>4</v>
      </c>
      <c r="D436" s="6">
        <f>IFERROR(__xludf.DUMMYFUNCTION("""COMPUTED_VALUE"""),604.8)</f>
        <v>604.8</v>
      </c>
      <c r="E436" s="6">
        <f>IFERROR(__xludf.DUMMYFUNCTION("GOOGLEFINANCE(""Currency:BRLMXN"")*D436"),2054.808)</f>
        <v>2054.808</v>
      </c>
      <c r="F436" s="6">
        <f>IFERROR(__xludf.DUMMYFUNCTION("GOOGLEFINANCE(""Currency:BRLPEN"")*D436"),396.50687999999997)</f>
        <v>396.50688</v>
      </c>
      <c r="G436" s="2" t="str">
        <f t="array" ref="G436">_xlfn.XLOOKUP(B436,Vendedores!$A$2:$A$41,Vendedores!$B$2:$B$41,"No hay datos")</f>
        <v>Fernanda Méndez</v>
      </c>
      <c r="H436" s="2" t="str">
        <f t="array" ref="H436">_xlfn.XLOOKUP(B436,Vendedores!$A$2:$A$41,Vendedores!$C$2:$C$41,"No hay datos")</f>
        <v>San Juan de la Sierra</v>
      </c>
      <c r="I436" s="2" t="str">
        <f t="array" ref="I436">_xlfn.XLOOKUP(B436,Vendedores!$A$2:$A$41,Vendedores!$D$2:$D$41,"No hay datos")</f>
        <v>Región Central</v>
      </c>
      <c r="J436" s="2" t="str">
        <f t="array" ref="J436:N436">_xlfn.XLOOKUP(A436,Productos!$A$2:$A$61,Productos!$B$2:$F$61)</f>
        <v>Vestido largo</v>
      </c>
      <c r="K436" s="2" t="s">
        <v>9</v>
      </c>
      <c r="L436" s="2" t="s">
        <v>10</v>
      </c>
      <c r="M436" s="2" t="s">
        <v>70</v>
      </c>
      <c r="N436" s="2" t="s">
        <v>71</v>
      </c>
    </row>
    <row r="437">
      <c r="A437" s="2" t="str">
        <f>IFERROR(__xludf.DUMMYFUNCTION("""COMPUTED_VALUE"""),"PR043")</f>
        <v>PR043</v>
      </c>
      <c r="B437" s="2" t="str">
        <f>IFERROR(__xludf.DUMMYFUNCTION("""COMPUTED_VALUE"""),"VD036")</f>
        <v>VD036</v>
      </c>
      <c r="C437" s="2">
        <f>IFERROR(__xludf.DUMMYFUNCTION("""COMPUTED_VALUE"""),27.0)</f>
        <v>27</v>
      </c>
      <c r="D437" s="6">
        <f>IFERROR(__xludf.DUMMYFUNCTION("""COMPUTED_VALUE"""),2074.95)</f>
        <v>2074.95</v>
      </c>
      <c r="E437" s="6">
        <f>IFERROR(__xludf.DUMMYFUNCTION("GOOGLEFINANCE(""Currency:BRLMXN"")*D437"),7049.6426249999995)</f>
        <v>7049.642625</v>
      </c>
      <c r="F437" s="6">
        <f>IFERROR(__xludf.DUMMYFUNCTION("GOOGLEFINANCE(""Currency:BRLPEN"")*D437"),1360.33722)</f>
        <v>1360.33722</v>
      </c>
      <c r="G437" s="2" t="str">
        <f t="array" ref="G437">_xlfn.XLOOKUP(B437,Vendedores!$A$2:$A$41,Vendedores!$B$2:$B$41,"No hay datos")</f>
        <v>Ricardo Sosa</v>
      </c>
      <c r="H437" s="2" t="str">
        <f t="array" ref="H437">_xlfn.XLOOKUP(B437,Vendedores!$A$2:$A$41,Vendedores!$C$2:$C$41,"No hay datos")</f>
        <v>Puerto Nuevo</v>
      </c>
      <c r="I437" s="2" t="str">
        <f t="array" ref="I437">_xlfn.XLOOKUP(B437,Vendedores!$A$2:$A$41,Vendedores!$D$2:$D$41,"No hay datos")</f>
        <v>Región Central 2</v>
      </c>
      <c r="J437" s="2" t="str">
        <f t="array" ref="J437:N437">_xlfn.XLOOKUP(A437,Productos!$A$2:$A$61,Productos!$B$2:$F$61)</f>
        <v>Vestido floral</v>
      </c>
      <c r="K437" s="2" t="s">
        <v>9</v>
      </c>
      <c r="L437" s="2" t="s">
        <v>10</v>
      </c>
      <c r="M437" s="2" t="s">
        <v>69</v>
      </c>
      <c r="N437" s="2" t="s">
        <v>40</v>
      </c>
    </row>
    <row r="438">
      <c r="A438" s="2" t="str">
        <f>IFERROR(__xludf.DUMMYFUNCTION("""COMPUTED_VALUE"""),"PR038")</f>
        <v>PR038</v>
      </c>
      <c r="B438" s="2" t="str">
        <f>IFERROR(__xludf.DUMMYFUNCTION("""COMPUTED_VALUE"""),"VD036")</f>
        <v>VD036</v>
      </c>
      <c r="C438" s="2">
        <f>IFERROR(__xludf.DUMMYFUNCTION("""COMPUTED_VALUE"""),12.0)</f>
        <v>12</v>
      </c>
      <c r="D438" s="6">
        <f>IFERROR(__xludf.DUMMYFUNCTION("""COMPUTED_VALUE"""),1817.69)</f>
        <v>1817.69</v>
      </c>
      <c r="E438" s="6">
        <f>IFERROR(__xludf.DUMMYFUNCTION("GOOGLEFINANCE(""Currency:BRLMXN"")*D438"),6175.601775)</f>
        <v>6175.601775</v>
      </c>
      <c r="F438" s="6">
        <f>IFERROR(__xludf.DUMMYFUNCTION("GOOGLEFINANCE(""Currency:BRLPEN"")*D438"),1191.677564)</f>
        <v>1191.677564</v>
      </c>
      <c r="G438" s="2" t="str">
        <f t="array" ref="G438">_xlfn.XLOOKUP(B438,Vendedores!$A$2:$A$41,Vendedores!$B$2:$B$41,"No hay datos")</f>
        <v>Ricardo Sosa</v>
      </c>
      <c r="H438" s="2" t="str">
        <f t="array" ref="H438">_xlfn.XLOOKUP(B438,Vendedores!$A$2:$A$41,Vendedores!$C$2:$C$41,"No hay datos")</f>
        <v>Puerto Nuevo</v>
      </c>
      <c r="I438" s="2" t="str">
        <f t="array" ref="I438">_xlfn.XLOOKUP(B438,Vendedores!$A$2:$A$41,Vendedores!$D$2:$D$41,"No hay datos")</f>
        <v>Región Central 2</v>
      </c>
      <c r="J438" s="2" t="str">
        <f t="array" ref="J438:N438">_xlfn.XLOOKUP(A438,Productos!$A$2:$A$61,Productos!$B$2:$F$61)</f>
        <v>Vestido largo</v>
      </c>
      <c r="K438" s="2" t="s">
        <v>17</v>
      </c>
      <c r="L438" s="2" t="s">
        <v>10</v>
      </c>
      <c r="M438" s="2" t="s">
        <v>51</v>
      </c>
      <c r="N438" s="2" t="s">
        <v>52</v>
      </c>
    </row>
    <row r="439">
      <c r="A439" s="2" t="str">
        <f>IFERROR(__xludf.DUMMYFUNCTION("""COMPUTED_VALUE"""),"PR048")</f>
        <v>PR048</v>
      </c>
      <c r="B439" s="2" t="str">
        <f>IFERROR(__xludf.DUMMYFUNCTION("""COMPUTED_VALUE"""),"VD032")</f>
        <v>VD032</v>
      </c>
      <c r="C439" s="2">
        <f>IFERROR(__xludf.DUMMYFUNCTION("""COMPUTED_VALUE"""),9.0)</f>
        <v>9</v>
      </c>
      <c r="D439" s="6">
        <f>IFERROR(__xludf.DUMMYFUNCTION("""COMPUTED_VALUE"""),2817.83)</f>
        <v>2817.83</v>
      </c>
      <c r="E439" s="6">
        <f>IFERROR(__xludf.DUMMYFUNCTION("GOOGLEFINANCE(""Currency:BRLMXN"")*D439"),9573.577425)</f>
        <v>9573.577425</v>
      </c>
      <c r="F439" s="6">
        <f>IFERROR(__xludf.DUMMYFUNCTION("GOOGLEFINANCE(""Currency:BRLPEN"")*D439"),1847.369348)</f>
        <v>1847.369348</v>
      </c>
      <c r="G439" s="2" t="str">
        <f t="array" ref="G439">_xlfn.XLOOKUP(B439,Vendedores!$A$2:$A$41,Vendedores!$B$2:$B$41,"No hay datos")</f>
        <v>Eduardo Almonte</v>
      </c>
      <c r="H439" s="2" t="str">
        <f t="array" ref="H439">_xlfn.XLOOKUP(B439,Vendedores!$A$2:$A$41,Vendedores!$C$2:$C$41,"No hay datos")</f>
        <v>Tierra Colorada</v>
      </c>
      <c r="I439" s="2" t="str">
        <f t="array" ref="I439">_xlfn.XLOOKUP(B439,Vendedores!$A$2:$A$41,Vendedores!$D$2:$D$41,"No hay datos")</f>
        <v>Región Central 2</v>
      </c>
      <c r="J439" s="2" t="str">
        <f t="array" ref="J439:N439">_xlfn.XLOOKUP(A439,Productos!$A$2:$A$61,Productos!$B$2:$F$61)</f>
        <v>Chaqueta de cuero</v>
      </c>
      <c r="K439" s="2" t="s">
        <v>22</v>
      </c>
      <c r="L439" s="2" t="s">
        <v>10</v>
      </c>
      <c r="M439" s="2" t="s">
        <v>94</v>
      </c>
      <c r="N439" s="2" t="s">
        <v>44</v>
      </c>
    </row>
    <row r="440">
      <c r="A440" s="2" t="str">
        <f>IFERROR(__xludf.DUMMYFUNCTION("""COMPUTED_VALUE"""),"PR051")</f>
        <v>PR051</v>
      </c>
      <c r="B440" s="2" t="str">
        <f>IFERROR(__xludf.DUMMYFUNCTION("""COMPUTED_VALUE"""),"VD039")</f>
        <v>VD039</v>
      </c>
      <c r="C440" s="2">
        <f>IFERROR(__xludf.DUMMYFUNCTION("""COMPUTED_VALUE"""),15.0)</f>
        <v>15</v>
      </c>
      <c r="D440" s="6">
        <f>IFERROR(__xludf.DUMMYFUNCTION("""COMPUTED_VALUE"""),537.92)</f>
        <v>537.92</v>
      </c>
      <c r="E440" s="6">
        <f>IFERROR(__xludf.DUMMYFUNCTION("GOOGLEFINANCE(""Currency:BRLMXN"")*D440"),1827.5831999999998)</f>
        <v>1827.5832</v>
      </c>
      <c r="F440" s="6">
        <f>IFERROR(__xludf.DUMMYFUNCTION("GOOGLEFINANCE(""Currency:BRLPEN"")*D440"),352.66035199999993)</f>
        <v>352.660352</v>
      </c>
      <c r="G440" s="2" t="str">
        <f t="array" ref="G440">_xlfn.XLOOKUP(B440,Vendedores!$A$2:$A$41,Vendedores!$B$2:$B$41,"No hay datos")</f>
        <v>Daniela Rodríguez</v>
      </c>
      <c r="H440" s="2" t="str">
        <f t="array" ref="H440">_xlfn.XLOOKUP(B440,Vendedores!$A$2:$A$41,Vendedores!$C$2:$C$41,"No hay datos")</f>
        <v>Bahía del Sol</v>
      </c>
      <c r="I440" s="2" t="str">
        <f t="array" ref="I440">_xlfn.XLOOKUP(B440,Vendedores!$A$2:$A$41,Vendedores!$D$2:$D$41,"No hay datos")</f>
        <v>Región Central 2</v>
      </c>
      <c r="J440" s="2" t="str">
        <f t="array" ref="J440:N440">_xlfn.XLOOKUP(A440,Productos!$A$2:$A$61,Productos!$B$2:$F$61)</f>
        <v>Playera a rayas</v>
      </c>
      <c r="K440" s="2" t="s">
        <v>22</v>
      </c>
      <c r="L440" s="2" t="s">
        <v>10</v>
      </c>
      <c r="M440" s="2" t="s">
        <v>23</v>
      </c>
      <c r="N440" s="2" t="s">
        <v>24</v>
      </c>
    </row>
    <row r="441">
      <c r="A441" s="2" t="str">
        <f>IFERROR(__xludf.DUMMYFUNCTION("""COMPUTED_VALUE"""),"PR047")</f>
        <v>PR047</v>
      </c>
      <c r="B441" s="2" t="str">
        <f>IFERROR(__xludf.DUMMYFUNCTION("""COMPUTED_VALUE"""),"VD039")</f>
        <v>VD039</v>
      </c>
      <c r="C441" s="2">
        <f>IFERROR(__xludf.DUMMYFUNCTION("""COMPUTED_VALUE"""),8.0)</f>
        <v>8</v>
      </c>
      <c r="D441" s="6">
        <f>IFERROR(__xludf.DUMMYFUNCTION("""COMPUTED_VALUE"""),2504.74)</f>
        <v>2504.74</v>
      </c>
      <c r="E441" s="6">
        <f>IFERROR(__xludf.DUMMYFUNCTION("GOOGLEFINANCE(""Currency:BRLMXN"")*D441"),8509.85415)</f>
        <v>8509.85415</v>
      </c>
      <c r="F441" s="6">
        <f>IFERROR(__xludf.DUMMYFUNCTION("GOOGLEFINANCE(""Currency:BRLPEN"")*D441"),1642.1075439999997)</f>
        <v>1642.107544</v>
      </c>
      <c r="G441" s="2" t="str">
        <f t="array" ref="G441">_xlfn.XLOOKUP(B441,Vendedores!$A$2:$A$41,Vendedores!$B$2:$B$41,"No hay datos")</f>
        <v>Daniela Rodríguez</v>
      </c>
      <c r="H441" s="2" t="str">
        <f t="array" ref="H441">_xlfn.XLOOKUP(B441,Vendedores!$A$2:$A$41,Vendedores!$C$2:$C$41,"No hay datos")</f>
        <v>Bahía del Sol</v>
      </c>
      <c r="I441" s="2" t="str">
        <f t="array" ref="I441">_xlfn.XLOOKUP(B441,Vendedores!$A$2:$A$41,Vendedores!$D$2:$D$41,"No hay datos")</f>
        <v>Región Central 2</v>
      </c>
      <c r="J441" s="2" t="str">
        <f t="array" ref="J441:N441">_xlfn.XLOOKUP(A441,Productos!$A$2:$A$61,Productos!$B$2:$F$61)</f>
        <v>Chaqueta de cuero</v>
      </c>
      <c r="K441" s="2" t="s">
        <v>17</v>
      </c>
      <c r="L441" s="2" t="s">
        <v>10</v>
      </c>
      <c r="M441" s="2" t="s">
        <v>43</v>
      </c>
      <c r="N441" s="2" t="s">
        <v>44</v>
      </c>
    </row>
    <row r="442">
      <c r="A442" s="2" t="str">
        <f>IFERROR(__xludf.DUMMYFUNCTION("""COMPUTED_VALUE"""),"PR014")</f>
        <v>PR014</v>
      </c>
      <c r="B442" s="2" t="str">
        <f>IFERROR(__xludf.DUMMYFUNCTION("""COMPUTED_VALUE"""),"VD017")</f>
        <v>VD017</v>
      </c>
      <c r="C442" s="2">
        <f>IFERROR(__xludf.DUMMYFUNCTION("""COMPUTED_VALUE"""),5.0)</f>
        <v>5</v>
      </c>
      <c r="D442" s="6">
        <f>IFERROR(__xludf.DUMMYFUNCTION("""COMPUTED_VALUE"""),217.46)</f>
        <v>217.46</v>
      </c>
      <c r="E442" s="6">
        <f>IFERROR(__xludf.DUMMYFUNCTION("GOOGLEFINANCE(""Currency:BRLMXN"")*D442"),738.8203500000001)</f>
        <v>738.82035</v>
      </c>
      <c r="F442" s="6">
        <f>IFERROR(__xludf.DUMMYFUNCTION("GOOGLEFINANCE(""Currency:BRLPEN"")*D442"),142.566776)</f>
        <v>142.566776</v>
      </c>
      <c r="G442" s="2" t="str">
        <f t="array" ref="G442">_xlfn.XLOOKUP(B442,Vendedores!$A$2:$A$41,Vendedores!$B$2:$B$41,"No hay datos")</f>
        <v>Bruno Peralta</v>
      </c>
      <c r="H442" s="2" t="str">
        <f t="array" ref="H442">_xlfn.XLOOKUP(B442,Vendedores!$A$2:$A$41,Vendedores!$C$2:$C$41,"No hay datos")</f>
        <v>Costa Azul</v>
      </c>
      <c r="I442" s="2" t="str">
        <f t="array" ref="I442">_xlfn.XLOOKUP(B442,Vendedores!$A$2:$A$41,Vendedores!$D$2:$D$41,"No hay datos")</f>
        <v>Región Norte</v>
      </c>
      <c r="J442" s="2" t="str">
        <f t="array" ref="J442:N442">_xlfn.XLOOKUP(A442,Productos!$A$2:$A$61,Productos!$B$2:$F$61)</f>
        <v>Playera estampada</v>
      </c>
      <c r="K442" s="2" t="s">
        <v>17</v>
      </c>
      <c r="L442" s="2" t="s">
        <v>10</v>
      </c>
      <c r="M442" s="2" t="s">
        <v>37</v>
      </c>
      <c r="N442" s="2" t="s">
        <v>38</v>
      </c>
    </row>
    <row r="443">
      <c r="A443" s="2" t="str">
        <f>IFERROR(__xludf.DUMMYFUNCTION("""COMPUTED_VALUE"""),"PR009")</f>
        <v>PR009</v>
      </c>
      <c r="B443" s="2" t="str">
        <f>IFERROR(__xludf.DUMMYFUNCTION("""COMPUTED_VALUE"""),"VD010")</f>
        <v>VD010</v>
      </c>
      <c r="C443" s="2">
        <f>IFERROR(__xludf.DUMMYFUNCTION("""COMPUTED_VALUE"""),5.0)</f>
        <v>5</v>
      </c>
      <c r="D443" s="6">
        <f>IFERROR(__xludf.DUMMYFUNCTION("""COMPUTED_VALUE"""),478.44)</f>
        <v>478.44</v>
      </c>
      <c r="E443" s="6">
        <f>IFERROR(__xludf.DUMMYFUNCTION("GOOGLEFINANCE(""Currency:BRLMXN"")*D443"),1625.4999)</f>
        <v>1625.4999</v>
      </c>
      <c r="F443" s="6">
        <f>IFERROR(__xludf.DUMMYFUNCTION("GOOGLEFINANCE(""Currency:BRLPEN"")*D443"),313.665264)</f>
        <v>313.665264</v>
      </c>
      <c r="G443" s="2" t="str">
        <f t="array" ref="G443">_xlfn.XLOOKUP(B443,Vendedores!$A$2:$A$41,Vendedores!$B$2:$B$41,"No hay datos")</f>
        <v>María Silva</v>
      </c>
      <c r="H443" s="2" t="str">
        <f t="array" ref="H443">_xlfn.XLOOKUP(B443,Vendedores!$A$2:$A$41,Vendedores!$C$2:$C$41,"No hay datos")</f>
        <v>San Juan de la Sierra</v>
      </c>
      <c r="I443" s="2" t="str">
        <f t="array" ref="I443">_xlfn.XLOOKUP(B443,Vendedores!$A$2:$A$41,Vendedores!$D$2:$D$41,"No hay datos")</f>
        <v>Región Central</v>
      </c>
      <c r="J443" s="2" t="str">
        <f t="array" ref="J443:N443">_xlfn.XLOOKUP(A443,Productos!$A$2:$A$61,Productos!$B$2:$F$61)</f>
        <v>Pantalón de mezclilla</v>
      </c>
      <c r="K443" s="2" t="s">
        <v>22</v>
      </c>
      <c r="L443" s="2" t="s">
        <v>10</v>
      </c>
      <c r="M443" s="2" t="s">
        <v>76</v>
      </c>
      <c r="N443" s="2" t="s">
        <v>77</v>
      </c>
    </row>
    <row r="444">
      <c r="A444" s="2" t="str">
        <f>IFERROR(__xludf.DUMMYFUNCTION("""COMPUTED_VALUE"""),"PR029")</f>
        <v>PR029</v>
      </c>
      <c r="B444" s="2" t="str">
        <f>IFERROR(__xludf.DUMMYFUNCTION("""COMPUTED_VALUE"""),"VD014")</f>
        <v>VD014</v>
      </c>
      <c r="C444" s="2">
        <f>IFERROR(__xludf.DUMMYFUNCTION("""COMPUTED_VALUE"""),6.0)</f>
        <v>6</v>
      </c>
      <c r="D444" s="6">
        <f>IFERROR(__xludf.DUMMYFUNCTION("""COMPUTED_VALUE"""),1575.9)</f>
        <v>1575.9</v>
      </c>
      <c r="E444" s="6">
        <f>IFERROR(__xludf.DUMMYFUNCTION("GOOGLEFINANCE(""Currency:BRLMXN"")*D444"),5354.12025)</f>
        <v>5354.12025</v>
      </c>
      <c r="F444" s="6">
        <f>IFERROR(__xludf.DUMMYFUNCTION("GOOGLEFINANCE(""Currency:BRLPEN"")*D444"),1033.16004)</f>
        <v>1033.16004</v>
      </c>
      <c r="G444" s="2" t="str">
        <f t="array" ref="G444">_xlfn.XLOOKUP(B444,Vendedores!$A$2:$A$41,Vendedores!$B$2:$B$41,"No hay datos")</f>
        <v>Carla Flores</v>
      </c>
      <c r="H444" s="2" t="str">
        <f t="array" ref="H444">_xlfn.XLOOKUP(B444,Vendedores!$A$2:$A$41,Vendedores!$C$2:$C$41,"No hay datos")</f>
        <v>Valle Escondido</v>
      </c>
      <c r="I444" s="2" t="str">
        <f t="array" ref="I444">_xlfn.XLOOKUP(B444,Vendedores!$A$2:$A$41,Vendedores!$D$2:$D$41,"No hay datos")</f>
        <v>Región Andina</v>
      </c>
      <c r="J444" s="2" t="str">
        <f t="array" ref="J444:N444">_xlfn.XLOOKUP(A444,Productos!$A$2:$A$61,Productos!$B$2:$F$61)</f>
        <v>Tenis Atitas</v>
      </c>
      <c r="K444" s="2">
        <v>37.0</v>
      </c>
      <c r="L444" s="2" t="s">
        <v>33</v>
      </c>
      <c r="M444" s="2" t="s">
        <v>96</v>
      </c>
      <c r="N444" s="2" t="s">
        <v>97</v>
      </c>
    </row>
    <row r="445">
      <c r="A445" s="2" t="str">
        <f>IFERROR(__xludf.DUMMYFUNCTION("""COMPUTED_VALUE"""),"PR019")</f>
        <v>PR019</v>
      </c>
      <c r="B445" s="2" t="str">
        <f>IFERROR(__xludf.DUMMYFUNCTION("""COMPUTED_VALUE"""),"VD020")</f>
        <v>VD020</v>
      </c>
      <c r="C445" s="2">
        <f>IFERROR(__xludf.DUMMYFUNCTION("""COMPUTED_VALUE"""),6.0)</f>
        <v>6</v>
      </c>
      <c r="D445" s="6">
        <f>IFERROR(__xludf.DUMMYFUNCTION("""COMPUTED_VALUE"""),317.36)</f>
        <v>317.36</v>
      </c>
      <c r="E445" s="6">
        <f>IFERROR(__xludf.DUMMYFUNCTION("GOOGLEFINANCE(""Currency:BRLMXN"")*D445"),1078.2306)</f>
        <v>1078.2306</v>
      </c>
      <c r="F445" s="6">
        <f>IFERROR(__xludf.DUMMYFUNCTION("GOOGLEFINANCE(""Currency:BRLPEN"")*D445"),208.061216)</f>
        <v>208.061216</v>
      </c>
      <c r="G445" s="2" t="str">
        <f t="array" ref="G445">_xlfn.XLOOKUP(B445,Vendedores!$A$2:$A$41,Vendedores!$B$2:$B$41,"No hay datos")</f>
        <v>Gustavo Morales</v>
      </c>
      <c r="H445" s="2" t="str">
        <f t="array" ref="H445">_xlfn.XLOOKUP(B445,Vendedores!$A$2:$A$41,Vendedores!$C$2:$C$41,"No hay datos")</f>
        <v>Villa del Sol</v>
      </c>
      <c r="I445" s="2" t="str">
        <f t="array" ref="I445">_xlfn.XLOOKUP(B445,Vendedores!$A$2:$A$41,Vendedores!$D$2:$D$41,"No hay datos")</f>
        <v>Región Central 2</v>
      </c>
      <c r="J445" s="2" t="str">
        <f t="array" ref="J445:N445">_xlfn.XLOOKUP(A445,Productos!$A$2:$A$61,Productos!$B$2:$F$61)</f>
        <v>Cinturón</v>
      </c>
      <c r="K445" s="2" t="s">
        <v>29</v>
      </c>
      <c r="L445" s="2" t="s">
        <v>30</v>
      </c>
      <c r="M445" s="2" t="s">
        <v>31</v>
      </c>
      <c r="N445" s="2" t="s">
        <v>32</v>
      </c>
    </row>
    <row r="446">
      <c r="A446" s="2" t="str">
        <f>IFERROR(__xludf.DUMMYFUNCTION("""COMPUTED_VALUE"""),"PR007")</f>
        <v>PR007</v>
      </c>
      <c r="B446" s="2" t="str">
        <f>IFERROR(__xludf.DUMMYFUNCTION("""COMPUTED_VALUE"""),"VD028")</f>
        <v>VD028</v>
      </c>
      <c r="C446" s="2">
        <f>IFERROR(__xludf.DUMMYFUNCTION("""COMPUTED_VALUE"""),14.0)</f>
        <v>14</v>
      </c>
      <c r="D446" s="6">
        <f>IFERROR(__xludf.DUMMYFUNCTION("""COMPUTED_VALUE"""),1226.65)</f>
        <v>1226.65</v>
      </c>
      <c r="E446" s="6">
        <f>IFERROR(__xludf.DUMMYFUNCTION("GOOGLEFINANCE(""Currency:BRLMXN"")*D446"),4167.543375)</f>
        <v>4167.543375</v>
      </c>
      <c r="F446" s="6">
        <f>IFERROR(__xludf.DUMMYFUNCTION("GOOGLEFINANCE(""Currency:BRLPEN"")*D446"),804.19174)</f>
        <v>804.19174</v>
      </c>
      <c r="G446" s="2" t="str">
        <f t="array" ref="G446">_xlfn.XLOOKUP(B446,Vendedores!$A$2:$A$41,Vendedores!$B$2:$B$41,"No hay datos")</f>
        <v>Rodrigo Almonte</v>
      </c>
      <c r="H446" s="2" t="str">
        <f t="array" ref="H446">_xlfn.XLOOKUP(B446,Vendedores!$A$2:$A$41,Vendedores!$C$2:$C$41,"No hay datos")</f>
        <v>Valle Escondido</v>
      </c>
      <c r="I446" s="2" t="str">
        <f t="array" ref="I446">_xlfn.XLOOKUP(B446,Vendedores!$A$2:$A$41,Vendedores!$D$2:$D$41,"No hay datos")</f>
        <v>Región Andina</v>
      </c>
      <c r="J446" s="2" t="str">
        <f t="array" ref="J446:N446">_xlfn.XLOOKUP(A446,Productos!$A$2:$A$61,Productos!$B$2:$F$61)</f>
        <v>Pantalón de mezclilla</v>
      </c>
      <c r="K446" s="2" t="s">
        <v>9</v>
      </c>
      <c r="L446" s="2" t="s">
        <v>10</v>
      </c>
      <c r="M446" s="2" t="s">
        <v>103</v>
      </c>
      <c r="N446" s="2" t="s">
        <v>104</v>
      </c>
    </row>
    <row r="447">
      <c r="A447" s="2" t="str">
        <f>IFERROR(__xludf.DUMMYFUNCTION("""COMPUTED_VALUE"""),"PR032")</f>
        <v>PR032</v>
      </c>
      <c r="B447" s="2" t="str">
        <f>IFERROR(__xludf.DUMMYFUNCTION("""COMPUTED_VALUE"""),"VD033")</f>
        <v>VD033</v>
      </c>
      <c r="C447" s="2">
        <f>IFERROR(__xludf.DUMMYFUNCTION("""COMPUTED_VALUE"""),30.0)</f>
        <v>30</v>
      </c>
      <c r="D447" s="6">
        <f>IFERROR(__xludf.DUMMYFUNCTION("""COMPUTED_VALUE"""),7950.0)</f>
        <v>7950</v>
      </c>
      <c r="E447" s="6">
        <f>IFERROR(__xludf.DUMMYFUNCTION("GOOGLEFINANCE(""Currency:BRLMXN"")*D447"),27010.125)</f>
        <v>27010.125</v>
      </c>
      <c r="F447" s="6">
        <f>IFERROR(__xludf.DUMMYFUNCTION("GOOGLEFINANCE(""Currency:BRLPEN"")*D447"),5212.0199999999995)</f>
        <v>5212.02</v>
      </c>
      <c r="G447" s="2" t="str">
        <f t="array" ref="G447">_xlfn.XLOOKUP(B447,Vendedores!$A$2:$A$41,Vendedores!$B$2:$B$41,"No hay datos")</f>
        <v>Renata Flores</v>
      </c>
      <c r="H447" s="2" t="str">
        <f t="array" ref="H447">_xlfn.XLOOKUP(B447,Vendedores!$A$2:$A$41,Vendedores!$C$2:$C$41,"No hay datos")</f>
        <v>Altos del Sur</v>
      </c>
      <c r="I447" s="2" t="str">
        <f t="array" ref="I447">_xlfn.XLOOKUP(B447,Vendedores!$A$2:$A$41,Vendedores!$D$2:$D$41,"No hay datos")</f>
        <v>Región Central 2</v>
      </c>
      <c r="J447" s="2" t="str">
        <f t="array" ref="J447:N447">_xlfn.XLOOKUP(A447,Productos!$A$2:$A$61,Productos!$B$2:$F$61)</f>
        <v>Tenis Chunky</v>
      </c>
      <c r="K447" s="2">
        <v>37.0</v>
      </c>
      <c r="L447" s="2" t="s">
        <v>33</v>
      </c>
      <c r="M447" s="2" t="s">
        <v>61</v>
      </c>
      <c r="N447" s="2" t="s">
        <v>62</v>
      </c>
    </row>
    <row r="448">
      <c r="A448" s="2" t="str">
        <f>IFERROR(__xludf.DUMMYFUNCTION("""COMPUTED_VALUE"""),"PR052")</f>
        <v>PR052</v>
      </c>
      <c r="B448" s="2" t="str">
        <f>IFERROR(__xludf.DUMMYFUNCTION("""COMPUTED_VALUE"""),"VD037")</f>
        <v>VD037</v>
      </c>
      <c r="C448" s="2">
        <f>IFERROR(__xludf.DUMMYFUNCTION("""COMPUTED_VALUE"""),16.0)</f>
        <v>16</v>
      </c>
      <c r="D448" s="6">
        <f>IFERROR(__xludf.DUMMYFUNCTION("""COMPUTED_VALUE"""),870.26)</f>
        <v>870.26</v>
      </c>
      <c r="E448" s="6">
        <f>IFERROR(__xludf.DUMMYFUNCTION("GOOGLEFINANCE(""Currency:BRLMXN"")*D448"),2956.70835)</f>
        <v>2956.70835</v>
      </c>
      <c r="F448" s="6">
        <f>IFERROR(__xludf.DUMMYFUNCTION("GOOGLEFINANCE(""Currency:BRLPEN"")*D448"),570.542456)</f>
        <v>570.542456</v>
      </c>
      <c r="G448" s="2" t="str">
        <f t="array" ref="G448">_xlfn.XLOOKUP(B448,Vendedores!$A$2:$A$41,Vendedores!$B$2:$B$41,"No hay datos")</f>
        <v>Amanda Silva</v>
      </c>
      <c r="H448" s="2" t="str">
        <f t="array" ref="H448">_xlfn.XLOOKUP(B448,Vendedores!$A$2:$A$41,Vendedores!$C$2:$C$41,"No hay datos")</f>
        <v>Villa Esperanza</v>
      </c>
      <c r="I448" s="2" t="str">
        <f t="array" ref="I448">_xlfn.XLOOKUP(B448,Vendedores!$A$2:$A$41,Vendedores!$D$2:$D$41,"No hay datos")</f>
        <v>Región Sur 2</v>
      </c>
      <c r="J448" s="2" t="str">
        <f t="array" ref="J448:N448">_xlfn.XLOOKUP(A448,Productos!$A$2:$A$61,Productos!$B$2:$F$61)</f>
        <v>Falda plisada</v>
      </c>
      <c r="K448" s="2" t="s">
        <v>9</v>
      </c>
      <c r="L448" s="2" t="s">
        <v>10</v>
      </c>
      <c r="M448" s="2" t="s">
        <v>36</v>
      </c>
      <c r="N448" s="2" t="s">
        <v>32</v>
      </c>
    </row>
    <row r="449">
      <c r="A449" s="2" t="str">
        <f>IFERROR(__xludf.DUMMYFUNCTION("""COMPUTED_VALUE"""),"PR055")</f>
        <v>PR055</v>
      </c>
      <c r="B449" s="2" t="str">
        <f>IFERROR(__xludf.DUMMYFUNCTION("""COMPUTED_VALUE"""),"VD036")</f>
        <v>VD036</v>
      </c>
      <c r="C449" s="2">
        <f>IFERROR(__xludf.DUMMYFUNCTION("""COMPUTED_VALUE"""),1.0)</f>
        <v>1</v>
      </c>
      <c r="D449" s="6">
        <f>IFERROR(__xludf.DUMMYFUNCTION("""COMPUTED_VALUE"""),89.9)</f>
        <v>89.9</v>
      </c>
      <c r="E449" s="6">
        <f>IFERROR(__xludf.DUMMYFUNCTION("GOOGLEFINANCE(""Currency:BRLMXN"")*D449"),305.43525)</f>
        <v>305.43525</v>
      </c>
      <c r="F449" s="6">
        <f>IFERROR(__xludf.DUMMYFUNCTION("GOOGLEFINANCE(""Currency:BRLPEN"")*D449"),58.93844)</f>
        <v>58.93844</v>
      </c>
      <c r="G449" s="2" t="str">
        <f t="array" ref="G449">_xlfn.XLOOKUP(B449,Vendedores!$A$2:$A$41,Vendedores!$B$2:$B$41,"No hay datos")</f>
        <v>Ricardo Sosa</v>
      </c>
      <c r="H449" s="2" t="str">
        <f t="array" ref="H449">_xlfn.XLOOKUP(B449,Vendedores!$A$2:$A$41,Vendedores!$C$2:$C$41,"No hay datos")</f>
        <v>Puerto Nuevo</v>
      </c>
      <c r="I449" s="2" t="str">
        <f t="array" ref="I449">_xlfn.XLOOKUP(B449,Vendedores!$A$2:$A$41,Vendedores!$D$2:$D$41,"No hay datos")</f>
        <v>Región Central 2</v>
      </c>
      <c r="J449" s="2" t="str">
        <f t="array" ref="J449:N449">_xlfn.XLOOKUP(A449,Productos!$A$2:$A$61,Productos!$B$2:$F$61)</f>
        <v>Sandalia plana</v>
      </c>
      <c r="K449" s="2">
        <v>35.0</v>
      </c>
      <c r="L449" s="2" t="s">
        <v>33</v>
      </c>
      <c r="M449" s="2" t="s">
        <v>34</v>
      </c>
      <c r="N449" s="2" t="s">
        <v>35</v>
      </c>
    </row>
    <row r="450">
      <c r="A450" s="2" t="str">
        <f>IFERROR(__xludf.DUMMYFUNCTION("""COMPUTED_VALUE"""),"PR027")</f>
        <v>PR027</v>
      </c>
      <c r="B450" s="2" t="str">
        <f>IFERROR(__xludf.DUMMYFUNCTION("""COMPUTED_VALUE"""),"VD019")</f>
        <v>VD019</v>
      </c>
      <c r="C450" s="2">
        <f>IFERROR(__xludf.DUMMYFUNCTION("""COMPUTED_VALUE"""),8.0)</f>
        <v>8</v>
      </c>
      <c r="D450" s="6">
        <f>IFERROR(__xludf.DUMMYFUNCTION("""COMPUTED_VALUE"""),988.8)</f>
        <v>988.8</v>
      </c>
      <c r="E450" s="6">
        <f>IFERROR(__xludf.DUMMYFUNCTION("GOOGLEFINANCE(""Currency:BRLMXN"")*D450"),3359.448)</f>
        <v>3359.448</v>
      </c>
      <c r="F450" s="6">
        <f>IFERROR(__xludf.DUMMYFUNCTION("GOOGLEFINANCE(""Currency:BRLPEN"")*D450"),648.2572799999999)</f>
        <v>648.25728</v>
      </c>
      <c r="G450" s="2" t="str">
        <f t="array" ref="G450">_xlfn.XLOOKUP(B450,Vendedores!$A$2:$A$41,Vendedores!$B$2:$B$41,"No hay datos")</f>
        <v>Rafael Sosa</v>
      </c>
      <c r="H450" s="2" t="str">
        <f t="array" ref="H450">_xlfn.XLOOKUP(B450,Vendedores!$A$2:$A$41,Vendedores!$C$2:$C$41,"No hay datos")</f>
        <v>Selva Verde</v>
      </c>
      <c r="I450" s="2" t="str">
        <f t="array" ref="I450">_xlfn.XLOOKUP(B450,Vendedores!$A$2:$A$41,Vendedores!$D$2:$D$41,"No hay datos")</f>
        <v>Región Amazónica</v>
      </c>
      <c r="J450" s="2" t="str">
        <f t="array" ref="J450:N450">_xlfn.XLOOKUP(A450,Productos!$A$2:$A$61,Productos!$B$2:$F$61)</f>
        <v>Gafas redondas</v>
      </c>
      <c r="K450" s="2" t="s">
        <v>29</v>
      </c>
      <c r="L450" s="2" t="s">
        <v>30</v>
      </c>
      <c r="M450" s="2" t="s">
        <v>53</v>
      </c>
      <c r="N450" s="2" t="s">
        <v>54</v>
      </c>
    </row>
    <row r="451">
      <c r="A451" s="2" t="str">
        <f>IFERROR(__xludf.DUMMYFUNCTION("""COMPUTED_VALUE"""),"PR034")</f>
        <v>PR034</v>
      </c>
      <c r="B451" s="2" t="str">
        <f>IFERROR(__xludf.DUMMYFUNCTION("""COMPUTED_VALUE"""),"VD048")</f>
        <v>VD048</v>
      </c>
      <c r="C451" s="2">
        <f>IFERROR(__xludf.DUMMYFUNCTION("""COMPUTED_VALUE"""),30.0)</f>
        <v>30</v>
      </c>
      <c r="D451" s="6">
        <f>IFERROR(__xludf.DUMMYFUNCTION("""COMPUTED_VALUE"""),2777.91)</f>
        <v>2777.91</v>
      </c>
      <c r="E451" s="6">
        <f>IFERROR(__xludf.DUMMYFUNCTION("GOOGLEFINANCE(""Currency:BRLMXN"")*D451"),9437.949225)</f>
        <v>9437.949225</v>
      </c>
      <c r="F451" s="6">
        <f>IFERROR(__xludf.DUMMYFUNCTION("GOOGLEFINANCE(""Currency:BRLPEN"")*D451"),1821.1977959999997)</f>
        <v>1821.197796</v>
      </c>
      <c r="G451" s="2" t="str">
        <f t="array" ref="G451">_xlfn.XLOOKUP(B451,Vendedores!$A$2:$A$41,Vendedores!$B$2:$B$41,"No hay datos")</f>
        <v>Mariana Castro</v>
      </c>
      <c r="H451" s="2" t="str">
        <f t="array" ref="H451">_xlfn.XLOOKUP(B451,Vendedores!$A$2:$A$41,Vendedores!$C$2:$C$41,"No hay datos")</f>
        <v>San Carlos del Valle</v>
      </c>
      <c r="I451" s="2" t="str">
        <f t="array" ref="I451">_xlfn.XLOOKUP(B451,Vendedores!$A$2:$A$41,Vendedores!$D$2:$D$41,"No hay datos")</f>
        <v>Región Central 2</v>
      </c>
      <c r="J451" s="2" t="str">
        <f t="array" ref="J451:N451">_xlfn.XLOOKUP(A451,Productos!$A$2:$A$61,Productos!$B$2:$F$61)</f>
        <v>Vestido corto</v>
      </c>
      <c r="K451" s="2" t="s">
        <v>9</v>
      </c>
      <c r="L451" s="2" t="s">
        <v>10</v>
      </c>
      <c r="M451" s="2" t="s">
        <v>93</v>
      </c>
      <c r="N451" s="2" t="s">
        <v>35</v>
      </c>
    </row>
    <row r="452">
      <c r="A452" s="2" t="str">
        <f>IFERROR(__xludf.DUMMYFUNCTION("""COMPUTED_VALUE"""),"PR028")</f>
        <v>PR028</v>
      </c>
      <c r="B452" s="2" t="str">
        <f>IFERROR(__xludf.DUMMYFUNCTION("""COMPUTED_VALUE"""),"VD042")</f>
        <v>VD042</v>
      </c>
      <c r="C452" s="2">
        <f>IFERROR(__xludf.DUMMYFUNCTION("""COMPUTED_VALUE"""),3.0)</f>
        <v>3</v>
      </c>
      <c r="D452" s="6">
        <f>IFERROR(__xludf.DUMMYFUNCTION("""COMPUTED_VALUE"""),749.7)</f>
        <v>749.7</v>
      </c>
      <c r="E452" s="6">
        <f>IFERROR(__xludf.DUMMYFUNCTION("GOOGLEFINANCE(""Currency:BRLMXN"")*D452"),2547.10575)</f>
        <v>2547.10575</v>
      </c>
      <c r="F452" s="6">
        <f>IFERROR(__xludf.DUMMYFUNCTION("GOOGLEFINANCE(""Currency:BRLPEN"")*D452"),491.50332)</f>
        <v>491.50332</v>
      </c>
      <c r="G452" s="2" t="str">
        <f t="array" ref="G452">_xlfn.XLOOKUP(B452,Vendedores!$A$2:$A$41,Vendedores!$B$2:$B$41,"No hay datos")</f>
        <v>Priscila Duarte</v>
      </c>
      <c r="H452" s="2" t="str">
        <f t="array" ref="H452">_xlfn.XLOOKUP(B452,Vendedores!$A$2:$A$41,Vendedores!$C$2:$C$41,"No hay datos")</f>
        <v>Villa Comercial</v>
      </c>
      <c r="I452" s="2" t="str">
        <f t="array" ref="I452">_xlfn.XLOOKUP(B452,Vendedores!$A$2:$A$41,Vendedores!$D$2:$D$41,"No hay datos")</f>
        <v>Región Central 2</v>
      </c>
      <c r="J452" s="2" t="str">
        <f t="array" ref="J452:N452">_xlfn.XLOOKUP(A452,Productos!$A$2:$A$61,Productos!$B$2:$F$61)</f>
        <v>Tenis Atitas</v>
      </c>
      <c r="K452" s="2">
        <v>36.0</v>
      </c>
      <c r="L452" s="2" t="s">
        <v>33</v>
      </c>
      <c r="M452" s="2" t="s">
        <v>55</v>
      </c>
      <c r="N452" s="2" t="s">
        <v>56</v>
      </c>
    </row>
    <row r="453">
      <c r="A453" s="2" t="str">
        <f>IFERROR(__xludf.DUMMYFUNCTION("""COMPUTED_VALUE"""),"PR039")</f>
        <v>PR039</v>
      </c>
      <c r="B453" s="2" t="str">
        <f>IFERROR(__xludf.DUMMYFUNCTION("""COMPUTED_VALUE"""),"VD023")</f>
        <v>VD023</v>
      </c>
      <c r="C453" s="2">
        <f>IFERROR(__xludf.DUMMYFUNCTION("""COMPUTED_VALUE"""),9.0)</f>
        <v>9</v>
      </c>
      <c r="D453" s="6">
        <f>IFERROR(__xludf.DUMMYFUNCTION("""COMPUTED_VALUE"""),1445.4)</f>
        <v>1445.4</v>
      </c>
      <c r="E453" s="6">
        <f>IFERROR(__xludf.DUMMYFUNCTION("GOOGLEFINANCE(""Currency:BRLMXN"")*D453"),4910.7465)</f>
        <v>4910.7465</v>
      </c>
      <c r="F453" s="6">
        <f>IFERROR(__xludf.DUMMYFUNCTION("GOOGLEFINANCE(""Currency:BRLPEN"")*D453"),947.60424)</f>
        <v>947.60424</v>
      </c>
      <c r="G453" s="2" t="str">
        <f t="array" ref="G453">_xlfn.XLOOKUP(B453,Vendedores!$A$2:$A$41,Vendedores!$B$2:$B$41,"No hay datos")</f>
        <v>Juliana Castro</v>
      </c>
      <c r="H453" s="2" t="str">
        <f t="array" ref="H453">_xlfn.XLOOKUP(B453,Vendedores!$A$2:$A$41,Vendedores!$C$2:$C$41,"No hay datos")</f>
        <v>San Miguel de los Pinos</v>
      </c>
      <c r="I453" s="2" t="str">
        <f t="array" ref="I453">_xlfn.XLOOKUP(B453,Vendedores!$A$2:$A$41,Vendedores!$D$2:$D$41,"No hay datos")</f>
        <v>Región Sur</v>
      </c>
      <c r="J453" s="2" t="str">
        <f t="array" ref="J453:N453">_xlfn.XLOOKUP(A453,Productos!$A$2:$A$61,Productos!$B$2:$F$61)</f>
        <v>Vestido largo</v>
      </c>
      <c r="K453" s="2" t="s">
        <v>22</v>
      </c>
      <c r="L453" s="2" t="s">
        <v>10</v>
      </c>
      <c r="M453" s="2" t="s">
        <v>73</v>
      </c>
      <c r="N453" s="2" t="s">
        <v>74</v>
      </c>
    </row>
    <row r="454">
      <c r="A454" s="2" t="str">
        <f>IFERROR(__xludf.DUMMYFUNCTION("""COMPUTED_VALUE"""),"PR053")</f>
        <v>PR053</v>
      </c>
      <c r="B454" s="2" t="str">
        <f>IFERROR(__xludf.DUMMYFUNCTION("""COMPUTED_VALUE"""),"VD024")</f>
        <v>VD024</v>
      </c>
      <c r="C454" s="2">
        <f>IFERROR(__xludf.DUMMYFUNCTION("""COMPUTED_VALUE"""),6.0)</f>
        <v>6</v>
      </c>
      <c r="D454" s="6">
        <f>IFERROR(__xludf.DUMMYFUNCTION("""COMPUTED_VALUE"""),308.38)</f>
        <v>308.38</v>
      </c>
      <c r="E454" s="6">
        <f>IFERROR(__xludf.DUMMYFUNCTION("GOOGLEFINANCE(""Currency:BRLMXN"")*D454"),1047.7210499999999)</f>
        <v>1047.72105</v>
      </c>
      <c r="F454" s="6">
        <f>IFERROR(__xludf.DUMMYFUNCTION("GOOGLEFINANCE(""Currency:BRLPEN"")*D454"),202.173928)</f>
        <v>202.173928</v>
      </c>
      <c r="G454" s="2" t="str">
        <f t="array" ref="G454">_xlfn.XLOOKUP(B454,Vendedores!$A$2:$A$41,Vendedores!$B$2:$B$41,"No hay datos")</f>
        <v>Marcos Rivera</v>
      </c>
      <c r="H454" s="2" t="str">
        <f t="array" ref="H454">_xlfn.XLOOKUP(B454,Vendedores!$A$2:$A$41,Vendedores!$C$2:$C$41,"No hay datos")</f>
        <v>Santa Rosa del Valle</v>
      </c>
      <c r="I454" s="2" t="str">
        <f t="array" ref="I454">_xlfn.XLOOKUP(B454,Vendedores!$A$2:$A$41,Vendedores!$D$2:$D$41,"No hay datos")</f>
        <v>Región Norte</v>
      </c>
      <c r="J454" s="2" t="str">
        <f t="array" ref="J454:N454">_xlfn.XLOOKUP(A454,Productos!$A$2:$A$61,Productos!$B$2:$F$61)</f>
        <v>Falda plisada</v>
      </c>
      <c r="K454" s="2" t="s">
        <v>17</v>
      </c>
      <c r="L454" s="2" t="s">
        <v>10</v>
      </c>
      <c r="M454" s="2" t="s">
        <v>41</v>
      </c>
      <c r="N454" s="2" t="s">
        <v>32</v>
      </c>
    </row>
    <row r="455">
      <c r="A455" s="2" t="str">
        <f>IFERROR(__xludf.DUMMYFUNCTION("""COMPUTED_VALUE"""),"PR032")</f>
        <v>PR032</v>
      </c>
      <c r="B455" s="2" t="str">
        <f>IFERROR(__xludf.DUMMYFUNCTION("""COMPUTED_VALUE"""),"VD011")</f>
        <v>VD011</v>
      </c>
      <c r="C455" s="2">
        <f>IFERROR(__xludf.DUMMYFUNCTION("""COMPUTED_VALUE"""),27.0)</f>
        <v>27</v>
      </c>
      <c r="D455" s="6">
        <f>IFERROR(__xludf.DUMMYFUNCTION("""COMPUTED_VALUE"""),7020.0)</f>
        <v>7020</v>
      </c>
      <c r="E455" s="6">
        <f>IFERROR(__xludf.DUMMYFUNCTION("GOOGLEFINANCE(""Currency:BRLMXN"")*D455"),23850.45)</f>
        <v>23850.45</v>
      </c>
      <c r="F455" s="6">
        <f>IFERROR(__xludf.DUMMYFUNCTION("GOOGLEFINANCE(""Currency:BRLPEN"")*D455"),4602.312)</f>
        <v>4602.312</v>
      </c>
      <c r="G455" s="2" t="str">
        <f t="array" ref="G455">_xlfn.XLOOKUP(B455,Vendedores!$A$2:$A$41,Vendedores!$B$2:$B$41,"No hay datos")</f>
        <v>Juan Santos</v>
      </c>
      <c r="H455" s="2" t="str">
        <f t="array" ref="H455">_xlfn.XLOOKUP(B455,Vendedores!$A$2:$A$41,Vendedores!$C$2:$C$41,"No hay datos")</f>
        <v>Vista Hermosa</v>
      </c>
      <c r="I455" s="2" t="str">
        <f t="array" ref="I455">_xlfn.XLOOKUP(B455,Vendedores!$A$2:$A$41,Vendedores!$D$2:$D$41,"No hay datos")</f>
        <v>Región Central</v>
      </c>
      <c r="J455" s="2" t="str">
        <f t="array" ref="J455:N455">_xlfn.XLOOKUP(A455,Productos!$A$2:$A$61,Productos!$B$2:$F$61)</f>
        <v>Tenis Chunky</v>
      </c>
      <c r="K455" s="2">
        <v>37.0</v>
      </c>
      <c r="L455" s="2" t="s">
        <v>33</v>
      </c>
      <c r="M455" s="2" t="s">
        <v>61</v>
      </c>
      <c r="N455" s="2" t="s">
        <v>62</v>
      </c>
    </row>
    <row r="456">
      <c r="A456" s="2" t="str">
        <f>IFERROR(__xludf.DUMMYFUNCTION("""COMPUTED_VALUE"""),"PR027")</f>
        <v>PR027</v>
      </c>
      <c r="B456" s="2" t="str">
        <f>IFERROR(__xludf.DUMMYFUNCTION("""COMPUTED_VALUE"""),"VD030")</f>
        <v>VD030</v>
      </c>
      <c r="C456" s="2">
        <f>IFERROR(__xludf.DUMMYFUNCTION("""COMPUTED_VALUE"""),3.0)</f>
        <v>3</v>
      </c>
      <c r="D456" s="6">
        <f>IFERROR(__xludf.DUMMYFUNCTION("""COMPUTED_VALUE"""),381.6)</f>
        <v>381.6</v>
      </c>
      <c r="E456" s="6">
        <f>IFERROR(__xludf.DUMMYFUNCTION("GOOGLEFINANCE(""Currency:BRLMXN"")*D456"),1296.486)</f>
        <v>1296.486</v>
      </c>
      <c r="F456" s="6">
        <f>IFERROR(__xludf.DUMMYFUNCTION("GOOGLEFINANCE(""Currency:BRLPEN"")*D456"),250.17696)</f>
        <v>250.17696</v>
      </c>
      <c r="G456" s="2" t="str">
        <f t="array" ref="G456">_xlfn.XLOOKUP(B456,Vendedores!$A$2:$A$41,Vendedores!$B$2:$B$41,"No hay datos")</f>
        <v>Leonardo Rojas</v>
      </c>
      <c r="H456" s="2" t="str">
        <f t="array" ref="H456">_xlfn.XLOOKUP(B456,Vendedores!$A$2:$A$41,Vendedores!$C$2:$C$41,"No hay datos")</f>
        <v>Villa del Sol</v>
      </c>
      <c r="I456" s="2" t="str">
        <f t="array" ref="I456">_xlfn.XLOOKUP(B456,Vendedores!$A$2:$A$41,Vendedores!$D$2:$D$41,"No hay datos")</f>
        <v>Región Central 2</v>
      </c>
      <c r="J456" s="2" t="str">
        <f t="array" ref="J456:N456">_xlfn.XLOOKUP(A456,Productos!$A$2:$A$61,Productos!$B$2:$F$61)</f>
        <v>Gafas redondas</v>
      </c>
      <c r="K456" s="2" t="s">
        <v>29</v>
      </c>
      <c r="L456" s="2" t="s">
        <v>30</v>
      </c>
      <c r="M456" s="2" t="s">
        <v>53</v>
      </c>
      <c r="N456" s="2" t="s">
        <v>54</v>
      </c>
    </row>
    <row r="457">
      <c r="A457" s="2" t="str">
        <f>IFERROR(__xludf.DUMMYFUNCTION("""COMPUTED_VALUE"""),"PR049")</f>
        <v>PR049</v>
      </c>
      <c r="B457" s="2" t="str">
        <f>IFERROR(__xludf.DUMMYFUNCTION("""COMPUTED_VALUE"""),"VD017")</f>
        <v>VD017</v>
      </c>
      <c r="C457" s="2">
        <f>IFERROR(__xludf.DUMMYFUNCTION("""COMPUTED_VALUE"""),24.0)</f>
        <v>24</v>
      </c>
      <c r="D457" s="6">
        <f>IFERROR(__xludf.DUMMYFUNCTION("""COMPUTED_VALUE"""),868.56)</f>
        <v>868.56</v>
      </c>
      <c r="E457" s="6">
        <f>IFERROR(__xludf.DUMMYFUNCTION("GOOGLEFINANCE(""Currency:BRLMXN"")*D457"),2950.9325999999996)</f>
        <v>2950.9326</v>
      </c>
      <c r="F457" s="6">
        <f>IFERROR(__xludf.DUMMYFUNCTION("GOOGLEFINANCE(""Currency:BRLPEN"")*D457"),569.4279359999999)</f>
        <v>569.427936</v>
      </c>
      <c r="G457" s="2" t="str">
        <f t="array" ref="G457">_xlfn.XLOOKUP(B457,Vendedores!$A$2:$A$41,Vendedores!$B$2:$B$41,"No hay datos")</f>
        <v>Bruno Peralta</v>
      </c>
      <c r="H457" s="2" t="str">
        <f t="array" ref="H457">_xlfn.XLOOKUP(B457,Vendedores!$A$2:$A$41,Vendedores!$C$2:$C$41,"No hay datos")</f>
        <v>Costa Azul</v>
      </c>
      <c r="I457" s="2" t="str">
        <f t="array" ref="I457">_xlfn.XLOOKUP(B457,Vendedores!$A$2:$A$41,Vendedores!$D$2:$D$41,"No hay datos")</f>
        <v>Región Norte</v>
      </c>
      <c r="J457" s="2" t="str">
        <f t="array" ref="J457:N457">_xlfn.XLOOKUP(A457,Productos!$A$2:$A$61,Productos!$B$2:$F$61)</f>
        <v>Playera a rayas</v>
      </c>
      <c r="K457" s="2" t="s">
        <v>9</v>
      </c>
      <c r="L457" s="2" t="s">
        <v>10</v>
      </c>
      <c r="M457" s="2" t="s">
        <v>47</v>
      </c>
      <c r="N457" s="2" t="s">
        <v>24</v>
      </c>
    </row>
    <row r="458">
      <c r="A458" s="2" t="str">
        <f>IFERROR(__xludf.DUMMYFUNCTION("""COMPUTED_VALUE"""),"PR050")</f>
        <v>PR050</v>
      </c>
      <c r="B458" s="2" t="str">
        <f>IFERROR(__xludf.DUMMYFUNCTION("""COMPUTED_VALUE"""),"VD018")</f>
        <v>VD018</v>
      </c>
      <c r="C458" s="2">
        <f>IFERROR(__xludf.DUMMYFUNCTION("""COMPUTED_VALUE"""),30.0)</f>
        <v>30</v>
      </c>
      <c r="D458" s="6">
        <f>IFERROR(__xludf.DUMMYFUNCTION("""COMPUTED_VALUE"""),987.0)</f>
        <v>987</v>
      </c>
      <c r="E458" s="6">
        <f>IFERROR(__xludf.DUMMYFUNCTION("GOOGLEFINANCE(""Currency:BRLMXN"")*D458"),3353.3325)</f>
        <v>3353.3325</v>
      </c>
      <c r="F458" s="6">
        <f>IFERROR(__xludf.DUMMYFUNCTION("GOOGLEFINANCE(""Currency:BRLPEN"")*D458"),647.0772)</f>
        <v>647.0772</v>
      </c>
      <c r="G458" s="2" t="str">
        <f t="array" ref="G458">_xlfn.XLOOKUP(B458,Vendedores!$A$2:$A$41,Vendedores!$B$2:$B$41,"No hay datos")</f>
        <v>Leticia Rodríguez</v>
      </c>
      <c r="H458" s="2" t="str">
        <f t="array" ref="H458">_xlfn.XLOOKUP(B458,Vendedores!$A$2:$A$41,Vendedores!$C$2:$C$41,"No hay datos")</f>
        <v>Playa Blanca</v>
      </c>
      <c r="I458" s="2" t="str">
        <f t="array" ref="I458">_xlfn.XLOOKUP(B458,Vendedores!$A$2:$A$41,Vendedores!$D$2:$D$41,"No hay datos")</f>
        <v>Región Norte</v>
      </c>
      <c r="J458" s="2" t="str">
        <f t="array" ref="J458:N458">_xlfn.XLOOKUP(A458,Productos!$A$2:$A$61,Productos!$B$2:$F$61)</f>
        <v>Playera a rayas</v>
      </c>
      <c r="K458" s="2" t="s">
        <v>17</v>
      </c>
      <c r="L458" s="2" t="s">
        <v>10</v>
      </c>
      <c r="M458" s="2" t="s">
        <v>27</v>
      </c>
      <c r="N458" s="2" t="s">
        <v>24</v>
      </c>
    </row>
    <row r="459">
      <c r="A459" s="2" t="str">
        <f>IFERROR(__xludf.DUMMYFUNCTION("""COMPUTED_VALUE"""),"PR051")</f>
        <v>PR051</v>
      </c>
      <c r="B459" s="2" t="str">
        <f>IFERROR(__xludf.DUMMYFUNCTION("""COMPUTED_VALUE"""),"VD021")</f>
        <v>VD021</v>
      </c>
      <c r="C459" s="2">
        <f>IFERROR(__xludf.DUMMYFUNCTION("""COMPUTED_VALUE"""),9.0)</f>
        <v>9</v>
      </c>
      <c r="D459" s="6">
        <f>IFERROR(__xludf.DUMMYFUNCTION("""COMPUTED_VALUE"""),302.02)</f>
        <v>302.02</v>
      </c>
      <c r="E459" s="6">
        <f>IFERROR(__xludf.DUMMYFUNCTION("GOOGLEFINANCE(""Currency:BRLMXN"")*D459"),1026.11295)</f>
        <v>1026.11295</v>
      </c>
      <c r="F459" s="6">
        <f>IFERROR(__xludf.DUMMYFUNCTION("GOOGLEFINANCE(""Currency:BRLPEN"")*D459"),198.00431199999997)</f>
        <v>198.004312</v>
      </c>
      <c r="G459" s="2" t="str">
        <f t="array" ref="G459">_xlfn.XLOOKUP(B459,Vendedores!$A$2:$A$41,Vendedores!$B$2:$B$41,"No hay datos")</f>
        <v>Fernanda Méndez</v>
      </c>
      <c r="H459" s="2" t="str">
        <f t="array" ref="H459">_xlfn.XLOOKUP(B459,Vendedores!$A$2:$A$41,Vendedores!$C$2:$C$41,"No hay datos")</f>
        <v>San Juan de la Sierra</v>
      </c>
      <c r="I459" s="2" t="str">
        <f t="array" ref="I459">_xlfn.XLOOKUP(B459,Vendedores!$A$2:$A$41,Vendedores!$D$2:$D$41,"No hay datos")</f>
        <v>Región Central</v>
      </c>
      <c r="J459" s="2" t="str">
        <f t="array" ref="J459:N459">_xlfn.XLOOKUP(A459,Productos!$A$2:$A$61,Productos!$B$2:$F$61)</f>
        <v>Playera a rayas</v>
      </c>
      <c r="K459" s="2" t="s">
        <v>22</v>
      </c>
      <c r="L459" s="2" t="s">
        <v>10</v>
      </c>
      <c r="M459" s="2" t="s">
        <v>23</v>
      </c>
      <c r="N459" s="2" t="s">
        <v>24</v>
      </c>
    </row>
    <row r="460">
      <c r="A460" s="2" t="str">
        <f>IFERROR(__xludf.DUMMYFUNCTION("""COMPUTED_VALUE"""),"PR031")</f>
        <v>PR031</v>
      </c>
      <c r="B460" s="2" t="str">
        <f>IFERROR(__xludf.DUMMYFUNCTION("""COMPUTED_VALUE"""),"VD018")</f>
        <v>VD018</v>
      </c>
      <c r="C460" s="2">
        <f>IFERROR(__xludf.DUMMYFUNCTION("""COMPUTED_VALUE"""),12.0)</f>
        <v>12</v>
      </c>
      <c r="D460" s="6">
        <f>IFERROR(__xludf.DUMMYFUNCTION("""COMPUTED_VALUE"""),3175.2)</f>
        <v>3175.2</v>
      </c>
      <c r="E460" s="6">
        <f>IFERROR(__xludf.DUMMYFUNCTION("GOOGLEFINANCE(""Currency:BRLMXN"")*D460"),10787.741999999998)</f>
        <v>10787.742</v>
      </c>
      <c r="F460" s="6">
        <f>IFERROR(__xludf.DUMMYFUNCTION("GOOGLEFINANCE(""Currency:BRLPEN"")*D460"),2081.6611199999998)</f>
        <v>2081.66112</v>
      </c>
      <c r="G460" s="2" t="str">
        <f t="array" ref="G460">_xlfn.XLOOKUP(B460,Vendedores!$A$2:$A$41,Vendedores!$B$2:$B$41,"No hay datos")</f>
        <v>Leticia Rodríguez</v>
      </c>
      <c r="H460" s="2" t="str">
        <f t="array" ref="H460">_xlfn.XLOOKUP(B460,Vendedores!$A$2:$A$41,Vendedores!$C$2:$C$41,"No hay datos")</f>
        <v>Playa Blanca</v>
      </c>
      <c r="I460" s="2" t="str">
        <f t="array" ref="I460">_xlfn.XLOOKUP(B460,Vendedores!$A$2:$A$41,Vendedores!$D$2:$D$41,"No hay datos")</f>
        <v>Región Norte</v>
      </c>
      <c r="J460" s="2" t="str">
        <f t="array" ref="J460:N460">_xlfn.XLOOKUP(A460,Productos!$A$2:$A$61,Productos!$B$2:$F$61)</f>
        <v>Tenis Chunky</v>
      </c>
      <c r="K460" s="2">
        <v>36.0</v>
      </c>
      <c r="L460" s="2" t="s">
        <v>33</v>
      </c>
      <c r="M460" s="2" t="s">
        <v>84</v>
      </c>
      <c r="N460" s="2" t="s">
        <v>85</v>
      </c>
    </row>
    <row r="461">
      <c r="A461" s="2" t="str">
        <f>IFERROR(__xludf.DUMMYFUNCTION("""COMPUTED_VALUE"""),"PR017")</f>
        <v>PR017</v>
      </c>
      <c r="B461" s="2" t="str">
        <f>IFERROR(__xludf.DUMMYFUNCTION("""COMPUTED_VALUE"""),"VD014")</f>
        <v>VD014</v>
      </c>
      <c r="C461" s="2">
        <f>IFERROR(__xludf.DUMMYFUNCTION("""COMPUTED_VALUE"""),6.0)</f>
        <v>6</v>
      </c>
      <c r="D461" s="6">
        <f>IFERROR(__xludf.DUMMYFUNCTION("""COMPUTED_VALUE"""),197.34)</f>
        <v>197.34</v>
      </c>
      <c r="E461" s="6">
        <f>IFERROR(__xludf.DUMMYFUNCTION("GOOGLEFINANCE(""Currency:BRLMXN"")*D461"),670.46265)</f>
        <v>670.46265</v>
      </c>
      <c r="F461" s="6">
        <f>IFERROR(__xludf.DUMMYFUNCTION("GOOGLEFINANCE(""Currency:BRLPEN"")*D461"),129.376104)</f>
        <v>129.376104</v>
      </c>
      <c r="G461" s="2" t="str">
        <f t="array" ref="G461">_xlfn.XLOOKUP(B461,Vendedores!$A$2:$A$41,Vendedores!$B$2:$B$41,"No hay datos")</f>
        <v>Carla Flores</v>
      </c>
      <c r="H461" s="2" t="str">
        <f t="array" ref="H461">_xlfn.XLOOKUP(B461,Vendedores!$A$2:$A$41,Vendedores!$C$2:$C$41,"No hay datos")</f>
        <v>Valle Escondido</v>
      </c>
      <c r="I461" s="2" t="str">
        <f t="array" ref="I461">_xlfn.XLOOKUP(B461,Vendedores!$A$2:$A$41,Vendedores!$D$2:$D$41,"No hay datos")</f>
        <v>Región Andina</v>
      </c>
      <c r="J461" s="2" t="str">
        <f t="array" ref="J461:N461">_xlfn.XLOOKUP(A461,Productos!$A$2:$A$61,Productos!$B$2:$F$61)</f>
        <v>Playera lisa</v>
      </c>
      <c r="K461" s="2" t="s">
        <v>17</v>
      </c>
      <c r="L461" s="2" t="s">
        <v>10</v>
      </c>
      <c r="M461" s="2" t="s">
        <v>98</v>
      </c>
      <c r="N461" s="2" t="s">
        <v>99</v>
      </c>
    </row>
    <row r="462">
      <c r="A462" s="2" t="str">
        <f>IFERROR(__xludf.DUMMYFUNCTION("""COMPUTED_VALUE"""),"PR044")</f>
        <v>PR044</v>
      </c>
      <c r="B462" s="2" t="str">
        <f>IFERROR(__xludf.DUMMYFUNCTION("""COMPUTED_VALUE"""),"VD025")</f>
        <v>VD025</v>
      </c>
      <c r="C462" s="2">
        <f>IFERROR(__xludf.DUMMYFUNCTION("""COMPUTED_VALUE"""),1.0)</f>
        <v>1</v>
      </c>
      <c r="D462" s="6">
        <f>IFERROR(__xludf.DUMMYFUNCTION("""COMPUTED_VALUE"""),76.13)</f>
        <v>76.13</v>
      </c>
      <c r="E462" s="6">
        <f>IFERROR(__xludf.DUMMYFUNCTION("GOOGLEFINANCE(""Currency:BRLMXN"")*D462"),258.65167499999995)</f>
        <v>258.651675</v>
      </c>
      <c r="F462" s="6">
        <f>IFERROR(__xludf.DUMMYFUNCTION("GOOGLEFINANCE(""Currency:BRLPEN"")*D462"),49.910827999999995)</f>
        <v>49.910828</v>
      </c>
      <c r="G462" s="2" t="str">
        <f t="array" ref="G462">_xlfn.XLOOKUP(B462,Vendedores!$A$2:$A$41,Vendedores!$B$2:$B$41,"No hay datos")</f>
        <v>Alina Santana</v>
      </c>
      <c r="H462" s="2" t="str">
        <f t="array" ref="H462">_xlfn.XLOOKUP(B462,Vendedores!$A$2:$A$41,Vendedores!$C$2:$C$41,"No hay datos")</f>
        <v>Playa Blanca</v>
      </c>
      <c r="I462" s="2" t="str">
        <f t="array" ref="I462">_xlfn.XLOOKUP(B462,Vendedores!$A$2:$A$41,Vendedores!$D$2:$D$41,"No hay datos")</f>
        <v>Región Norte</v>
      </c>
      <c r="J462" s="2" t="str">
        <f t="array" ref="J462:N462">_xlfn.XLOOKUP(A462,Productos!$A$2:$A$61,Productos!$B$2:$F$61)</f>
        <v>Vestido floral</v>
      </c>
      <c r="K462" s="2" t="s">
        <v>17</v>
      </c>
      <c r="L462" s="2" t="s">
        <v>10</v>
      </c>
      <c r="M462" s="2" t="s">
        <v>105</v>
      </c>
      <c r="N462" s="2" t="s">
        <v>40</v>
      </c>
    </row>
    <row r="463">
      <c r="A463" s="2" t="str">
        <f>IFERROR(__xludf.DUMMYFUNCTION("""COMPUTED_VALUE"""),"PR018")</f>
        <v>PR018</v>
      </c>
      <c r="B463" s="2" t="str">
        <f>IFERROR(__xludf.DUMMYFUNCTION("""COMPUTED_VALUE"""),"VD019")</f>
        <v>VD019</v>
      </c>
      <c r="C463" s="2">
        <f>IFERROR(__xludf.DUMMYFUNCTION("""COMPUTED_VALUE"""),3.0)</f>
        <v>3</v>
      </c>
      <c r="D463" s="6">
        <f>IFERROR(__xludf.DUMMYFUNCTION("""COMPUTED_VALUE"""),98.7)</f>
        <v>98.7</v>
      </c>
      <c r="E463" s="6">
        <f>IFERROR(__xludf.DUMMYFUNCTION("GOOGLEFINANCE(""Currency:BRLMXN"")*D463"),335.33325)</f>
        <v>335.33325</v>
      </c>
      <c r="F463" s="6">
        <f>IFERROR(__xludf.DUMMYFUNCTION("GOOGLEFINANCE(""Currency:BRLPEN"")*D463"),64.70772)</f>
        <v>64.70772</v>
      </c>
      <c r="G463" s="2" t="str">
        <f t="array" ref="G463">_xlfn.XLOOKUP(B463,Vendedores!$A$2:$A$41,Vendedores!$B$2:$B$41,"No hay datos")</f>
        <v>Rafael Sosa</v>
      </c>
      <c r="H463" s="2" t="str">
        <f t="array" ref="H463">_xlfn.XLOOKUP(B463,Vendedores!$A$2:$A$41,Vendedores!$C$2:$C$41,"No hay datos")</f>
        <v>Selva Verde</v>
      </c>
      <c r="I463" s="2" t="str">
        <f t="array" ref="I463">_xlfn.XLOOKUP(B463,Vendedores!$A$2:$A$41,Vendedores!$D$2:$D$41,"No hay datos")</f>
        <v>Región Amazónica</v>
      </c>
      <c r="J463" s="2" t="str">
        <f t="array" ref="J463:N463">_xlfn.XLOOKUP(A463,Productos!$A$2:$A$61,Productos!$B$2:$F$61)</f>
        <v>Playera lisa</v>
      </c>
      <c r="K463" s="2" t="s">
        <v>22</v>
      </c>
      <c r="L463" s="2" t="s">
        <v>10</v>
      </c>
      <c r="M463" s="2" t="s">
        <v>57</v>
      </c>
      <c r="N463" s="2" t="s">
        <v>24</v>
      </c>
    </row>
    <row r="464">
      <c r="A464" s="2" t="str">
        <f>IFERROR(__xludf.DUMMYFUNCTION("""COMPUTED_VALUE"""),"PR010")</f>
        <v>PR010</v>
      </c>
      <c r="B464" s="2" t="str">
        <f>IFERROR(__xludf.DUMMYFUNCTION("""COMPUTED_VALUE"""),"VD042")</f>
        <v>VD042</v>
      </c>
      <c r="C464" s="2">
        <f>IFERROR(__xludf.DUMMYFUNCTION("""COMPUTED_VALUE"""),10.0)</f>
        <v>10</v>
      </c>
      <c r="D464" s="6">
        <f>IFERROR(__xludf.DUMMYFUNCTION("""COMPUTED_VALUE"""),489.41)</f>
        <v>489.41</v>
      </c>
      <c r="E464" s="6">
        <f>IFERROR(__xludf.DUMMYFUNCTION("GOOGLEFINANCE(""Currency:BRLMXN"")*D464"),1662.770475)</f>
        <v>1662.770475</v>
      </c>
      <c r="F464" s="6">
        <f>IFERROR(__xludf.DUMMYFUNCTION("GOOGLEFINANCE(""Currency:BRLPEN"")*D464"),320.857196)</f>
        <v>320.857196</v>
      </c>
      <c r="G464" s="2" t="str">
        <f t="array" ref="G464">_xlfn.XLOOKUP(B464,Vendedores!$A$2:$A$41,Vendedores!$B$2:$B$41,"No hay datos")</f>
        <v>Priscila Duarte</v>
      </c>
      <c r="H464" s="2" t="str">
        <f t="array" ref="H464">_xlfn.XLOOKUP(B464,Vendedores!$A$2:$A$41,Vendedores!$C$2:$C$41,"No hay datos")</f>
        <v>Villa Comercial</v>
      </c>
      <c r="I464" s="2" t="str">
        <f t="array" ref="I464">_xlfn.XLOOKUP(B464,Vendedores!$A$2:$A$41,Vendedores!$D$2:$D$41,"No hay datos")</f>
        <v>Región Central 2</v>
      </c>
      <c r="J464" s="2" t="str">
        <f t="array" ref="J464:N464">_xlfn.XLOOKUP(A464,Productos!$A$2:$A$61,Productos!$B$2:$F$61)</f>
        <v>Pantalón legging</v>
      </c>
      <c r="K464" s="2" t="s">
        <v>9</v>
      </c>
      <c r="L464" s="2" t="s">
        <v>10</v>
      </c>
      <c r="M464" s="2" t="s">
        <v>86</v>
      </c>
      <c r="N464" s="2" t="s">
        <v>87</v>
      </c>
    </row>
    <row r="465">
      <c r="A465" s="2" t="str">
        <f>IFERROR(__xludf.DUMMYFUNCTION("""COMPUTED_VALUE"""),"PR041")</f>
        <v>PR041</v>
      </c>
      <c r="B465" s="2" t="str">
        <f>IFERROR(__xludf.DUMMYFUNCTION("""COMPUTED_VALUE"""),"VD032")</f>
        <v>VD032</v>
      </c>
      <c r="C465" s="2">
        <f>IFERROR(__xludf.DUMMYFUNCTION("""COMPUTED_VALUE"""),10.0)</f>
        <v>10</v>
      </c>
      <c r="D465" s="6">
        <f>IFERROR(__xludf.DUMMYFUNCTION("""COMPUTED_VALUE"""),554.49)</f>
        <v>554.49</v>
      </c>
      <c r="E465" s="6">
        <f>IFERROR(__xludf.DUMMYFUNCTION("GOOGLEFINANCE(""Currency:BRLMXN"")*D465"),1883.879775)</f>
        <v>1883.879775</v>
      </c>
      <c r="F465" s="6">
        <f>IFERROR(__xludf.DUMMYFUNCTION("GOOGLEFINANCE(""Currency:BRLPEN"")*D465"),363.523644)</f>
        <v>363.523644</v>
      </c>
      <c r="G465" s="2" t="str">
        <f t="array" ref="G465">_xlfn.XLOOKUP(B465,Vendedores!$A$2:$A$41,Vendedores!$B$2:$B$41,"No hay datos")</f>
        <v>Eduardo Almonte</v>
      </c>
      <c r="H465" s="2" t="str">
        <f t="array" ref="H465">_xlfn.XLOOKUP(B465,Vendedores!$A$2:$A$41,Vendedores!$C$2:$C$41,"No hay datos")</f>
        <v>Tierra Colorada</v>
      </c>
      <c r="I465" s="2" t="str">
        <f t="array" ref="I465">_xlfn.XLOOKUP(B465,Vendedores!$A$2:$A$41,Vendedores!$D$2:$D$41,"No hay datos")</f>
        <v>Región Central 2</v>
      </c>
      <c r="J465" s="2" t="str">
        <f t="array" ref="J465:N465">_xlfn.XLOOKUP(A465,Productos!$A$2:$A$61,Productos!$B$2:$F$61)</f>
        <v>Playera confort</v>
      </c>
      <c r="K465" s="2" t="s">
        <v>17</v>
      </c>
      <c r="L465" s="2" t="s">
        <v>10</v>
      </c>
      <c r="M465" s="2" t="s">
        <v>95</v>
      </c>
      <c r="N465" s="2" t="s">
        <v>26</v>
      </c>
    </row>
    <row r="466">
      <c r="A466" s="2" t="str">
        <f>IFERROR(__xludf.DUMMYFUNCTION("""COMPUTED_VALUE"""),"PR050")</f>
        <v>PR050</v>
      </c>
      <c r="B466" s="2" t="str">
        <f>IFERROR(__xludf.DUMMYFUNCTION("""COMPUTED_VALUE"""),"VD042")</f>
        <v>VD042</v>
      </c>
      <c r="C466" s="2">
        <f>IFERROR(__xludf.DUMMYFUNCTION("""COMPUTED_VALUE"""),2.0)</f>
        <v>2</v>
      </c>
      <c r="D466" s="6">
        <f>IFERROR(__xludf.DUMMYFUNCTION("""COMPUTED_VALUE"""),68.43)</f>
        <v>68.43</v>
      </c>
      <c r="E466" s="6">
        <f>IFERROR(__xludf.DUMMYFUNCTION("GOOGLEFINANCE(""Currency:BRLMXN"")*D466"),232.49092500000003)</f>
        <v>232.490925</v>
      </c>
      <c r="F466" s="6">
        <f>IFERROR(__xludf.DUMMYFUNCTION("GOOGLEFINANCE(""Currency:BRLPEN"")*D466"),44.862708000000005)</f>
        <v>44.862708</v>
      </c>
      <c r="G466" s="2" t="str">
        <f t="array" ref="G466">_xlfn.XLOOKUP(B466,Vendedores!$A$2:$A$41,Vendedores!$B$2:$B$41,"No hay datos")</f>
        <v>Priscila Duarte</v>
      </c>
      <c r="H466" s="2" t="str">
        <f t="array" ref="H466">_xlfn.XLOOKUP(B466,Vendedores!$A$2:$A$41,Vendedores!$C$2:$C$41,"No hay datos")</f>
        <v>Villa Comercial</v>
      </c>
      <c r="I466" s="2" t="str">
        <f t="array" ref="I466">_xlfn.XLOOKUP(B466,Vendedores!$A$2:$A$41,Vendedores!$D$2:$D$41,"No hay datos")</f>
        <v>Región Central 2</v>
      </c>
      <c r="J466" s="2" t="str">
        <f t="array" ref="J466:N466">_xlfn.XLOOKUP(A466,Productos!$A$2:$A$61,Productos!$B$2:$F$61)</f>
        <v>Playera a rayas</v>
      </c>
      <c r="K466" s="2" t="s">
        <v>17</v>
      </c>
      <c r="L466" s="2" t="s">
        <v>10</v>
      </c>
      <c r="M466" s="2" t="s">
        <v>27</v>
      </c>
      <c r="N466" s="2" t="s">
        <v>24</v>
      </c>
    </row>
    <row r="467">
      <c r="A467" s="2" t="str">
        <f>IFERROR(__xludf.DUMMYFUNCTION("""COMPUTED_VALUE"""),"PR022")</f>
        <v>PR022</v>
      </c>
      <c r="B467" s="2" t="str">
        <f>IFERROR(__xludf.DUMMYFUNCTION("""COMPUTED_VALUE"""),"VD031")</f>
        <v>VD031</v>
      </c>
      <c r="C467" s="2">
        <f>IFERROR(__xludf.DUMMYFUNCTION("""COMPUTED_VALUE"""),10.0)</f>
        <v>10</v>
      </c>
      <c r="D467" s="6">
        <f>IFERROR(__xludf.DUMMYFUNCTION("""COMPUTED_VALUE"""),3270.0)</f>
        <v>3270</v>
      </c>
      <c r="E467" s="6">
        <f>IFERROR(__xludf.DUMMYFUNCTION("GOOGLEFINANCE(""Currency:BRLMXN"")*D467"),11109.825)</f>
        <v>11109.825</v>
      </c>
      <c r="F467" s="6">
        <f>IFERROR(__xludf.DUMMYFUNCTION("GOOGLEFINANCE(""Currency:BRLPEN"")*D467"),2143.812)</f>
        <v>2143.812</v>
      </c>
      <c r="G467" s="2" t="str">
        <f t="array" ref="G467">_xlfn.XLOOKUP(B467,Vendedores!$A$2:$A$41,Vendedores!$B$2:$B$41,"No hay datos")</f>
        <v>Vanessa Martínez</v>
      </c>
      <c r="H467" s="2" t="str">
        <f t="array" ref="H467">_xlfn.XLOOKUP(B467,Vendedores!$A$2:$A$41,Vendedores!$C$2:$C$41,"No hay datos")</f>
        <v>Monte Verde</v>
      </c>
      <c r="I467" s="2" t="str">
        <f t="array" ref="I467">_xlfn.XLOOKUP(B467,Vendedores!$A$2:$A$41,Vendedores!$D$2:$D$41,"No hay datos")</f>
        <v>Región Central 2</v>
      </c>
      <c r="J467" s="2" t="str">
        <f t="array" ref="J467:N467">_xlfn.XLOOKUP(A467,Productos!$A$2:$A$61,Productos!$B$2:$F$61)</f>
        <v>Chaqueta de cuero</v>
      </c>
      <c r="K467" s="2" t="s">
        <v>22</v>
      </c>
      <c r="L467" s="2" t="s">
        <v>10</v>
      </c>
      <c r="M467" s="2" t="s">
        <v>78</v>
      </c>
      <c r="N467" s="2" t="s">
        <v>79</v>
      </c>
    </row>
    <row r="468">
      <c r="A468" s="2" t="str">
        <f>IFERROR(__xludf.DUMMYFUNCTION("""COMPUTED_VALUE"""),"PR048")</f>
        <v>PR048</v>
      </c>
      <c r="B468" s="2" t="str">
        <f>IFERROR(__xludf.DUMMYFUNCTION("""COMPUTED_VALUE"""),"VD016")</f>
        <v>VD016</v>
      </c>
      <c r="C468" s="2">
        <f>IFERROR(__xludf.DUMMYFUNCTION("""COMPUTED_VALUE"""),16.0)</f>
        <v>16</v>
      </c>
      <c r="D468" s="6">
        <f>IFERROR(__xludf.DUMMYFUNCTION("""COMPUTED_VALUE"""),5009.47)</f>
        <v>5009.47</v>
      </c>
      <c r="E468" s="6">
        <f>IFERROR(__xludf.DUMMYFUNCTION("GOOGLEFINANCE(""Currency:BRLMXN"")*D468"),17019.674325)</f>
        <v>17019.67433</v>
      </c>
      <c r="F468" s="6">
        <f>IFERROR(__xludf.DUMMYFUNCTION("GOOGLEFINANCE(""Currency:BRLPEN"")*D468"),3284.208532)</f>
        <v>3284.208532</v>
      </c>
      <c r="G468" s="2" t="str">
        <f t="array" ref="G468">_xlfn.XLOOKUP(B468,Vendedores!$A$2:$A$41,Vendedores!$B$2:$B$41,"No hay datos")</f>
        <v>Beatriz Linares</v>
      </c>
      <c r="H468" s="2" t="str">
        <f t="array" ref="H468">_xlfn.XLOOKUP(B468,Vendedores!$A$2:$A$41,Vendedores!$C$2:$C$41,"No hay datos")</f>
        <v>Puerto Esperanza</v>
      </c>
      <c r="I468" s="2" t="str">
        <f t="array" ref="I468">_xlfn.XLOOKUP(B468,Vendedores!$A$2:$A$41,Vendedores!$D$2:$D$41,"No hay datos")</f>
        <v>Región Sur</v>
      </c>
      <c r="J468" s="2" t="str">
        <f t="array" ref="J468:N468">_xlfn.XLOOKUP(A468,Productos!$A$2:$A$61,Productos!$B$2:$F$61)</f>
        <v>Chaqueta de cuero</v>
      </c>
      <c r="K468" s="2" t="s">
        <v>22</v>
      </c>
      <c r="L468" s="2" t="s">
        <v>10</v>
      </c>
      <c r="M468" s="2" t="s">
        <v>94</v>
      </c>
      <c r="N468" s="2" t="s">
        <v>44</v>
      </c>
    </row>
    <row r="469">
      <c r="A469" s="2" t="str">
        <f>IFERROR(__xludf.DUMMYFUNCTION("""COMPUTED_VALUE"""),"PR028")</f>
        <v>PR028</v>
      </c>
      <c r="B469" s="2" t="str">
        <f>IFERROR(__xludf.DUMMYFUNCTION("""COMPUTED_VALUE"""),"VD041")</f>
        <v>VD041</v>
      </c>
      <c r="C469" s="2">
        <f>IFERROR(__xludf.DUMMYFUNCTION("""COMPUTED_VALUE"""),16.0)</f>
        <v>16</v>
      </c>
      <c r="D469" s="6">
        <f>IFERROR(__xludf.DUMMYFUNCTION("""COMPUTED_VALUE"""),4038.38)</f>
        <v>4038.38</v>
      </c>
      <c r="E469" s="6">
        <f>IFERROR(__xludf.DUMMYFUNCTION("GOOGLEFINANCE(""Currency:BRLMXN"")*D469"),13720.39605)</f>
        <v>13720.39605</v>
      </c>
      <c r="F469" s="6">
        <f>IFERROR(__xludf.DUMMYFUNCTION("GOOGLEFINANCE(""Currency:BRLPEN"")*D469"),2647.561928)</f>
        <v>2647.561928</v>
      </c>
      <c r="G469" s="2" t="str">
        <f t="array" ref="G469">_xlfn.XLOOKUP(B469,Vendedores!$A$2:$A$41,Vendedores!$B$2:$B$41,"No hay datos")</f>
        <v>Alejandro Ramos</v>
      </c>
      <c r="H469" s="2" t="str">
        <f t="array" ref="H469">_xlfn.XLOOKUP(B469,Vendedores!$A$2:$A$41,Vendedores!$C$2:$C$41,"No hay datos")</f>
        <v>San Martín de las Rosas</v>
      </c>
      <c r="I469" s="2" t="str">
        <f t="array" ref="I469">_xlfn.XLOOKUP(B469,Vendedores!$A$2:$A$41,Vendedores!$D$2:$D$41,"No hay datos")</f>
        <v>Región Central 2</v>
      </c>
      <c r="J469" s="2" t="str">
        <f t="array" ref="J469:N469">_xlfn.XLOOKUP(A469,Productos!$A$2:$A$61,Productos!$B$2:$F$61)</f>
        <v>Tenis Atitas</v>
      </c>
      <c r="K469" s="2">
        <v>36.0</v>
      </c>
      <c r="L469" s="2" t="s">
        <v>33</v>
      </c>
      <c r="M469" s="2" t="s">
        <v>55</v>
      </c>
      <c r="N469" s="2" t="s">
        <v>56</v>
      </c>
    </row>
    <row r="470">
      <c r="A470" s="2" t="str">
        <f>IFERROR(__xludf.DUMMYFUNCTION("""COMPUTED_VALUE"""),"PR002")</f>
        <v>PR002</v>
      </c>
      <c r="B470" s="2" t="str">
        <f>IFERROR(__xludf.DUMMYFUNCTION("""COMPUTED_VALUE"""),"VD027")</f>
        <v>VD027</v>
      </c>
      <c r="C470" s="2">
        <f>IFERROR(__xludf.DUMMYFUNCTION("""COMPUTED_VALUE"""),2.0)</f>
        <v>2</v>
      </c>
      <c r="D470" s="6">
        <f>IFERROR(__xludf.DUMMYFUNCTION("""COMPUTED_VALUE"""),153.78)</f>
        <v>153.78</v>
      </c>
      <c r="E470" s="6">
        <f>IFERROR(__xludf.DUMMYFUNCTION("GOOGLEFINANCE(""Currency:BRLMXN"")*D470"),522.46755)</f>
        <v>522.46755</v>
      </c>
      <c r="F470" s="6">
        <f>IFERROR(__xludf.DUMMYFUNCTION("GOOGLEFINANCE(""Currency:BRLPEN"")*D470"),100.818168)</f>
        <v>100.818168</v>
      </c>
      <c r="G470" s="2" t="str">
        <f t="array" ref="G470">_xlfn.XLOOKUP(B470,Vendedores!$A$2:$A$41,Vendedores!$B$2:$B$41,"No hay datos")</f>
        <v>Patricia Cortés</v>
      </c>
      <c r="H470" s="2" t="str">
        <f t="array" ref="H470">_xlfn.XLOOKUP(B470,Vendedores!$A$2:$A$41,Vendedores!$C$2:$C$41,"No hay datos")</f>
        <v>Costa Azul</v>
      </c>
      <c r="I470" s="2" t="str">
        <f t="array" ref="I470">_xlfn.XLOOKUP(B470,Vendedores!$A$2:$A$41,Vendedores!$D$2:$D$41,"No hay datos")</f>
        <v>Región Norte</v>
      </c>
      <c r="J470" s="2" t="str">
        <f t="array" ref="J470:N470">_xlfn.XLOOKUP(A470,Productos!$A$2:$A$61,Productos!$B$2:$F$61)</f>
        <v>Bermuda</v>
      </c>
      <c r="K470" s="2" t="s">
        <v>17</v>
      </c>
      <c r="L470" s="2" t="s">
        <v>10</v>
      </c>
      <c r="M470" s="2" t="s">
        <v>49</v>
      </c>
      <c r="N470" s="2" t="s">
        <v>50</v>
      </c>
    </row>
    <row r="471">
      <c r="A471" s="2" t="str">
        <f>IFERROR(__xludf.DUMMYFUNCTION("""COMPUTED_VALUE"""),"PR043")</f>
        <v>PR043</v>
      </c>
      <c r="B471" s="2" t="str">
        <f>IFERROR(__xludf.DUMMYFUNCTION("""COMPUTED_VALUE"""),"VD046")</f>
        <v>VD046</v>
      </c>
      <c r="C471" s="2">
        <f>IFERROR(__xludf.DUMMYFUNCTION("""COMPUTED_VALUE"""),2.0)</f>
        <v>2</v>
      </c>
      <c r="D471" s="6">
        <f>IFERROR(__xludf.DUMMYFUNCTION("""COMPUTED_VALUE"""),146.45)</f>
        <v>146.45</v>
      </c>
      <c r="E471" s="6">
        <f>IFERROR(__xludf.DUMMYFUNCTION("GOOGLEFINANCE(""Currency:BRLMXN"")*D471"),497.56387499999994)</f>
        <v>497.563875</v>
      </c>
      <c r="F471" s="6">
        <f>IFERROR(__xludf.DUMMYFUNCTION("GOOGLEFINANCE(""Currency:BRLPEN"")*D471"),96.01261999999998)</f>
        <v>96.01262</v>
      </c>
      <c r="G471" s="2" t="str">
        <f t="array" ref="G471">_xlfn.XLOOKUP(B471,Vendedores!$A$2:$A$41,Vendedores!$B$2:$B$41,"No hay datos")</f>
        <v>Juliana Pérez</v>
      </c>
      <c r="H471" s="2" t="str">
        <f t="array" ref="H471">_xlfn.XLOOKUP(B471,Vendedores!$A$2:$A$41,Vendedores!$C$2:$C$41,"No hay datos")</f>
        <v>Santa Cruz de la Sierra</v>
      </c>
      <c r="I471" s="2" t="str">
        <f t="array" ref="I471">_xlfn.XLOOKUP(B471,Vendedores!$A$2:$A$41,Vendedores!$D$2:$D$41,"No hay datos")</f>
        <v>Región Central 2</v>
      </c>
      <c r="J471" s="2" t="str">
        <f t="array" ref="J471:N471">_xlfn.XLOOKUP(A471,Productos!$A$2:$A$61,Productos!$B$2:$F$61)</f>
        <v>Vestido floral</v>
      </c>
      <c r="K471" s="2" t="s">
        <v>9</v>
      </c>
      <c r="L471" s="2" t="s">
        <v>10</v>
      </c>
      <c r="M471" s="2" t="s">
        <v>69</v>
      </c>
      <c r="N471" s="2" t="s">
        <v>40</v>
      </c>
    </row>
    <row r="472">
      <c r="A472" s="2" t="str">
        <f>IFERROR(__xludf.DUMMYFUNCTION("""COMPUTED_VALUE"""),"PR033")</f>
        <v>PR033</v>
      </c>
      <c r="B472" s="2" t="str">
        <f>IFERROR(__xludf.DUMMYFUNCTION("""COMPUTED_VALUE"""),"VD042")</f>
        <v>VD042</v>
      </c>
      <c r="C472" s="2">
        <f>IFERROR(__xludf.DUMMYFUNCTION("""COMPUTED_VALUE"""),10.0)</f>
        <v>10</v>
      </c>
      <c r="D472" s="6">
        <f>IFERROR(__xludf.DUMMYFUNCTION("""COMPUTED_VALUE"""),2832.91)</f>
        <v>2832.91</v>
      </c>
      <c r="E472" s="6">
        <f>IFERROR(__xludf.DUMMYFUNCTION("GOOGLEFINANCE(""Currency:BRLMXN"")*D472"),9624.811725)</f>
        <v>9624.811725</v>
      </c>
      <c r="F472" s="6">
        <f>IFERROR(__xludf.DUMMYFUNCTION("GOOGLEFINANCE(""Currency:BRLPEN"")*D472"),1857.2557959999997)</f>
        <v>1857.255796</v>
      </c>
      <c r="G472" s="2" t="str">
        <f t="array" ref="G472">_xlfn.XLOOKUP(B472,Vendedores!$A$2:$A$41,Vendedores!$B$2:$B$41,"No hay datos")</f>
        <v>Priscila Duarte</v>
      </c>
      <c r="H472" s="2" t="str">
        <f t="array" ref="H472">_xlfn.XLOOKUP(B472,Vendedores!$A$2:$A$41,Vendedores!$C$2:$C$41,"No hay datos")</f>
        <v>Villa Comercial</v>
      </c>
      <c r="I472" s="2" t="str">
        <f t="array" ref="I472">_xlfn.XLOOKUP(B472,Vendedores!$A$2:$A$41,Vendedores!$D$2:$D$41,"No hay datos")</f>
        <v>Región Central 2</v>
      </c>
      <c r="J472" s="2" t="str">
        <f t="array" ref="J472:N472">_xlfn.XLOOKUP(A472,Productos!$A$2:$A$61,Productos!$B$2:$F$61)</f>
        <v>Tenis Chunky</v>
      </c>
      <c r="K472" s="2">
        <v>38.0</v>
      </c>
      <c r="L472" s="2" t="s">
        <v>33</v>
      </c>
      <c r="M472" s="2" t="s">
        <v>63</v>
      </c>
      <c r="N472" s="2" t="s">
        <v>64</v>
      </c>
    </row>
    <row r="473">
      <c r="A473" s="2" t="str">
        <f>IFERROR(__xludf.DUMMYFUNCTION("""COMPUTED_VALUE"""),"PR041")</f>
        <v>PR041</v>
      </c>
      <c r="B473" s="2" t="str">
        <f>IFERROR(__xludf.DUMMYFUNCTION("""COMPUTED_VALUE"""),"VD020")</f>
        <v>VD020</v>
      </c>
      <c r="C473" s="2">
        <f>IFERROR(__xludf.DUMMYFUNCTION("""COMPUTED_VALUE"""),7.0)</f>
        <v>7</v>
      </c>
      <c r="D473" s="6">
        <f>IFERROR(__xludf.DUMMYFUNCTION("""COMPUTED_VALUE"""),388.14)</f>
        <v>388.14</v>
      </c>
      <c r="E473" s="6">
        <f>IFERROR(__xludf.DUMMYFUNCTION("GOOGLEFINANCE(""Currency:BRLMXN"")*D473"),1318.7056499999999)</f>
        <v>1318.70565</v>
      </c>
      <c r="F473" s="6">
        <f>IFERROR(__xludf.DUMMYFUNCTION("GOOGLEFINANCE(""Currency:BRLPEN"")*D473"),254.46458399999997)</f>
        <v>254.464584</v>
      </c>
      <c r="G473" s="2" t="str">
        <f t="array" ref="G473">_xlfn.XLOOKUP(B473,Vendedores!$A$2:$A$41,Vendedores!$B$2:$B$41,"No hay datos")</f>
        <v>Gustavo Morales</v>
      </c>
      <c r="H473" s="2" t="str">
        <f t="array" ref="H473">_xlfn.XLOOKUP(B473,Vendedores!$A$2:$A$41,Vendedores!$C$2:$C$41,"No hay datos")</f>
        <v>Villa del Sol</v>
      </c>
      <c r="I473" s="2" t="str">
        <f t="array" ref="I473">_xlfn.XLOOKUP(B473,Vendedores!$A$2:$A$41,Vendedores!$D$2:$D$41,"No hay datos")</f>
        <v>Región Central 2</v>
      </c>
      <c r="J473" s="2" t="str">
        <f t="array" ref="J473:N473">_xlfn.XLOOKUP(A473,Productos!$A$2:$A$61,Productos!$B$2:$F$61)</f>
        <v>Playera confort</v>
      </c>
      <c r="K473" s="2" t="s">
        <v>17</v>
      </c>
      <c r="L473" s="2" t="s">
        <v>10</v>
      </c>
      <c r="M473" s="2" t="s">
        <v>95</v>
      </c>
      <c r="N473" s="2" t="s">
        <v>26</v>
      </c>
    </row>
    <row r="474">
      <c r="A474" s="2" t="str">
        <f>IFERROR(__xludf.DUMMYFUNCTION("""COMPUTED_VALUE"""),"PR030")</f>
        <v>PR030</v>
      </c>
      <c r="B474" s="2" t="str">
        <f>IFERROR(__xludf.DUMMYFUNCTION("""COMPUTED_VALUE"""),"VD045")</f>
        <v>VD045</v>
      </c>
      <c r="C474" s="2">
        <f>IFERROR(__xludf.DUMMYFUNCTION("""COMPUTED_VALUE"""),5.0)</f>
        <v>5</v>
      </c>
      <c r="D474" s="6">
        <f>IFERROR(__xludf.DUMMYFUNCTION("""COMPUTED_VALUE"""),1312.5)</f>
        <v>1312.5</v>
      </c>
      <c r="E474" s="6">
        <f>IFERROR(__xludf.DUMMYFUNCTION("GOOGLEFINANCE(""Currency:BRLMXN"")*D474"),4459.21875)</f>
        <v>4459.21875</v>
      </c>
      <c r="F474" s="6">
        <f>IFERROR(__xludf.DUMMYFUNCTION("GOOGLEFINANCE(""Currency:BRLPEN"")*D474"),860.4749999999999)</f>
        <v>860.475</v>
      </c>
      <c r="G474" s="2" t="str">
        <f t="array" ref="G474">_xlfn.XLOOKUP(B474,Vendedores!$A$2:$A$41,Vendedores!$B$2:$B$41,"No hay datos")</f>
        <v>Rafael Morales</v>
      </c>
      <c r="H474" s="2" t="str">
        <f t="array" ref="H474">_xlfn.XLOOKUP(B474,Vendedores!$A$2:$A$41,Vendedores!$C$2:$C$41,"No hay datos")</f>
        <v>Valle Dorado</v>
      </c>
      <c r="I474" s="2" t="str">
        <f t="array" ref="I474">_xlfn.XLOOKUP(B474,Vendedores!$A$2:$A$41,Vendedores!$D$2:$D$41,"No hay datos")</f>
        <v>Región Central 2</v>
      </c>
      <c r="J474" s="2" t="str">
        <f t="array" ref="J474:N474">_xlfn.XLOOKUP(A474,Productos!$A$2:$A$61,Productos!$B$2:$F$61)</f>
        <v>Tenis Atitas</v>
      </c>
      <c r="K474" s="2">
        <v>38.0</v>
      </c>
      <c r="L474" s="2" t="s">
        <v>33</v>
      </c>
      <c r="M474" s="2" t="s">
        <v>63</v>
      </c>
      <c r="N474" s="2" t="s">
        <v>64</v>
      </c>
    </row>
    <row r="475">
      <c r="A475" s="2" t="str">
        <f>IFERROR(__xludf.DUMMYFUNCTION("""COMPUTED_VALUE"""),"PR060")</f>
        <v>PR060</v>
      </c>
      <c r="B475" s="2" t="str">
        <f>IFERROR(__xludf.DUMMYFUNCTION("""COMPUTED_VALUE"""),"VD032")</f>
        <v>VD032</v>
      </c>
      <c r="C475" s="2">
        <f>IFERROR(__xludf.DUMMYFUNCTION("""COMPUTED_VALUE"""),6.0)</f>
        <v>6</v>
      </c>
      <c r="D475" s="6">
        <f>IFERROR(__xludf.DUMMYFUNCTION("""COMPUTED_VALUE"""),1090.8)</f>
        <v>1090.8</v>
      </c>
      <c r="E475" s="6">
        <f>IFERROR(__xludf.DUMMYFUNCTION("GOOGLEFINANCE(""Currency:BRLMXN"")*D475"),3705.993)</f>
        <v>3705.993</v>
      </c>
      <c r="F475" s="6">
        <f>IFERROR(__xludf.DUMMYFUNCTION("GOOGLEFINANCE(""Currency:BRLPEN"")*D475"),715.12848)</f>
        <v>715.12848</v>
      </c>
      <c r="G475" s="2" t="str">
        <f t="array" ref="G475">_xlfn.XLOOKUP(B475,Vendedores!$A$2:$A$41,Vendedores!$B$2:$B$41,"No hay datos")</f>
        <v>Eduardo Almonte</v>
      </c>
      <c r="H475" s="2" t="str">
        <f t="array" ref="H475">_xlfn.XLOOKUP(B475,Vendedores!$A$2:$A$41,Vendedores!$C$2:$C$41,"No hay datos")</f>
        <v>Tierra Colorada</v>
      </c>
      <c r="I475" s="2" t="str">
        <f t="array" ref="I475">_xlfn.XLOOKUP(B475,Vendedores!$A$2:$A$41,Vendedores!$D$2:$D$41,"No hay datos")</f>
        <v>Región Central 2</v>
      </c>
      <c r="J475" s="2" t="str">
        <f t="array" ref="J475:N475">_xlfn.XLOOKUP(A475,Productos!$A$2:$A$61,Productos!$B$2:$F$61)</f>
        <v>Pantalón de sastre</v>
      </c>
      <c r="K475" s="2" t="s">
        <v>22</v>
      </c>
      <c r="L475" s="2" t="s">
        <v>10</v>
      </c>
      <c r="M475" s="2" t="s">
        <v>75</v>
      </c>
      <c r="N475" s="2" t="s">
        <v>14</v>
      </c>
    </row>
    <row r="476">
      <c r="A476" s="2" t="str">
        <f>IFERROR(__xludf.DUMMYFUNCTION("""COMPUTED_VALUE"""),"PR051")</f>
        <v>PR051</v>
      </c>
      <c r="B476" s="2" t="str">
        <f>IFERROR(__xludf.DUMMYFUNCTION("""COMPUTED_VALUE"""),"VD034")</f>
        <v>VD034</v>
      </c>
      <c r="C476" s="2">
        <f>IFERROR(__xludf.DUMMYFUNCTION("""COMPUTED_VALUE"""),20.0)</f>
        <v>20</v>
      </c>
      <c r="D476" s="6">
        <f>IFERROR(__xludf.DUMMYFUNCTION("""COMPUTED_VALUE"""),658.0)</f>
        <v>658</v>
      </c>
      <c r="E476" s="6">
        <f>IFERROR(__xludf.DUMMYFUNCTION("GOOGLEFINANCE(""Currency:BRLMXN"")*D476"),2235.555)</f>
        <v>2235.555</v>
      </c>
      <c r="F476" s="6">
        <f>IFERROR(__xludf.DUMMYFUNCTION("GOOGLEFINANCE(""Currency:BRLPEN"")*D476"),431.3848)</f>
        <v>431.3848</v>
      </c>
      <c r="G476" s="2" t="str">
        <f t="array" ref="G476">_xlfn.XLOOKUP(B476,Vendedores!$A$2:$A$41,Vendedores!$B$2:$B$41,"No hay datos")</f>
        <v>Felipe Carvajal</v>
      </c>
      <c r="H476" s="2" t="str">
        <f t="array" ref="H476">_xlfn.XLOOKUP(B476,Vendedores!$A$2:$A$41,Vendedores!$C$2:$C$41,"No hay datos")</f>
        <v>San Pedro del Río</v>
      </c>
      <c r="I476" s="2" t="str">
        <f t="array" ref="I476">_xlfn.XLOOKUP(B476,Vendedores!$A$2:$A$41,Vendedores!$D$2:$D$41,"No hay datos")</f>
        <v>Región Sur 2</v>
      </c>
      <c r="J476" s="2" t="str">
        <f t="array" ref="J476:N476">_xlfn.XLOOKUP(A476,Productos!$A$2:$A$61,Productos!$B$2:$F$61)</f>
        <v>Playera a rayas</v>
      </c>
      <c r="K476" s="2" t="s">
        <v>22</v>
      </c>
      <c r="L476" s="2" t="s">
        <v>10</v>
      </c>
      <c r="M476" s="2" t="s">
        <v>23</v>
      </c>
      <c r="N476" s="2" t="s">
        <v>24</v>
      </c>
    </row>
    <row r="477">
      <c r="A477" s="2" t="str">
        <f>IFERROR(__xludf.DUMMYFUNCTION("""COMPUTED_VALUE"""),"PR005")</f>
        <v>PR005</v>
      </c>
      <c r="B477" s="2" t="str">
        <f>IFERROR(__xludf.DUMMYFUNCTION("""COMPUTED_VALUE"""),"VD011")</f>
        <v>VD011</v>
      </c>
      <c r="C477" s="2">
        <f>IFERROR(__xludf.DUMMYFUNCTION("""COMPUTED_VALUE"""),10.0)</f>
        <v>10</v>
      </c>
      <c r="D477" s="6">
        <f>IFERROR(__xludf.DUMMYFUNCTION("""COMPUTED_VALUE"""),2676.97)</f>
        <v>2676.97</v>
      </c>
      <c r="E477" s="6">
        <f>IFERROR(__xludf.DUMMYFUNCTION("GOOGLEFINANCE(""Currency:BRLMXN"")*D477"),9095.005575)</f>
        <v>9095.005575</v>
      </c>
      <c r="F477" s="6">
        <f>IFERROR(__xludf.DUMMYFUNCTION("GOOGLEFINANCE(""Currency:BRLPEN"")*D477"),1755.0215319999998)</f>
        <v>1755.021532</v>
      </c>
      <c r="G477" s="2" t="str">
        <f t="array" ref="G477">_xlfn.XLOOKUP(B477,Vendedores!$A$2:$A$41,Vendedores!$B$2:$B$41,"No hay datos")</f>
        <v>Juan Santos</v>
      </c>
      <c r="H477" s="2" t="str">
        <f t="array" ref="H477">_xlfn.XLOOKUP(B477,Vendedores!$A$2:$A$41,Vendedores!$C$2:$C$41,"No hay datos")</f>
        <v>Vista Hermosa</v>
      </c>
      <c r="I477" s="2" t="str">
        <f t="array" ref="I477">_xlfn.XLOOKUP(B477,Vendedores!$A$2:$A$41,Vendedores!$D$2:$D$41,"No hay datos")</f>
        <v>Región Central</v>
      </c>
      <c r="J477" s="2" t="str">
        <f t="array" ref="J477:N477">_xlfn.XLOOKUP(A477,Productos!$A$2:$A$61,Productos!$B$2:$F$61)</f>
        <v>Bolso de cuero</v>
      </c>
      <c r="K477" s="2" t="s">
        <v>29</v>
      </c>
      <c r="L477" s="2" t="s">
        <v>30</v>
      </c>
      <c r="M477" s="2" t="s">
        <v>100</v>
      </c>
      <c r="N477" s="2" t="s">
        <v>64</v>
      </c>
    </row>
    <row r="478">
      <c r="A478" s="2" t="str">
        <f>IFERROR(__xludf.DUMMYFUNCTION("""COMPUTED_VALUE"""),"PR013")</f>
        <v>PR013</v>
      </c>
      <c r="B478" s="2" t="str">
        <f>IFERROR(__xludf.DUMMYFUNCTION("""COMPUTED_VALUE"""),"VD012")</f>
        <v>VD012</v>
      </c>
      <c r="C478" s="2">
        <f>IFERROR(__xludf.DUMMYFUNCTION("""COMPUTED_VALUE"""),20.0)</f>
        <v>20</v>
      </c>
      <c r="D478" s="6">
        <f>IFERROR(__xludf.DUMMYFUNCTION("""COMPUTED_VALUE"""),845.88)</f>
        <v>845.88</v>
      </c>
      <c r="E478" s="6">
        <f>IFERROR(__xludf.DUMMYFUNCTION("GOOGLEFINANCE(""Currency:BRLMXN"")*D478"),2873.8773)</f>
        <v>2873.8773</v>
      </c>
      <c r="F478" s="6">
        <f>IFERROR(__xludf.DUMMYFUNCTION("GOOGLEFINANCE(""Currency:BRLPEN"")*D478"),554.5589279999999)</f>
        <v>554.558928</v>
      </c>
      <c r="G478" s="2" t="str">
        <f t="array" ref="G478">_xlfn.XLOOKUP(B478,Vendedores!$A$2:$A$41,Vendedores!$B$2:$B$41,"No hay datos")</f>
        <v>Ana Olmedo</v>
      </c>
      <c r="H478" s="2" t="str">
        <f t="array" ref="H478">_xlfn.XLOOKUP(B478,Vendedores!$A$2:$A$41,Vendedores!$C$2:$C$41,"No hay datos")</f>
        <v>Río Claro</v>
      </c>
      <c r="I478" s="2" t="str">
        <f t="array" ref="I478">_xlfn.XLOOKUP(B478,Vendedores!$A$2:$A$41,Vendedores!$D$2:$D$41,"No hay datos")</f>
        <v>Región Central</v>
      </c>
      <c r="J478" s="2" t="str">
        <f t="array" ref="J478:N478">_xlfn.XLOOKUP(A478,Productos!$A$2:$A$61,Productos!$B$2:$F$61)</f>
        <v>Playera estampada</v>
      </c>
      <c r="K478" s="2" t="s">
        <v>9</v>
      </c>
      <c r="L478" s="2" t="s">
        <v>10</v>
      </c>
      <c r="M478" s="2" t="s">
        <v>66</v>
      </c>
      <c r="N478" s="2" t="s">
        <v>38</v>
      </c>
    </row>
    <row r="479">
      <c r="A479" s="2" t="str">
        <f>IFERROR(__xludf.DUMMYFUNCTION("""COMPUTED_VALUE"""),"PR037")</f>
        <v>PR037</v>
      </c>
      <c r="B479" s="2" t="str">
        <f>IFERROR(__xludf.DUMMYFUNCTION("""COMPUTED_VALUE"""),"VD039")</f>
        <v>VD039</v>
      </c>
      <c r="C479" s="2">
        <f>IFERROR(__xludf.DUMMYFUNCTION("""COMPUTED_VALUE"""),14.0)</f>
        <v>14</v>
      </c>
      <c r="D479" s="6">
        <f>IFERROR(__xludf.DUMMYFUNCTION("""COMPUTED_VALUE"""),1979.6)</f>
        <v>1979.6</v>
      </c>
      <c r="E479" s="6">
        <f>IFERROR(__xludf.DUMMYFUNCTION("GOOGLEFINANCE(""Currency:BRLMXN"")*D479"),6725.691)</f>
        <v>6725.691</v>
      </c>
      <c r="F479" s="6">
        <f>IFERROR(__xludf.DUMMYFUNCTION("GOOGLEFINANCE(""Currency:BRLPEN"")*D479"),1297.82576)</f>
        <v>1297.82576</v>
      </c>
      <c r="G479" s="2" t="str">
        <f t="array" ref="G479">_xlfn.XLOOKUP(B479,Vendedores!$A$2:$A$41,Vendedores!$B$2:$B$41,"No hay datos")</f>
        <v>Daniela Rodríguez</v>
      </c>
      <c r="H479" s="2" t="str">
        <f t="array" ref="H479">_xlfn.XLOOKUP(B479,Vendedores!$A$2:$A$41,Vendedores!$C$2:$C$41,"No hay datos")</f>
        <v>Bahía del Sol</v>
      </c>
      <c r="I479" s="2" t="str">
        <f t="array" ref="I479">_xlfn.XLOOKUP(B479,Vendedores!$A$2:$A$41,Vendedores!$D$2:$D$41,"No hay datos")</f>
        <v>Región Central 2</v>
      </c>
      <c r="J479" s="2" t="str">
        <f t="array" ref="J479:N479">_xlfn.XLOOKUP(A479,Productos!$A$2:$A$61,Productos!$B$2:$F$61)</f>
        <v>Vestido largo</v>
      </c>
      <c r="K479" s="2" t="s">
        <v>9</v>
      </c>
      <c r="L479" s="2" t="s">
        <v>10</v>
      </c>
      <c r="M479" s="2" t="s">
        <v>70</v>
      </c>
      <c r="N479" s="2" t="s">
        <v>71</v>
      </c>
    </row>
    <row r="480">
      <c r="A480" s="2" t="str">
        <f>IFERROR(__xludf.DUMMYFUNCTION("""COMPUTED_VALUE"""),"PR032")</f>
        <v>PR032</v>
      </c>
      <c r="B480" s="2" t="str">
        <f>IFERROR(__xludf.DUMMYFUNCTION("""COMPUTED_VALUE"""),"VD022")</f>
        <v>VD022</v>
      </c>
      <c r="C480" s="2">
        <f>IFERROR(__xludf.DUMMYFUNCTION("""COMPUTED_VALUE"""),16.0)</f>
        <v>16</v>
      </c>
      <c r="D480" s="6">
        <f>IFERROR(__xludf.DUMMYFUNCTION("""COMPUTED_VALUE"""),4160.0)</f>
        <v>4160</v>
      </c>
      <c r="E480" s="6">
        <f>IFERROR(__xludf.DUMMYFUNCTION("GOOGLEFINANCE(""Currency:BRLMXN"")*D480"),14133.6)</f>
        <v>14133.6</v>
      </c>
      <c r="F480" s="6">
        <f>IFERROR(__xludf.DUMMYFUNCTION("GOOGLEFINANCE(""Currency:BRLPEN"")*D480"),2727.296)</f>
        <v>2727.296</v>
      </c>
      <c r="G480" s="2" t="str">
        <f t="array" ref="G480">_xlfn.XLOOKUP(B480,Vendedores!$A$2:$A$41,Vendedores!$B$2:$B$41,"No hay datos")</f>
        <v>Santiago Linares</v>
      </c>
      <c r="H480" s="2" t="str">
        <f t="array" ref="H480">_xlfn.XLOOKUP(B480,Vendedores!$A$2:$A$41,Vendedores!$C$2:$C$41,"No hay datos")</f>
        <v>Vista Hermosa</v>
      </c>
      <c r="I480" s="2" t="str">
        <f t="array" ref="I480">_xlfn.XLOOKUP(B480,Vendedores!$A$2:$A$41,Vendedores!$D$2:$D$41,"No hay datos")</f>
        <v>Región Central</v>
      </c>
      <c r="J480" s="2" t="str">
        <f t="array" ref="J480:N480">_xlfn.XLOOKUP(A480,Productos!$A$2:$A$61,Productos!$B$2:$F$61)</f>
        <v>Tenis Chunky</v>
      </c>
      <c r="K480" s="2">
        <v>37.0</v>
      </c>
      <c r="L480" s="2" t="s">
        <v>33</v>
      </c>
      <c r="M480" s="2" t="s">
        <v>61</v>
      </c>
      <c r="N480" s="2" t="s">
        <v>62</v>
      </c>
    </row>
    <row r="481">
      <c r="A481" s="2" t="str">
        <f>IFERROR(__xludf.DUMMYFUNCTION("""COMPUTED_VALUE"""),"PR052")</f>
        <v>PR052</v>
      </c>
      <c r="B481" s="2" t="str">
        <f>IFERROR(__xludf.DUMMYFUNCTION("""COMPUTED_VALUE"""),"VD045")</f>
        <v>VD045</v>
      </c>
      <c r="C481" s="2">
        <f>IFERROR(__xludf.DUMMYFUNCTION("""COMPUTED_VALUE"""),5.0)</f>
        <v>5</v>
      </c>
      <c r="D481" s="6">
        <f>IFERROR(__xludf.DUMMYFUNCTION("""COMPUTED_VALUE"""),269.46)</f>
        <v>269.46</v>
      </c>
      <c r="E481" s="6">
        <f>IFERROR(__xludf.DUMMYFUNCTION("GOOGLEFINANCE(""Currency:BRLMXN"")*D481"),915.4903499999999)</f>
        <v>915.49035</v>
      </c>
      <c r="F481" s="6">
        <f>IFERROR(__xludf.DUMMYFUNCTION("GOOGLEFINANCE(""Currency:BRLPEN"")*D481"),176.65797599999996)</f>
        <v>176.657976</v>
      </c>
      <c r="G481" s="2" t="str">
        <f t="array" ref="G481">_xlfn.XLOOKUP(B481,Vendedores!$A$2:$A$41,Vendedores!$B$2:$B$41,"No hay datos")</f>
        <v>Rafael Morales</v>
      </c>
      <c r="H481" s="2" t="str">
        <f t="array" ref="H481">_xlfn.XLOOKUP(B481,Vendedores!$A$2:$A$41,Vendedores!$C$2:$C$41,"No hay datos")</f>
        <v>Valle Dorado</v>
      </c>
      <c r="I481" s="2" t="str">
        <f t="array" ref="I481">_xlfn.XLOOKUP(B481,Vendedores!$A$2:$A$41,Vendedores!$D$2:$D$41,"No hay datos")</f>
        <v>Región Central 2</v>
      </c>
      <c r="J481" s="2" t="str">
        <f t="array" ref="J481:N481">_xlfn.XLOOKUP(A481,Productos!$A$2:$A$61,Productos!$B$2:$F$61)</f>
        <v>Falda plisada</v>
      </c>
      <c r="K481" s="2" t="s">
        <v>9</v>
      </c>
      <c r="L481" s="2" t="s">
        <v>10</v>
      </c>
      <c r="M481" s="2" t="s">
        <v>36</v>
      </c>
      <c r="N481" s="2" t="s">
        <v>32</v>
      </c>
    </row>
    <row r="482">
      <c r="A482" s="2" t="str">
        <f>IFERROR(__xludf.DUMMYFUNCTION("""COMPUTED_VALUE"""),"PR038")</f>
        <v>PR038</v>
      </c>
      <c r="B482" s="2" t="str">
        <f>IFERROR(__xludf.DUMMYFUNCTION("""COMPUTED_VALUE"""),"VD020")</f>
        <v>VD020</v>
      </c>
      <c r="C482" s="2">
        <f>IFERROR(__xludf.DUMMYFUNCTION("""COMPUTED_VALUE"""),2.0)</f>
        <v>2</v>
      </c>
      <c r="D482" s="6">
        <f>IFERROR(__xludf.DUMMYFUNCTION("""COMPUTED_VALUE"""),305.81)</f>
        <v>305.81</v>
      </c>
      <c r="E482" s="6">
        <f>IFERROR(__xludf.DUMMYFUNCTION("GOOGLEFINANCE(""Currency:BRLMXN"")*D482"),1038.989475)</f>
        <v>1038.989475</v>
      </c>
      <c r="F482" s="6">
        <f>IFERROR(__xludf.DUMMYFUNCTION("GOOGLEFINANCE(""Currency:BRLPEN"")*D482"),200.489036)</f>
        <v>200.489036</v>
      </c>
      <c r="G482" s="2" t="str">
        <f t="array" ref="G482">_xlfn.XLOOKUP(B482,Vendedores!$A$2:$A$41,Vendedores!$B$2:$B$41,"No hay datos")</f>
        <v>Gustavo Morales</v>
      </c>
      <c r="H482" s="2" t="str">
        <f t="array" ref="H482">_xlfn.XLOOKUP(B482,Vendedores!$A$2:$A$41,Vendedores!$C$2:$C$41,"No hay datos")</f>
        <v>Villa del Sol</v>
      </c>
      <c r="I482" s="2" t="str">
        <f t="array" ref="I482">_xlfn.XLOOKUP(B482,Vendedores!$A$2:$A$41,Vendedores!$D$2:$D$41,"No hay datos")</f>
        <v>Región Central 2</v>
      </c>
      <c r="J482" s="2" t="str">
        <f t="array" ref="J482:N482">_xlfn.XLOOKUP(A482,Productos!$A$2:$A$61,Productos!$B$2:$F$61)</f>
        <v>Vestido largo</v>
      </c>
      <c r="K482" s="2" t="s">
        <v>17</v>
      </c>
      <c r="L482" s="2" t="s">
        <v>10</v>
      </c>
      <c r="M482" s="2" t="s">
        <v>51</v>
      </c>
      <c r="N482" s="2" t="s">
        <v>52</v>
      </c>
    </row>
    <row r="483">
      <c r="A483" s="2" t="str">
        <f>IFERROR(__xludf.DUMMYFUNCTION("""COMPUTED_VALUE"""),"PR049")</f>
        <v>PR049</v>
      </c>
      <c r="B483" s="2" t="str">
        <f>IFERROR(__xludf.DUMMYFUNCTION("""COMPUTED_VALUE"""),"VD029")</f>
        <v>VD029</v>
      </c>
      <c r="C483" s="2">
        <f>IFERROR(__xludf.DUMMYFUNCTION("""COMPUTED_VALUE"""),9.0)</f>
        <v>9</v>
      </c>
      <c r="D483" s="6">
        <f>IFERROR(__xludf.DUMMYFUNCTION("""COMPUTED_VALUE"""),310.91)</f>
        <v>310.91</v>
      </c>
      <c r="E483" s="6">
        <f>IFERROR(__xludf.DUMMYFUNCTION("GOOGLEFINANCE(""Currency:BRLMXN"")*D483"),1056.3167250000001)</f>
        <v>1056.316725</v>
      </c>
      <c r="F483" s="6">
        <f>IFERROR(__xludf.DUMMYFUNCTION("GOOGLEFINANCE(""Currency:BRLPEN"")*D483"),203.832596)</f>
        <v>203.832596</v>
      </c>
      <c r="G483" s="2" t="str">
        <f t="array" ref="G483">_xlfn.XLOOKUP(B483,Vendedores!$A$2:$A$41,Vendedores!$B$2:$B$41,"No hay datos")</f>
        <v>Gabriela Sosa</v>
      </c>
      <c r="H483" s="2" t="str">
        <f t="array" ref="H483">_xlfn.XLOOKUP(B483,Vendedores!$A$2:$A$41,Vendedores!$C$2:$C$41,"No hay datos")</f>
        <v>Selva Verde</v>
      </c>
      <c r="I483" s="2" t="str">
        <f t="array" ref="I483">_xlfn.XLOOKUP(B483,Vendedores!$A$2:$A$41,Vendedores!$D$2:$D$41,"No hay datos")</f>
        <v>Región Amazónica</v>
      </c>
      <c r="J483" s="2" t="str">
        <f t="array" ref="J483:N483">_xlfn.XLOOKUP(A483,Productos!$A$2:$A$61,Productos!$B$2:$F$61)</f>
        <v>Playera a rayas</v>
      </c>
      <c r="K483" s="2" t="s">
        <v>9</v>
      </c>
      <c r="L483" s="2" t="s">
        <v>10</v>
      </c>
      <c r="M483" s="2" t="s">
        <v>47</v>
      </c>
      <c r="N483" s="2" t="s">
        <v>24</v>
      </c>
    </row>
    <row r="484">
      <c r="A484" s="2" t="str">
        <f>IFERROR(__xludf.DUMMYFUNCTION("""COMPUTED_VALUE"""),"PR022")</f>
        <v>PR022</v>
      </c>
      <c r="B484" s="2" t="str">
        <f>IFERROR(__xludf.DUMMYFUNCTION("""COMPUTED_VALUE"""),"VD015")</f>
        <v>VD015</v>
      </c>
      <c r="C484" s="2">
        <f>IFERROR(__xludf.DUMMYFUNCTION("""COMPUTED_VALUE"""),12.0)</f>
        <v>12</v>
      </c>
      <c r="D484" s="6">
        <f>IFERROR(__xludf.DUMMYFUNCTION("""COMPUTED_VALUE"""),3672.0)</f>
        <v>3672</v>
      </c>
      <c r="E484" s="6">
        <f>IFERROR(__xludf.DUMMYFUNCTION("GOOGLEFINANCE(""Currency:BRLMXN"")*D484"),12475.619999999999)</f>
        <v>12475.62</v>
      </c>
      <c r="F484" s="6">
        <f>IFERROR(__xludf.DUMMYFUNCTION("GOOGLEFINANCE(""Currency:BRLPEN"")*D484"),2407.3632)</f>
        <v>2407.3632</v>
      </c>
      <c r="G484" s="2" t="str">
        <f t="array" ref="G484">_xlfn.XLOOKUP(B484,Vendedores!$A$2:$A$41,Vendedores!$B$2:$B$41,"No hay datos")</f>
        <v>Lucas Castillo</v>
      </c>
      <c r="H484" s="2" t="str">
        <f t="array" ref="H484">_xlfn.XLOOKUP(B484,Vendedores!$A$2:$A$41,Vendedores!$C$2:$C$41,"No hay datos")</f>
        <v>San Miguel de los Pinos</v>
      </c>
      <c r="I484" s="2" t="str">
        <f t="array" ref="I484">_xlfn.XLOOKUP(B484,Vendedores!$A$2:$A$41,Vendedores!$D$2:$D$41,"No hay datos")</f>
        <v>Región Sur</v>
      </c>
      <c r="J484" s="2" t="str">
        <f t="array" ref="J484:N484">_xlfn.XLOOKUP(A484,Productos!$A$2:$A$61,Productos!$B$2:$F$61)</f>
        <v>Chaqueta de cuero</v>
      </c>
      <c r="K484" s="2" t="s">
        <v>22</v>
      </c>
      <c r="L484" s="2" t="s">
        <v>10</v>
      </c>
      <c r="M484" s="2" t="s">
        <v>78</v>
      </c>
      <c r="N484" s="2" t="s">
        <v>79</v>
      </c>
    </row>
    <row r="485">
      <c r="A485" s="2" t="str">
        <f>IFERROR(__xludf.DUMMYFUNCTION("""COMPUTED_VALUE"""),"PR015")</f>
        <v>PR015</v>
      </c>
      <c r="B485" s="2" t="str">
        <f>IFERROR(__xludf.DUMMYFUNCTION("""COMPUTED_VALUE"""),"VD020")</f>
        <v>VD020</v>
      </c>
      <c r="C485" s="2">
        <f>IFERROR(__xludf.DUMMYFUNCTION("""COMPUTED_VALUE"""),10.0)</f>
        <v>10</v>
      </c>
      <c r="D485" s="6">
        <f>IFERROR(__xludf.DUMMYFUNCTION("""COMPUTED_VALUE"""),442.0)</f>
        <v>442</v>
      </c>
      <c r="E485" s="6">
        <f>IFERROR(__xludf.DUMMYFUNCTION("GOOGLEFINANCE(""Currency:BRLMXN"")*D485"),1501.695)</f>
        <v>1501.695</v>
      </c>
      <c r="F485" s="6">
        <f>IFERROR(__xludf.DUMMYFUNCTION("GOOGLEFINANCE(""Currency:BRLPEN"")*D485"),289.7752)</f>
        <v>289.7752</v>
      </c>
      <c r="G485" s="2" t="str">
        <f t="array" ref="G485">_xlfn.XLOOKUP(B485,Vendedores!$A$2:$A$41,Vendedores!$B$2:$B$41,"No hay datos")</f>
        <v>Gustavo Morales</v>
      </c>
      <c r="H485" s="2" t="str">
        <f t="array" ref="H485">_xlfn.XLOOKUP(B485,Vendedores!$A$2:$A$41,Vendedores!$C$2:$C$41,"No hay datos")</f>
        <v>Villa del Sol</v>
      </c>
      <c r="I485" s="2" t="str">
        <f t="array" ref="I485">_xlfn.XLOOKUP(B485,Vendedores!$A$2:$A$41,Vendedores!$D$2:$D$41,"No hay datos")</f>
        <v>Región Central 2</v>
      </c>
      <c r="J485" s="2" t="str">
        <f t="array" ref="J485:N485">_xlfn.XLOOKUP(A485,Productos!$A$2:$A$61,Productos!$B$2:$F$61)</f>
        <v>Playera estampada</v>
      </c>
      <c r="K485" s="2" t="s">
        <v>22</v>
      </c>
      <c r="L485" s="2" t="s">
        <v>10</v>
      </c>
      <c r="M485" s="2" t="s">
        <v>101</v>
      </c>
      <c r="N485" s="2" t="s">
        <v>102</v>
      </c>
    </row>
    <row r="486">
      <c r="A486" s="2" t="str">
        <f>IFERROR(__xludf.DUMMYFUNCTION("""COMPUTED_VALUE"""),"PR039")</f>
        <v>PR039</v>
      </c>
      <c r="B486" s="2" t="str">
        <f>IFERROR(__xludf.DUMMYFUNCTION("""COMPUTED_VALUE"""),"VD020")</f>
        <v>VD020</v>
      </c>
      <c r="C486" s="2">
        <f>IFERROR(__xludf.DUMMYFUNCTION("""COMPUTED_VALUE"""),9.0)</f>
        <v>9</v>
      </c>
      <c r="D486" s="6">
        <f>IFERROR(__xludf.DUMMYFUNCTION("""COMPUTED_VALUE"""),1445.4)</f>
        <v>1445.4</v>
      </c>
      <c r="E486" s="6">
        <f>IFERROR(__xludf.DUMMYFUNCTION("GOOGLEFINANCE(""Currency:BRLMXN"")*D486"),4910.7465)</f>
        <v>4910.7465</v>
      </c>
      <c r="F486" s="6">
        <f>IFERROR(__xludf.DUMMYFUNCTION("GOOGLEFINANCE(""Currency:BRLPEN"")*D486"),947.60424)</f>
        <v>947.60424</v>
      </c>
      <c r="G486" s="2" t="str">
        <f t="array" ref="G486">_xlfn.XLOOKUP(B486,Vendedores!$A$2:$A$41,Vendedores!$B$2:$B$41,"No hay datos")</f>
        <v>Gustavo Morales</v>
      </c>
      <c r="H486" s="2" t="str">
        <f t="array" ref="H486">_xlfn.XLOOKUP(B486,Vendedores!$A$2:$A$41,Vendedores!$C$2:$C$41,"No hay datos")</f>
        <v>Villa del Sol</v>
      </c>
      <c r="I486" s="2" t="str">
        <f t="array" ref="I486">_xlfn.XLOOKUP(B486,Vendedores!$A$2:$A$41,Vendedores!$D$2:$D$41,"No hay datos")</f>
        <v>Región Central 2</v>
      </c>
      <c r="J486" s="2" t="str">
        <f t="array" ref="J486:N486">_xlfn.XLOOKUP(A486,Productos!$A$2:$A$61,Productos!$B$2:$F$61)</f>
        <v>Vestido largo</v>
      </c>
      <c r="K486" s="2" t="s">
        <v>22</v>
      </c>
      <c r="L486" s="2" t="s">
        <v>10</v>
      </c>
      <c r="M486" s="2" t="s">
        <v>73</v>
      </c>
      <c r="N486" s="2" t="s">
        <v>74</v>
      </c>
    </row>
    <row r="487">
      <c r="A487" s="2" t="str">
        <f>IFERROR(__xludf.DUMMYFUNCTION("""COMPUTED_VALUE"""),"PR035")</f>
        <v>PR035</v>
      </c>
      <c r="B487" s="2" t="str">
        <f>IFERROR(__xludf.DUMMYFUNCTION("""COMPUTED_VALUE"""),"VD017")</f>
        <v>VD017</v>
      </c>
      <c r="C487" s="2">
        <f>IFERROR(__xludf.DUMMYFUNCTION("""COMPUTED_VALUE"""),14.0)</f>
        <v>14</v>
      </c>
      <c r="D487" s="6">
        <f>IFERROR(__xludf.DUMMYFUNCTION("""COMPUTED_VALUE"""),1343.58)</f>
        <v>1343.58</v>
      </c>
      <c r="E487" s="6">
        <f>IFERROR(__xludf.DUMMYFUNCTION("GOOGLEFINANCE(""Currency:BRLMXN"")*D487"),4564.81305)</f>
        <v>4564.81305</v>
      </c>
      <c r="F487" s="6">
        <f>IFERROR(__xludf.DUMMYFUNCTION("GOOGLEFINANCE(""Currency:BRLPEN"")*D487"),880.8510479999999)</f>
        <v>880.851048</v>
      </c>
      <c r="G487" s="2" t="str">
        <f t="array" ref="G487">_xlfn.XLOOKUP(B487,Vendedores!$A$2:$A$41,Vendedores!$B$2:$B$41,"No hay datos")</f>
        <v>Bruno Peralta</v>
      </c>
      <c r="H487" s="2" t="str">
        <f t="array" ref="H487">_xlfn.XLOOKUP(B487,Vendedores!$A$2:$A$41,Vendedores!$C$2:$C$41,"No hay datos")</f>
        <v>Costa Azul</v>
      </c>
      <c r="I487" s="2" t="str">
        <f t="array" ref="I487">_xlfn.XLOOKUP(B487,Vendedores!$A$2:$A$41,Vendedores!$D$2:$D$41,"No hay datos")</f>
        <v>Región Norte</v>
      </c>
      <c r="J487" s="2" t="str">
        <f t="array" ref="J487:N487">_xlfn.XLOOKUP(A487,Productos!$A$2:$A$61,Productos!$B$2:$F$61)</f>
        <v>Vestido corto</v>
      </c>
      <c r="K487" s="2" t="s">
        <v>17</v>
      </c>
      <c r="L487" s="2" t="s">
        <v>10</v>
      </c>
      <c r="M487" s="2" t="s">
        <v>18</v>
      </c>
      <c r="N487" s="2" t="s">
        <v>19</v>
      </c>
    </row>
    <row r="488">
      <c r="A488" s="2" t="str">
        <f>IFERROR(__xludf.DUMMYFUNCTION("""COMPUTED_VALUE"""),"PR025")</f>
        <v>PR025</v>
      </c>
      <c r="B488" s="2" t="str">
        <f>IFERROR(__xludf.DUMMYFUNCTION("""COMPUTED_VALUE"""),"VD012")</f>
        <v>VD012</v>
      </c>
      <c r="C488" s="2">
        <f>IFERROR(__xludf.DUMMYFUNCTION("""COMPUTED_VALUE"""),3.0)</f>
        <v>3</v>
      </c>
      <c r="D488" s="6">
        <f>IFERROR(__xludf.DUMMYFUNCTION("""COMPUTED_VALUE"""),962.68)</f>
        <v>962.68</v>
      </c>
      <c r="E488" s="6">
        <f>IFERROR(__xludf.DUMMYFUNCTION("GOOGLEFINANCE(""Currency:BRLMXN"")*D488"),3270.7052999999996)</f>
        <v>3270.7053</v>
      </c>
      <c r="F488" s="6">
        <f>IFERROR(__xludf.DUMMYFUNCTION("GOOGLEFINANCE(""Currency:BRLPEN"")*D488"),631.1330079999999)</f>
        <v>631.133008</v>
      </c>
      <c r="G488" s="2" t="str">
        <f t="array" ref="G488">_xlfn.XLOOKUP(B488,Vendedores!$A$2:$A$41,Vendedores!$B$2:$B$41,"No hay datos")</f>
        <v>Ana Olmedo</v>
      </c>
      <c r="H488" s="2" t="str">
        <f t="array" ref="H488">_xlfn.XLOOKUP(B488,Vendedores!$A$2:$A$41,Vendedores!$C$2:$C$41,"No hay datos")</f>
        <v>Río Claro</v>
      </c>
      <c r="I488" s="2" t="str">
        <f t="array" ref="I488">_xlfn.XLOOKUP(B488,Vendedores!$A$2:$A$41,Vendedores!$D$2:$D$41,"No hay datos")</f>
        <v>Región Central</v>
      </c>
      <c r="J488" s="2" t="str">
        <f t="array" ref="J488:N488">_xlfn.XLOOKUP(A488,Productos!$A$2:$A$61,Productos!$B$2:$F$61)</f>
        <v>Chaqueta de mezclilla</v>
      </c>
      <c r="K488" s="2" t="s">
        <v>22</v>
      </c>
      <c r="L488" s="2" t="s">
        <v>10</v>
      </c>
      <c r="M488" s="2" t="s">
        <v>107</v>
      </c>
      <c r="N488" s="2" t="s">
        <v>16</v>
      </c>
    </row>
    <row r="489">
      <c r="A489" s="2" t="str">
        <f>IFERROR(__xludf.DUMMYFUNCTION("""COMPUTED_VALUE"""),"PR027")</f>
        <v>PR027</v>
      </c>
      <c r="B489" s="2" t="str">
        <f>IFERROR(__xludf.DUMMYFUNCTION("""COMPUTED_VALUE"""),"VD031")</f>
        <v>VD031</v>
      </c>
      <c r="C489" s="2">
        <f>IFERROR(__xludf.DUMMYFUNCTION("""COMPUTED_VALUE"""),8.0)</f>
        <v>8</v>
      </c>
      <c r="D489" s="6">
        <f>IFERROR(__xludf.DUMMYFUNCTION("""COMPUTED_VALUE"""),969.6)</f>
        <v>969.6</v>
      </c>
      <c r="E489" s="6">
        <f>IFERROR(__xludf.DUMMYFUNCTION("GOOGLEFINANCE(""Currency:BRLMXN"")*D489"),3294.216)</f>
        <v>3294.216</v>
      </c>
      <c r="F489" s="6">
        <f>IFERROR(__xludf.DUMMYFUNCTION("GOOGLEFINANCE(""Currency:BRLPEN"")*D489"),635.66976)</f>
        <v>635.66976</v>
      </c>
      <c r="G489" s="2" t="str">
        <f t="array" ref="G489">_xlfn.XLOOKUP(B489,Vendedores!$A$2:$A$41,Vendedores!$B$2:$B$41,"No hay datos")</f>
        <v>Vanessa Martínez</v>
      </c>
      <c r="H489" s="2" t="str">
        <f t="array" ref="H489">_xlfn.XLOOKUP(B489,Vendedores!$A$2:$A$41,Vendedores!$C$2:$C$41,"No hay datos")</f>
        <v>Monte Verde</v>
      </c>
      <c r="I489" s="2" t="str">
        <f t="array" ref="I489">_xlfn.XLOOKUP(B489,Vendedores!$A$2:$A$41,Vendedores!$D$2:$D$41,"No hay datos")</f>
        <v>Región Central 2</v>
      </c>
      <c r="J489" s="2" t="str">
        <f t="array" ref="J489:N489">_xlfn.XLOOKUP(A489,Productos!$A$2:$A$61,Productos!$B$2:$F$61)</f>
        <v>Gafas redondas</v>
      </c>
      <c r="K489" s="2" t="s">
        <v>29</v>
      </c>
      <c r="L489" s="2" t="s">
        <v>30</v>
      </c>
      <c r="M489" s="2" t="s">
        <v>53</v>
      </c>
      <c r="N489" s="2" t="s">
        <v>54</v>
      </c>
    </row>
    <row r="490">
      <c r="A490" s="2" t="str">
        <f>IFERROR(__xludf.DUMMYFUNCTION("""COMPUTED_VALUE"""),"PR020")</f>
        <v>PR020</v>
      </c>
      <c r="B490" s="2" t="str">
        <f>IFERROR(__xludf.DUMMYFUNCTION("""COMPUTED_VALUE"""),"VD022")</f>
        <v>VD022</v>
      </c>
      <c r="C490" s="2">
        <f>IFERROR(__xludf.DUMMYFUNCTION("""COMPUTED_VALUE"""),6.0)</f>
        <v>6</v>
      </c>
      <c r="D490" s="6">
        <f>IFERROR(__xludf.DUMMYFUNCTION("""COMPUTED_VALUE"""),1853.38)</f>
        <v>1853.38</v>
      </c>
      <c r="E490" s="6">
        <f>IFERROR(__xludf.DUMMYFUNCTION("GOOGLEFINANCE(""Currency:BRLMXN"")*D490"),6296.85855)</f>
        <v>6296.85855</v>
      </c>
      <c r="F490" s="6">
        <f>IFERROR(__xludf.DUMMYFUNCTION("GOOGLEFINANCE(""Currency:BRLPEN"")*D490"),1215.075928)</f>
        <v>1215.075928</v>
      </c>
      <c r="G490" s="2" t="str">
        <f t="array" ref="G490">_xlfn.XLOOKUP(B490,Vendedores!$A$2:$A$41,Vendedores!$B$2:$B$41,"No hay datos")</f>
        <v>Santiago Linares</v>
      </c>
      <c r="H490" s="2" t="str">
        <f t="array" ref="H490">_xlfn.XLOOKUP(B490,Vendedores!$A$2:$A$41,Vendedores!$C$2:$C$41,"No hay datos")</f>
        <v>Vista Hermosa</v>
      </c>
      <c r="I490" s="2" t="str">
        <f t="array" ref="I490">_xlfn.XLOOKUP(B490,Vendedores!$A$2:$A$41,Vendedores!$D$2:$D$41,"No hay datos")</f>
        <v>Región Central</v>
      </c>
      <c r="J490" s="2" t="str">
        <f t="array" ref="J490:N490">_xlfn.XLOOKUP(A490,Productos!$A$2:$A$61,Productos!$B$2:$F$61)</f>
        <v>Chaqueta de cuero</v>
      </c>
      <c r="K490" s="2" t="s">
        <v>9</v>
      </c>
      <c r="L490" s="2" t="s">
        <v>10</v>
      </c>
      <c r="M490" s="2" t="s">
        <v>15</v>
      </c>
      <c r="N490" s="2" t="s">
        <v>16</v>
      </c>
    </row>
    <row r="491">
      <c r="A491" s="2" t="str">
        <f>IFERROR(__xludf.DUMMYFUNCTION("""COMPUTED_VALUE"""),"PR050")</f>
        <v>PR050</v>
      </c>
      <c r="B491" s="2" t="str">
        <f>IFERROR(__xludf.DUMMYFUNCTION("""COMPUTED_VALUE"""),"VD047")</f>
        <v>VD047</v>
      </c>
      <c r="C491" s="2">
        <f>IFERROR(__xludf.DUMMYFUNCTION("""COMPUTED_VALUE"""),8.0)</f>
        <v>8</v>
      </c>
      <c r="D491" s="6">
        <f>IFERROR(__xludf.DUMMYFUNCTION("""COMPUTED_VALUE"""),289.52)</f>
        <v>289.52</v>
      </c>
      <c r="E491" s="6">
        <f>IFERROR(__xludf.DUMMYFUNCTION("GOOGLEFINANCE(""Currency:BRLMXN"")*D491"),983.6442)</f>
        <v>983.6442</v>
      </c>
      <c r="F491" s="6">
        <f>IFERROR(__xludf.DUMMYFUNCTION("GOOGLEFINANCE(""Currency:BRLPEN"")*D491"),189.80931199999998)</f>
        <v>189.809312</v>
      </c>
      <c r="G491" s="2" t="str">
        <f t="array" ref="G491">_xlfn.XLOOKUP(B491,Vendedores!$A$2:$A$41,Vendedores!$B$2:$B$41,"No hay datos")</f>
        <v>Andrés López</v>
      </c>
      <c r="H491" s="2" t="str">
        <f t="array" ref="H491">_xlfn.XLOOKUP(B491,Vendedores!$A$2:$A$41,Vendedores!$C$2:$C$41,"No hay datos")</f>
        <v>Villa Progreso</v>
      </c>
      <c r="I491" s="2" t="str">
        <f t="array" ref="I491">_xlfn.XLOOKUP(B491,Vendedores!$A$2:$A$41,Vendedores!$D$2:$D$41,"No hay datos")</f>
        <v>Región Central 2</v>
      </c>
      <c r="J491" s="2" t="str">
        <f t="array" ref="J491:N491">_xlfn.XLOOKUP(A491,Productos!$A$2:$A$61,Productos!$B$2:$F$61)</f>
        <v>Playera a rayas</v>
      </c>
      <c r="K491" s="2" t="s">
        <v>17</v>
      </c>
      <c r="L491" s="2" t="s">
        <v>10</v>
      </c>
      <c r="M491" s="2" t="s">
        <v>27</v>
      </c>
      <c r="N491" s="2" t="s">
        <v>24</v>
      </c>
    </row>
    <row r="492">
      <c r="A492" s="2" t="str">
        <f>IFERROR(__xludf.DUMMYFUNCTION("""COMPUTED_VALUE"""),"PR053")</f>
        <v>PR053</v>
      </c>
      <c r="B492" s="2" t="str">
        <f>IFERROR(__xludf.DUMMYFUNCTION("""COMPUTED_VALUE"""),"VD041")</f>
        <v>VD041</v>
      </c>
      <c r="C492" s="2">
        <f>IFERROR(__xludf.DUMMYFUNCTION("""COMPUTED_VALUE"""),5.0)</f>
        <v>5</v>
      </c>
      <c r="D492" s="6">
        <f>IFERROR(__xludf.DUMMYFUNCTION("""COMPUTED_VALUE"""),274.45)</f>
        <v>274.45</v>
      </c>
      <c r="E492" s="6">
        <f>IFERROR(__xludf.DUMMYFUNCTION("GOOGLEFINANCE(""Currency:BRLMXN"")*D492"),932.4438749999999)</f>
        <v>932.443875</v>
      </c>
      <c r="F492" s="6">
        <f>IFERROR(__xludf.DUMMYFUNCTION("GOOGLEFINANCE(""Currency:BRLPEN"")*D492"),179.92942)</f>
        <v>179.92942</v>
      </c>
      <c r="G492" s="2" t="str">
        <f t="array" ref="G492">_xlfn.XLOOKUP(B492,Vendedores!$A$2:$A$41,Vendedores!$B$2:$B$41,"No hay datos")</f>
        <v>Alejandro Ramos</v>
      </c>
      <c r="H492" s="2" t="str">
        <f t="array" ref="H492">_xlfn.XLOOKUP(B492,Vendedores!$A$2:$A$41,Vendedores!$C$2:$C$41,"No hay datos")</f>
        <v>San Martín de las Rosas</v>
      </c>
      <c r="I492" s="2" t="str">
        <f t="array" ref="I492">_xlfn.XLOOKUP(B492,Vendedores!$A$2:$A$41,Vendedores!$D$2:$D$41,"No hay datos")</f>
        <v>Región Central 2</v>
      </c>
      <c r="J492" s="2" t="str">
        <f t="array" ref="J492:N492">_xlfn.XLOOKUP(A492,Productos!$A$2:$A$61,Productos!$B$2:$F$61)</f>
        <v>Falda plisada</v>
      </c>
      <c r="K492" s="2" t="s">
        <v>17</v>
      </c>
      <c r="L492" s="2" t="s">
        <v>10</v>
      </c>
      <c r="M492" s="2" t="s">
        <v>41</v>
      </c>
      <c r="N492" s="2" t="s">
        <v>32</v>
      </c>
    </row>
    <row r="493">
      <c r="A493" s="2" t="str">
        <f>IFERROR(__xludf.DUMMYFUNCTION("""COMPUTED_VALUE"""),"PR042")</f>
        <v>PR042</v>
      </c>
      <c r="B493" s="2" t="str">
        <f>IFERROR(__xludf.DUMMYFUNCTION("""COMPUTED_VALUE"""),"VD018")</f>
        <v>VD018</v>
      </c>
      <c r="C493" s="2">
        <f>IFERROR(__xludf.DUMMYFUNCTION("""COMPUTED_VALUE"""),14.0)</f>
        <v>14</v>
      </c>
      <c r="D493" s="6">
        <f>IFERROR(__xludf.DUMMYFUNCTION("""COMPUTED_VALUE"""),822.4)</f>
        <v>822.4</v>
      </c>
      <c r="E493" s="6">
        <f>IFERROR(__xludf.DUMMYFUNCTION("GOOGLEFINANCE(""Currency:BRLMXN"")*D493"),2794.104)</f>
        <v>2794.104</v>
      </c>
      <c r="F493" s="6">
        <f>IFERROR(__xludf.DUMMYFUNCTION("GOOGLEFINANCE(""Currency:BRLPEN"")*D493"),539.16544)</f>
        <v>539.16544</v>
      </c>
      <c r="G493" s="2" t="str">
        <f t="array" ref="G493">_xlfn.XLOOKUP(B493,Vendedores!$A$2:$A$41,Vendedores!$B$2:$B$41,"No hay datos")</f>
        <v>Leticia Rodríguez</v>
      </c>
      <c r="H493" s="2" t="str">
        <f t="array" ref="H493">_xlfn.XLOOKUP(B493,Vendedores!$A$2:$A$41,Vendedores!$C$2:$C$41,"No hay datos")</f>
        <v>Playa Blanca</v>
      </c>
      <c r="I493" s="2" t="str">
        <f t="array" ref="I493">_xlfn.XLOOKUP(B493,Vendedores!$A$2:$A$41,Vendedores!$D$2:$D$41,"No hay datos")</f>
        <v>Región Norte</v>
      </c>
      <c r="J493" s="2" t="str">
        <f t="array" ref="J493:N493">_xlfn.XLOOKUP(A493,Productos!$A$2:$A$61,Productos!$B$2:$F$61)</f>
        <v>Playera confort</v>
      </c>
      <c r="K493" s="2" t="s">
        <v>22</v>
      </c>
      <c r="L493" s="2" t="s">
        <v>10</v>
      </c>
      <c r="M493" s="2" t="s">
        <v>25</v>
      </c>
      <c r="N493" s="2" t="s">
        <v>26</v>
      </c>
    </row>
    <row r="494">
      <c r="A494" s="2" t="str">
        <f>IFERROR(__xludf.DUMMYFUNCTION("""COMPUTED_VALUE"""),"PR041")</f>
        <v>PR041</v>
      </c>
      <c r="B494" s="2" t="str">
        <f>IFERROR(__xludf.DUMMYFUNCTION("""COMPUTED_VALUE"""),"VD049")</f>
        <v>VD049</v>
      </c>
      <c r="C494" s="2">
        <f>IFERROR(__xludf.DUMMYFUNCTION("""COMPUTED_VALUE"""),6.0)</f>
        <v>6</v>
      </c>
      <c r="D494" s="6">
        <f>IFERROR(__xludf.DUMMYFUNCTION("""COMPUTED_VALUE"""),352.46)</f>
        <v>352.46</v>
      </c>
      <c r="E494" s="6">
        <f>IFERROR(__xludf.DUMMYFUNCTION("GOOGLEFINANCE(""Currency:BRLMXN"")*D494"),1197.4828499999999)</f>
        <v>1197.48285</v>
      </c>
      <c r="F494" s="6">
        <f>IFERROR(__xludf.DUMMYFUNCTION("GOOGLEFINANCE(""Currency:BRLPEN"")*D494"),231.07277599999998)</f>
        <v>231.072776</v>
      </c>
      <c r="G494" s="2" t="str">
        <f t="array" ref="G494">_xlfn.XLOOKUP(B494,Vendedores!$A$2:$A$41,Vendedores!$B$2:$B$41,"No hay datos")</f>
        <v>Fernando Navarro</v>
      </c>
      <c r="H494" s="2" t="str">
        <f t="array" ref="H494">_xlfn.XLOOKUP(B494,Vendedores!$A$2:$A$41,Vendedores!$C$2:$C$41,"No hay datos")</f>
        <v>Colinas Verdes</v>
      </c>
      <c r="I494" s="2" t="str">
        <f t="array" ref="I494">_xlfn.XLOOKUP(B494,Vendedores!$A$2:$A$41,Vendedores!$D$2:$D$41,"No hay datos")</f>
        <v>Región Central 2</v>
      </c>
      <c r="J494" s="2" t="str">
        <f t="array" ref="J494:N494">_xlfn.XLOOKUP(A494,Productos!$A$2:$A$61,Productos!$B$2:$F$61)</f>
        <v>Playera confort</v>
      </c>
      <c r="K494" s="2" t="s">
        <v>17</v>
      </c>
      <c r="L494" s="2" t="s">
        <v>10</v>
      </c>
      <c r="M494" s="2" t="s">
        <v>95</v>
      </c>
      <c r="N494" s="2" t="s">
        <v>26</v>
      </c>
    </row>
    <row r="495">
      <c r="A495" s="2" t="str">
        <f>IFERROR(__xludf.DUMMYFUNCTION("""COMPUTED_VALUE"""),"PR043")</f>
        <v>PR043</v>
      </c>
      <c r="B495" s="2" t="str">
        <f>IFERROR(__xludf.DUMMYFUNCTION("""COMPUTED_VALUE"""),"VD032")</f>
        <v>VD032</v>
      </c>
      <c r="C495" s="2">
        <f>IFERROR(__xludf.DUMMYFUNCTION("""COMPUTED_VALUE"""),2.0)</f>
        <v>2</v>
      </c>
      <c r="D495" s="6">
        <f>IFERROR(__xludf.DUMMYFUNCTION("""COMPUTED_VALUE"""),155.15)</f>
        <v>155.15</v>
      </c>
      <c r="E495" s="6">
        <f>IFERROR(__xludf.DUMMYFUNCTION("GOOGLEFINANCE(""Currency:BRLMXN"")*D495"),527.122125)</f>
        <v>527.122125</v>
      </c>
      <c r="F495" s="6">
        <f>IFERROR(__xludf.DUMMYFUNCTION("GOOGLEFINANCE(""Currency:BRLPEN"")*D495"),101.71634)</f>
        <v>101.71634</v>
      </c>
      <c r="G495" s="2" t="str">
        <f t="array" ref="G495">_xlfn.XLOOKUP(B495,Vendedores!$A$2:$A$41,Vendedores!$B$2:$B$41,"No hay datos")</f>
        <v>Eduardo Almonte</v>
      </c>
      <c r="H495" s="2" t="str">
        <f t="array" ref="H495">_xlfn.XLOOKUP(B495,Vendedores!$A$2:$A$41,Vendedores!$C$2:$C$41,"No hay datos")</f>
        <v>Tierra Colorada</v>
      </c>
      <c r="I495" s="2" t="str">
        <f t="array" ref="I495">_xlfn.XLOOKUP(B495,Vendedores!$A$2:$A$41,Vendedores!$D$2:$D$41,"No hay datos")</f>
        <v>Región Central 2</v>
      </c>
      <c r="J495" s="2" t="str">
        <f t="array" ref="J495:N495">_xlfn.XLOOKUP(A495,Productos!$A$2:$A$61,Productos!$B$2:$F$61)</f>
        <v>Vestido floral</v>
      </c>
      <c r="K495" s="2" t="s">
        <v>9</v>
      </c>
      <c r="L495" s="2" t="s">
        <v>10</v>
      </c>
      <c r="M495" s="2" t="s">
        <v>69</v>
      </c>
      <c r="N495" s="2" t="s">
        <v>40</v>
      </c>
    </row>
    <row r="496">
      <c r="A496" s="2" t="str">
        <f>IFERROR(__xludf.DUMMYFUNCTION("""COMPUTED_VALUE"""),"PR006")</f>
        <v>PR006</v>
      </c>
      <c r="B496" s="2" t="str">
        <f>IFERROR(__xludf.DUMMYFUNCTION("""COMPUTED_VALUE"""),"VD044")</f>
        <v>VD044</v>
      </c>
      <c r="C496" s="2">
        <f>IFERROR(__xludf.DUMMYFUNCTION("""COMPUTED_VALUE"""),8.0)</f>
        <v>8</v>
      </c>
      <c r="D496" s="6">
        <f>IFERROR(__xludf.DUMMYFUNCTION("""COMPUTED_VALUE"""),341.54)</f>
        <v>341.54</v>
      </c>
      <c r="E496" s="6">
        <f>IFERROR(__xludf.DUMMYFUNCTION("GOOGLEFINANCE(""Currency:BRLMXN"")*D496"),1160.3821500000001)</f>
        <v>1160.38215</v>
      </c>
      <c r="F496" s="6">
        <f>IFERROR(__xludf.DUMMYFUNCTION("GOOGLEFINANCE(""Currency:BRLPEN"")*D496"),223.913624)</f>
        <v>223.913624</v>
      </c>
      <c r="G496" s="2" t="str">
        <f t="array" ref="G496">_xlfn.XLOOKUP(B496,Vendedores!$A$2:$A$41,Vendedores!$B$2:$B$41,"No hay datos")</f>
        <v>Silvia Menéndez</v>
      </c>
      <c r="H496" s="2" t="str">
        <f t="array" ref="H496">_xlfn.XLOOKUP(B496,Vendedores!$A$2:$A$41,Vendedores!$C$2:$C$41,"No hay datos")</f>
        <v>San Antonio del Monte</v>
      </c>
      <c r="I496" s="2" t="str">
        <f t="array" ref="I496">_xlfn.XLOOKUP(B496,Vendedores!$A$2:$A$41,Vendedores!$D$2:$D$41,"No hay datos")</f>
        <v>Región Central 2</v>
      </c>
      <c r="J496" s="2" t="str">
        <f t="array" ref="J496:N496">_xlfn.XLOOKUP(A496,Productos!$A$2:$A$61,Productos!$B$2:$F$61)</f>
        <v>Gorra</v>
      </c>
      <c r="K496" s="2" t="s">
        <v>29</v>
      </c>
      <c r="L496" s="2" t="s">
        <v>30</v>
      </c>
      <c r="M496" s="2" t="s">
        <v>48</v>
      </c>
      <c r="N496" s="2" t="s">
        <v>38</v>
      </c>
    </row>
    <row r="497">
      <c r="A497" s="2" t="str">
        <f>IFERROR(__xludf.DUMMYFUNCTION("""COMPUTED_VALUE"""),"PR058")</f>
        <v>PR058</v>
      </c>
      <c r="B497" s="2" t="str">
        <f>IFERROR(__xludf.DUMMYFUNCTION("""COMPUTED_VALUE"""),"VD018")</f>
        <v>VD018</v>
      </c>
      <c r="C497" s="2">
        <f>IFERROR(__xludf.DUMMYFUNCTION("""COMPUTED_VALUE"""),4.0)</f>
        <v>4</v>
      </c>
      <c r="D497" s="6">
        <f>IFERROR(__xludf.DUMMYFUNCTION("""COMPUTED_VALUE"""),792.0)</f>
        <v>792</v>
      </c>
      <c r="E497" s="6">
        <f>IFERROR(__xludf.DUMMYFUNCTION("GOOGLEFINANCE(""Currency:BRLMXN"")*D497"),2690.82)</f>
        <v>2690.82</v>
      </c>
      <c r="F497" s="6">
        <f>IFERROR(__xludf.DUMMYFUNCTION("GOOGLEFINANCE(""Currency:BRLPEN"")*D497"),519.2352)</f>
        <v>519.2352</v>
      </c>
      <c r="G497" s="2" t="str">
        <f t="array" ref="G497">_xlfn.XLOOKUP(B497,Vendedores!$A$2:$A$41,Vendedores!$B$2:$B$41,"No hay datos")</f>
        <v>Leticia Rodríguez</v>
      </c>
      <c r="H497" s="2" t="str">
        <f t="array" ref="H497">_xlfn.XLOOKUP(B497,Vendedores!$A$2:$A$41,Vendedores!$C$2:$C$41,"No hay datos")</f>
        <v>Playa Blanca</v>
      </c>
      <c r="I497" s="2" t="str">
        <f t="array" ref="I497">_xlfn.XLOOKUP(B497,Vendedores!$A$2:$A$41,Vendedores!$D$2:$D$41,"No hay datos")</f>
        <v>Región Norte</v>
      </c>
      <c r="J497" s="2" t="str">
        <f t="array" ref="J497:N497">_xlfn.XLOOKUP(A497,Productos!$A$2:$A$61,Productos!$B$2:$F$61)</f>
        <v>Pantalón de sastre</v>
      </c>
      <c r="K497" s="2" t="s">
        <v>9</v>
      </c>
      <c r="L497" s="2" t="s">
        <v>10</v>
      </c>
      <c r="M497" s="2" t="s">
        <v>13</v>
      </c>
      <c r="N497" s="2" t="s">
        <v>14</v>
      </c>
    </row>
    <row r="498">
      <c r="A498" s="2" t="str">
        <f>IFERROR(__xludf.DUMMYFUNCTION("""COMPUTED_VALUE"""),"PR038")</f>
        <v>PR038</v>
      </c>
      <c r="B498" s="2" t="str">
        <f>IFERROR(__xludf.DUMMYFUNCTION("""COMPUTED_VALUE"""),"VD032")</f>
        <v>VD032</v>
      </c>
      <c r="C498" s="2">
        <f>IFERROR(__xludf.DUMMYFUNCTION("""COMPUTED_VALUE"""),4.0)</f>
        <v>4</v>
      </c>
      <c r="D498" s="6">
        <f>IFERROR(__xludf.DUMMYFUNCTION("""COMPUTED_VALUE"""),600.18)</f>
        <v>600.18</v>
      </c>
      <c r="E498" s="6">
        <f>IFERROR(__xludf.DUMMYFUNCTION("GOOGLEFINANCE(""Currency:BRLMXN"")*D498"),2039.1115499999999)</f>
        <v>2039.11155</v>
      </c>
      <c r="F498" s="6">
        <f>IFERROR(__xludf.DUMMYFUNCTION("GOOGLEFINANCE(""Currency:BRLPEN"")*D498"),393.47800799999993)</f>
        <v>393.478008</v>
      </c>
      <c r="G498" s="2" t="str">
        <f t="array" ref="G498">_xlfn.XLOOKUP(B498,Vendedores!$A$2:$A$41,Vendedores!$B$2:$B$41,"No hay datos")</f>
        <v>Eduardo Almonte</v>
      </c>
      <c r="H498" s="2" t="str">
        <f t="array" ref="H498">_xlfn.XLOOKUP(B498,Vendedores!$A$2:$A$41,Vendedores!$C$2:$C$41,"No hay datos")</f>
        <v>Tierra Colorada</v>
      </c>
      <c r="I498" s="2" t="str">
        <f t="array" ref="I498">_xlfn.XLOOKUP(B498,Vendedores!$A$2:$A$41,Vendedores!$D$2:$D$41,"No hay datos")</f>
        <v>Región Central 2</v>
      </c>
      <c r="J498" s="2" t="str">
        <f t="array" ref="J498:N498">_xlfn.XLOOKUP(A498,Productos!$A$2:$A$61,Productos!$B$2:$F$61)</f>
        <v>Vestido largo</v>
      </c>
      <c r="K498" s="2" t="s">
        <v>17</v>
      </c>
      <c r="L498" s="2" t="s">
        <v>10</v>
      </c>
      <c r="M498" s="2" t="s">
        <v>51</v>
      </c>
      <c r="N498" s="2" t="s">
        <v>52</v>
      </c>
    </row>
    <row r="499">
      <c r="A499" s="2" t="str">
        <f>IFERROR(__xludf.DUMMYFUNCTION("""COMPUTED_VALUE"""),"PR022")</f>
        <v>PR022</v>
      </c>
      <c r="B499" s="2" t="str">
        <f>IFERROR(__xludf.DUMMYFUNCTION("""COMPUTED_VALUE"""),"VD026")</f>
        <v>VD026</v>
      </c>
      <c r="C499" s="2">
        <f>IFERROR(__xludf.DUMMYFUNCTION("""COMPUTED_VALUE"""),9.0)</f>
        <v>9</v>
      </c>
      <c r="D499" s="6">
        <f>IFERROR(__xludf.DUMMYFUNCTION("""COMPUTED_VALUE"""),2916.0)</f>
        <v>2916</v>
      </c>
      <c r="E499" s="6">
        <f>IFERROR(__xludf.DUMMYFUNCTION("GOOGLEFINANCE(""Currency:BRLMXN"")*D499"),9907.11)</f>
        <v>9907.11</v>
      </c>
      <c r="F499" s="6">
        <f>IFERROR(__xludf.DUMMYFUNCTION("GOOGLEFINANCE(""Currency:BRLPEN"")*D499"),1911.7296)</f>
        <v>1911.7296</v>
      </c>
      <c r="G499" s="2" t="str">
        <f t="array" ref="G499">_xlfn.XLOOKUP(B499,Vendedores!$A$2:$A$41,Vendedores!$B$2:$B$41,"No hay datos")</f>
        <v>Daniel Fernández</v>
      </c>
      <c r="H499" s="2" t="str">
        <f t="array" ref="H499">_xlfn.XLOOKUP(B499,Vendedores!$A$2:$A$41,Vendedores!$C$2:$C$41,"No hay datos")</f>
        <v>Puerto Esperanza</v>
      </c>
      <c r="I499" s="2" t="str">
        <f t="array" ref="I499">_xlfn.XLOOKUP(B499,Vendedores!$A$2:$A$41,Vendedores!$D$2:$D$41,"No hay datos")</f>
        <v>Región Sur</v>
      </c>
      <c r="J499" s="2" t="str">
        <f t="array" ref="J499:N499">_xlfn.XLOOKUP(A499,Productos!$A$2:$A$61,Productos!$B$2:$F$61)</f>
        <v>Chaqueta de cuero</v>
      </c>
      <c r="K499" s="2" t="s">
        <v>22</v>
      </c>
      <c r="L499" s="2" t="s">
        <v>10</v>
      </c>
      <c r="M499" s="2" t="s">
        <v>78</v>
      </c>
      <c r="N499" s="2" t="s">
        <v>79</v>
      </c>
    </row>
    <row r="500">
      <c r="A500" s="2" t="str">
        <f>IFERROR(__xludf.DUMMYFUNCTION("""COMPUTED_VALUE"""),"PR035")</f>
        <v>PR035</v>
      </c>
      <c r="B500" s="2" t="str">
        <f>IFERROR(__xludf.DUMMYFUNCTION("""COMPUTED_VALUE"""),"VD046")</f>
        <v>VD046</v>
      </c>
      <c r="C500" s="2">
        <f>IFERROR(__xludf.DUMMYFUNCTION("""COMPUTED_VALUE"""),5.0)</f>
        <v>5</v>
      </c>
      <c r="D500" s="6">
        <f>IFERROR(__xludf.DUMMYFUNCTION("""COMPUTED_VALUE"""),479.85)</f>
        <v>479.85</v>
      </c>
      <c r="E500" s="6">
        <f>IFERROR(__xludf.DUMMYFUNCTION("GOOGLEFINANCE(""Currency:BRLMXN"")*D500"),1630.290375)</f>
        <v>1630.290375</v>
      </c>
      <c r="F500" s="6">
        <f>IFERROR(__xludf.DUMMYFUNCTION("GOOGLEFINANCE(""Currency:BRLPEN"")*D500"),314.58966)</f>
        <v>314.58966</v>
      </c>
      <c r="G500" s="2" t="str">
        <f t="array" ref="G500">_xlfn.XLOOKUP(B500,Vendedores!$A$2:$A$41,Vendedores!$B$2:$B$41,"No hay datos")</f>
        <v>Juliana Pérez</v>
      </c>
      <c r="H500" s="2" t="str">
        <f t="array" ref="H500">_xlfn.XLOOKUP(B500,Vendedores!$A$2:$A$41,Vendedores!$C$2:$C$41,"No hay datos")</f>
        <v>Santa Cruz de la Sierra</v>
      </c>
      <c r="I500" s="2" t="str">
        <f t="array" ref="I500">_xlfn.XLOOKUP(B500,Vendedores!$A$2:$A$41,Vendedores!$D$2:$D$41,"No hay datos")</f>
        <v>Región Central 2</v>
      </c>
      <c r="J500" s="2" t="str">
        <f t="array" ref="J500:N500">_xlfn.XLOOKUP(A500,Productos!$A$2:$A$61,Productos!$B$2:$F$61)</f>
        <v>Vestido corto</v>
      </c>
      <c r="K500" s="2" t="s">
        <v>17</v>
      </c>
      <c r="L500" s="2" t="s">
        <v>10</v>
      </c>
      <c r="M500" s="2" t="s">
        <v>18</v>
      </c>
      <c r="N500" s="2" t="s">
        <v>19</v>
      </c>
    </row>
    <row r="501">
      <c r="A501" s="2" t="str">
        <f>IFERROR(__xludf.DUMMYFUNCTION("""COMPUTED_VALUE"""),"PR015")</f>
        <v>PR015</v>
      </c>
      <c r="B501" s="2" t="str">
        <f>IFERROR(__xludf.DUMMYFUNCTION("""COMPUTED_VALUE"""),"VD032")</f>
        <v>VD032</v>
      </c>
      <c r="C501" s="2">
        <f>IFERROR(__xludf.DUMMYFUNCTION("""COMPUTED_VALUE"""),5.0)</f>
        <v>5</v>
      </c>
      <c r="D501" s="6">
        <f>IFERROR(__xludf.DUMMYFUNCTION("""COMPUTED_VALUE"""),223.13)</f>
        <v>223.13</v>
      </c>
      <c r="E501" s="6">
        <f>IFERROR(__xludf.DUMMYFUNCTION("GOOGLEFINANCE(""Currency:BRLMXN"")*D501"),758.084175)</f>
        <v>758.084175</v>
      </c>
      <c r="F501" s="6">
        <f>IFERROR(__xludf.DUMMYFUNCTION("GOOGLEFINANCE(""Currency:BRLPEN"")*D501"),146.28402799999998)</f>
        <v>146.284028</v>
      </c>
      <c r="G501" s="2" t="str">
        <f t="array" ref="G501">_xlfn.XLOOKUP(B501,Vendedores!$A$2:$A$41,Vendedores!$B$2:$B$41,"No hay datos")</f>
        <v>Eduardo Almonte</v>
      </c>
      <c r="H501" s="2" t="str">
        <f t="array" ref="H501">_xlfn.XLOOKUP(B501,Vendedores!$A$2:$A$41,Vendedores!$C$2:$C$41,"No hay datos")</f>
        <v>Tierra Colorada</v>
      </c>
      <c r="I501" s="2" t="str">
        <f t="array" ref="I501">_xlfn.XLOOKUP(B501,Vendedores!$A$2:$A$41,Vendedores!$D$2:$D$41,"No hay datos")</f>
        <v>Región Central 2</v>
      </c>
      <c r="J501" s="2" t="str">
        <f t="array" ref="J501:N501">_xlfn.XLOOKUP(A501,Productos!$A$2:$A$61,Productos!$B$2:$F$61)</f>
        <v>Playera estampada</v>
      </c>
      <c r="K501" s="2" t="s">
        <v>22</v>
      </c>
      <c r="L501" s="2" t="s">
        <v>10</v>
      </c>
      <c r="M501" s="2" t="s">
        <v>101</v>
      </c>
      <c r="N501" s="2" t="s">
        <v>102</v>
      </c>
    </row>
    <row r="502">
      <c r="A502" s="2" t="str">
        <f>IFERROR(__xludf.DUMMYFUNCTION("""COMPUTED_VALUE"""),"PR020")</f>
        <v>PR020</v>
      </c>
      <c r="B502" s="2" t="str">
        <f>IFERROR(__xludf.DUMMYFUNCTION("""COMPUTED_VALUE"""),"VD021")</f>
        <v>VD021</v>
      </c>
      <c r="C502" s="2">
        <f>IFERROR(__xludf.DUMMYFUNCTION("""COMPUTED_VALUE"""),9.0)</f>
        <v>9</v>
      </c>
      <c r="D502" s="6">
        <f>IFERROR(__xludf.DUMMYFUNCTION("""COMPUTED_VALUE"""),2753.08)</f>
        <v>2753.08</v>
      </c>
      <c r="E502" s="6">
        <f>IFERROR(__xludf.DUMMYFUNCTION("GOOGLEFINANCE(""Currency:BRLMXN"")*D502"),9353.5893)</f>
        <v>9353.5893</v>
      </c>
      <c r="F502" s="6">
        <f>IFERROR(__xludf.DUMMYFUNCTION("GOOGLEFINANCE(""Currency:BRLPEN"")*D502"),1804.919248)</f>
        <v>1804.919248</v>
      </c>
      <c r="G502" s="2" t="str">
        <f t="array" ref="G502">_xlfn.XLOOKUP(B502,Vendedores!$A$2:$A$41,Vendedores!$B$2:$B$41,"No hay datos")</f>
        <v>Fernanda Méndez</v>
      </c>
      <c r="H502" s="2" t="str">
        <f t="array" ref="H502">_xlfn.XLOOKUP(B502,Vendedores!$A$2:$A$41,Vendedores!$C$2:$C$41,"No hay datos")</f>
        <v>San Juan de la Sierra</v>
      </c>
      <c r="I502" s="2" t="str">
        <f t="array" ref="I502">_xlfn.XLOOKUP(B502,Vendedores!$A$2:$A$41,Vendedores!$D$2:$D$41,"No hay datos")</f>
        <v>Región Central</v>
      </c>
      <c r="J502" s="2" t="str">
        <f t="array" ref="J502:N502">_xlfn.XLOOKUP(A502,Productos!$A$2:$A$61,Productos!$B$2:$F$61)</f>
        <v>Chaqueta de cuero</v>
      </c>
      <c r="K502" s="2" t="s">
        <v>9</v>
      </c>
      <c r="L502" s="2" t="s">
        <v>10</v>
      </c>
      <c r="M502" s="2" t="s">
        <v>15</v>
      </c>
      <c r="N502" s="2" t="s">
        <v>16</v>
      </c>
    </row>
    <row r="503">
      <c r="A503" s="2" t="str">
        <f>IFERROR(__xludf.DUMMYFUNCTION("""COMPUTED_VALUE"""),"PR011")</f>
        <v>PR011</v>
      </c>
      <c r="B503" s="2" t="str">
        <f>IFERROR(__xludf.DUMMYFUNCTION("""COMPUTED_VALUE"""),"VD014")</f>
        <v>VD014</v>
      </c>
      <c r="C503" s="2">
        <f>IFERROR(__xludf.DUMMYFUNCTION("""COMPUTED_VALUE"""),9.0)</f>
        <v>9</v>
      </c>
      <c r="D503" s="6">
        <f>IFERROR(__xludf.DUMMYFUNCTION("""COMPUTED_VALUE"""),455.87)</f>
        <v>455.87</v>
      </c>
      <c r="E503" s="6">
        <f>IFERROR(__xludf.DUMMYFUNCTION("GOOGLEFINANCE(""Currency:BRLMXN"")*D503"),1548.818325)</f>
        <v>1548.818325</v>
      </c>
      <c r="F503" s="6">
        <f>IFERROR(__xludf.DUMMYFUNCTION("GOOGLEFINANCE(""Currency:BRLPEN"")*D503"),298.86837199999997)</f>
        <v>298.868372</v>
      </c>
      <c r="G503" s="2" t="str">
        <f t="array" ref="G503">_xlfn.XLOOKUP(B503,Vendedores!$A$2:$A$41,Vendedores!$B$2:$B$41,"No hay datos")</f>
        <v>Carla Flores</v>
      </c>
      <c r="H503" s="2" t="str">
        <f t="array" ref="H503">_xlfn.XLOOKUP(B503,Vendedores!$A$2:$A$41,Vendedores!$C$2:$C$41,"No hay datos")</f>
        <v>Valle Escondido</v>
      </c>
      <c r="I503" s="2" t="str">
        <f t="array" ref="I503">_xlfn.XLOOKUP(B503,Vendedores!$A$2:$A$41,Vendedores!$D$2:$D$41,"No hay datos")</f>
        <v>Región Andina</v>
      </c>
      <c r="J503" s="2" t="str">
        <f t="array" ref="J503:N503">_xlfn.XLOOKUP(A503,Productos!$A$2:$A$61,Productos!$B$2:$F$61)</f>
        <v>Pantalón legging</v>
      </c>
      <c r="K503" s="2" t="s">
        <v>17</v>
      </c>
      <c r="L503" s="2" t="s">
        <v>10</v>
      </c>
      <c r="M503" s="2" t="s">
        <v>67</v>
      </c>
      <c r="N503" s="2" t="s">
        <v>68</v>
      </c>
    </row>
    <row r="504">
      <c r="A504" s="2" t="str">
        <f>IFERROR(__xludf.DUMMYFUNCTION("""COMPUTED_VALUE"""),"PR050")</f>
        <v>PR050</v>
      </c>
      <c r="B504" s="2" t="str">
        <f>IFERROR(__xludf.DUMMYFUNCTION("""COMPUTED_VALUE"""),"VD040")</f>
        <v>VD040</v>
      </c>
      <c r="C504" s="2">
        <f>IFERROR(__xludf.DUMMYFUNCTION("""COMPUTED_VALUE"""),1.0)</f>
        <v>1</v>
      </c>
      <c r="D504" s="6">
        <f>IFERROR(__xludf.DUMMYFUNCTION("""COMPUTED_VALUE"""),33.56)</f>
        <v>33.56</v>
      </c>
      <c r="E504" s="6">
        <f>IFERROR(__xludf.DUMMYFUNCTION("GOOGLEFINANCE(""Currency:BRLMXN"")*D504"),114.02010000000001)</f>
        <v>114.0201</v>
      </c>
      <c r="F504" s="6">
        <f>IFERROR(__xludf.DUMMYFUNCTION("GOOGLEFINANCE(""Currency:BRLPEN"")*D504"),22.001936)</f>
        <v>22.001936</v>
      </c>
      <c r="G504" s="2" t="str">
        <f t="array" ref="G504">_xlfn.XLOOKUP(B504,Vendedores!$A$2:$A$41,Vendedores!$B$2:$B$41,"No hay datos")</f>
        <v>Tatiana Montero</v>
      </c>
      <c r="H504" s="2" t="str">
        <f t="array" ref="H504">_xlfn.XLOOKUP(B504,Vendedores!$A$2:$A$41,Vendedores!$C$2:$C$41,"No hay datos")</f>
        <v>Ciudad Industrial</v>
      </c>
      <c r="I504" s="2" t="str">
        <f t="array" ref="I504">_xlfn.XLOOKUP(B504,Vendedores!$A$2:$A$41,Vendedores!$D$2:$D$41,"No hay datos")</f>
        <v>Región Central 2</v>
      </c>
      <c r="J504" s="2" t="str">
        <f t="array" ref="J504:N504">_xlfn.XLOOKUP(A504,Productos!$A$2:$A$61,Productos!$B$2:$F$61)</f>
        <v>Playera a rayas</v>
      </c>
      <c r="K504" s="2" t="s">
        <v>17</v>
      </c>
      <c r="L504" s="2" t="s">
        <v>10</v>
      </c>
      <c r="M504" s="2" t="s">
        <v>27</v>
      </c>
      <c r="N504" s="2" t="s">
        <v>24</v>
      </c>
    </row>
    <row r="505">
      <c r="A505" s="2" t="str">
        <f>IFERROR(__xludf.DUMMYFUNCTION("""COMPUTED_VALUE"""),"PR046")</f>
        <v>PR046</v>
      </c>
      <c r="B505" s="2" t="str">
        <f>IFERROR(__xludf.DUMMYFUNCTION("""COMPUTED_VALUE"""),"VD019")</f>
        <v>VD019</v>
      </c>
      <c r="C505" s="2">
        <f>IFERROR(__xludf.DUMMYFUNCTION("""COMPUTED_VALUE"""),4.0)</f>
        <v>4</v>
      </c>
      <c r="D505" s="6">
        <f>IFERROR(__xludf.DUMMYFUNCTION("""COMPUTED_VALUE"""),1263.96)</f>
        <v>1263.96</v>
      </c>
      <c r="E505" s="6">
        <f>IFERROR(__xludf.DUMMYFUNCTION("GOOGLEFINANCE(""Currency:BRLMXN"")*D505"),4294.3041)</f>
        <v>4294.3041</v>
      </c>
      <c r="F505" s="6">
        <f>IFERROR(__xludf.DUMMYFUNCTION("GOOGLEFINANCE(""Currency:BRLPEN"")*D505"),828.6521759999999)</f>
        <v>828.652176</v>
      </c>
      <c r="G505" s="2" t="str">
        <f t="array" ref="G505">_xlfn.XLOOKUP(B505,Vendedores!$A$2:$A$41,Vendedores!$B$2:$B$41,"No hay datos")</f>
        <v>Rafael Sosa</v>
      </c>
      <c r="H505" s="2" t="str">
        <f t="array" ref="H505">_xlfn.XLOOKUP(B505,Vendedores!$A$2:$A$41,Vendedores!$C$2:$C$41,"No hay datos")</f>
        <v>Selva Verde</v>
      </c>
      <c r="I505" s="2" t="str">
        <f t="array" ref="I505">_xlfn.XLOOKUP(B505,Vendedores!$A$2:$A$41,Vendedores!$D$2:$D$41,"No hay datos")</f>
        <v>Región Amazónica</v>
      </c>
      <c r="J505" s="2" t="str">
        <f t="array" ref="J505:N505">_xlfn.XLOOKUP(A505,Productos!$A$2:$A$61,Productos!$B$2:$F$61)</f>
        <v>Chaqueta de cuero</v>
      </c>
      <c r="K505" s="2" t="s">
        <v>9</v>
      </c>
      <c r="L505" s="2" t="s">
        <v>10</v>
      </c>
      <c r="M505" s="2" t="s">
        <v>94</v>
      </c>
      <c r="N505" s="2" t="s">
        <v>44</v>
      </c>
    </row>
    <row r="506">
      <c r="A506" s="2" t="str">
        <f>IFERROR(__xludf.DUMMYFUNCTION("""COMPUTED_VALUE"""),"PR016")</f>
        <v>PR016</v>
      </c>
      <c r="B506" s="2" t="str">
        <f>IFERROR(__xludf.DUMMYFUNCTION("""COMPUTED_VALUE"""),"VD012")</f>
        <v>VD012</v>
      </c>
      <c r="C506" s="2">
        <f>IFERROR(__xludf.DUMMYFUNCTION("""COMPUTED_VALUE"""),2.0)</f>
        <v>2</v>
      </c>
      <c r="D506" s="6">
        <f>IFERROR(__xludf.DUMMYFUNCTION("""COMPUTED_VALUE"""),53.35)</f>
        <v>53.35</v>
      </c>
      <c r="E506" s="6">
        <f>IFERROR(__xludf.DUMMYFUNCTION("GOOGLEFINANCE(""Currency:BRLMXN"")*D506"),181.256625)</f>
        <v>181.256625</v>
      </c>
      <c r="F506" s="6">
        <f>IFERROR(__xludf.DUMMYFUNCTION("GOOGLEFINANCE(""Currency:BRLPEN"")*D506"),34.976259999999996)</f>
        <v>34.97626</v>
      </c>
      <c r="G506" s="2" t="str">
        <f t="array" ref="G506">_xlfn.XLOOKUP(B506,Vendedores!$A$2:$A$41,Vendedores!$B$2:$B$41,"No hay datos")</f>
        <v>Ana Olmedo</v>
      </c>
      <c r="H506" s="2" t="str">
        <f t="array" ref="H506">_xlfn.XLOOKUP(B506,Vendedores!$A$2:$A$41,Vendedores!$C$2:$C$41,"No hay datos")</f>
        <v>Río Claro</v>
      </c>
      <c r="I506" s="2" t="str">
        <f t="array" ref="I506">_xlfn.XLOOKUP(B506,Vendedores!$A$2:$A$41,Vendedores!$D$2:$D$41,"No hay datos")</f>
        <v>Región Central</v>
      </c>
      <c r="J506" s="2" t="str">
        <f t="array" ref="J506:N506">_xlfn.XLOOKUP(A506,Productos!$A$2:$A$61,Productos!$B$2:$F$61)</f>
        <v>Playera lisa</v>
      </c>
      <c r="K506" s="2" t="s">
        <v>9</v>
      </c>
      <c r="L506" s="2" t="s">
        <v>10</v>
      </c>
      <c r="M506" s="2" t="s">
        <v>20</v>
      </c>
      <c r="N506" s="2" t="s">
        <v>21</v>
      </c>
    </row>
    <row r="507">
      <c r="A507" s="2" t="str">
        <f>IFERROR(__xludf.DUMMYFUNCTION("""COMPUTED_VALUE"""),"PR041")</f>
        <v>PR041</v>
      </c>
      <c r="B507" s="2" t="str">
        <f>IFERROR(__xludf.DUMMYFUNCTION("""COMPUTED_VALUE"""),"VD049")</f>
        <v>VD049</v>
      </c>
      <c r="C507" s="2">
        <f>IFERROR(__xludf.DUMMYFUNCTION("""COMPUTED_VALUE"""),1.0)</f>
        <v>1</v>
      </c>
      <c r="D507" s="6">
        <f>IFERROR(__xludf.DUMMYFUNCTION("""COMPUTED_VALUE"""),59.84)</f>
        <v>59.84</v>
      </c>
      <c r="E507" s="6">
        <f>IFERROR(__xludf.DUMMYFUNCTION("GOOGLEFINANCE(""Currency:BRLMXN"")*D507"),203.3064)</f>
        <v>203.3064</v>
      </c>
      <c r="F507" s="6">
        <f>IFERROR(__xludf.DUMMYFUNCTION("GOOGLEFINANCE(""Currency:BRLPEN"")*D507"),39.231104)</f>
        <v>39.231104</v>
      </c>
      <c r="G507" s="2" t="str">
        <f t="array" ref="G507">_xlfn.XLOOKUP(B507,Vendedores!$A$2:$A$41,Vendedores!$B$2:$B$41,"No hay datos")</f>
        <v>Fernando Navarro</v>
      </c>
      <c r="H507" s="2" t="str">
        <f t="array" ref="H507">_xlfn.XLOOKUP(B507,Vendedores!$A$2:$A$41,Vendedores!$C$2:$C$41,"No hay datos")</f>
        <v>Colinas Verdes</v>
      </c>
      <c r="I507" s="2" t="str">
        <f t="array" ref="I507">_xlfn.XLOOKUP(B507,Vendedores!$A$2:$A$41,Vendedores!$D$2:$D$41,"No hay datos")</f>
        <v>Región Central 2</v>
      </c>
      <c r="J507" s="2" t="str">
        <f t="array" ref="J507:N507">_xlfn.XLOOKUP(A507,Productos!$A$2:$A$61,Productos!$B$2:$F$61)</f>
        <v>Playera confort</v>
      </c>
      <c r="K507" s="2" t="s">
        <v>17</v>
      </c>
      <c r="L507" s="2" t="s">
        <v>10</v>
      </c>
      <c r="M507" s="2" t="s">
        <v>95</v>
      </c>
      <c r="N507" s="2" t="s">
        <v>26</v>
      </c>
    </row>
    <row r="508">
      <c r="A508" s="2" t="str">
        <f>IFERROR(__xludf.DUMMYFUNCTION("""COMPUTED_VALUE"""),"PR037")</f>
        <v>PR037</v>
      </c>
      <c r="B508" s="2" t="str">
        <f>IFERROR(__xludf.DUMMYFUNCTION("""COMPUTED_VALUE"""),"VD038")</f>
        <v>VD038</v>
      </c>
      <c r="C508" s="2">
        <f>IFERROR(__xludf.DUMMYFUNCTION("""COMPUTED_VALUE"""),14.0)</f>
        <v>14</v>
      </c>
      <c r="D508" s="6">
        <f>IFERROR(__xludf.DUMMYFUNCTION("""COMPUTED_VALUE"""),1960.0)</f>
        <v>1960</v>
      </c>
      <c r="E508" s="6">
        <f>IFERROR(__xludf.DUMMYFUNCTION("GOOGLEFINANCE(""Currency:BRLMXN"")*D508"),6659.1)</f>
        <v>6659.1</v>
      </c>
      <c r="F508" s="6">
        <f>IFERROR(__xludf.DUMMYFUNCTION("GOOGLEFINANCE(""Currency:BRLPEN"")*D508"),1284.9759999999999)</f>
        <v>1284.976</v>
      </c>
      <c r="G508" s="2" t="str">
        <f t="array" ref="G508">_xlfn.XLOOKUP(B508,Vendedores!$A$2:$A$41,Vendedores!$B$2:$B$41,"No hay datos")</f>
        <v>Bruno Olmedo</v>
      </c>
      <c r="H508" s="2" t="str">
        <f t="array" ref="H508">_xlfn.XLOOKUP(B508,Vendedores!$A$2:$A$41,Vendedores!$C$2:$C$41,"No hay datos")</f>
        <v>Tierra Fertil</v>
      </c>
      <c r="I508" s="2" t="str">
        <f t="array" ref="I508">_xlfn.XLOOKUP(B508,Vendedores!$A$2:$A$41,Vendedores!$D$2:$D$41,"No hay datos")</f>
        <v>Región Sur 2</v>
      </c>
      <c r="J508" s="2" t="str">
        <f t="array" ref="J508:N508">_xlfn.XLOOKUP(A508,Productos!$A$2:$A$61,Productos!$B$2:$F$61)</f>
        <v>Vestido largo</v>
      </c>
      <c r="K508" s="2" t="s">
        <v>9</v>
      </c>
      <c r="L508" s="2" t="s">
        <v>10</v>
      </c>
      <c r="M508" s="2" t="s">
        <v>70</v>
      </c>
      <c r="N508" s="2" t="s">
        <v>71</v>
      </c>
    </row>
    <row r="509">
      <c r="A509" s="2" t="str">
        <f>IFERROR(__xludf.DUMMYFUNCTION("""COMPUTED_VALUE"""),"PR019")</f>
        <v>PR019</v>
      </c>
      <c r="B509" s="2" t="str">
        <f>IFERROR(__xludf.DUMMYFUNCTION("""COMPUTED_VALUE"""),"VD018")</f>
        <v>VD018</v>
      </c>
      <c r="C509" s="2">
        <f>IFERROR(__xludf.DUMMYFUNCTION("""COMPUTED_VALUE"""),4.0)</f>
        <v>4</v>
      </c>
      <c r="D509" s="6">
        <f>IFERROR(__xludf.DUMMYFUNCTION("""COMPUTED_VALUE"""),213.57)</f>
        <v>213.57</v>
      </c>
      <c r="E509" s="6">
        <f>IFERROR(__xludf.DUMMYFUNCTION("GOOGLEFINANCE(""Currency:BRLMXN"")*D509"),725.604075)</f>
        <v>725.604075</v>
      </c>
      <c r="F509" s="6">
        <f>IFERROR(__xludf.DUMMYFUNCTION("GOOGLEFINANCE(""Currency:BRLPEN"")*D509"),140.016492)</f>
        <v>140.016492</v>
      </c>
      <c r="G509" s="2" t="str">
        <f t="array" ref="G509">_xlfn.XLOOKUP(B509,Vendedores!$A$2:$A$41,Vendedores!$B$2:$B$41,"No hay datos")</f>
        <v>Leticia Rodríguez</v>
      </c>
      <c r="H509" s="2" t="str">
        <f t="array" ref="H509">_xlfn.XLOOKUP(B509,Vendedores!$A$2:$A$41,Vendedores!$C$2:$C$41,"No hay datos")</f>
        <v>Playa Blanca</v>
      </c>
      <c r="I509" s="2" t="str">
        <f t="array" ref="I509">_xlfn.XLOOKUP(B509,Vendedores!$A$2:$A$41,Vendedores!$D$2:$D$41,"No hay datos")</f>
        <v>Región Norte</v>
      </c>
      <c r="J509" s="2" t="str">
        <f t="array" ref="J509:N509">_xlfn.XLOOKUP(A509,Productos!$A$2:$A$61,Productos!$B$2:$F$61)</f>
        <v>Cinturón</v>
      </c>
      <c r="K509" s="2" t="s">
        <v>29</v>
      </c>
      <c r="L509" s="2" t="s">
        <v>30</v>
      </c>
      <c r="M509" s="2" t="s">
        <v>31</v>
      </c>
      <c r="N509" s="2" t="s">
        <v>32</v>
      </c>
    </row>
    <row r="510">
      <c r="A510" s="2" t="str">
        <f>IFERROR(__xludf.DUMMYFUNCTION("""COMPUTED_VALUE"""),"PR052")</f>
        <v>PR052</v>
      </c>
      <c r="B510" s="2" t="str">
        <f>IFERROR(__xludf.DUMMYFUNCTION("""COMPUTED_VALUE"""),"VD043")</f>
        <v>VD043</v>
      </c>
      <c r="C510" s="2">
        <f>IFERROR(__xludf.DUMMYFUNCTION("""COMPUTED_VALUE"""),7.0)</f>
        <v>7</v>
      </c>
      <c r="D510" s="6">
        <f>IFERROR(__xludf.DUMMYFUNCTION("""COMPUTED_VALUE"""),356.29)</f>
        <v>356.29</v>
      </c>
      <c r="E510" s="6">
        <f>IFERROR(__xludf.DUMMYFUNCTION("GOOGLEFINANCE(""Currency:BRLMXN"")*D510"),1210.495275)</f>
        <v>1210.495275</v>
      </c>
      <c r="F510" s="6">
        <f>IFERROR(__xludf.DUMMYFUNCTION("GOOGLEFINANCE(""Currency:BRLPEN"")*D510"),233.583724)</f>
        <v>233.583724</v>
      </c>
      <c r="G510" s="2" t="str">
        <f t="array" ref="G510">_xlfn.XLOOKUP(B510,Vendedores!$A$2:$A$41,Vendedores!$B$2:$B$41,"No hay datos")</f>
        <v>Carlos Henríquez</v>
      </c>
      <c r="H510" s="2" t="str">
        <f t="array" ref="H510">_xlfn.XLOOKUP(B510,Vendedores!$A$2:$A$41,Vendedores!$C$2:$C$41,"No hay datos")</f>
        <v>Ciudad Aeropuerto</v>
      </c>
      <c r="I510" s="2" t="str">
        <f t="array" ref="I510">_xlfn.XLOOKUP(B510,Vendedores!$A$2:$A$41,Vendedores!$D$2:$D$41,"No hay datos")</f>
        <v>Región Central 2</v>
      </c>
      <c r="J510" s="2" t="str">
        <f t="array" ref="J510:N510">_xlfn.XLOOKUP(A510,Productos!$A$2:$A$61,Productos!$B$2:$F$61)</f>
        <v>Falda plisada</v>
      </c>
      <c r="K510" s="2" t="s">
        <v>9</v>
      </c>
      <c r="L510" s="2" t="s">
        <v>10</v>
      </c>
      <c r="M510" s="2" t="s">
        <v>36</v>
      </c>
      <c r="N510" s="2" t="s">
        <v>32</v>
      </c>
    </row>
    <row r="511">
      <c r="A511" s="2" t="str">
        <f>IFERROR(__xludf.DUMMYFUNCTION("""COMPUTED_VALUE"""),"PR011")</f>
        <v>PR011</v>
      </c>
      <c r="B511" s="2" t="str">
        <f>IFERROR(__xludf.DUMMYFUNCTION("""COMPUTED_VALUE"""),"VD042")</f>
        <v>VD042</v>
      </c>
      <c r="C511" s="2">
        <f>IFERROR(__xludf.DUMMYFUNCTION("""COMPUTED_VALUE"""),1.0)</f>
        <v>1</v>
      </c>
      <c r="D511" s="6">
        <f>IFERROR(__xludf.DUMMYFUNCTION("""COMPUTED_VALUE"""),50.65)</f>
        <v>50.65</v>
      </c>
      <c r="E511" s="6">
        <f>IFERROR(__xludf.DUMMYFUNCTION("GOOGLEFINANCE(""Currency:BRLMXN"")*D511"),172.083375)</f>
        <v>172.083375</v>
      </c>
      <c r="F511" s="6">
        <f>IFERROR(__xludf.DUMMYFUNCTION("GOOGLEFINANCE(""Currency:BRLPEN"")*D511"),33.20614)</f>
        <v>33.20614</v>
      </c>
      <c r="G511" s="2" t="str">
        <f t="array" ref="G511">_xlfn.XLOOKUP(B511,Vendedores!$A$2:$A$41,Vendedores!$B$2:$B$41,"No hay datos")</f>
        <v>Priscila Duarte</v>
      </c>
      <c r="H511" s="2" t="str">
        <f t="array" ref="H511">_xlfn.XLOOKUP(B511,Vendedores!$A$2:$A$41,Vendedores!$C$2:$C$41,"No hay datos")</f>
        <v>Villa Comercial</v>
      </c>
      <c r="I511" s="2" t="str">
        <f t="array" ref="I511">_xlfn.XLOOKUP(B511,Vendedores!$A$2:$A$41,Vendedores!$D$2:$D$41,"No hay datos")</f>
        <v>Región Central 2</v>
      </c>
      <c r="J511" s="2" t="str">
        <f t="array" ref="J511:N511">_xlfn.XLOOKUP(A511,Productos!$A$2:$A$61,Productos!$B$2:$F$61)</f>
        <v>Pantalón legging</v>
      </c>
      <c r="K511" s="2" t="s">
        <v>17</v>
      </c>
      <c r="L511" s="2" t="s">
        <v>10</v>
      </c>
      <c r="M511" s="2" t="s">
        <v>67</v>
      </c>
      <c r="N511" s="2" t="s">
        <v>68</v>
      </c>
    </row>
    <row r="512">
      <c r="A512" s="2" t="str">
        <f>IFERROR(__xludf.DUMMYFUNCTION("""COMPUTED_VALUE"""),"PR058")</f>
        <v>PR058</v>
      </c>
      <c r="B512" s="2" t="str">
        <f>IFERROR(__xludf.DUMMYFUNCTION("""COMPUTED_VALUE"""),"VD048")</f>
        <v>VD048</v>
      </c>
      <c r="C512" s="2">
        <f>IFERROR(__xludf.DUMMYFUNCTION("""COMPUTED_VALUE"""),8.0)</f>
        <v>8</v>
      </c>
      <c r="D512" s="6">
        <f>IFERROR(__xludf.DUMMYFUNCTION("""COMPUTED_VALUE"""),1526.4)</f>
        <v>1526.4</v>
      </c>
      <c r="E512" s="6">
        <f>IFERROR(__xludf.DUMMYFUNCTION("GOOGLEFINANCE(""Currency:BRLMXN"")*D512"),5185.944)</f>
        <v>5185.944</v>
      </c>
      <c r="F512" s="6">
        <f>IFERROR(__xludf.DUMMYFUNCTION("GOOGLEFINANCE(""Currency:BRLPEN"")*D512"),1000.70784)</f>
        <v>1000.70784</v>
      </c>
      <c r="G512" s="2" t="str">
        <f t="array" ref="G512">_xlfn.XLOOKUP(B512,Vendedores!$A$2:$A$41,Vendedores!$B$2:$B$41,"No hay datos")</f>
        <v>Mariana Castro</v>
      </c>
      <c r="H512" s="2" t="str">
        <f t="array" ref="H512">_xlfn.XLOOKUP(B512,Vendedores!$A$2:$A$41,Vendedores!$C$2:$C$41,"No hay datos")</f>
        <v>San Carlos del Valle</v>
      </c>
      <c r="I512" s="2" t="str">
        <f t="array" ref="I512">_xlfn.XLOOKUP(B512,Vendedores!$A$2:$A$41,Vendedores!$D$2:$D$41,"No hay datos")</f>
        <v>Región Central 2</v>
      </c>
      <c r="J512" s="2" t="str">
        <f t="array" ref="J512:N512">_xlfn.XLOOKUP(A512,Productos!$A$2:$A$61,Productos!$B$2:$F$61)</f>
        <v>Pantalón de sastre</v>
      </c>
      <c r="K512" s="2" t="s">
        <v>9</v>
      </c>
      <c r="L512" s="2" t="s">
        <v>10</v>
      </c>
      <c r="M512" s="2" t="s">
        <v>13</v>
      </c>
      <c r="N512" s="2" t="s">
        <v>14</v>
      </c>
    </row>
    <row r="513">
      <c r="A513" s="2" t="str">
        <f>IFERROR(__xludf.DUMMYFUNCTION("""COMPUTED_VALUE"""),"PR042")</f>
        <v>PR042</v>
      </c>
      <c r="B513" s="2" t="str">
        <f>IFERROR(__xludf.DUMMYFUNCTION("""COMPUTED_VALUE"""),"VD024")</f>
        <v>VD024</v>
      </c>
      <c r="C513" s="2">
        <f>IFERROR(__xludf.DUMMYFUNCTION("""COMPUTED_VALUE"""),3.0)</f>
        <v>3</v>
      </c>
      <c r="D513" s="6">
        <f>IFERROR(__xludf.DUMMYFUNCTION("""COMPUTED_VALUE"""),169.64)</f>
        <v>169.64</v>
      </c>
      <c r="E513" s="6">
        <f>IFERROR(__xludf.DUMMYFUNCTION("GOOGLEFINANCE(""Currency:BRLMXN"")*D513"),576.3519)</f>
        <v>576.3519</v>
      </c>
      <c r="F513" s="6">
        <f>IFERROR(__xludf.DUMMYFUNCTION("GOOGLEFINANCE(""Currency:BRLPEN"")*D513"),111.21598399999998)</f>
        <v>111.215984</v>
      </c>
      <c r="G513" s="2" t="str">
        <f t="array" ref="G513">_xlfn.XLOOKUP(B513,Vendedores!$A$2:$A$41,Vendedores!$B$2:$B$41,"No hay datos")</f>
        <v>Marcos Rivera</v>
      </c>
      <c r="H513" s="2" t="str">
        <f t="array" ref="H513">_xlfn.XLOOKUP(B513,Vendedores!$A$2:$A$41,Vendedores!$C$2:$C$41,"No hay datos")</f>
        <v>Santa Rosa del Valle</v>
      </c>
      <c r="I513" s="2" t="str">
        <f t="array" ref="I513">_xlfn.XLOOKUP(B513,Vendedores!$A$2:$A$41,Vendedores!$D$2:$D$41,"No hay datos")</f>
        <v>Región Norte</v>
      </c>
      <c r="J513" s="2" t="str">
        <f t="array" ref="J513:N513">_xlfn.XLOOKUP(A513,Productos!$A$2:$A$61,Productos!$B$2:$F$61)</f>
        <v>Playera confort</v>
      </c>
      <c r="K513" s="2" t="s">
        <v>22</v>
      </c>
      <c r="L513" s="2" t="s">
        <v>10</v>
      </c>
      <c r="M513" s="2" t="s">
        <v>25</v>
      </c>
      <c r="N513" s="2" t="s">
        <v>26</v>
      </c>
    </row>
    <row r="514">
      <c r="A514" s="2" t="str">
        <f>IFERROR(__xludf.DUMMYFUNCTION("""COMPUTED_VALUE"""),"PR009")</f>
        <v>PR009</v>
      </c>
      <c r="B514" s="2" t="str">
        <f>IFERROR(__xludf.DUMMYFUNCTION("""COMPUTED_VALUE"""),"VD037")</f>
        <v>VD037</v>
      </c>
      <c r="C514" s="2">
        <f>IFERROR(__xludf.DUMMYFUNCTION("""COMPUTED_VALUE"""),6.0)</f>
        <v>6</v>
      </c>
      <c r="D514" s="6">
        <f>IFERROR(__xludf.DUMMYFUNCTION("""COMPUTED_VALUE"""),568.55)</f>
        <v>568.55</v>
      </c>
      <c r="E514" s="6">
        <f>IFERROR(__xludf.DUMMYFUNCTION("GOOGLEFINANCE(""Currency:BRLMXN"")*D514"),1931.6486249999998)</f>
        <v>1931.648625</v>
      </c>
      <c r="F514" s="6">
        <f>IFERROR(__xludf.DUMMYFUNCTION("GOOGLEFINANCE(""Currency:BRLPEN"")*D514"),372.74137999999994)</f>
        <v>372.74138</v>
      </c>
      <c r="G514" s="2" t="str">
        <f t="array" ref="G514">_xlfn.XLOOKUP(B514,Vendedores!$A$2:$A$41,Vendedores!$B$2:$B$41,"No hay datos")</f>
        <v>Amanda Silva</v>
      </c>
      <c r="H514" s="2" t="str">
        <f t="array" ref="H514">_xlfn.XLOOKUP(B514,Vendedores!$A$2:$A$41,Vendedores!$C$2:$C$41,"No hay datos")</f>
        <v>Villa Esperanza</v>
      </c>
      <c r="I514" s="2" t="str">
        <f t="array" ref="I514">_xlfn.XLOOKUP(B514,Vendedores!$A$2:$A$41,Vendedores!$D$2:$D$41,"No hay datos")</f>
        <v>Región Sur 2</v>
      </c>
      <c r="J514" s="2" t="str">
        <f t="array" ref="J514:N514">_xlfn.XLOOKUP(A514,Productos!$A$2:$A$61,Productos!$B$2:$F$61)</f>
        <v>Pantalón de mezclilla</v>
      </c>
      <c r="K514" s="2" t="s">
        <v>22</v>
      </c>
      <c r="L514" s="2" t="s">
        <v>10</v>
      </c>
      <c r="M514" s="2" t="s">
        <v>76</v>
      </c>
      <c r="N514" s="2" t="s">
        <v>77</v>
      </c>
    </row>
    <row r="515">
      <c r="A515" s="2" t="str">
        <f>IFERROR(__xludf.DUMMYFUNCTION("""COMPUTED_VALUE"""),"PR017")</f>
        <v>PR017</v>
      </c>
      <c r="B515" s="2" t="str">
        <f>IFERROR(__xludf.DUMMYFUNCTION("""COMPUTED_VALUE"""),"VD043")</f>
        <v>VD043</v>
      </c>
      <c r="C515" s="2">
        <f>IFERROR(__xludf.DUMMYFUNCTION("""COMPUTED_VALUE"""),2.0)</f>
        <v>2</v>
      </c>
      <c r="D515" s="6">
        <f>IFERROR(__xludf.DUMMYFUNCTION("""COMPUTED_VALUE"""),65.18)</f>
        <v>65.18</v>
      </c>
      <c r="E515" s="6">
        <f>IFERROR(__xludf.DUMMYFUNCTION("GOOGLEFINANCE(""Currency:BRLMXN"")*D515"),221.44905000000003)</f>
        <v>221.44905</v>
      </c>
      <c r="F515" s="6">
        <f>IFERROR(__xludf.DUMMYFUNCTION("GOOGLEFINANCE(""Currency:BRLPEN"")*D515"),42.732008)</f>
        <v>42.732008</v>
      </c>
      <c r="G515" s="2" t="str">
        <f t="array" ref="G515">_xlfn.XLOOKUP(B515,Vendedores!$A$2:$A$41,Vendedores!$B$2:$B$41,"No hay datos")</f>
        <v>Carlos Henríquez</v>
      </c>
      <c r="H515" s="2" t="str">
        <f t="array" ref="H515">_xlfn.XLOOKUP(B515,Vendedores!$A$2:$A$41,Vendedores!$C$2:$C$41,"No hay datos")</f>
        <v>Ciudad Aeropuerto</v>
      </c>
      <c r="I515" s="2" t="str">
        <f t="array" ref="I515">_xlfn.XLOOKUP(B515,Vendedores!$A$2:$A$41,Vendedores!$D$2:$D$41,"No hay datos")</f>
        <v>Región Central 2</v>
      </c>
      <c r="J515" s="2" t="str">
        <f t="array" ref="J515:N515">_xlfn.XLOOKUP(A515,Productos!$A$2:$A$61,Productos!$B$2:$F$61)</f>
        <v>Playera lisa</v>
      </c>
      <c r="K515" s="2" t="s">
        <v>17</v>
      </c>
      <c r="L515" s="2" t="s">
        <v>10</v>
      </c>
      <c r="M515" s="2" t="s">
        <v>98</v>
      </c>
      <c r="N515" s="2" t="s">
        <v>99</v>
      </c>
    </row>
    <row r="516">
      <c r="A516" s="2" t="str">
        <f>IFERROR(__xludf.DUMMYFUNCTION("""COMPUTED_VALUE"""),"PR009")</f>
        <v>PR009</v>
      </c>
      <c r="B516" s="2" t="str">
        <f>IFERROR(__xludf.DUMMYFUNCTION("""COMPUTED_VALUE"""),"VD025")</f>
        <v>VD025</v>
      </c>
      <c r="C516" s="2">
        <f>IFERROR(__xludf.DUMMYFUNCTION("""COMPUTED_VALUE"""),5.0)</f>
        <v>5</v>
      </c>
      <c r="D516" s="6">
        <f>IFERROR(__xludf.DUMMYFUNCTION("""COMPUTED_VALUE"""),478.44)</f>
        <v>478.44</v>
      </c>
      <c r="E516" s="6">
        <f>IFERROR(__xludf.DUMMYFUNCTION("GOOGLEFINANCE(""Currency:BRLMXN"")*D516"),1625.4999)</f>
        <v>1625.4999</v>
      </c>
      <c r="F516" s="6">
        <f>IFERROR(__xludf.DUMMYFUNCTION("GOOGLEFINANCE(""Currency:BRLPEN"")*D516"),313.665264)</f>
        <v>313.665264</v>
      </c>
      <c r="G516" s="2" t="str">
        <f t="array" ref="G516">_xlfn.XLOOKUP(B516,Vendedores!$A$2:$A$41,Vendedores!$B$2:$B$41,"No hay datos")</f>
        <v>Alina Santana</v>
      </c>
      <c r="H516" s="2" t="str">
        <f t="array" ref="H516">_xlfn.XLOOKUP(B516,Vendedores!$A$2:$A$41,Vendedores!$C$2:$C$41,"No hay datos")</f>
        <v>Playa Blanca</v>
      </c>
      <c r="I516" s="2" t="str">
        <f t="array" ref="I516">_xlfn.XLOOKUP(B516,Vendedores!$A$2:$A$41,Vendedores!$D$2:$D$41,"No hay datos")</f>
        <v>Región Norte</v>
      </c>
      <c r="J516" s="2" t="str">
        <f t="array" ref="J516:N516">_xlfn.XLOOKUP(A516,Productos!$A$2:$A$61,Productos!$B$2:$F$61)</f>
        <v>Pantalón de mezclilla</v>
      </c>
      <c r="K516" s="2" t="s">
        <v>22</v>
      </c>
      <c r="L516" s="2" t="s">
        <v>10</v>
      </c>
      <c r="M516" s="2" t="s">
        <v>76</v>
      </c>
      <c r="N516" s="2" t="s">
        <v>77</v>
      </c>
    </row>
    <row r="517">
      <c r="A517" s="2" t="str">
        <f>IFERROR(__xludf.DUMMYFUNCTION("""COMPUTED_VALUE"""),"PR026")</f>
        <v>PR026</v>
      </c>
      <c r="B517" s="2" t="str">
        <f>IFERROR(__xludf.DUMMYFUNCTION("""COMPUTED_VALUE"""),"VD033")</f>
        <v>VD033</v>
      </c>
      <c r="C517" s="2">
        <f>IFERROR(__xludf.DUMMYFUNCTION("""COMPUTED_VALUE"""),12.0)</f>
        <v>12</v>
      </c>
      <c r="D517" s="6">
        <f>IFERROR(__xludf.DUMMYFUNCTION("""COMPUTED_VALUE"""),4324.76)</f>
        <v>4324.76</v>
      </c>
      <c r="E517" s="6">
        <f>IFERROR(__xludf.DUMMYFUNCTION("GOOGLEFINANCE(""Currency:BRLMXN"")*D517"),14693.3721)</f>
        <v>14693.3721</v>
      </c>
      <c r="F517" s="6">
        <f>IFERROR(__xludf.DUMMYFUNCTION("GOOGLEFINANCE(""Currency:BRLPEN"")*D517"),2835.312656)</f>
        <v>2835.312656</v>
      </c>
      <c r="G517" s="2" t="str">
        <f t="array" ref="G517">_xlfn.XLOOKUP(B517,Vendedores!$A$2:$A$41,Vendedores!$B$2:$B$41,"No hay datos")</f>
        <v>Renata Flores</v>
      </c>
      <c r="H517" s="2" t="str">
        <f t="array" ref="H517">_xlfn.XLOOKUP(B517,Vendedores!$A$2:$A$41,Vendedores!$C$2:$C$41,"No hay datos")</f>
        <v>Altos del Sur</v>
      </c>
      <c r="I517" s="2" t="str">
        <f t="array" ref="I517">_xlfn.XLOOKUP(B517,Vendedores!$A$2:$A$41,Vendedores!$D$2:$D$41,"No hay datos")</f>
        <v>Región Central 2</v>
      </c>
      <c r="J517" s="2" t="str">
        <f t="array" ref="J517:N517">_xlfn.XLOOKUP(A517,Productos!$A$2:$A$61,Productos!$B$2:$F$61)</f>
        <v>Gafas cuadradas</v>
      </c>
      <c r="K517" s="2" t="s">
        <v>29</v>
      </c>
      <c r="L517" s="2" t="s">
        <v>30</v>
      </c>
      <c r="M517" s="2" t="s">
        <v>90</v>
      </c>
      <c r="N517" s="2" t="s">
        <v>91</v>
      </c>
    </row>
    <row r="518">
      <c r="A518" s="2" t="str">
        <f>IFERROR(__xludf.DUMMYFUNCTION("""COMPUTED_VALUE"""),"PR058")</f>
        <v>PR058</v>
      </c>
      <c r="B518" s="2" t="str">
        <f>IFERROR(__xludf.DUMMYFUNCTION("""COMPUTED_VALUE"""),"VD046")</f>
        <v>VD046</v>
      </c>
      <c r="C518" s="2">
        <f>IFERROR(__xludf.DUMMYFUNCTION("""COMPUTED_VALUE"""),3.0)</f>
        <v>3</v>
      </c>
      <c r="D518" s="6">
        <f>IFERROR(__xludf.DUMMYFUNCTION("""COMPUTED_VALUE"""),577.8)</f>
        <v>577.8</v>
      </c>
      <c r="E518" s="6">
        <f>IFERROR(__xludf.DUMMYFUNCTION("GOOGLEFINANCE(""Currency:BRLMXN"")*D518"),1963.0755)</f>
        <v>1963.0755</v>
      </c>
      <c r="F518" s="6">
        <f>IFERROR(__xludf.DUMMYFUNCTION("GOOGLEFINANCE(""Currency:BRLPEN"")*D518"),378.80567999999994)</f>
        <v>378.80568</v>
      </c>
      <c r="G518" s="2" t="str">
        <f t="array" ref="G518">_xlfn.XLOOKUP(B518,Vendedores!$A$2:$A$41,Vendedores!$B$2:$B$41,"No hay datos")</f>
        <v>Juliana Pérez</v>
      </c>
      <c r="H518" s="2" t="str">
        <f t="array" ref="H518">_xlfn.XLOOKUP(B518,Vendedores!$A$2:$A$41,Vendedores!$C$2:$C$41,"No hay datos")</f>
        <v>Santa Cruz de la Sierra</v>
      </c>
      <c r="I518" s="2" t="str">
        <f t="array" ref="I518">_xlfn.XLOOKUP(B518,Vendedores!$A$2:$A$41,Vendedores!$D$2:$D$41,"No hay datos")</f>
        <v>Región Central 2</v>
      </c>
      <c r="J518" s="2" t="str">
        <f t="array" ref="J518:N518">_xlfn.XLOOKUP(A518,Productos!$A$2:$A$61,Productos!$B$2:$F$61)</f>
        <v>Pantalón de sastre</v>
      </c>
      <c r="K518" s="2" t="s">
        <v>9</v>
      </c>
      <c r="L518" s="2" t="s">
        <v>10</v>
      </c>
      <c r="M518" s="2" t="s">
        <v>13</v>
      </c>
      <c r="N518" s="2" t="s">
        <v>14</v>
      </c>
    </row>
    <row r="519">
      <c r="A519" s="2" t="str">
        <f>IFERROR(__xludf.DUMMYFUNCTION("""COMPUTED_VALUE"""),"PR011")</f>
        <v>PR011</v>
      </c>
      <c r="B519" s="2" t="str">
        <f>IFERROR(__xludf.DUMMYFUNCTION("""COMPUTED_VALUE"""),"VD039")</f>
        <v>VD039</v>
      </c>
      <c r="C519" s="2">
        <f>IFERROR(__xludf.DUMMYFUNCTION("""COMPUTED_VALUE"""),2.0)</f>
        <v>2</v>
      </c>
      <c r="D519" s="6">
        <f>IFERROR(__xludf.DUMMYFUNCTION("""COMPUTED_VALUE"""),99.43)</f>
        <v>99.43</v>
      </c>
      <c r="E519" s="6">
        <f>IFERROR(__xludf.DUMMYFUNCTION("GOOGLEFINANCE(""Currency:BRLMXN"")*D519"),337.813425)</f>
        <v>337.813425</v>
      </c>
      <c r="F519" s="6">
        <f>IFERROR(__xludf.DUMMYFUNCTION("GOOGLEFINANCE(""Currency:BRLPEN"")*D519"),65.186308)</f>
        <v>65.186308</v>
      </c>
      <c r="G519" s="2" t="str">
        <f t="array" ref="G519">_xlfn.XLOOKUP(B519,Vendedores!$A$2:$A$41,Vendedores!$B$2:$B$41,"No hay datos")</f>
        <v>Daniela Rodríguez</v>
      </c>
      <c r="H519" s="2" t="str">
        <f t="array" ref="H519">_xlfn.XLOOKUP(B519,Vendedores!$A$2:$A$41,Vendedores!$C$2:$C$41,"No hay datos")</f>
        <v>Bahía del Sol</v>
      </c>
      <c r="I519" s="2" t="str">
        <f t="array" ref="I519">_xlfn.XLOOKUP(B519,Vendedores!$A$2:$A$41,Vendedores!$D$2:$D$41,"No hay datos")</f>
        <v>Región Central 2</v>
      </c>
      <c r="J519" s="2" t="str">
        <f t="array" ref="J519:N519">_xlfn.XLOOKUP(A519,Productos!$A$2:$A$61,Productos!$B$2:$F$61)</f>
        <v>Pantalón legging</v>
      </c>
      <c r="K519" s="2" t="s">
        <v>17</v>
      </c>
      <c r="L519" s="2" t="s">
        <v>10</v>
      </c>
      <c r="M519" s="2" t="s">
        <v>67</v>
      </c>
      <c r="N519" s="2" t="s">
        <v>68</v>
      </c>
    </row>
    <row r="520">
      <c r="A520" s="2" t="str">
        <f>IFERROR(__xludf.DUMMYFUNCTION("""COMPUTED_VALUE"""),"PR030")</f>
        <v>PR030</v>
      </c>
      <c r="B520" s="2" t="str">
        <f>IFERROR(__xludf.DUMMYFUNCTION("""COMPUTED_VALUE"""),"VD027")</f>
        <v>VD027</v>
      </c>
      <c r="C520" s="2">
        <f>IFERROR(__xludf.DUMMYFUNCTION("""COMPUTED_VALUE"""),8.0)</f>
        <v>8</v>
      </c>
      <c r="D520" s="6">
        <f>IFERROR(__xludf.DUMMYFUNCTION("""COMPUTED_VALUE"""),2079.2)</f>
        <v>2079.2</v>
      </c>
      <c r="E520" s="6">
        <f>IFERROR(__xludf.DUMMYFUNCTION("GOOGLEFINANCE(""Currency:BRLMXN"")*D520"),7064.081999999999)</f>
        <v>7064.082</v>
      </c>
      <c r="F520" s="6">
        <f>IFERROR(__xludf.DUMMYFUNCTION("GOOGLEFINANCE(""Currency:BRLPEN"")*D520"),1363.1235199999999)</f>
        <v>1363.12352</v>
      </c>
      <c r="G520" s="2" t="str">
        <f t="array" ref="G520">_xlfn.XLOOKUP(B520,Vendedores!$A$2:$A$41,Vendedores!$B$2:$B$41,"No hay datos")</f>
        <v>Patricia Cortés</v>
      </c>
      <c r="H520" s="2" t="str">
        <f t="array" ref="H520">_xlfn.XLOOKUP(B520,Vendedores!$A$2:$A$41,Vendedores!$C$2:$C$41,"No hay datos")</f>
        <v>Costa Azul</v>
      </c>
      <c r="I520" s="2" t="str">
        <f t="array" ref="I520">_xlfn.XLOOKUP(B520,Vendedores!$A$2:$A$41,Vendedores!$D$2:$D$41,"No hay datos")</f>
        <v>Región Norte</v>
      </c>
      <c r="J520" s="2" t="str">
        <f t="array" ref="J520:N520">_xlfn.XLOOKUP(A520,Productos!$A$2:$A$61,Productos!$B$2:$F$61)</f>
        <v>Tenis Atitas</v>
      </c>
      <c r="K520" s="2">
        <v>38.0</v>
      </c>
      <c r="L520" s="2" t="s">
        <v>33</v>
      </c>
      <c r="M520" s="2" t="s">
        <v>63</v>
      </c>
      <c r="N520" s="2" t="s">
        <v>64</v>
      </c>
    </row>
    <row r="521">
      <c r="A521" s="2" t="str">
        <f>IFERROR(__xludf.DUMMYFUNCTION("""COMPUTED_VALUE"""),"PR032")</f>
        <v>PR032</v>
      </c>
      <c r="B521" s="2" t="str">
        <f>IFERROR(__xludf.DUMMYFUNCTION("""COMPUTED_VALUE"""),"VD031")</f>
        <v>VD031</v>
      </c>
      <c r="C521" s="2">
        <f>IFERROR(__xludf.DUMMYFUNCTION("""COMPUTED_VALUE"""),20.0)</f>
        <v>20</v>
      </c>
      <c r="D521" s="6">
        <f>IFERROR(__xludf.DUMMYFUNCTION("""COMPUTED_VALUE"""),5300.0)</f>
        <v>5300</v>
      </c>
      <c r="E521" s="6">
        <f>IFERROR(__xludf.DUMMYFUNCTION("GOOGLEFINANCE(""Currency:BRLMXN"")*D521"),18006.75)</f>
        <v>18006.75</v>
      </c>
      <c r="F521" s="6">
        <f>IFERROR(__xludf.DUMMYFUNCTION("GOOGLEFINANCE(""Currency:BRLPEN"")*D521"),3474.68)</f>
        <v>3474.68</v>
      </c>
      <c r="G521" s="2" t="str">
        <f t="array" ref="G521">_xlfn.XLOOKUP(B521,Vendedores!$A$2:$A$41,Vendedores!$B$2:$B$41,"No hay datos")</f>
        <v>Vanessa Martínez</v>
      </c>
      <c r="H521" s="2" t="str">
        <f t="array" ref="H521">_xlfn.XLOOKUP(B521,Vendedores!$A$2:$A$41,Vendedores!$C$2:$C$41,"No hay datos")</f>
        <v>Monte Verde</v>
      </c>
      <c r="I521" s="2" t="str">
        <f t="array" ref="I521">_xlfn.XLOOKUP(B521,Vendedores!$A$2:$A$41,Vendedores!$D$2:$D$41,"No hay datos")</f>
        <v>Región Central 2</v>
      </c>
      <c r="J521" s="2" t="str">
        <f t="array" ref="J521:N521">_xlfn.XLOOKUP(A521,Productos!$A$2:$A$61,Productos!$B$2:$F$61)</f>
        <v>Tenis Chunky</v>
      </c>
      <c r="K521" s="2">
        <v>37.0</v>
      </c>
      <c r="L521" s="2" t="s">
        <v>33</v>
      </c>
      <c r="M521" s="2" t="s">
        <v>61</v>
      </c>
      <c r="N521" s="2" t="s">
        <v>62</v>
      </c>
    </row>
    <row r="522">
      <c r="A522" s="2" t="str">
        <f>IFERROR(__xludf.DUMMYFUNCTION("""COMPUTED_VALUE"""),"PR039")</f>
        <v>PR039</v>
      </c>
      <c r="B522" s="2" t="str">
        <f>IFERROR(__xludf.DUMMYFUNCTION("""COMPUTED_VALUE"""),"VD021")</f>
        <v>VD021</v>
      </c>
      <c r="C522" s="2">
        <f>IFERROR(__xludf.DUMMYFUNCTION("""COMPUTED_VALUE"""),2.0)</f>
        <v>2</v>
      </c>
      <c r="D522" s="6">
        <f>IFERROR(__xludf.DUMMYFUNCTION("""COMPUTED_VALUE"""),292.0)</f>
        <v>292</v>
      </c>
      <c r="E522" s="6">
        <f>IFERROR(__xludf.DUMMYFUNCTION("GOOGLEFINANCE(""Currency:BRLMXN"")*D522"),992.0699999999999)</f>
        <v>992.07</v>
      </c>
      <c r="F522" s="6">
        <f>IFERROR(__xludf.DUMMYFUNCTION("GOOGLEFINANCE(""Currency:BRLPEN"")*D522"),191.43519999999998)</f>
        <v>191.4352</v>
      </c>
      <c r="G522" s="2" t="str">
        <f t="array" ref="G522">_xlfn.XLOOKUP(B522,Vendedores!$A$2:$A$41,Vendedores!$B$2:$B$41,"No hay datos")</f>
        <v>Fernanda Méndez</v>
      </c>
      <c r="H522" s="2" t="str">
        <f t="array" ref="H522">_xlfn.XLOOKUP(B522,Vendedores!$A$2:$A$41,Vendedores!$C$2:$C$41,"No hay datos")</f>
        <v>San Juan de la Sierra</v>
      </c>
      <c r="I522" s="2" t="str">
        <f t="array" ref="I522">_xlfn.XLOOKUP(B522,Vendedores!$A$2:$A$41,Vendedores!$D$2:$D$41,"No hay datos")</f>
        <v>Región Central</v>
      </c>
      <c r="J522" s="2" t="str">
        <f t="array" ref="J522:N522">_xlfn.XLOOKUP(A522,Productos!$A$2:$A$61,Productos!$B$2:$F$61)</f>
        <v>Vestido largo</v>
      </c>
      <c r="K522" s="2" t="s">
        <v>22</v>
      </c>
      <c r="L522" s="2" t="s">
        <v>10</v>
      </c>
      <c r="M522" s="2" t="s">
        <v>73</v>
      </c>
      <c r="N522" s="2" t="s">
        <v>74</v>
      </c>
    </row>
    <row r="523">
      <c r="A523" s="2" t="str">
        <f>IFERROR(__xludf.DUMMYFUNCTION("""COMPUTED_VALUE"""),"PR045")</f>
        <v>PR045</v>
      </c>
      <c r="B523" s="2" t="str">
        <f>IFERROR(__xludf.DUMMYFUNCTION("""COMPUTED_VALUE"""),"VD017")</f>
        <v>VD017</v>
      </c>
      <c r="C523" s="2">
        <f>IFERROR(__xludf.DUMMYFUNCTION("""COMPUTED_VALUE"""),20.0)</f>
        <v>20</v>
      </c>
      <c r="D523" s="6">
        <f>IFERROR(__xludf.DUMMYFUNCTION("""COMPUTED_VALUE"""),1537.0)</f>
        <v>1537</v>
      </c>
      <c r="E523" s="6">
        <f>IFERROR(__xludf.DUMMYFUNCTION("GOOGLEFINANCE(""Currency:BRLMXN"")*D523"),5221.9574999999995)</f>
        <v>5221.9575</v>
      </c>
      <c r="F523" s="6">
        <f>IFERROR(__xludf.DUMMYFUNCTION("GOOGLEFINANCE(""Currency:BRLPEN"")*D523"),1007.6572)</f>
        <v>1007.6572</v>
      </c>
      <c r="G523" s="2" t="str">
        <f t="array" ref="G523">_xlfn.XLOOKUP(B523,Vendedores!$A$2:$A$41,Vendedores!$B$2:$B$41,"No hay datos")</f>
        <v>Bruno Peralta</v>
      </c>
      <c r="H523" s="2" t="str">
        <f t="array" ref="H523">_xlfn.XLOOKUP(B523,Vendedores!$A$2:$A$41,Vendedores!$C$2:$C$41,"No hay datos")</f>
        <v>Costa Azul</v>
      </c>
      <c r="I523" s="2" t="str">
        <f t="array" ref="I523">_xlfn.XLOOKUP(B523,Vendedores!$A$2:$A$41,Vendedores!$D$2:$D$41,"No hay datos")</f>
        <v>Región Norte</v>
      </c>
      <c r="J523" s="2" t="str">
        <f t="array" ref="J523:N523">_xlfn.XLOOKUP(A523,Productos!$A$2:$A$61,Productos!$B$2:$F$61)</f>
        <v>Vestido floral</v>
      </c>
      <c r="K523" s="2" t="s">
        <v>22</v>
      </c>
      <c r="L523" s="2" t="s">
        <v>10</v>
      </c>
      <c r="M523" s="2" t="s">
        <v>39</v>
      </c>
      <c r="N523" s="2" t="s">
        <v>40</v>
      </c>
    </row>
    <row r="524">
      <c r="A524" s="2" t="str">
        <f>IFERROR(__xludf.DUMMYFUNCTION("""COMPUTED_VALUE"""),"PR035")</f>
        <v>PR035</v>
      </c>
      <c r="B524" s="2" t="str">
        <f>IFERROR(__xludf.DUMMYFUNCTION("""COMPUTED_VALUE"""),"VD045")</f>
        <v>VD045</v>
      </c>
      <c r="C524" s="2">
        <f>IFERROR(__xludf.DUMMYFUNCTION("""COMPUTED_VALUE"""),6.0)</f>
        <v>6</v>
      </c>
      <c r="D524" s="6">
        <f>IFERROR(__xludf.DUMMYFUNCTION("""COMPUTED_VALUE"""),586.79)</f>
        <v>586.79</v>
      </c>
      <c r="E524" s="6">
        <f>IFERROR(__xludf.DUMMYFUNCTION("GOOGLEFINANCE(""Currency:BRLMXN"")*D524"),1993.619025)</f>
        <v>1993.619025</v>
      </c>
      <c r="F524" s="6">
        <f>IFERROR(__xludf.DUMMYFUNCTION("GOOGLEFINANCE(""Currency:BRLPEN"")*D524"),384.69952399999994)</f>
        <v>384.699524</v>
      </c>
      <c r="G524" s="2" t="str">
        <f t="array" ref="G524">_xlfn.XLOOKUP(B524,Vendedores!$A$2:$A$41,Vendedores!$B$2:$B$41,"No hay datos")</f>
        <v>Rafael Morales</v>
      </c>
      <c r="H524" s="2" t="str">
        <f t="array" ref="H524">_xlfn.XLOOKUP(B524,Vendedores!$A$2:$A$41,Vendedores!$C$2:$C$41,"No hay datos")</f>
        <v>Valle Dorado</v>
      </c>
      <c r="I524" s="2" t="str">
        <f t="array" ref="I524">_xlfn.XLOOKUP(B524,Vendedores!$A$2:$A$41,Vendedores!$D$2:$D$41,"No hay datos")</f>
        <v>Región Central 2</v>
      </c>
      <c r="J524" s="2" t="str">
        <f t="array" ref="J524:N524">_xlfn.XLOOKUP(A524,Productos!$A$2:$A$61,Productos!$B$2:$F$61)</f>
        <v>Vestido corto</v>
      </c>
      <c r="K524" s="2" t="s">
        <v>17</v>
      </c>
      <c r="L524" s="2" t="s">
        <v>10</v>
      </c>
      <c r="M524" s="2" t="s">
        <v>18</v>
      </c>
      <c r="N524" s="2" t="s">
        <v>19</v>
      </c>
    </row>
    <row r="525">
      <c r="A525" s="2" t="str">
        <f>IFERROR(__xludf.DUMMYFUNCTION("""COMPUTED_VALUE"""),"PR008")</f>
        <v>PR008</v>
      </c>
      <c r="B525" s="2" t="str">
        <f>IFERROR(__xludf.DUMMYFUNCTION("""COMPUTED_VALUE"""),"VD015")</f>
        <v>VD015</v>
      </c>
      <c r="C525" s="2">
        <f>IFERROR(__xludf.DUMMYFUNCTION("""COMPUTED_VALUE"""),9.0)</f>
        <v>9</v>
      </c>
      <c r="D525" s="6">
        <f>IFERROR(__xludf.DUMMYFUNCTION("""COMPUTED_VALUE"""),809.1)</f>
        <v>809.1</v>
      </c>
      <c r="E525" s="6">
        <f>IFERROR(__xludf.DUMMYFUNCTION("GOOGLEFINANCE(""Currency:BRLMXN"")*D525"),2748.91725)</f>
        <v>2748.91725</v>
      </c>
      <c r="F525" s="6">
        <f>IFERROR(__xludf.DUMMYFUNCTION("GOOGLEFINANCE(""Currency:BRLPEN"")*D525"),530.44596)</f>
        <v>530.44596</v>
      </c>
      <c r="G525" s="2" t="str">
        <f t="array" ref="G525">_xlfn.XLOOKUP(B525,Vendedores!$A$2:$A$41,Vendedores!$B$2:$B$41,"No hay datos")</f>
        <v>Lucas Castillo</v>
      </c>
      <c r="H525" s="2" t="str">
        <f t="array" ref="H525">_xlfn.XLOOKUP(B525,Vendedores!$A$2:$A$41,Vendedores!$C$2:$C$41,"No hay datos")</f>
        <v>San Miguel de los Pinos</v>
      </c>
      <c r="I525" s="2" t="str">
        <f t="array" ref="I525">_xlfn.XLOOKUP(B525,Vendedores!$A$2:$A$41,Vendedores!$D$2:$D$41,"No hay datos")</f>
        <v>Región Sur</v>
      </c>
      <c r="J525" s="2" t="str">
        <f t="array" ref="J525:N525">_xlfn.XLOOKUP(A525,Productos!$A$2:$A$61,Productos!$B$2:$F$61)</f>
        <v>Pantalón de mezclilla</v>
      </c>
      <c r="K525" s="2" t="s">
        <v>17</v>
      </c>
      <c r="L525" s="2" t="s">
        <v>10</v>
      </c>
      <c r="M525" s="2" t="s">
        <v>65</v>
      </c>
      <c r="N525" s="2" t="s">
        <v>35</v>
      </c>
    </row>
    <row r="526">
      <c r="A526" s="2" t="str">
        <f>IFERROR(__xludf.DUMMYFUNCTION("""COMPUTED_VALUE"""),"PR037")</f>
        <v>PR037</v>
      </c>
      <c r="B526" s="2" t="str">
        <f>IFERROR(__xludf.DUMMYFUNCTION("""COMPUTED_VALUE"""),"VD045")</f>
        <v>VD045</v>
      </c>
      <c r="C526" s="2">
        <f>IFERROR(__xludf.DUMMYFUNCTION("""COMPUTED_VALUE"""),4.0)</f>
        <v>4</v>
      </c>
      <c r="D526" s="6">
        <f>IFERROR(__xludf.DUMMYFUNCTION("""COMPUTED_VALUE"""),571.2)</f>
        <v>571.2</v>
      </c>
      <c r="E526" s="6">
        <f>IFERROR(__xludf.DUMMYFUNCTION("GOOGLEFINANCE(""Currency:BRLMXN"")*D526"),1940.652)</f>
        <v>1940.652</v>
      </c>
      <c r="F526" s="6">
        <f>IFERROR(__xludf.DUMMYFUNCTION("GOOGLEFINANCE(""Currency:BRLPEN"")*D526"),374.47872)</f>
        <v>374.47872</v>
      </c>
      <c r="G526" s="2" t="str">
        <f t="array" ref="G526">_xlfn.XLOOKUP(B526,Vendedores!$A$2:$A$41,Vendedores!$B$2:$B$41,"No hay datos")</f>
        <v>Rafael Morales</v>
      </c>
      <c r="H526" s="2" t="str">
        <f t="array" ref="H526">_xlfn.XLOOKUP(B526,Vendedores!$A$2:$A$41,Vendedores!$C$2:$C$41,"No hay datos")</f>
        <v>Valle Dorado</v>
      </c>
      <c r="I526" s="2" t="str">
        <f t="array" ref="I526">_xlfn.XLOOKUP(B526,Vendedores!$A$2:$A$41,Vendedores!$D$2:$D$41,"No hay datos")</f>
        <v>Región Central 2</v>
      </c>
      <c r="J526" s="2" t="str">
        <f t="array" ref="J526:N526">_xlfn.XLOOKUP(A526,Productos!$A$2:$A$61,Productos!$B$2:$F$61)</f>
        <v>Vestido largo</v>
      </c>
      <c r="K526" s="2" t="s">
        <v>9</v>
      </c>
      <c r="L526" s="2" t="s">
        <v>10</v>
      </c>
      <c r="M526" s="2" t="s">
        <v>70</v>
      </c>
      <c r="N526" s="2" t="s">
        <v>71</v>
      </c>
    </row>
    <row r="527">
      <c r="A527" s="2" t="str">
        <f>IFERROR(__xludf.DUMMYFUNCTION("""COMPUTED_VALUE"""),"PR055")</f>
        <v>PR055</v>
      </c>
      <c r="B527" s="2" t="str">
        <f>IFERROR(__xludf.DUMMYFUNCTION("""COMPUTED_VALUE"""),"VD047")</f>
        <v>VD047</v>
      </c>
      <c r="C527" s="2">
        <f>IFERROR(__xludf.DUMMYFUNCTION("""COMPUTED_VALUE"""),9.0)</f>
        <v>9</v>
      </c>
      <c r="D527" s="6">
        <f>IFERROR(__xludf.DUMMYFUNCTION("""COMPUTED_VALUE"""),841.46)</f>
        <v>841.46</v>
      </c>
      <c r="E527" s="6">
        <f>IFERROR(__xludf.DUMMYFUNCTION("GOOGLEFINANCE(""Currency:BRLMXN"")*D527"),2858.86035)</f>
        <v>2858.86035</v>
      </c>
      <c r="F527" s="6">
        <f>IFERROR(__xludf.DUMMYFUNCTION("GOOGLEFINANCE(""Currency:BRLPEN"")*D527"),551.661176)</f>
        <v>551.661176</v>
      </c>
      <c r="G527" s="2" t="str">
        <f t="array" ref="G527">_xlfn.XLOOKUP(B527,Vendedores!$A$2:$A$41,Vendedores!$B$2:$B$41,"No hay datos")</f>
        <v>Andrés López</v>
      </c>
      <c r="H527" s="2" t="str">
        <f t="array" ref="H527">_xlfn.XLOOKUP(B527,Vendedores!$A$2:$A$41,Vendedores!$C$2:$C$41,"No hay datos")</f>
        <v>Villa Progreso</v>
      </c>
      <c r="I527" s="2" t="str">
        <f t="array" ref="I527">_xlfn.XLOOKUP(B527,Vendedores!$A$2:$A$41,Vendedores!$D$2:$D$41,"No hay datos")</f>
        <v>Región Central 2</v>
      </c>
      <c r="J527" s="2" t="str">
        <f t="array" ref="J527:N527">_xlfn.XLOOKUP(A527,Productos!$A$2:$A$61,Productos!$B$2:$F$61)</f>
        <v>Sandalia plana</v>
      </c>
      <c r="K527" s="2">
        <v>35.0</v>
      </c>
      <c r="L527" s="2" t="s">
        <v>33</v>
      </c>
      <c r="M527" s="2" t="s">
        <v>34</v>
      </c>
      <c r="N527" s="2" t="s">
        <v>35</v>
      </c>
    </row>
    <row r="528">
      <c r="A528" s="2" t="str">
        <f>IFERROR(__xludf.DUMMYFUNCTION("""COMPUTED_VALUE"""),"PR022")</f>
        <v>PR022</v>
      </c>
      <c r="B528" s="2" t="str">
        <f>IFERROR(__xludf.DUMMYFUNCTION("""COMPUTED_VALUE"""),"VD034")</f>
        <v>VD034</v>
      </c>
      <c r="C528" s="2">
        <f>IFERROR(__xludf.DUMMYFUNCTION("""COMPUTED_VALUE"""),10.0)</f>
        <v>10</v>
      </c>
      <c r="D528" s="6">
        <f>IFERROR(__xludf.DUMMYFUNCTION("""COMPUTED_VALUE"""),3120.0)</f>
        <v>3120</v>
      </c>
      <c r="E528" s="6">
        <f>IFERROR(__xludf.DUMMYFUNCTION("GOOGLEFINANCE(""Currency:BRLMXN"")*D528"),10600.2)</f>
        <v>10600.2</v>
      </c>
      <c r="F528" s="6">
        <f>IFERROR(__xludf.DUMMYFUNCTION("GOOGLEFINANCE(""Currency:BRLPEN"")*D528"),2045.472)</f>
        <v>2045.472</v>
      </c>
      <c r="G528" s="2" t="str">
        <f t="array" ref="G528">_xlfn.XLOOKUP(B528,Vendedores!$A$2:$A$41,Vendedores!$B$2:$B$41,"No hay datos")</f>
        <v>Felipe Carvajal</v>
      </c>
      <c r="H528" s="2" t="str">
        <f t="array" ref="H528">_xlfn.XLOOKUP(B528,Vendedores!$A$2:$A$41,Vendedores!$C$2:$C$41,"No hay datos")</f>
        <v>San Pedro del Río</v>
      </c>
      <c r="I528" s="2" t="str">
        <f t="array" ref="I528">_xlfn.XLOOKUP(B528,Vendedores!$A$2:$A$41,Vendedores!$D$2:$D$41,"No hay datos")</f>
        <v>Región Sur 2</v>
      </c>
      <c r="J528" s="2" t="str">
        <f t="array" ref="J528:N528">_xlfn.XLOOKUP(A528,Productos!$A$2:$A$61,Productos!$B$2:$F$61)</f>
        <v>Chaqueta de cuero</v>
      </c>
      <c r="K528" s="2" t="s">
        <v>22</v>
      </c>
      <c r="L528" s="2" t="s">
        <v>10</v>
      </c>
      <c r="M528" s="2" t="s">
        <v>78</v>
      </c>
      <c r="N528" s="2" t="s">
        <v>79</v>
      </c>
    </row>
    <row r="529">
      <c r="A529" s="2" t="str">
        <f>IFERROR(__xludf.DUMMYFUNCTION("""COMPUTED_VALUE"""),"PR029")</f>
        <v>PR029</v>
      </c>
      <c r="B529" s="2" t="str">
        <f>IFERROR(__xludf.DUMMYFUNCTION("""COMPUTED_VALUE"""),"VD047")</f>
        <v>VD047</v>
      </c>
      <c r="C529" s="2">
        <f>IFERROR(__xludf.DUMMYFUNCTION("""COMPUTED_VALUE"""),4.0)</f>
        <v>4</v>
      </c>
      <c r="D529" s="6">
        <f>IFERROR(__xludf.DUMMYFUNCTION("""COMPUTED_VALUE"""),1030.2)</f>
        <v>1030.2</v>
      </c>
      <c r="E529" s="6">
        <f>IFERROR(__xludf.DUMMYFUNCTION("GOOGLEFINANCE(""Currency:BRLMXN"")*D529"),3500.1045)</f>
        <v>3500.1045</v>
      </c>
      <c r="F529" s="6">
        <f>IFERROR(__xludf.DUMMYFUNCTION("GOOGLEFINANCE(""Currency:BRLPEN"")*D529"),675.39912)</f>
        <v>675.39912</v>
      </c>
      <c r="G529" s="2" t="str">
        <f t="array" ref="G529">_xlfn.XLOOKUP(B529,Vendedores!$A$2:$A$41,Vendedores!$B$2:$B$41,"No hay datos")</f>
        <v>Andrés López</v>
      </c>
      <c r="H529" s="2" t="str">
        <f t="array" ref="H529">_xlfn.XLOOKUP(B529,Vendedores!$A$2:$A$41,Vendedores!$C$2:$C$41,"No hay datos")</f>
        <v>Villa Progreso</v>
      </c>
      <c r="I529" s="2" t="str">
        <f t="array" ref="I529">_xlfn.XLOOKUP(B529,Vendedores!$A$2:$A$41,Vendedores!$D$2:$D$41,"No hay datos")</f>
        <v>Región Central 2</v>
      </c>
      <c r="J529" s="2" t="str">
        <f t="array" ref="J529:N529">_xlfn.XLOOKUP(A529,Productos!$A$2:$A$61,Productos!$B$2:$F$61)</f>
        <v>Tenis Atitas</v>
      </c>
      <c r="K529" s="2">
        <v>37.0</v>
      </c>
      <c r="L529" s="2" t="s">
        <v>33</v>
      </c>
      <c r="M529" s="2" t="s">
        <v>96</v>
      </c>
      <c r="N529" s="2" t="s">
        <v>97</v>
      </c>
    </row>
    <row r="530">
      <c r="A530" s="2" t="str">
        <f>IFERROR(__xludf.DUMMYFUNCTION("""COMPUTED_VALUE"""),"PR006")</f>
        <v>PR006</v>
      </c>
      <c r="B530" s="2" t="str">
        <f>IFERROR(__xludf.DUMMYFUNCTION("""COMPUTED_VALUE"""),"VD010")</f>
        <v>VD010</v>
      </c>
      <c r="C530" s="2">
        <f>IFERROR(__xludf.DUMMYFUNCTION("""COMPUTED_VALUE"""),10.0)</f>
        <v>10</v>
      </c>
      <c r="D530" s="6">
        <f>IFERROR(__xludf.DUMMYFUNCTION("""COMPUTED_VALUE"""),430.92)</f>
        <v>430.92</v>
      </c>
      <c r="E530" s="6">
        <f>IFERROR(__xludf.DUMMYFUNCTION("GOOGLEFINANCE(""Currency:BRLMXN"")*D530"),1464.0507)</f>
        <v>1464.0507</v>
      </c>
      <c r="F530" s="6">
        <f>IFERROR(__xludf.DUMMYFUNCTION("GOOGLEFINANCE(""Currency:BRLPEN"")*D530"),282.511152)</f>
        <v>282.511152</v>
      </c>
      <c r="G530" s="2" t="str">
        <f t="array" ref="G530">_xlfn.XLOOKUP(B530,Vendedores!$A$2:$A$41,Vendedores!$B$2:$B$41,"No hay datos")</f>
        <v>María Silva</v>
      </c>
      <c r="H530" s="2" t="str">
        <f t="array" ref="H530">_xlfn.XLOOKUP(B530,Vendedores!$A$2:$A$41,Vendedores!$C$2:$C$41,"No hay datos")</f>
        <v>San Juan de la Sierra</v>
      </c>
      <c r="I530" s="2" t="str">
        <f t="array" ref="I530">_xlfn.XLOOKUP(B530,Vendedores!$A$2:$A$41,Vendedores!$D$2:$D$41,"No hay datos")</f>
        <v>Región Central</v>
      </c>
      <c r="J530" s="2" t="str">
        <f t="array" ref="J530:N530">_xlfn.XLOOKUP(A530,Productos!$A$2:$A$61,Productos!$B$2:$F$61)</f>
        <v>Gorra</v>
      </c>
      <c r="K530" s="2" t="s">
        <v>29</v>
      </c>
      <c r="L530" s="2" t="s">
        <v>30</v>
      </c>
      <c r="M530" s="2" t="s">
        <v>48</v>
      </c>
      <c r="N530" s="2" t="s">
        <v>38</v>
      </c>
    </row>
    <row r="531">
      <c r="A531" s="2" t="str">
        <f>IFERROR(__xludf.DUMMYFUNCTION("""COMPUTED_VALUE"""),"PR003")</f>
        <v>PR003</v>
      </c>
      <c r="B531" s="2" t="str">
        <f>IFERROR(__xludf.DUMMYFUNCTION("""COMPUTED_VALUE"""),"VD017")</f>
        <v>VD017</v>
      </c>
      <c r="C531" s="2">
        <f>IFERROR(__xludf.DUMMYFUNCTION("""COMPUTED_VALUE"""),12.0)</f>
        <v>12</v>
      </c>
      <c r="D531" s="6">
        <f>IFERROR(__xludf.DUMMYFUNCTION("""COMPUTED_VALUE"""),935.88)</f>
        <v>935.88</v>
      </c>
      <c r="E531" s="6">
        <f>IFERROR(__xludf.DUMMYFUNCTION("GOOGLEFINANCE(""Currency:BRLMXN"")*D531"),3179.6522999999997)</f>
        <v>3179.6523</v>
      </c>
      <c r="F531" s="6">
        <f>IFERROR(__xludf.DUMMYFUNCTION("GOOGLEFINANCE(""Currency:BRLPEN"")*D531"),613.5629279999999)</f>
        <v>613.562928</v>
      </c>
      <c r="G531" s="2" t="str">
        <f t="array" ref="G531">_xlfn.XLOOKUP(B531,Vendedores!$A$2:$A$41,Vendedores!$B$2:$B$41,"No hay datos")</f>
        <v>Bruno Peralta</v>
      </c>
      <c r="H531" s="2" t="str">
        <f t="array" ref="H531">_xlfn.XLOOKUP(B531,Vendedores!$A$2:$A$41,Vendedores!$C$2:$C$41,"No hay datos")</f>
        <v>Costa Azul</v>
      </c>
      <c r="I531" s="2" t="str">
        <f t="array" ref="I531">_xlfn.XLOOKUP(B531,Vendedores!$A$2:$A$41,Vendedores!$D$2:$D$41,"No hay datos")</f>
        <v>Región Norte</v>
      </c>
      <c r="J531" s="2" t="str">
        <f t="array" ref="J531:N531">_xlfn.XLOOKUP(A531,Productos!$A$2:$A$61,Productos!$B$2:$F$61)</f>
        <v>Bermuda</v>
      </c>
      <c r="K531" s="2" t="s">
        <v>22</v>
      </c>
      <c r="L531" s="2" t="s">
        <v>10</v>
      </c>
      <c r="M531" s="2" t="s">
        <v>45</v>
      </c>
      <c r="N531" s="2" t="s">
        <v>46</v>
      </c>
    </row>
    <row r="532">
      <c r="A532" s="2" t="str">
        <f>IFERROR(__xludf.DUMMYFUNCTION("""COMPUTED_VALUE"""),"PR017")</f>
        <v>PR017</v>
      </c>
      <c r="B532" s="2" t="str">
        <f>IFERROR(__xludf.DUMMYFUNCTION("""COMPUTED_VALUE"""),"VD025")</f>
        <v>VD025</v>
      </c>
      <c r="C532" s="2">
        <f>IFERROR(__xludf.DUMMYFUNCTION("""COMPUTED_VALUE"""),1.0)</f>
        <v>1</v>
      </c>
      <c r="D532" s="6">
        <f>IFERROR(__xludf.DUMMYFUNCTION("""COMPUTED_VALUE"""),29.9)</f>
        <v>29.9</v>
      </c>
      <c r="E532" s="6">
        <f>IFERROR(__xludf.DUMMYFUNCTION("GOOGLEFINANCE(""Currency:BRLMXN"")*D532"),101.58524999999999)</f>
        <v>101.58525</v>
      </c>
      <c r="F532" s="6">
        <f>IFERROR(__xludf.DUMMYFUNCTION("GOOGLEFINANCE(""Currency:BRLPEN"")*D532"),19.602439999999998)</f>
        <v>19.60244</v>
      </c>
      <c r="G532" s="2" t="str">
        <f t="array" ref="G532">_xlfn.XLOOKUP(B532,Vendedores!$A$2:$A$41,Vendedores!$B$2:$B$41,"No hay datos")</f>
        <v>Alina Santana</v>
      </c>
      <c r="H532" s="2" t="str">
        <f t="array" ref="H532">_xlfn.XLOOKUP(B532,Vendedores!$A$2:$A$41,Vendedores!$C$2:$C$41,"No hay datos")</f>
        <v>Playa Blanca</v>
      </c>
      <c r="I532" s="2" t="str">
        <f t="array" ref="I532">_xlfn.XLOOKUP(B532,Vendedores!$A$2:$A$41,Vendedores!$D$2:$D$41,"No hay datos")</f>
        <v>Región Norte</v>
      </c>
      <c r="J532" s="2" t="str">
        <f t="array" ref="J532:N532">_xlfn.XLOOKUP(A532,Productos!$A$2:$A$61,Productos!$B$2:$F$61)</f>
        <v>Playera lisa</v>
      </c>
      <c r="K532" s="2" t="s">
        <v>17</v>
      </c>
      <c r="L532" s="2" t="s">
        <v>10</v>
      </c>
      <c r="M532" s="2" t="s">
        <v>98</v>
      </c>
      <c r="N532" s="2" t="s">
        <v>99</v>
      </c>
    </row>
    <row r="533">
      <c r="A533" s="2" t="str">
        <f>IFERROR(__xludf.DUMMYFUNCTION("""COMPUTED_VALUE"""),"PR037")</f>
        <v>PR037</v>
      </c>
      <c r="B533" s="2" t="str">
        <f>IFERROR(__xludf.DUMMYFUNCTION("""COMPUTED_VALUE"""),"VD027")</f>
        <v>VD027</v>
      </c>
      <c r="C533" s="2">
        <f>IFERROR(__xludf.DUMMYFUNCTION("""COMPUTED_VALUE"""),20.0)</f>
        <v>20</v>
      </c>
      <c r="D533" s="6">
        <f>IFERROR(__xludf.DUMMYFUNCTION("""COMPUTED_VALUE"""),2912.0)</f>
        <v>2912</v>
      </c>
      <c r="E533" s="6">
        <f>IFERROR(__xludf.DUMMYFUNCTION("GOOGLEFINANCE(""Currency:BRLMXN"")*D533"),9893.52)</f>
        <v>9893.52</v>
      </c>
      <c r="F533" s="6">
        <f>IFERROR(__xludf.DUMMYFUNCTION("GOOGLEFINANCE(""Currency:BRLPEN"")*D533"),1909.1072)</f>
        <v>1909.1072</v>
      </c>
      <c r="G533" s="2" t="str">
        <f t="array" ref="G533">_xlfn.XLOOKUP(B533,Vendedores!$A$2:$A$41,Vendedores!$B$2:$B$41,"No hay datos")</f>
        <v>Patricia Cortés</v>
      </c>
      <c r="H533" s="2" t="str">
        <f t="array" ref="H533">_xlfn.XLOOKUP(B533,Vendedores!$A$2:$A$41,Vendedores!$C$2:$C$41,"No hay datos")</f>
        <v>Costa Azul</v>
      </c>
      <c r="I533" s="2" t="str">
        <f t="array" ref="I533">_xlfn.XLOOKUP(B533,Vendedores!$A$2:$A$41,Vendedores!$D$2:$D$41,"No hay datos")</f>
        <v>Región Norte</v>
      </c>
      <c r="J533" s="2" t="str">
        <f t="array" ref="J533:N533">_xlfn.XLOOKUP(A533,Productos!$A$2:$A$61,Productos!$B$2:$F$61)</f>
        <v>Vestido largo</v>
      </c>
      <c r="K533" s="2" t="s">
        <v>9</v>
      </c>
      <c r="L533" s="2" t="s">
        <v>10</v>
      </c>
      <c r="M533" s="2" t="s">
        <v>70</v>
      </c>
      <c r="N533" s="2" t="s">
        <v>71</v>
      </c>
    </row>
    <row r="534">
      <c r="A534" s="2" t="str">
        <f>IFERROR(__xludf.DUMMYFUNCTION("""COMPUTED_VALUE"""),"PR024")</f>
        <v>PR024</v>
      </c>
      <c r="B534" s="2" t="str">
        <f>IFERROR(__xludf.DUMMYFUNCTION("""COMPUTED_VALUE"""),"VD035")</f>
        <v>VD035</v>
      </c>
      <c r="C534" s="2">
        <f>IFERROR(__xludf.DUMMYFUNCTION("""COMPUTED_VALUE"""),8.0)</f>
        <v>8</v>
      </c>
      <c r="D534" s="6">
        <f>IFERROR(__xludf.DUMMYFUNCTION("""COMPUTED_VALUE"""),2183.16)</f>
        <v>2183.16</v>
      </c>
      <c r="E534" s="6">
        <f>IFERROR(__xludf.DUMMYFUNCTION("GOOGLEFINANCE(""Currency:BRLMXN"")*D534"),7417.286099999999)</f>
        <v>7417.2861</v>
      </c>
      <c r="F534" s="6">
        <f>IFERROR(__xludf.DUMMYFUNCTION("GOOGLEFINANCE(""Currency:BRLPEN"")*D534"),1431.2796959999998)</f>
        <v>1431.279696</v>
      </c>
      <c r="G534" s="2" t="str">
        <f t="array" ref="G534">_xlfn.XLOOKUP(B534,Vendedores!$A$2:$A$41,Vendedores!$B$2:$B$41,"No hay datos")</f>
        <v>Carolina Méndez</v>
      </c>
      <c r="H534" s="2" t="str">
        <f t="array" ref="H534">_xlfn.XLOOKUP(B534,Vendedores!$A$2:$A$41,Vendedores!$C$2:$C$41,"No hay datos")</f>
        <v>Valle de los Robles</v>
      </c>
      <c r="I534" s="2" t="str">
        <f t="array" ref="I534">_xlfn.XLOOKUP(B534,Vendedores!$A$2:$A$41,Vendedores!$D$2:$D$41,"No hay datos")</f>
        <v>Región Central 2</v>
      </c>
      <c r="J534" s="2" t="str">
        <f t="array" ref="J534:N534">_xlfn.XLOOKUP(A534,Productos!$A$2:$A$61,Productos!$B$2:$F$61)</f>
        <v>Chaqueta de mezclilla</v>
      </c>
      <c r="K534" s="2" t="s">
        <v>17</v>
      </c>
      <c r="L534" s="2" t="s">
        <v>10</v>
      </c>
      <c r="M534" s="2" t="s">
        <v>92</v>
      </c>
      <c r="N534" s="2" t="s">
        <v>64</v>
      </c>
    </row>
    <row r="535">
      <c r="A535" s="2" t="str">
        <f>IFERROR(__xludf.DUMMYFUNCTION("""COMPUTED_VALUE"""),"PR006")</f>
        <v>PR006</v>
      </c>
      <c r="B535" s="2" t="str">
        <f>IFERROR(__xludf.DUMMYFUNCTION("""COMPUTED_VALUE"""),"VD022")</f>
        <v>VD022</v>
      </c>
      <c r="C535" s="2">
        <f>IFERROR(__xludf.DUMMYFUNCTION("""COMPUTED_VALUE"""),18.0)</f>
        <v>18</v>
      </c>
      <c r="D535" s="6">
        <f>IFERROR(__xludf.DUMMYFUNCTION("""COMPUTED_VALUE"""),725.38)</f>
        <v>725.38</v>
      </c>
      <c r="E535" s="6">
        <f>IFERROR(__xludf.DUMMYFUNCTION("GOOGLEFINANCE(""Currency:BRLMXN"")*D535"),2464.47855)</f>
        <v>2464.47855</v>
      </c>
      <c r="F535" s="6">
        <f>IFERROR(__xludf.DUMMYFUNCTION("GOOGLEFINANCE(""Currency:BRLPEN"")*D535"),475.559128)</f>
        <v>475.559128</v>
      </c>
      <c r="G535" s="2" t="str">
        <f t="array" ref="G535">_xlfn.XLOOKUP(B535,Vendedores!$A$2:$A$41,Vendedores!$B$2:$B$41,"No hay datos")</f>
        <v>Santiago Linares</v>
      </c>
      <c r="H535" s="2" t="str">
        <f t="array" ref="H535">_xlfn.XLOOKUP(B535,Vendedores!$A$2:$A$41,Vendedores!$C$2:$C$41,"No hay datos")</f>
        <v>Vista Hermosa</v>
      </c>
      <c r="I535" s="2" t="str">
        <f t="array" ref="I535">_xlfn.XLOOKUP(B535,Vendedores!$A$2:$A$41,Vendedores!$D$2:$D$41,"No hay datos")</f>
        <v>Región Central</v>
      </c>
      <c r="J535" s="2" t="str">
        <f t="array" ref="J535:N535">_xlfn.XLOOKUP(A535,Productos!$A$2:$A$61,Productos!$B$2:$F$61)</f>
        <v>Gorra</v>
      </c>
      <c r="K535" s="2" t="s">
        <v>29</v>
      </c>
      <c r="L535" s="2" t="s">
        <v>30</v>
      </c>
      <c r="M535" s="2" t="s">
        <v>48</v>
      </c>
      <c r="N535" s="2" t="s">
        <v>38</v>
      </c>
    </row>
    <row r="536">
      <c r="A536" s="2" t="str">
        <f>IFERROR(__xludf.DUMMYFUNCTION("""COMPUTED_VALUE"""),"PR051")</f>
        <v>PR051</v>
      </c>
      <c r="B536" s="2" t="str">
        <f>IFERROR(__xludf.DUMMYFUNCTION("""COMPUTED_VALUE"""),"VD027")</f>
        <v>VD027</v>
      </c>
      <c r="C536" s="2">
        <f>IFERROR(__xludf.DUMMYFUNCTION("""COMPUTED_VALUE"""),18.0)</f>
        <v>18</v>
      </c>
      <c r="D536" s="6">
        <f>IFERROR(__xludf.DUMMYFUNCTION("""COMPUTED_VALUE"""),633.65)</f>
        <v>633.65</v>
      </c>
      <c r="E536" s="6">
        <f>IFERROR(__xludf.DUMMYFUNCTION("GOOGLEFINANCE(""Currency:BRLMXN"")*D536"),2152.825875)</f>
        <v>2152.825875</v>
      </c>
      <c r="F536" s="6">
        <f>IFERROR(__xludf.DUMMYFUNCTION("GOOGLEFINANCE(""Currency:BRLPEN"")*D536"),415.42094)</f>
        <v>415.42094</v>
      </c>
      <c r="G536" s="2" t="str">
        <f t="array" ref="G536">_xlfn.XLOOKUP(B536,Vendedores!$A$2:$A$41,Vendedores!$B$2:$B$41,"No hay datos")</f>
        <v>Patricia Cortés</v>
      </c>
      <c r="H536" s="2" t="str">
        <f t="array" ref="H536">_xlfn.XLOOKUP(B536,Vendedores!$A$2:$A$41,Vendedores!$C$2:$C$41,"No hay datos")</f>
        <v>Costa Azul</v>
      </c>
      <c r="I536" s="2" t="str">
        <f t="array" ref="I536">_xlfn.XLOOKUP(B536,Vendedores!$A$2:$A$41,Vendedores!$D$2:$D$41,"No hay datos")</f>
        <v>Región Norte</v>
      </c>
      <c r="J536" s="2" t="str">
        <f t="array" ref="J536:N536">_xlfn.XLOOKUP(A536,Productos!$A$2:$A$61,Productos!$B$2:$F$61)</f>
        <v>Playera a rayas</v>
      </c>
      <c r="K536" s="2" t="s">
        <v>22</v>
      </c>
      <c r="L536" s="2" t="s">
        <v>10</v>
      </c>
      <c r="M536" s="2" t="s">
        <v>23</v>
      </c>
      <c r="N536" s="2" t="s">
        <v>24</v>
      </c>
    </row>
    <row r="537">
      <c r="A537" s="2" t="str">
        <f>IFERROR(__xludf.DUMMYFUNCTION("""COMPUTED_VALUE"""),"PR057")</f>
        <v>PR057</v>
      </c>
      <c r="B537" s="2" t="str">
        <f>IFERROR(__xludf.DUMMYFUNCTION("""COMPUTED_VALUE"""),"VD019")</f>
        <v>VD019</v>
      </c>
      <c r="C537" s="2">
        <f>IFERROR(__xludf.DUMMYFUNCTION("""COMPUTED_VALUE"""),16.0)</f>
        <v>16</v>
      </c>
      <c r="D537" s="6">
        <f>IFERROR(__xludf.DUMMYFUNCTION("""COMPUTED_VALUE"""),1539.09)</f>
        <v>1539.09</v>
      </c>
      <c r="E537" s="6">
        <f>IFERROR(__xludf.DUMMYFUNCTION("GOOGLEFINANCE(""Currency:BRLMXN"")*D537"),5229.058274999999)</f>
        <v>5229.058275</v>
      </c>
      <c r="F537" s="6">
        <f>IFERROR(__xludf.DUMMYFUNCTION("GOOGLEFINANCE(""Currency:BRLPEN"")*D537"),1009.0274039999999)</f>
        <v>1009.027404</v>
      </c>
      <c r="G537" s="2" t="str">
        <f t="array" ref="G537">_xlfn.XLOOKUP(B537,Vendedores!$A$2:$A$41,Vendedores!$B$2:$B$41,"No hay datos")</f>
        <v>Rafael Sosa</v>
      </c>
      <c r="H537" s="2" t="str">
        <f t="array" ref="H537">_xlfn.XLOOKUP(B537,Vendedores!$A$2:$A$41,Vendedores!$C$2:$C$41,"No hay datos")</f>
        <v>Selva Verde</v>
      </c>
      <c r="I537" s="2" t="str">
        <f t="array" ref="I537">_xlfn.XLOOKUP(B537,Vendedores!$A$2:$A$41,Vendedores!$D$2:$D$41,"No hay datos")</f>
        <v>Región Amazónica</v>
      </c>
      <c r="J537" s="2" t="str">
        <f t="array" ref="J537:N537">_xlfn.XLOOKUP(A537,Productos!$A$2:$A$61,Productos!$B$2:$F$61)</f>
        <v>Sandalia plana</v>
      </c>
      <c r="K537" s="2">
        <v>37.0</v>
      </c>
      <c r="L537" s="2" t="s">
        <v>33</v>
      </c>
      <c r="M537" s="2" t="s">
        <v>58</v>
      </c>
      <c r="N537" s="2" t="s">
        <v>35</v>
      </c>
    </row>
    <row r="538">
      <c r="A538" s="2" t="str">
        <f>IFERROR(__xludf.DUMMYFUNCTION("""COMPUTED_VALUE"""),"PR004")</f>
        <v>PR004</v>
      </c>
      <c r="B538" s="2" t="str">
        <f>IFERROR(__xludf.DUMMYFUNCTION("""COMPUTED_VALUE"""),"VD037")</f>
        <v>VD037</v>
      </c>
      <c r="C538" s="2">
        <f>IFERROR(__xludf.DUMMYFUNCTION("""COMPUTED_VALUE"""),16.0)</f>
        <v>16</v>
      </c>
      <c r="D538" s="6">
        <f>IFERROR(__xludf.DUMMYFUNCTION("""COMPUTED_VALUE"""),2343.2)</f>
        <v>2343.2</v>
      </c>
      <c r="E538" s="6">
        <f>IFERROR(__xludf.DUMMYFUNCTION("GOOGLEFINANCE(""Currency:BRLMXN"")*D538"),7961.021999999999)</f>
        <v>7961.022</v>
      </c>
      <c r="F538" s="6">
        <f>IFERROR(__xludf.DUMMYFUNCTION("GOOGLEFINANCE(""Currency:BRLPEN"")*D538"),1536.2019199999997)</f>
        <v>1536.20192</v>
      </c>
      <c r="G538" s="2" t="str">
        <f t="array" ref="G538">_xlfn.XLOOKUP(B538,Vendedores!$A$2:$A$41,Vendedores!$B$2:$B$41,"No hay datos")</f>
        <v>Amanda Silva</v>
      </c>
      <c r="H538" s="2" t="str">
        <f t="array" ref="H538">_xlfn.XLOOKUP(B538,Vendedores!$A$2:$A$41,Vendedores!$C$2:$C$41,"No hay datos")</f>
        <v>Villa Esperanza</v>
      </c>
      <c r="I538" s="2" t="str">
        <f t="array" ref="I538">_xlfn.XLOOKUP(B538,Vendedores!$A$2:$A$41,Vendedores!$D$2:$D$41,"No hay datos")</f>
        <v>Región Sur 2</v>
      </c>
      <c r="J538" s="2" t="str">
        <f t="array" ref="J538:N538">_xlfn.XLOOKUP(A538,Productos!$A$2:$A$61,Productos!$B$2:$F$61)</f>
        <v>Bolso versátil</v>
      </c>
      <c r="K538" s="2" t="s">
        <v>29</v>
      </c>
      <c r="L538" s="2" t="s">
        <v>30</v>
      </c>
      <c r="M538" s="2" t="s">
        <v>59</v>
      </c>
      <c r="N538" s="2" t="s">
        <v>60</v>
      </c>
    </row>
    <row r="539">
      <c r="A539" s="2" t="str">
        <f>IFERROR(__xludf.DUMMYFUNCTION("""COMPUTED_VALUE"""),"PR046")</f>
        <v>PR046</v>
      </c>
      <c r="B539" s="2" t="str">
        <f>IFERROR(__xludf.DUMMYFUNCTION("""COMPUTED_VALUE"""),"VD041")</f>
        <v>VD041</v>
      </c>
      <c r="C539" s="2">
        <f>IFERROR(__xludf.DUMMYFUNCTION("""COMPUTED_VALUE"""),2.0)</f>
        <v>2</v>
      </c>
      <c r="D539" s="6">
        <f>IFERROR(__xludf.DUMMYFUNCTION("""COMPUTED_VALUE"""),614.59)</f>
        <v>614.59</v>
      </c>
      <c r="E539" s="6">
        <f>IFERROR(__xludf.DUMMYFUNCTION("GOOGLEFINANCE(""Currency:BRLMXN"")*D539"),2088.069525)</f>
        <v>2088.069525</v>
      </c>
      <c r="F539" s="6">
        <f>IFERROR(__xludf.DUMMYFUNCTION("GOOGLEFINANCE(""Currency:BRLPEN"")*D539"),402.925204)</f>
        <v>402.925204</v>
      </c>
      <c r="G539" s="2" t="str">
        <f t="array" ref="G539">_xlfn.XLOOKUP(B539,Vendedores!$A$2:$A$41,Vendedores!$B$2:$B$41,"No hay datos")</f>
        <v>Alejandro Ramos</v>
      </c>
      <c r="H539" s="2" t="str">
        <f t="array" ref="H539">_xlfn.XLOOKUP(B539,Vendedores!$A$2:$A$41,Vendedores!$C$2:$C$41,"No hay datos")</f>
        <v>San Martín de las Rosas</v>
      </c>
      <c r="I539" s="2" t="str">
        <f t="array" ref="I539">_xlfn.XLOOKUP(B539,Vendedores!$A$2:$A$41,Vendedores!$D$2:$D$41,"No hay datos")</f>
        <v>Región Central 2</v>
      </c>
      <c r="J539" s="2" t="str">
        <f t="array" ref="J539:N539">_xlfn.XLOOKUP(A539,Productos!$A$2:$A$61,Productos!$B$2:$F$61)</f>
        <v>Chaqueta de cuero</v>
      </c>
      <c r="K539" s="2" t="s">
        <v>9</v>
      </c>
      <c r="L539" s="2" t="s">
        <v>10</v>
      </c>
      <c r="M539" s="2" t="s">
        <v>94</v>
      </c>
      <c r="N539" s="2" t="s">
        <v>44</v>
      </c>
    </row>
    <row r="540">
      <c r="A540" s="2" t="str">
        <f>IFERROR(__xludf.DUMMYFUNCTION("""COMPUTED_VALUE"""),"PR030")</f>
        <v>PR030</v>
      </c>
      <c r="B540" s="2" t="str">
        <f>IFERROR(__xludf.DUMMYFUNCTION("""COMPUTED_VALUE"""),"VD015")</f>
        <v>VD015</v>
      </c>
      <c r="C540" s="2">
        <f>IFERROR(__xludf.DUMMYFUNCTION("""COMPUTED_VALUE"""),1.0)</f>
        <v>1</v>
      </c>
      <c r="D540" s="6">
        <f>IFERROR(__xludf.DUMMYFUNCTION("""COMPUTED_VALUE"""),265.1)</f>
        <v>265.1</v>
      </c>
      <c r="E540" s="6">
        <f>IFERROR(__xludf.DUMMYFUNCTION("GOOGLEFINANCE(""Currency:BRLMXN"")*D540"),900.6772500000001)</f>
        <v>900.67725</v>
      </c>
      <c r="F540" s="6">
        <f>IFERROR(__xludf.DUMMYFUNCTION("GOOGLEFINANCE(""Currency:BRLPEN"")*D540"),173.79956)</f>
        <v>173.79956</v>
      </c>
      <c r="G540" s="2" t="str">
        <f t="array" ref="G540">_xlfn.XLOOKUP(B540,Vendedores!$A$2:$A$41,Vendedores!$B$2:$B$41,"No hay datos")</f>
        <v>Lucas Castillo</v>
      </c>
      <c r="H540" s="2" t="str">
        <f t="array" ref="H540">_xlfn.XLOOKUP(B540,Vendedores!$A$2:$A$41,Vendedores!$C$2:$C$41,"No hay datos")</f>
        <v>San Miguel de los Pinos</v>
      </c>
      <c r="I540" s="2" t="str">
        <f t="array" ref="I540">_xlfn.XLOOKUP(B540,Vendedores!$A$2:$A$41,Vendedores!$D$2:$D$41,"No hay datos")</f>
        <v>Región Sur</v>
      </c>
      <c r="J540" s="2" t="str">
        <f t="array" ref="J540:N540">_xlfn.XLOOKUP(A540,Productos!$A$2:$A$61,Productos!$B$2:$F$61)</f>
        <v>Tenis Atitas</v>
      </c>
      <c r="K540" s="2">
        <v>38.0</v>
      </c>
      <c r="L540" s="2" t="s">
        <v>33</v>
      </c>
      <c r="M540" s="2" t="s">
        <v>63</v>
      </c>
      <c r="N540" s="2" t="s">
        <v>64</v>
      </c>
    </row>
    <row r="541">
      <c r="A541" s="2" t="str">
        <f>IFERROR(__xludf.DUMMYFUNCTION("""COMPUTED_VALUE"""),"PR010")</f>
        <v>PR010</v>
      </c>
      <c r="B541" s="2" t="str">
        <f>IFERROR(__xludf.DUMMYFUNCTION("""COMPUTED_VALUE"""),"VD029")</f>
        <v>VD029</v>
      </c>
      <c r="C541" s="2">
        <f>IFERROR(__xludf.DUMMYFUNCTION("""COMPUTED_VALUE"""),5.0)</f>
        <v>5</v>
      </c>
      <c r="D541" s="6">
        <f>IFERROR(__xludf.DUMMYFUNCTION("""COMPUTED_VALUE"""),240.22)</f>
        <v>240.22</v>
      </c>
      <c r="E541" s="6">
        <f>IFERROR(__xludf.DUMMYFUNCTION("GOOGLEFINANCE(""Currency:BRLMXN"")*D541"),816.1474499999999)</f>
        <v>816.14745</v>
      </c>
      <c r="F541" s="6">
        <f>IFERROR(__xludf.DUMMYFUNCTION("GOOGLEFINANCE(""Currency:BRLPEN"")*D541"),157.48823199999998)</f>
        <v>157.488232</v>
      </c>
      <c r="G541" s="2" t="str">
        <f t="array" ref="G541">_xlfn.XLOOKUP(B541,Vendedores!$A$2:$A$41,Vendedores!$B$2:$B$41,"No hay datos")</f>
        <v>Gabriela Sosa</v>
      </c>
      <c r="H541" s="2" t="str">
        <f t="array" ref="H541">_xlfn.XLOOKUP(B541,Vendedores!$A$2:$A$41,Vendedores!$C$2:$C$41,"No hay datos")</f>
        <v>Selva Verde</v>
      </c>
      <c r="I541" s="2" t="str">
        <f t="array" ref="I541">_xlfn.XLOOKUP(B541,Vendedores!$A$2:$A$41,Vendedores!$D$2:$D$41,"No hay datos")</f>
        <v>Región Amazónica</v>
      </c>
      <c r="J541" s="2" t="str">
        <f t="array" ref="J541:N541">_xlfn.XLOOKUP(A541,Productos!$A$2:$A$61,Productos!$B$2:$F$61)</f>
        <v>Pantalón legging</v>
      </c>
      <c r="K541" s="2" t="s">
        <v>9</v>
      </c>
      <c r="L541" s="2" t="s">
        <v>10</v>
      </c>
      <c r="M541" s="2" t="s">
        <v>86</v>
      </c>
      <c r="N541" s="2" t="s">
        <v>87</v>
      </c>
    </row>
    <row r="542">
      <c r="A542" s="2" t="str">
        <f>IFERROR(__xludf.DUMMYFUNCTION("""COMPUTED_VALUE"""),"PR028")</f>
        <v>PR028</v>
      </c>
      <c r="B542" s="2" t="str">
        <f>IFERROR(__xludf.DUMMYFUNCTION("""COMPUTED_VALUE"""),"VD034")</f>
        <v>VD034</v>
      </c>
      <c r="C542" s="2">
        <f>IFERROR(__xludf.DUMMYFUNCTION("""COMPUTED_VALUE"""),8.0)</f>
        <v>8</v>
      </c>
      <c r="D542" s="6">
        <f>IFERROR(__xludf.DUMMYFUNCTION("""COMPUTED_VALUE"""),2179.13)</f>
        <v>2179.13</v>
      </c>
      <c r="E542" s="6">
        <f>IFERROR(__xludf.DUMMYFUNCTION("GOOGLEFINANCE(""Currency:BRLMXN"")*D542"),7403.594175)</f>
        <v>7403.594175</v>
      </c>
      <c r="F542" s="6">
        <f>IFERROR(__xludf.DUMMYFUNCTION("GOOGLEFINANCE(""Currency:BRLPEN"")*D542"),1428.637628)</f>
        <v>1428.637628</v>
      </c>
      <c r="G542" s="2" t="str">
        <f t="array" ref="G542">_xlfn.XLOOKUP(B542,Vendedores!$A$2:$A$41,Vendedores!$B$2:$B$41,"No hay datos")</f>
        <v>Felipe Carvajal</v>
      </c>
      <c r="H542" s="2" t="str">
        <f t="array" ref="H542">_xlfn.XLOOKUP(B542,Vendedores!$A$2:$A$41,Vendedores!$C$2:$C$41,"No hay datos")</f>
        <v>San Pedro del Río</v>
      </c>
      <c r="I542" s="2" t="str">
        <f t="array" ref="I542">_xlfn.XLOOKUP(B542,Vendedores!$A$2:$A$41,Vendedores!$D$2:$D$41,"No hay datos")</f>
        <v>Región Sur 2</v>
      </c>
      <c r="J542" s="2" t="str">
        <f t="array" ref="J542:N542">_xlfn.XLOOKUP(A542,Productos!$A$2:$A$61,Productos!$B$2:$F$61)</f>
        <v>Tenis Atitas</v>
      </c>
      <c r="K542" s="2">
        <v>36.0</v>
      </c>
      <c r="L542" s="2" t="s">
        <v>33</v>
      </c>
      <c r="M542" s="2" t="s">
        <v>55</v>
      </c>
      <c r="N542" s="2" t="s">
        <v>56</v>
      </c>
    </row>
    <row r="543">
      <c r="A543" s="2" t="str">
        <f>IFERROR(__xludf.DUMMYFUNCTION("""COMPUTED_VALUE"""),"PR059")</f>
        <v>PR059</v>
      </c>
      <c r="B543" s="2" t="str">
        <f>IFERROR(__xludf.DUMMYFUNCTION("""COMPUTED_VALUE"""),"VD042")</f>
        <v>VD042</v>
      </c>
      <c r="C543" s="2">
        <f>IFERROR(__xludf.DUMMYFUNCTION("""COMPUTED_VALUE"""),14.0)</f>
        <v>14</v>
      </c>
      <c r="D543" s="6">
        <f>IFERROR(__xludf.DUMMYFUNCTION("""COMPUTED_VALUE"""),2671.2)</f>
        <v>2671.2</v>
      </c>
      <c r="E543" s="6">
        <f>IFERROR(__xludf.DUMMYFUNCTION("GOOGLEFINANCE(""Currency:BRLMXN"")*D543"),9075.402)</f>
        <v>9075.402</v>
      </c>
      <c r="F543" s="6">
        <f>IFERROR(__xludf.DUMMYFUNCTION("GOOGLEFINANCE(""Currency:BRLPEN"")*D543"),1751.2387199999998)</f>
        <v>1751.23872</v>
      </c>
      <c r="G543" s="2" t="str">
        <f t="array" ref="G543">_xlfn.XLOOKUP(B543,Vendedores!$A$2:$A$41,Vendedores!$B$2:$B$41,"No hay datos")</f>
        <v>Priscila Duarte</v>
      </c>
      <c r="H543" s="2" t="str">
        <f t="array" ref="H543">_xlfn.XLOOKUP(B543,Vendedores!$A$2:$A$41,Vendedores!$C$2:$C$41,"No hay datos")</f>
        <v>Villa Comercial</v>
      </c>
      <c r="I543" s="2" t="str">
        <f t="array" ref="I543">_xlfn.XLOOKUP(B543,Vendedores!$A$2:$A$41,Vendedores!$D$2:$D$41,"No hay datos")</f>
        <v>Región Central 2</v>
      </c>
      <c r="J543" s="2" t="str">
        <f t="array" ref="J543:N543">_xlfn.XLOOKUP(A543,Productos!$A$2:$A$61,Productos!$B$2:$F$61)</f>
        <v>Pantalón de sastre</v>
      </c>
      <c r="K543" s="2" t="s">
        <v>17</v>
      </c>
      <c r="L543" s="2" t="s">
        <v>10</v>
      </c>
      <c r="M543" s="2" t="s">
        <v>28</v>
      </c>
      <c r="N543" s="2" t="s">
        <v>14</v>
      </c>
    </row>
    <row r="544">
      <c r="A544" s="2" t="str">
        <f>IFERROR(__xludf.DUMMYFUNCTION("""COMPUTED_VALUE"""),"PR033")</f>
        <v>PR033</v>
      </c>
      <c r="B544" s="2" t="str">
        <f>IFERROR(__xludf.DUMMYFUNCTION("""COMPUTED_VALUE"""),"VD019")</f>
        <v>VD019</v>
      </c>
      <c r="C544" s="2">
        <f>IFERROR(__xludf.DUMMYFUNCTION("""COMPUTED_VALUE"""),8.0)</f>
        <v>8</v>
      </c>
      <c r="D544" s="6">
        <f>IFERROR(__xludf.DUMMYFUNCTION("""COMPUTED_VALUE"""),2224.74)</f>
        <v>2224.74</v>
      </c>
      <c r="E544" s="6">
        <f>IFERROR(__xludf.DUMMYFUNCTION("GOOGLEFINANCE(""Currency:BRLMXN"")*D544"),7558.554149999999)</f>
        <v>7558.55415</v>
      </c>
      <c r="F544" s="6">
        <f>IFERROR(__xludf.DUMMYFUNCTION("GOOGLEFINANCE(""Currency:BRLPEN"")*D544"),1458.5395439999998)</f>
        <v>1458.539544</v>
      </c>
      <c r="G544" s="2" t="str">
        <f t="array" ref="G544">_xlfn.XLOOKUP(B544,Vendedores!$A$2:$A$41,Vendedores!$B$2:$B$41,"No hay datos")</f>
        <v>Rafael Sosa</v>
      </c>
      <c r="H544" s="2" t="str">
        <f t="array" ref="H544">_xlfn.XLOOKUP(B544,Vendedores!$A$2:$A$41,Vendedores!$C$2:$C$41,"No hay datos")</f>
        <v>Selva Verde</v>
      </c>
      <c r="I544" s="2" t="str">
        <f t="array" ref="I544">_xlfn.XLOOKUP(B544,Vendedores!$A$2:$A$41,Vendedores!$D$2:$D$41,"No hay datos")</f>
        <v>Región Amazónica</v>
      </c>
      <c r="J544" s="2" t="str">
        <f t="array" ref="J544:N544">_xlfn.XLOOKUP(A544,Productos!$A$2:$A$61,Productos!$B$2:$F$61)</f>
        <v>Tenis Chunky</v>
      </c>
      <c r="K544" s="2">
        <v>38.0</v>
      </c>
      <c r="L544" s="2" t="s">
        <v>33</v>
      </c>
      <c r="M544" s="2" t="s">
        <v>63</v>
      </c>
      <c r="N544" s="2" t="s">
        <v>64</v>
      </c>
    </row>
    <row r="545">
      <c r="A545" s="2" t="str">
        <f>IFERROR(__xludf.DUMMYFUNCTION("""COMPUTED_VALUE"""),"PR054")</f>
        <v>PR054</v>
      </c>
      <c r="B545" s="2" t="str">
        <f>IFERROR(__xludf.DUMMYFUNCTION("""COMPUTED_VALUE"""),"VD018")</f>
        <v>VD018</v>
      </c>
      <c r="C545" s="2">
        <f>IFERROR(__xludf.DUMMYFUNCTION("""COMPUTED_VALUE"""),16.0)</f>
        <v>16</v>
      </c>
      <c r="D545" s="6">
        <f>IFERROR(__xludf.DUMMYFUNCTION("""COMPUTED_VALUE"""),870.26)</f>
        <v>870.26</v>
      </c>
      <c r="E545" s="6">
        <f>IFERROR(__xludf.DUMMYFUNCTION("GOOGLEFINANCE(""Currency:BRLMXN"")*D545"),2956.70835)</f>
        <v>2956.70835</v>
      </c>
      <c r="F545" s="6">
        <f>IFERROR(__xludf.DUMMYFUNCTION("GOOGLEFINANCE(""Currency:BRLPEN"")*D545"),570.542456)</f>
        <v>570.542456</v>
      </c>
      <c r="G545" s="2" t="str">
        <f t="array" ref="G545">_xlfn.XLOOKUP(B545,Vendedores!$A$2:$A$41,Vendedores!$B$2:$B$41,"No hay datos")</f>
        <v>Leticia Rodríguez</v>
      </c>
      <c r="H545" s="2" t="str">
        <f t="array" ref="H545">_xlfn.XLOOKUP(B545,Vendedores!$A$2:$A$41,Vendedores!$C$2:$C$41,"No hay datos")</f>
        <v>Playa Blanca</v>
      </c>
      <c r="I545" s="2" t="str">
        <f t="array" ref="I545">_xlfn.XLOOKUP(B545,Vendedores!$A$2:$A$41,Vendedores!$D$2:$D$41,"No hay datos")</f>
        <v>Región Norte</v>
      </c>
      <c r="J545" s="2" t="str">
        <f t="array" ref="J545:N545">_xlfn.XLOOKUP(A545,Productos!$A$2:$A$61,Productos!$B$2:$F$61)</f>
        <v>Falda plisada</v>
      </c>
      <c r="K545" s="2" t="s">
        <v>22</v>
      </c>
      <c r="L545" s="2" t="s">
        <v>10</v>
      </c>
      <c r="M545" s="2" t="s">
        <v>42</v>
      </c>
      <c r="N545" s="2" t="s">
        <v>32</v>
      </c>
    </row>
    <row r="546">
      <c r="A546" s="2" t="str">
        <f>IFERROR(__xludf.DUMMYFUNCTION("""COMPUTED_VALUE"""),"PR023")</f>
        <v>PR023</v>
      </c>
      <c r="B546" s="2" t="str">
        <f>IFERROR(__xludf.DUMMYFUNCTION("""COMPUTED_VALUE"""),"VD017")</f>
        <v>VD017</v>
      </c>
      <c r="C546" s="2">
        <f>IFERROR(__xludf.DUMMYFUNCTION("""COMPUTED_VALUE"""),4.0)</f>
        <v>4</v>
      </c>
      <c r="D546" s="6">
        <f>IFERROR(__xludf.DUMMYFUNCTION("""COMPUTED_VALUE"""),1089.56)</f>
        <v>1089.56</v>
      </c>
      <c r="E546" s="6">
        <f>IFERROR(__xludf.DUMMYFUNCTION("GOOGLEFINANCE(""Currency:BRLMXN"")*D546"),3701.7801)</f>
        <v>3701.7801</v>
      </c>
      <c r="F546" s="6">
        <f>IFERROR(__xludf.DUMMYFUNCTION("GOOGLEFINANCE(""Currency:BRLPEN"")*D546"),714.315536)</f>
        <v>714.315536</v>
      </c>
      <c r="G546" s="2" t="str">
        <f t="array" ref="G546">_xlfn.XLOOKUP(B546,Vendedores!$A$2:$A$41,Vendedores!$B$2:$B$41,"No hay datos")</f>
        <v>Bruno Peralta</v>
      </c>
      <c r="H546" s="2" t="str">
        <f t="array" ref="H546">_xlfn.XLOOKUP(B546,Vendedores!$A$2:$A$41,Vendedores!$C$2:$C$41,"No hay datos")</f>
        <v>Costa Azul</v>
      </c>
      <c r="I546" s="2" t="str">
        <f t="array" ref="I546">_xlfn.XLOOKUP(B546,Vendedores!$A$2:$A$41,Vendedores!$D$2:$D$41,"No hay datos")</f>
        <v>Región Norte</v>
      </c>
      <c r="J546" s="2" t="str">
        <f t="array" ref="J546:N546">_xlfn.XLOOKUP(A546,Productos!$A$2:$A$61,Productos!$B$2:$F$61)</f>
        <v>Chaqueta de mezclilla</v>
      </c>
      <c r="K546" s="2" t="s">
        <v>9</v>
      </c>
      <c r="L546" s="2" t="s">
        <v>10</v>
      </c>
      <c r="M546" s="2" t="s">
        <v>72</v>
      </c>
      <c r="N546" s="2" t="s">
        <v>56</v>
      </c>
    </row>
    <row r="547">
      <c r="A547" s="2" t="str">
        <f>IFERROR(__xludf.DUMMYFUNCTION("""COMPUTED_VALUE"""),"PR031")</f>
        <v>PR031</v>
      </c>
      <c r="B547" s="2" t="str">
        <f>IFERROR(__xludf.DUMMYFUNCTION("""COMPUTED_VALUE"""),"VD040")</f>
        <v>VD040</v>
      </c>
      <c r="C547" s="2">
        <f>IFERROR(__xludf.DUMMYFUNCTION("""COMPUTED_VALUE"""),3.0)</f>
        <v>3</v>
      </c>
      <c r="D547" s="6">
        <f>IFERROR(__xludf.DUMMYFUNCTION("""COMPUTED_VALUE"""),757.05)</f>
        <v>757.05</v>
      </c>
      <c r="E547" s="6">
        <f>IFERROR(__xludf.DUMMYFUNCTION("GOOGLEFINANCE(""Currency:BRLMXN"")*D547"),2572.077375)</f>
        <v>2572.077375</v>
      </c>
      <c r="F547" s="6">
        <f>IFERROR(__xludf.DUMMYFUNCTION("GOOGLEFINANCE(""Currency:BRLPEN"")*D547"),496.32197999999994)</f>
        <v>496.32198</v>
      </c>
      <c r="G547" s="2" t="str">
        <f t="array" ref="G547">_xlfn.XLOOKUP(B547,Vendedores!$A$2:$A$41,Vendedores!$B$2:$B$41,"No hay datos")</f>
        <v>Tatiana Montero</v>
      </c>
      <c r="H547" s="2" t="str">
        <f t="array" ref="H547">_xlfn.XLOOKUP(B547,Vendedores!$A$2:$A$41,Vendedores!$C$2:$C$41,"No hay datos")</f>
        <v>Ciudad Industrial</v>
      </c>
      <c r="I547" s="2" t="str">
        <f t="array" ref="I547">_xlfn.XLOOKUP(B547,Vendedores!$A$2:$A$41,Vendedores!$D$2:$D$41,"No hay datos")</f>
        <v>Región Central 2</v>
      </c>
      <c r="J547" s="2" t="str">
        <f t="array" ref="J547:N547">_xlfn.XLOOKUP(A547,Productos!$A$2:$A$61,Productos!$B$2:$F$61)</f>
        <v>Tenis Chunky</v>
      </c>
      <c r="K547" s="2">
        <v>36.0</v>
      </c>
      <c r="L547" s="2" t="s">
        <v>33</v>
      </c>
      <c r="M547" s="2" t="s">
        <v>84</v>
      </c>
      <c r="N547" s="2" t="s">
        <v>85</v>
      </c>
    </row>
    <row r="548">
      <c r="A548" s="2" t="str">
        <f>IFERROR(__xludf.DUMMYFUNCTION("""COMPUTED_VALUE"""),"PR004")</f>
        <v>PR004</v>
      </c>
      <c r="B548" s="2" t="str">
        <f>IFERROR(__xludf.DUMMYFUNCTION("""COMPUTED_VALUE"""),"VD039")</f>
        <v>VD039</v>
      </c>
      <c r="C548" s="2">
        <f>IFERROR(__xludf.DUMMYFUNCTION("""COMPUTED_VALUE"""),16.0)</f>
        <v>16</v>
      </c>
      <c r="D548" s="6">
        <f>IFERROR(__xludf.DUMMYFUNCTION("""COMPUTED_VALUE"""),2528.8)</f>
        <v>2528.8</v>
      </c>
      <c r="E548" s="6">
        <f>IFERROR(__xludf.DUMMYFUNCTION("GOOGLEFINANCE(""Currency:BRLMXN"")*D548"),8591.598)</f>
        <v>8591.598</v>
      </c>
      <c r="F548" s="6">
        <f>IFERROR(__xludf.DUMMYFUNCTION("GOOGLEFINANCE(""Currency:BRLPEN"")*D548"),1657.88128)</f>
        <v>1657.88128</v>
      </c>
      <c r="G548" s="2" t="str">
        <f t="array" ref="G548">_xlfn.XLOOKUP(B548,Vendedores!$A$2:$A$41,Vendedores!$B$2:$B$41,"No hay datos")</f>
        <v>Daniela Rodríguez</v>
      </c>
      <c r="H548" s="2" t="str">
        <f t="array" ref="H548">_xlfn.XLOOKUP(B548,Vendedores!$A$2:$A$41,Vendedores!$C$2:$C$41,"No hay datos")</f>
        <v>Bahía del Sol</v>
      </c>
      <c r="I548" s="2" t="str">
        <f t="array" ref="I548">_xlfn.XLOOKUP(B548,Vendedores!$A$2:$A$41,Vendedores!$D$2:$D$41,"No hay datos")</f>
        <v>Región Central 2</v>
      </c>
      <c r="J548" s="2" t="str">
        <f t="array" ref="J548:N548">_xlfn.XLOOKUP(A548,Productos!$A$2:$A$61,Productos!$B$2:$F$61)</f>
        <v>Bolso versátil</v>
      </c>
      <c r="K548" s="2" t="s">
        <v>29</v>
      </c>
      <c r="L548" s="2" t="s">
        <v>30</v>
      </c>
      <c r="M548" s="2" t="s">
        <v>59</v>
      </c>
      <c r="N548" s="2" t="s">
        <v>60</v>
      </c>
    </row>
    <row r="549">
      <c r="A549" s="2" t="str">
        <f>IFERROR(__xludf.DUMMYFUNCTION("""COMPUTED_VALUE"""),"PR029")</f>
        <v>PR029</v>
      </c>
      <c r="B549" s="2" t="str">
        <f>IFERROR(__xludf.DUMMYFUNCTION("""COMPUTED_VALUE"""),"VD048")</f>
        <v>VD048</v>
      </c>
      <c r="C549" s="2">
        <f>IFERROR(__xludf.DUMMYFUNCTION("""COMPUTED_VALUE"""),7.0)</f>
        <v>7</v>
      </c>
      <c r="D549" s="6">
        <f>IFERROR(__xludf.DUMMYFUNCTION("""COMPUTED_VALUE"""),1874.25)</f>
        <v>1874.25</v>
      </c>
      <c r="E549" s="6">
        <f>IFERROR(__xludf.DUMMYFUNCTION("GOOGLEFINANCE(""Currency:BRLMXN"")*D549"),6367.764375)</f>
        <v>6367.764375</v>
      </c>
      <c r="F549" s="6">
        <f>IFERROR(__xludf.DUMMYFUNCTION("GOOGLEFINANCE(""Currency:BRLPEN"")*D549"),1228.7583)</f>
        <v>1228.7583</v>
      </c>
      <c r="G549" s="2" t="str">
        <f t="array" ref="G549">_xlfn.XLOOKUP(B549,Vendedores!$A$2:$A$41,Vendedores!$B$2:$B$41,"No hay datos")</f>
        <v>Mariana Castro</v>
      </c>
      <c r="H549" s="2" t="str">
        <f t="array" ref="H549">_xlfn.XLOOKUP(B549,Vendedores!$A$2:$A$41,Vendedores!$C$2:$C$41,"No hay datos")</f>
        <v>San Carlos del Valle</v>
      </c>
      <c r="I549" s="2" t="str">
        <f t="array" ref="I549">_xlfn.XLOOKUP(B549,Vendedores!$A$2:$A$41,Vendedores!$D$2:$D$41,"No hay datos")</f>
        <v>Región Central 2</v>
      </c>
      <c r="J549" s="2" t="str">
        <f t="array" ref="J549:N549">_xlfn.XLOOKUP(A549,Productos!$A$2:$A$61,Productos!$B$2:$F$61)</f>
        <v>Tenis Atitas</v>
      </c>
      <c r="K549" s="2">
        <v>37.0</v>
      </c>
      <c r="L549" s="2" t="s">
        <v>33</v>
      </c>
      <c r="M549" s="2" t="s">
        <v>96</v>
      </c>
      <c r="N549" s="2" t="s">
        <v>97</v>
      </c>
    </row>
    <row r="550">
      <c r="A550" s="2" t="str">
        <f>IFERROR(__xludf.DUMMYFUNCTION("""COMPUTED_VALUE"""),"PR031")</f>
        <v>PR031</v>
      </c>
      <c r="B550" s="2" t="str">
        <f>IFERROR(__xludf.DUMMYFUNCTION("""COMPUTED_VALUE"""),"VD024")</f>
        <v>VD024</v>
      </c>
      <c r="C550" s="2">
        <f>IFERROR(__xludf.DUMMYFUNCTION("""COMPUTED_VALUE"""),5.0)</f>
        <v>5</v>
      </c>
      <c r="D550" s="6">
        <f>IFERROR(__xludf.DUMMYFUNCTION("""COMPUTED_VALUE"""),1286.25)</f>
        <v>1286.25</v>
      </c>
      <c r="E550" s="6">
        <f>IFERROR(__xludf.DUMMYFUNCTION("GOOGLEFINANCE(""Currency:BRLMXN"")*D550"),4370.034375)</f>
        <v>4370.034375</v>
      </c>
      <c r="F550" s="6">
        <f>IFERROR(__xludf.DUMMYFUNCTION("GOOGLEFINANCE(""Currency:BRLPEN"")*D550"),843.2655)</f>
        <v>843.2655</v>
      </c>
      <c r="G550" s="2" t="str">
        <f t="array" ref="G550">_xlfn.XLOOKUP(B550,Vendedores!$A$2:$A$41,Vendedores!$B$2:$B$41,"No hay datos")</f>
        <v>Marcos Rivera</v>
      </c>
      <c r="H550" s="2" t="str">
        <f t="array" ref="H550">_xlfn.XLOOKUP(B550,Vendedores!$A$2:$A$41,Vendedores!$C$2:$C$41,"No hay datos")</f>
        <v>Santa Rosa del Valle</v>
      </c>
      <c r="I550" s="2" t="str">
        <f t="array" ref="I550">_xlfn.XLOOKUP(B550,Vendedores!$A$2:$A$41,Vendedores!$D$2:$D$41,"No hay datos")</f>
        <v>Región Norte</v>
      </c>
      <c r="J550" s="2" t="str">
        <f t="array" ref="J550:N550">_xlfn.XLOOKUP(A550,Productos!$A$2:$A$61,Productos!$B$2:$F$61)</f>
        <v>Tenis Chunky</v>
      </c>
      <c r="K550" s="2">
        <v>36.0</v>
      </c>
      <c r="L550" s="2" t="s">
        <v>33</v>
      </c>
      <c r="M550" s="2" t="s">
        <v>84</v>
      </c>
      <c r="N550" s="2" t="s">
        <v>85</v>
      </c>
    </row>
    <row r="551">
      <c r="A551" s="2" t="str">
        <f>IFERROR(__xludf.DUMMYFUNCTION("""COMPUTED_VALUE"""),"PR020")</f>
        <v>PR020</v>
      </c>
      <c r="B551" s="2" t="str">
        <f>IFERROR(__xludf.DUMMYFUNCTION("""COMPUTED_VALUE"""),"VD014")</f>
        <v>VD014</v>
      </c>
      <c r="C551" s="2">
        <f>IFERROR(__xludf.DUMMYFUNCTION("""COMPUTED_VALUE"""),12.0)</f>
        <v>12</v>
      </c>
      <c r="D551" s="6">
        <f>IFERROR(__xludf.DUMMYFUNCTION("""COMPUTED_VALUE"""),3850.72)</f>
        <v>3850.72</v>
      </c>
      <c r="E551" s="6">
        <f>IFERROR(__xludf.DUMMYFUNCTION("GOOGLEFINANCE(""Currency:BRLMXN"")*D551"),13082.821199999998)</f>
        <v>13082.8212</v>
      </c>
      <c r="F551" s="6">
        <f>IFERROR(__xludf.DUMMYFUNCTION("GOOGLEFINANCE(""Currency:BRLPEN"")*D551"),2524.5320319999996)</f>
        <v>2524.532032</v>
      </c>
      <c r="G551" s="2" t="str">
        <f t="array" ref="G551">_xlfn.XLOOKUP(B551,Vendedores!$A$2:$A$41,Vendedores!$B$2:$B$41,"No hay datos")</f>
        <v>Carla Flores</v>
      </c>
      <c r="H551" s="2" t="str">
        <f t="array" ref="H551">_xlfn.XLOOKUP(B551,Vendedores!$A$2:$A$41,Vendedores!$C$2:$C$41,"No hay datos")</f>
        <v>Valle Escondido</v>
      </c>
      <c r="I551" s="2" t="str">
        <f t="array" ref="I551">_xlfn.XLOOKUP(B551,Vendedores!$A$2:$A$41,Vendedores!$D$2:$D$41,"No hay datos")</f>
        <v>Región Andina</v>
      </c>
      <c r="J551" s="2" t="str">
        <f t="array" ref="J551:N551">_xlfn.XLOOKUP(A551,Productos!$A$2:$A$61,Productos!$B$2:$F$61)</f>
        <v>Chaqueta de cuero</v>
      </c>
      <c r="K551" s="2" t="s">
        <v>9</v>
      </c>
      <c r="L551" s="2" t="s">
        <v>10</v>
      </c>
      <c r="M551" s="2" t="s">
        <v>15</v>
      </c>
      <c r="N551" s="2" t="s">
        <v>16</v>
      </c>
    </row>
    <row r="552">
      <c r="A552" s="2" t="str">
        <f>IFERROR(__xludf.DUMMYFUNCTION("""COMPUTED_VALUE"""),"PR006")</f>
        <v>PR006</v>
      </c>
      <c r="B552" s="2" t="str">
        <f>IFERROR(__xludf.DUMMYFUNCTION("""COMPUTED_VALUE"""),"VD011")</f>
        <v>VD011</v>
      </c>
      <c r="C552" s="2">
        <f>IFERROR(__xludf.DUMMYFUNCTION("""COMPUTED_VALUE"""),7.0)</f>
        <v>7</v>
      </c>
      <c r="D552" s="6">
        <f>IFERROR(__xludf.DUMMYFUNCTION("""COMPUTED_VALUE"""),293.27)</f>
        <v>293.27</v>
      </c>
      <c r="E552" s="6">
        <f>IFERROR(__xludf.DUMMYFUNCTION("GOOGLEFINANCE(""Currency:BRLMXN"")*D552"),996.384825)</f>
        <v>996.384825</v>
      </c>
      <c r="F552" s="6">
        <f>IFERROR(__xludf.DUMMYFUNCTION("GOOGLEFINANCE(""Currency:BRLPEN"")*D552"),192.26781199999996)</f>
        <v>192.267812</v>
      </c>
      <c r="G552" s="2" t="str">
        <f t="array" ref="G552">_xlfn.XLOOKUP(B552,Vendedores!$A$2:$A$41,Vendedores!$B$2:$B$41,"No hay datos")</f>
        <v>Juan Santos</v>
      </c>
      <c r="H552" s="2" t="str">
        <f t="array" ref="H552">_xlfn.XLOOKUP(B552,Vendedores!$A$2:$A$41,Vendedores!$C$2:$C$41,"No hay datos")</f>
        <v>Vista Hermosa</v>
      </c>
      <c r="I552" s="2" t="str">
        <f t="array" ref="I552">_xlfn.XLOOKUP(B552,Vendedores!$A$2:$A$41,Vendedores!$D$2:$D$41,"No hay datos")</f>
        <v>Región Central</v>
      </c>
      <c r="J552" s="2" t="str">
        <f t="array" ref="J552:N552">_xlfn.XLOOKUP(A552,Productos!$A$2:$A$61,Productos!$B$2:$F$61)</f>
        <v>Gorra</v>
      </c>
      <c r="K552" s="2" t="s">
        <v>29</v>
      </c>
      <c r="L552" s="2" t="s">
        <v>30</v>
      </c>
      <c r="M552" s="2" t="s">
        <v>48</v>
      </c>
      <c r="N552" s="2" t="s">
        <v>38</v>
      </c>
    </row>
    <row r="553">
      <c r="A553" s="2" t="str">
        <f>IFERROR(__xludf.DUMMYFUNCTION("""COMPUTED_VALUE"""),"PR060")</f>
        <v>PR060</v>
      </c>
      <c r="B553" s="2" t="str">
        <f>IFERROR(__xludf.DUMMYFUNCTION("""COMPUTED_VALUE"""),"VD021")</f>
        <v>VD021</v>
      </c>
      <c r="C553" s="2">
        <f>IFERROR(__xludf.DUMMYFUNCTION("""COMPUTED_VALUE"""),12.0)</f>
        <v>12</v>
      </c>
      <c r="D553" s="6">
        <f>IFERROR(__xludf.DUMMYFUNCTION("""COMPUTED_VALUE"""),2160.0)</f>
        <v>2160</v>
      </c>
      <c r="E553" s="6">
        <f>IFERROR(__xludf.DUMMYFUNCTION("GOOGLEFINANCE(""Currency:BRLMXN"")*D553"),7338.6)</f>
        <v>7338.6</v>
      </c>
      <c r="F553" s="6">
        <f>IFERROR(__xludf.DUMMYFUNCTION("GOOGLEFINANCE(""Currency:BRLPEN"")*D553"),1416.096)</f>
        <v>1416.096</v>
      </c>
      <c r="G553" s="2" t="str">
        <f t="array" ref="G553">_xlfn.XLOOKUP(B553,Vendedores!$A$2:$A$41,Vendedores!$B$2:$B$41,"No hay datos")</f>
        <v>Fernanda Méndez</v>
      </c>
      <c r="H553" s="2" t="str">
        <f t="array" ref="H553">_xlfn.XLOOKUP(B553,Vendedores!$A$2:$A$41,Vendedores!$C$2:$C$41,"No hay datos")</f>
        <v>San Juan de la Sierra</v>
      </c>
      <c r="I553" s="2" t="str">
        <f t="array" ref="I553">_xlfn.XLOOKUP(B553,Vendedores!$A$2:$A$41,Vendedores!$D$2:$D$41,"No hay datos")</f>
        <v>Región Central</v>
      </c>
      <c r="J553" s="2" t="str">
        <f t="array" ref="J553:N553">_xlfn.XLOOKUP(A553,Productos!$A$2:$A$61,Productos!$B$2:$F$61)</f>
        <v>Pantalón de sastre</v>
      </c>
      <c r="K553" s="2" t="s">
        <v>22</v>
      </c>
      <c r="L553" s="2" t="s">
        <v>10</v>
      </c>
      <c r="M553" s="2" t="s">
        <v>75</v>
      </c>
      <c r="N553" s="2" t="s">
        <v>14</v>
      </c>
    </row>
    <row r="554">
      <c r="A554" s="2" t="str">
        <f>IFERROR(__xludf.DUMMYFUNCTION("""COMPUTED_VALUE"""),"PR052")</f>
        <v>PR052</v>
      </c>
      <c r="B554" s="2" t="str">
        <f>IFERROR(__xludf.DUMMYFUNCTION("""COMPUTED_VALUE"""),"VD039")</f>
        <v>VD039</v>
      </c>
      <c r="C554" s="2">
        <f>IFERROR(__xludf.DUMMYFUNCTION("""COMPUTED_VALUE"""),6.0)</f>
        <v>6</v>
      </c>
      <c r="D554" s="6">
        <f>IFERROR(__xludf.DUMMYFUNCTION("""COMPUTED_VALUE"""),311.38)</f>
        <v>311.38</v>
      </c>
      <c r="E554" s="6">
        <f>IFERROR(__xludf.DUMMYFUNCTION("GOOGLEFINANCE(""Currency:BRLMXN"")*D554"),1057.91355)</f>
        <v>1057.91355</v>
      </c>
      <c r="F554" s="6">
        <f>IFERROR(__xludf.DUMMYFUNCTION("GOOGLEFINANCE(""Currency:BRLPEN"")*D554"),204.140728)</f>
        <v>204.140728</v>
      </c>
      <c r="G554" s="2" t="str">
        <f t="array" ref="G554">_xlfn.XLOOKUP(B554,Vendedores!$A$2:$A$41,Vendedores!$B$2:$B$41,"No hay datos")</f>
        <v>Daniela Rodríguez</v>
      </c>
      <c r="H554" s="2" t="str">
        <f t="array" ref="H554">_xlfn.XLOOKUP(B554,Vendedores!$A$2:$A$41,Vendedores!$C$2:$C$41,"No hay datos")</f>
        <v>Bahía del Sol</v>
      </c>
      <c r="I554" s="2" t="str">
        <f t="array" ref="I554">_xlfn.XLOOKUP(B554,Vendedores!$A$2:$A$41,Vendedores!$D$2:$D$41,"No hay datos")</f>
        <v>Región Central 2</v>
      </c>
      <c r="J554" s="2" t="str">
        <f t="array" ref="J554:N554">_xlfn.XLOOKUP(A554,Productos!$A$2:$A$61,Productos!$B$2:$F$61)</f>
        <v>Falda plisada</v>
      </c>
      <c r="K554" s="2" t="s">
        <v>9</v>
      </c>
      <c r="L554" s="2" t="s">
        <v>10</v>
      </c>
      <c r="M554" s="2" t="s">
        <v>36</v>
      </c>
      <c r="N554" s="2" t="s">
        <v>32</v>
      </c>
    </row>
    <row r="555">
      <c r="A555" s="2" t="str">
        <f>IFERROR(__xludf.DUMMYFUNCTION("""COMPUTED_VALUE"""),"PR008")</f>
        <v>PR008</v>
      </c>
      <c r="B555" s="2" t="str">
        <f>IFERROR(__xludf.DUMMYFUNCTION("""COMPUTED_VALUE"""),"VD027")</f>
        <v>VD027</v>
      </c>
      <c r="C555" s="2">
        <f>IFERROR(__xludf.DUMMYFUNCTION("""COMPUTED_VALUE"""),3.0)</f>
        <v>3</v>
      </c>
      <c r="D555" s="6">
        <f>IFERROR(__xludf.DUMMYFUNCTION("""COMPUTED_VALUE"""),277.79)</f>
        <v>277.79</v>
      </c>
      <c r="E555" s="6">
        <f>IFERROR(__xludf.DUMMYFUNCTION("GOOGLEFINANCE(""Currency:BRLMXN"")*D555"),943.7915250000001)</f>
        <v>943.791525</v>
      </c>
      <c r="F555" s="6">
        <f>IFERROR(__xludf.DUMMYFUNCTION("GOOGLEFINANCE(""Currency:BRLPEN"")*D555"),182.119124)</f>
        <v>182.119124</v>
      </c>
      <c r="G555" s="2" t="str">
        <f t="array" ref="G555">_xlfn.XLOOKUP(B555,Vendedores!$A$2:$A$41,Vendedores!$B$2:$B$41,"No hay datos")</f>
        <v>Patricia Cortés</v>
      </c>
      <c r="H555" s="2" t="str">
        <f t="array" ref="H555">_xlfn.XLOOKUP(B555,Vendedores!$A$2:$A$41,Vendedores!$C$2:$C$41,"No hay datos")</f>
        <v>Costa Azul</v>
      </c>
      <c r="I555" s="2" t="str">
        <f t="array" ref="I555">_xlfn.XLOOKUP(B555,Vendedores!$A$2:$A$41,Vendedores!$D$2:$D$41,"No hay datos")</f>
        <v>Región Norte</v>
      </c>
      <c r="J555" s="2" t="str">
        <f t="array" ref="J555:N555">_xlfn.XLOOKUP(A555,Productos!$A$2:$A$61,Productos!$B$2:$F$61)</f>
        <v>Pantalón de mezclilla</v>
      </c>
      <c r="K555" s="2" t="s">
        <v>17</v>
      </c>
      <c r="L555" s="2" t="s">
        <v>10</v>
      </c>
      <c r="M555" s="2" t="s">
        <v>65</v>
      </c>
      <c r="N555" s="2" t="s">
        <v>35</v>
      </c>
    </row>
    <row r="556">
      <c r="A556" s="2" t="str">
        <f>IFERROR(__xludf.DUMMYFUNCTION("""COMPUTED_VALUE"""),"PR004")</f>
        <v>PR004</v>
      </c>
      <c r="B556" s="2" t="str">
        <f>IFERROR(__xludf.DUMMYFUNCTION("""COMPUTED_VALUE"""),"VD032")</f>
        <v>VD032</v>
      </c>
      <c r="C556" s="2">
        <f>IFERROR(__xludf.DUMMYFUNCTION("""COMPUTED_VALUE"""),1.0)</f>
        <v>1</v>
      </c>
      <c r="D556" s="6">
        <f>IFERROR(__xludf.DUMMYFUNCTION("""COMPUTED_VALUE"""),147.9)</f>
        <v>147.9</v>
      </c>
      <c r="E556" s="6">
        <f>IFERROR(__xludf.DUMMYFUNCTION("GOOGLEFINANCE(""Currency:BRLMXN"")*D556"),502.49025)</f>
        <v>502.49025</v>
      </c>
      <c r="F556" s="6">
        <f>IFERROR(__xludf.DUMMYFUNCTION("GOOGLEFINANCE(""Currency:BRLPEN"")*D556"),96.96324)</f>
        <v>96.96324</v>
      </c>
      <c r="G556" s="2" t="str">
        <f t="array" ref="G556">_xlfn.XLOOKUP(B556,Vendedores!$A$2:$A$41,Vendedores!$B$2:$B$41,"No hay datos")</f>
        <v>Eduardo Almonte</v>
      </c>
      <c r="H556" s="2" t="str">
        <f t="array" ref="H556">_xlfn.XLOOKUP(B556,Vendedores!$A$2:$A$41,Vendedores!$C$2:$C$41,"No hay datos")</f>
        <v>Tierra Colorada</v>
      </c>
      <c r="I556" s="2" t="str">
        <f t="array" ref="I556">_xlfn.XLOOKUP(B556,Vendedores!$A$2:$A$41,Vendedores!$D$2:$D$41,"No hay datos")</f>
        <v>Región Central 2</v>
      </c>
      <c r="J556" s="2" t="str">
        <f t="array" ref="J556:N556">_xlfn.XLOOKUP(A556,Productos!$A$2:$A$61,Productos!$B$2:$F$61)</f>
        <v>Bolso versátil</v>
      </c>
      <c r="K556" s="2" t="s">
        <v>29</v>
      </c>
      <c r="L556" s="2" t="s">
        <v>30</v>
      </c>
      <c r="M556" s="2" t="s">
        <v>59</v>
      </c>
      <c r="N556" s="2" t="s">
        <v>60</v>
      </c>
    </row>
    <row r="557">
      <c r="A557" s="2" t="str">
        <f>IFERROR(__xludf.DUMMYFUNCTION("""COMPUTED_VALUE"""),"PR057")</f>
        <v>PR057</v>
      </c>
      <c r="B557" s="2" t="str">
        <f>IFERROR(__xludf.DUMMYFUNCTION("""COMPUTED_VALUE"""),"VD049")</f>
        <v>VD049</v>
      </c>
      <c r="C557" s="2">
        <f>IFERROR(__xludf.DUMMYFUNCTION("""COMPUTED_VALUE"""),4.0)</f>
        <v>4</v>
      </c>
      <c r="D557" s="6">
        <f>IFERROR(__xludf.DUMMYFUNCTION("""COMPUTED_VALUE"""),370.39)</f>
        <v>370.39</v>
      </c>
      <c r="E557" s="6">
        <f>IFERROR(__xludf.DUMMYFUNCTION("GOOGLEFINANCE(""Currency:BRLMXN"")*D557"),1258.400025)</f>
        <v>1258.400025</v>
      </c>
      <c r="F557" s="6">
        <f>IFERROR(__xludf.DUMMYFUNCTION("GOOGLEFINANCE(""Currency:BRLPEN"")*D557"),242.82768399999998)</f>
        <v>242.827684</v>
      </c>
      <c r="G557" s="2" t="str">
        <f t="array" ref="G557">_xlfn.XLOOKUP(B557,Vendedores!$A$2:$A$41,Vendedores!$B$2:$B$41,"No hay datos")</f>
        <v>Fernando Navarro</v>
      </c>
      <c r="H557" s="2" t="str">
        <f t="array" ref="H557">_xlfn.XLOOKUP(B557,Vendedores!$A$2:$A$41,Vendedores!$C$2:$C$41,"No hay datos")</f>
        <v>Colinas Verdes</v>
      </c>
      <c r="I557" s="2" t="str">
        <f t="array" ref="I557">_xlfn.XLOOKUP(B557,Vendedores!$A$2:$A$41,Vendedores!$D$2:$D$41,"No hay datos")</f>
        <v>Región Central 2</v>
      </c>
      <c r="J557" s="2" t="str">
        <f t="array" ref="J557:N557">_xlfn.XLOOKUP(A557,Productos!$A$2:$A$61,Productos!$B$2:$F$61)</f>
        <v>Sandalia plana</v>
      </c>
      <c r="K557" s="2">
        <v>37.0</v>
      </c>
      <c r="L557" s="2" t="s">
        <v>33</v>
      </c>
      <c r="M557" s="2" t="s">
        <v>58</v>
      </c>
      <c r="N557" s="2" t="s">
        <v>35</v>
      </c>
    </row>
    <row r="558">
      <c r="A558" s="2" t="str">
        <f>IFERROR(__xludf.DUMMYFUNCTION("""COMPUTED_VALUE"""),"PR016")</f>
        <v>PR016</v>
      </c>
      <c r="B558" s="2" t="str">
        <f>IFERROR(__xludf.DUMMYFUNCTION("""COMPUTED_VALUE"""),"VD044")</f>
        <v>VD044</v>
      </c>
      <c r="C558" s="2">
        <f>IFERROR(__xludf.DUMMYFUNCTION("""COMPUTED_VALUE"""),4.0)</f>
        <v>4</v>
      </c>
      <c r="D558" s="6">
        <f>IFERROR(__xludf.DUMMYFUNCTION("""COMPUTED_VALUE"""),112.92)</f>
        <v>112.92</v>
      </c>
      <c r="E558" s="6">
        <f>IFERROR(__xludf.DUMMYFUNCTION("GOOGLEFINANCE(""Currency:BRLMXN"")*D558"),383.6457)</f>
        <v>383.6457</v>
      </c>
      <c r="F558" s="6">
        <f>IFERROR(__xludf.DUMMYFUNCTION("GOOGLEFINANCE(""Currency:BRLPEN"")*D558"),74.030352)</f>
        <v>74.030352</v>
      </c>
      <c r="G558" s="2" t="str">
        <f t="array" ref="G558">_xlfn.XLOOKUP(B558,Vendedores!$A$2:$A$41,Vendedores!$B$2:$B$41,"No hay datos")</f>
        <v>Silvia Menéndez</v>
      </c>
      <c r="H558" s="2" t="str">
        <f t="array" ref="H558">_xlfn.XLOOKUP(B558,Vendedores!$A$2:$A$41,Vendedores!$C$2:$C$41,"No hay datos")</f>
        <v>San Antonio del Monte</v>
      </c>
      <c r="I558" s="2" t="str">
        <f t="array" ref="I558">_xlfn.XLOOKUP(B558,Vendedores!$A$2:$A$41,Vendedores!$D$2:$D$41,"No hay datos")</f>
        <v>Región Central 2</v>
      </c>
      <c r="J558" s="2" t="str">
        <f t="array" ref="J558:N558">_xlfn.XLOOKUP(A558,Productos!$A$2:$A$61,Productos!$B$2:$F$61)</f>
        <v>Playera lisa</v>
      </c>
      <c r="K558" s="2" t="s">
        <v>9</v>
      </c>
      <c r="L558" s="2" t="s">
        <v>10</v>
      </c>
      <c r="M558" s="2" t="s">
        <v>20</v>
      </c>
      <c r="N558" s="2" t="s">
        <v>21</v>
      </c>
    </row>
    <row r="559">
      <c r="A559" s="2" t="str">
        <f>IFERROR(__xludf.DUMMYFUNCTION("""COMPUTED_VALUE"""),"PR025")</f>
        <v>PR025</v>
      </c>
      <c r="B559" s="2" t="str">
        <f>IFERROR(__xludf.DUMMYFUNCTION("""COMPUTED_VALUE"""),"VD012")</f>
        <v>VD012</v>
      </c>
      <c r="C559" s="2">
        <f>IFERROR(__xludf.DUMMYFUNCTION("""COMPUTED_VALUE"""),7.0)</f>
        <v>7</v>
      </c>
      <c r="D559" s="6">
        <f>IFERROR(__xludf.DUMMYFUNCTION("""COMPUTED_VALUE"""),2162.28)</f>
        <v>2162.28</v>
      </c>
      <c r="E559" s="6">
        <f>IFERROR(__xludf.DUMMYFUNCTION("GOOGLEFINANCE(""Currency:BRLMXN"")*D559"),7346.3463)</f>
        <v>7346.3463</v>
      </c>
      <c r="F559" s="6">
        <f>IFERROR(__xludf.DUMMYFUNCTION("GOOGLEFINANCE(""Currency:BRLPEN"")*D559"),1417.590768)</f>
        <v>1417.590768</v>
      </c>
      <c r="G559" s="2" t="str">
        <f t="array" ref="G559">_xlfn.XLOOKUP(B559,Vendedores!$A$2:$A$41,Vendedores!$B$2:$B$41,"No hay datos")</f>
        <v>Ana Olmedo</v>
      </c>
      <c r="H559" s="2" t="str">
        <f t="array" ref="H559">_xlfn.XLOOKUP(B559,Vendedores!$A$2:$A$41,Vendedores!$C$2:$C$41,"No hay datos")</f>
        <v>Río Claro</v>
      </c>
      <c r="I559" s="2" t="str">
        <f t="array" ref="I559">_xlfn.XLOOKUP(B559,Vendedores!$A$2:$A$41,Vendedores!$D$2:$D$41,"No hay datos")</f>
        <v>Región Central</v>
      </c>
      <c r="J559" s="2" t="str">
        <f t="array" ref="J559:N559">_xlfn.XLOOKUP(A559,Productos!$A$2:$A$61,Productos!$B$2:$F$61)</f>
        <v>Chaqueta de mezclilla</v>
      </c>
      <c r="K559" s="2" t="s">
        <v>22</v>
      </c>
      <c r="L559" s="2" t="s">
        <v>10</v>
      </c>
      <c r="M559" s="2" t="s">
        <v>107</v>
      </c>
      <c r="N559" s="2" t="s">
        <v>16</v>
      </c>
    </row>
    <row r="560">
      <c r="A560" s="2" t="str">
        <f>IFERROR(__xludf.DUMMYFUNCTION("""COMPUTED_VALUE"""),"PR028")</f>
        <v>PR028</v>
      </c>
      <c r="B560" s="2" t="str">
        <f>IFERROR(__xludf.DUMMYFUNCTION("""COMPUTED_VALUE"""),"VD032")</f>
        <v>VD032</v>
      </c>
      <c r="C560" s="2">
        <f>IFERROR(__xludf.DUMMYFUNCTION("""COMPUTED_VALUE"""),18.0)</f>
        <v>18</v>
      </c>
      <c r="D560" s="6">
        <f>IFERROR(__xludf.DUMMYFUNCTION("""COMPUTED_VALUE"""),4813.07)</f>
        <v>4813.07</v>
      </c>
      <c r="E560" s="6">
        <f>IFERROR(__xludf.DUMMYFUNCTION("GOOGLEFINANCE(""Currency:BRLMXN"")*D560"),16352.405325)</f>
        <v>16352.40533</v>
      </c>
      <c r="F560" s="6">
        <f>IFERROR(__xludf.DUMMYFUNCTION("GOOGLEFINANCE(""Currency:BRLPEN"")*D560"),3155.4486919999995)</f>
        <v>3155.448692</v>
      </c>
      <c r="G560" s="2" t="str">
        <f t="array" ref="G560">_xlfn.XLOOKUP(B560,Vendedores!$A$2:$A$41,Vendedores!$B$2:$B$41,"No hay datos")</f>
        <v>Eduardo Almonte</v>
      </c>
      <c r="H560" s="2" t="str">
        <f t="array" ref="H560">_xlfn.XLOOKUP(B560,Vendedores!$A$2:$A$41,Vendedores!$C$2:$C$41,"No hay datos")</f>
        <v>Tierra Colorada</v>
      </c>
      <c r="I560" s="2" t="str">
        <f t="array" ref="I560">_xlfn.XLOOKUP(B560,Vendedores!$A$2:$A$41,Vendedores!$D$2:$D$41,"No hay datos")</f>
        <v>Región Central 2</v>
      </c>
      <c r="J560" s="2" t="str">
        <f t="array" ref="J560:N560">_xlfn.XLOOKUP(A560,Productos!$A$2:$A$61,Productos!$B$2:$F$61)</f>
        <v>Tenis Atitas</v>
      </c>
      <c r="K560" s="2">
        <v>36.0</v>
      </c>
      <c r="L560" s="2" t="s">
        <v>33</v>
      </c>
      <c r="M560" s="2" t="s">
        <v>55</v>
      </c>
      <c r="N560" s="2" t="s">
        <v>56</v>
      </c>
    </row>
    <row r="561">
      <c r="A561" s="2" t="str">
        <f>IFERROR(__xludf.DUMMYFUNCTION("""COMPUTED_VALUE"""),"PR014")</f>
        <v>PR014</v>
      </c>
      <c r="B561" s="2" t="str">
        <f>IFERROR(__xludf.DUMMYFUNCTION("""COMPUTED_VALUE"""),"VD020")</f>
        <v>VD020</v>
      </c>
      <c r="C561" s="2">
        <f>IFERROR(__xludf.DUMMYFUNCTION("""COMPUTED_VALUE"""),4.0)</f>
        <v>4</v>
      </c>
      <c r="D561" s="6">
        <f>IFERROR(__xludf.DUMMYFUNCTION("""COMPUTED_VALUE"""),164.39)</f>
        <v>164.39</v>
      </c>
      <c r="E561" s="6">
        <f>IFERROR(__xludf.DUMMYFUNCTION("GOOGLEFINANCE(""Currency:BRLMXN"")*D561"),558.5150249999999)</f>
        <v>558.515025</v>
      </c>
      <c r="F561" s="6">
        <f>IFERROR(__xludf.DUMMYFUNCTION("GOOGLEFINANCE(""Currency:BRLPEN"")*D561"),107.77408399999999)</f>
        <v>107.774084</v>
      </c>
      <c r="G561" s="2" t="str">
        <f t="array" ref="G561">_xlfn.XLOOKUP(B561,Vendedores!$A$2:$A$41,Vendedores!$B$2:$B$41,"No hay datos")</f>
        <v>Gustavo Morales</v>
      </c>
      <c r="H561" s="2" t="str">
        <f t="array" ref="H561">_xlfn.XLOOKUP(B561,Vendedores!$A$2:$A$41,Vendedores!$C$2:$C$41,"No hay datos")</f>
        <v>Villa del Sol</v>
      </c>
      <c r="I561" s="2" t="str">
        <f t="array" ref="I561">_xlfn.XLOOKUP(B561,Vendedores!$A$2:$A$41,Vendedores!$D$2:$D$41,"No hay datos")</f>
        <v>Región Central 2</v>
      </c>
      <c r="J561" s="2" t="str">
        <f t="array" ref="J561:N561">_xlfn.XLOOKUP(A561,Productos!$A$2:$A$61,Productos!$B$2:$F$61)</f>
        <v>Playera estampada</v>
      </c>
      <c r="K561" s="2" t="s">
        <v>17</v>
      </c>
      <c r="L561" s="2" t="s">
        <v>10</v>
      </c>
      <c r="M561" s="2" t="s">
        <v>37</v>
      </c>
      <c r="N561" s="2" t="s">
        <v>38</v>
      </c>
    </row>
    <row r="562">
      <c r="A562" s="2" t="str">
        <f>IFERROR(__xludf.DUMMYFUNCTION("""COMPUTED_VALUE"""),"PR006")</f>
        <v>PR006</v>
      </c>
      <c r="B562" s="2" t="str">
        <f>IFERROR(__xludf.DUMMYFUNCTION("""COMPUTED_VALUE"""),"VD026")</f>
        <v>VD026</v>
      </c>
      <c r="C562" s="2">
        <f>IFERROR(__xludf.DUMMYFUNCTION("""COMPUTED_VALUE"""),5.0)</f>
        <v>5</v>
      </c>
      <c r="D562" s="6">
        <f>IFERROR(__xludf.DUMMYFUNCTION("""COMPUTED_VALUE"""),215.46)</f>
        <v>215.46</v>
      </c>
      <c r="E562" s="6">
        <f>IFERROR(__xludf.DUMMYFUNCTION("GOOGLEFINANCE(""Currency:BRLMXN"")*D562"),732.02535)</f>
        <v>732.02535</v>
      </c>
      <c r="F562" s="6">
        <f>IFERROR(__xludf.DUMMYFUNCTION("GOOGLEFINANCE(""Currency:BRLPEN"")*D562"),141.255576)</f>
        <v>141.255576</v>
      </c>
      <c r="G562" s="2" t="str">
        <f t="array" ref="G562">_xlfn.XLOOKUP(B562,Vendedores!$A$2:$A$41,Vendedores!$B$2:$B$41,"No hay datos")</f>
        <v>Daniel Fernández</v>
      </c>
      <c r="H562" s="2" t="str">
        <f t="array" ref="H562">_xlfn.XLOOKUP(B562,Vendedores!$A$2:$A$41,Vendedores!$C$2:$C$41,"No hay datos")</f>
        <v>Puerto Esperanza</v>
      </c>
      <c r="I562" s="2" t="str">
        <f t="array" ref="I562">_xlfn.XLOOKUP(B562,Vendedores!$A$2:$A$41,Vendedores!$D$2:$D$41,"No hay datos")</f>
        <v>Región Sur</v>
      </c>
      <c r="J562" s="2" t="str">
        <f t="array" ref="J562:N562">_xlfn.XLOOKUP(A562,Productos!$A$2:$A$61,Productos!$B$2:$F$61)</f>
        <v>Gorra</v>
      </c>
      <c r="K562" s="2" t="s">
        <v>29</v>
      </c>
      <c r="L562" s="2" t="s">
        <v>30</v>
      </c>
      <c r="M562" s="2" t="s">
        <v>48</v>
      </c>
      <c r="N562" s="2" t="s">
        <v>38</v>
      </c>
    </row>
    <row r="563">
      <c r="A563" s="2" t="str">
        <f>IFERROR(__xludf.DUMMYFUNCTION("""COMPUTED_VALUE"""),"PR004")</f>
        <v>PR004</v>
      </c>
      <c r="B563" s="2" t="str">
        <f>IFERROR(__xludf.DUMMYFUNCTION("""COMPUTED_VALUE"""),"VD015")</f>
        <v>VD015</v>
      </c>
      <c r="C563" s="2">
        <f>IFERROR(__xludf.DUMMYFUNCTION("""COMPUTED_VALUE"""),16.0)</f>
        <v>16</v>
      </c>
      <c r="D563" s="6">
        <f>IFERROR(__xludf.DUMMYFUNCTION("""COMPUTED_VALUE"""),2320.0)</f>
        <v>2320</v>
      </c>
      <c r="E563" s="6">
        <f>IFERROR(__xludf.DUMMYFUNCTION("GOOGLEFINANCE(""Currency:BRLMXN"")*D563"),7882.2)</f>
        <v>7882.2</v>
      </c>
      <c r="F563" s="6">
        <f>IFERROR(__xludf.DUMMYFUNCTION("GOOGLEFINANCE(""Currency:BRLPEN"")*D563"),1520.992)</f>
        <v>1520.992</v>
      </c>
      <c r="G563" s="2" t="str">
        <f t="array" ref="G563">_xlfn.XLOOKUP(B563,Vendedores!$A$2:$A$41,Vendedores!$B$2:$B$41,"No hay datos")</f>
        <v>Lucas Castillo</v>
      </c>
      <c r="H563" s="2" t="str">
        <f t="array" ref="H563">_xlfn.XLOOKUP(B563,Vendedores!$A$2:$A$41,Vendedores!$C$2:$C$41,"No hay datos")</f>
        <v>San Miguel de los Pinos</v>
      </c>
      <c r="I563" s="2" t="str">
        <f t="array" ref="I563">_xlfn.XLOOKUP(B563,Vendedores!$A$2:$A$41,Vendedores!$D$2:$D$41,"No hay datos")</f>
        <v>Región Sur</v>
      </c>
      <c r="J563" s="2" t="str">
        <f t="array" ref="J563:N563">_xlfn.XLOOKUP(A563,Productos!$A$2:$A$61,Productos!$B$2:$F$61)</f>
        <v>Bolso versátil</v>
      </c>
      <c r="K563" s="2" t="s">
        <v>29</v>
      </c>
      <c r="L563" s="2" t="s">
        <v>30</v>
      </c>
      <c r="M563" s="2" t="s">
        <v>59</v>
      </c>
      <c r="N563" s="2" t="s">
        <v>60</v>
      </c>
    </row>
    <row r="564">
      <c r="A564" s="2" t="str">
        <f>IFERROR(__xludf.DUMMYFUNCTION("""COMPUTED_VALUE"""),"PR033")</f>
        <v>PR033</v>
      </c>
      <c r="B564" s="2" t="str">
        <f>IFERROR(__xludf.DUMMYFUNCTION("""COMPUTED_VALUE"""),"VD043")</f>
        <v>VD043</v>
      </c>
      <c r="C564" s="2">
        <f>IFERROR(__xludf.DUMMYFUNCTION("""COMPUTED_VALUE"""),5.0)</f>
        <v>5</v>
      </c>
      <c r="D564" s="6">
        <f>IFERROR(__xludf.DUMMYFUNCTION("""COMPUTED_VALUE"""),1338.49)</f>
        <v>1338.49</v>
      </c>
      <c r="E564" s="6">
        <f>IFERROR(__xludf.DUMMYFUNCTION("GOOGLEFINANCE(""Currency:BRLMXN"")*D564"),4547.519775)</f>
        <v>4547.519775</v>
      </c>
      <c r="F564" s="6">
        <f>IFERROR(__xludf.DUMMYFUNCTION("GOOGLEFINANCE(""Currency:BRLPEN"")*D564"),877.5140439999999)</f>
        <v>877.514044</v>
      </c>
      <c r="G564" s="2" t="str">
        <f t="array" ref="G564">_xlfn.XLOOKUP(B564,Vendedores!$A$2:$A$41,Vendedores!$B$2:$B$41,"No hay datos")</f>
        <v>Carlos Henríquez</v>
      </c>
      <c r="H564" s="2" t="str">
        <f t="array" ref="H564">_xlfn.XLOOKUP(B564,Vendedores!$A$2:$A$41,Vendedores!$C$2:$C$41,"No hay datos")</f>
        <v>Ciudad Aeropuerto</v>
      </c>
      <c r="I564" s="2" t="str">
        <f t="array" ref="I564">_xlfn.XLOOKUP(B564,Vendedores!$A$2:$A$41,Vendedores!$D$2:$D$41,"No hay datos")</f>
        <v>Región Central 2</v>
      </c>
      <c r="J564" s="2" t="str">
        <f t="array" ref="J564:N564">_xlfn.XLOOKUP(A564,Productos!$A$2:$A$61,Productos!$B$2:$F$61)</f>
        <v>Tenis Chunky</v>
      </c>
      <c r="K564" s="2">
        <v>38.0</v>
      </c>
      <c r="L564" s="2" t="s">
        <v>33</v>
      </c>
      <c r="M564" s="2" t="s">
        <v>63</v>
      </c>
      <c r="N564" s="2" t="s">
        <v>64</v>
      </c>
    </row>
    <row r="565">
      <c r="A565" s="2" t="str">
        <f>IFERROR(__xludf.DUMMYFUNCTION("""COMPUTED_VALUE"""),"PR027")</f>
        <v>PR027</v>
      </c>
      <c r="B565" s="2" t="str">
        <f>IFERROR(__xludf.DUMMYFUNCTION("""COMPUTED_VALUE"""),"VD037")</f>
        <v>VD037</v>
      </c>
      <c r="C565" s="2">
        <f>IFERROR(__xludf.DUMMYFUNCTION("""COMPUTED_VALUE"""),10.0)</f>
        <v>10</v>
      </c>
      <c r="D565" s="6">
        <f>IFERROR(__xludf.DUMMYFUNCTION("""COMPUTED_VALUE"""),1236.0)</f>
        <v>1236</v>
      </c>
      <c r="E565" s="6">
        <f>IFERROR(__xludf.DUMMYFUNCTION("GOOGLEFINANCE(""Currency:BRLMXN"")*D565"),4199.31)</f>
        <v>4199.31</v>
      </c>
      <c r="F565" s="6">
        <f>IFERROR(__xludf.DUMMYFUNCTION("GOOGLEFINANCE(""Currency:BRLPEN"")*D565"),810.3216)</f>
        <v>810.3216</v>
      </c>
      <c r="G565" s="2" t="str">
        <f t="array" ref="G565">_xlfn.XLOOKUP(B565,Vendedores!$A$2:$A$41,Vendedores!$B$2:$B$41,"No hay datos")</f>
        <v>Amanda Silva</v>
      </c>
      <c r="H565" s="2" t="str">
        <f t="array" ref="H565">_xlfn.XLOOKUP(B565,Vendedores!$A$2:$A$41,Vendedores!$C$2:$C$41,"No hay datos")</f>
        <v>Villa Esperanza</v>
      </c>
      <c r="I565" s="2" t="str">
        <f t="array" ref="I565">_xlfn.XLOOKUP(B565,Vendedores!$A$2:$A$41,Vendedores!$D$2:$D$41,"No hay datos")</f>
        <v>Región Sur 2</v>
      </c>
      <c r="J565" s="2" t="str">
        <f t="array" ref="J565:N565">_xlfn.XLOOKUP(A565,Productos!$A$2:$A$61,Productos!$B$2:$F$61)</f>
        <v>Gafas redondas</v>
      </c>
      <c r="K565" s="2" t="s">
        <v>29</v>
      </c>
      <c r="L565" s="2" t="s">
        <v>30</v>
      </c>
      <c r="M565" s="2" t="s">
        <v>53</v>
      </c>
      <c r="N565" s="2" t="s">
        <v>54</v>
      </c>
    </row>
    <row r="566">
      <c r="A566" s="2" t="str">
        <f>IFERROR(__xludf.DUMMYFUNCTION("""COMPUTED_VALUE"""),"PR053")</f>
        <v>PR053</v>
      </c>
      <c r="B566" s="2" t="str">
        <f>IFERROR(__xludf.DUMMYFUNCTION("""COMPUTED_VALUE"""),"VD047")</f>
        <v>VD047</v>
      </c>
      <c r="C566" s="2">
        <f>IFERROR(__xludf.DUMMYFUNCTION("""COMPUTED_VALUE"""),6.0)</f>
        <v>6</v>
      </c>
      <c r="D566" s="6">
        <f>IFERROR(__xludf.DUMMYFUNCTION("""COMPUTED_VALUE"""),314.37)</f>
        <v>314.37</v>
      </c>
      <c r="E566" s="6">
        <f>IFERROR(__xludf.DUMMYFUNCTION("GOOGLEFINANCE(""Currency:BRLMXN"")*D566"),1068.072075)</f>
        <v>1068.072075</v>
      </c>
      <c r="F566" s="6">
        <f>IFERROR(__xludf.DUMMYFUNCTION("GOOGLEFINANCE(""Currency:BRLPEN"")*D566"),206.10097199999998)</f>
        <v>206.100972</v>
      </c>
      <c r="G566" s="2" t="str">
        <f t="array" ref="G566">_xlfn.XLOOKUP(B566,Vendedores!$A$2:$A$41,Vendedores!$B$2:$B$41,"No hay datos")</f>
        <v>Andrés López</v>
      </c>
      <c r="H566" s="2" t="str">
        <f t="array" ref="H566">_xlfn.XLOOKUP(B566,Vendedores!$A$2:$A$41,Vendedores!$C$2:$C$41,"No hay datos")</f>
        <v>Villa Progreso</v>
      </c>
      <c r="I566" s="2" t="str">
        <f t="array" ref="I566">_xlfn.XLOOKUP(B566,Vendedores!$A$2:$A$41,Vendedores!$D$2:$D$41,"No hay datos")</f>
        <v>Región Central 2</v>
      </c>
      <c r="J566" s="2" t="str">
        <f t="array" ref="J566:N566">_xlfn.XLOOKUP(A566,Productos!$A$2:$A$61,Productos!$B$2:$F$61)</f>
        <v>Falda plisada</v>
      </c>
      <c r="K566" s="2" t="s">
        <v>17</v>
      </c>
      <c r="L566" s="2" t="s">
        <v>10</v>
      </c>
      <c r="M566" s="2" t="s">
        <v>41</v>
      </c>
      <c r="N566" s="2" t="s">
        <v>32</v>
      </c>
    </row>
    <row r="567">
      <c r="A567" s="2" t="str">
        <f>IFERROR(__xludf.DUMMYFUNCTION("""COMPUTED_VALUE"""),"PR025")</f>
        <v>PR025</v>
      </c>
      <c r="B567" s="2" t="str">
        <f>IFERROR(__xludf.DUMMYFUNCTION("""COMPUTED_VALUE"""),"VD037")</f>
        <v>VD037</v>
      </c>
      <c r="C567" s="2">
        <f>IFERROR(__xludf.DUMMYFUNCTION("""COMPUTED_VALUE"""),20.0)</f>
        <v>20</v>
      </c>
      <c r="D567" s="6">
        <f>IFERROR(__xludf.DUMMYFUNCTION("""COMPUTED_VALUE"""),6057.98)</f>
        <v>6057.98</v>
      </c>
      <c r="E567" s="6">
        <f>IFERROR(__xludf.DUMMYFUNCTION("GOOGLEFINANCE(""Currency:BRLMXN"")*D567"),20581.98705)</f>
        <v>20581.98705</v>
      </c>
      <c r="F567" s="6">
        <f>IFERROR(__xludf.DUMMYFUNCTION("GOOGLEFINANCE(""Currency:BRLPEN"")*D567"),3971.6116879999995)</f>
        <v>3971.611688</v>
      </c>
      <c r="G567" s="2" t="str">
        <f t="array" ref="G567">_xlfn.XLOOKUP(B567,Vendedores!$A$2:$A$41,Vendedores!$B$2:$B$41,"No hay datos")</f>
        <v>Amanda Silva</v>
      </c>
      <c r="H567" s="2" t="str">
        <f t="array" ref="H567">_xlfn.XLOOKUP(B567,Vendedores!$A$2:$A$41,Vendedores!$C$2:$C$41,"No hay datos")</f>
        <v>Villa Esperanza</v>
      </c>
      <c r="I567" s="2" t="str">
        <f t="array" ref="I567">_xlfn.XLOOKUP(B567,Vendedores!$A$2:$A$41,Vendedores!$D$2:$D$41,"No hay datos")</f>
        <v>Región Sur 2</v>
      </c>
      <c r="J567" s="2" t="str">
        <f t="array" ref="J567:N567">_xlfn.XLOOKUP(A567,Productos!$A$2:$A$61,Productos!$B$2:$F$61)</f>
        <v>Chaqueta de mezclilla</v>
      </c>
      <c r="K567" s="2" t="s">
        <v>22</v>
      </c>
      <c r="L567" s="2" t="s">
        <v>10</v>
      </c>
      <c r="M567" s="2" t="s">
        <v>107</v>
      </c>
      <c r="N567" s="2" t="s">
        <v>16</v>
      </c>
    </row>
    <row r="568">
      <c r="A568" s="2" t="str">
        <f>IFERROR(__xludf.DUMMYFUNCTION("""COMPUTED_VALUE"""),"PR036")</f>
        <v>PR036</v>
      </c>
      <c r="B568" s="2" t="str">
        <f>IFERROR(__xludf.DUMMYFUNCTION("""COMPUTED_VALUE"""),"VD019")</f>
        <v>VD019</v>
      </c>
      <c r="C568" s="2">
        <f>IFERROR(__xludf.DUMMYFUNCTION("""COMPUTED_VALUE"""),2.0)</f>
        <v>2</v>
      </c>
      <c r="D568" s="6">
        <f>IFERROR(__xludf.DUMMYFUNCTION("""COMPUTED_VALUE"""),203.83)</f>
        <v>203.83</v>
      </c>
      <c r="E568" s="6">
        <f>IFERROR(__xludf.DUMMYFUNCTION("GOOGLEFINANCE(""Currency:BRLMXN"")*D568"),692.512425)</f>
        <v>692.512425</v>
      </c>
      <c r="F568" s="6">
        <f>IFERROR(__xludf.DUMMYFUNCTION("GOOGLEFINANCE(""Currency:BRLPEN"")*D568"),133.630948)</f>
        <v>133.630948</v>
      </c>
      <c r="G568" s="2" t="str">
        <f t="array" ref="G568">_xlfn.XLOOKUP(B568,Vendedores!$A$2:$A$41,Vendedores!$B$2:$B$41,"No hay datos")</f>
        <v>Rafael Sosa</v>
      </c>
      <c r="H568" s="2" t="str">
        <f t="array" ref="H568">_xlfn.XLOOKUP(B568,Vendedores!$A$2:$A$41,Vendedores!$C$2:$C$41,"No hay datos")</f>
        <v>Selva Verde</v>
      </c>
      <c r="I568" s="2" t="str">
        <f t="array" ref="I568">_xlfn.XLOOKUP(B568,Vendedores!$A$2:$A$41,Vendedores!$D$2:$D$41,"No hay datos")</f>
        <v>Región Amazónica</v>
      </c>
      <c r="J568" s="2" t="str">
        <f t="array" ref="J568:N568">_xlfn.XLOOKUP(A568,Productos!$A$2:$A$61,Productos!$B$2:$F$61)</f>
        <v>Vestido corto</v>
      </c>
      <c r="K568" s="2" t="s">
        <v>22</v>
      </c>
      <c r="L568" s="2" t="s">
        <v>10</v>
      </c>
      <c r="M568" s="2" t="s">
        <v>82</v>
      </c>
      <c r="N568" s="2" t="s">
        <v>83</v>
      </c>
    </row>
    <row r="569">
      <c r="A569" s="2" t="str">
        <f>IFERROR(__xludf.DUMMYFUNCTION("""COMPUTED_VALUE"""),"PR054")</f>
        <v>PR054</v>
      </c>
      <c r="B569" s="2" t="str">
        <f>IFERROR(__xludf.DUMMYFUNCTION("""COMPUTED_VALUE"""),"VD049")</f>
        <v>VD049</v>
      </c>
      <c r="C569" s="2">
        <f>IFERROR(__xludf.DUMMYFUNCTION("""COMPUTED_VALUE"""),6.0)</f>
        <v>6</v>
      </c>
      <c r="D569" s="6">
        <f>IFERROR(__xludf.DUMMYFUNCTION("""COMPUTED_VALUE"""),320.36)</f>
        <v>320.36</v>
      </c>
      <c r="E569" s="6">
        <f>IFERROR(__xludf.DUMMYFUNCTION("GOOGLEFINANCE(""Currency:BRLMXN"")*D569"),1088.4231)</f>
        <v>1088.4231</v>
      </c>
      <c r="F569" s="6">
        <f>IFERROR(__xludf.DUMMYFUNCTION("GOOGLEFINANCE(""Currency:BRLPEN"")*D569"),210.028016)</f>
        <v>210.028016</v>
      </c>
      <c r="G569" s="2" t="str">
        <f t="array" ref="G569">_xlfn.XLOOKUP(B569,Vendedores!$A$2:$A$41,Vendedores!$B$2:$B$41,"No hay datos")</f>
        <v>Fernando Navarro</v>
      </c>
      <c r="H569" s="2" t="str">
        <f t="array" ref="H569">_xlfn.XLOOKUP(B569,Vendedores!$A$2:$A$41,Vendedores!$C$2:$C$41,"No hay datos")</f>
        <v>Colinas Verdes</v>
      </c>
      <c r="I569" s="2" t="str">
        <f t="array" ref="I569">_xlfn.XLOOKUP(B569,Vendedores!$A$2:$A$41,Vendedores!$D$2:$D$41,"No hay datos")</f>
        <v>Región Central 2</v>
      </c>
      <c r="J569" s="2" t="str">
        <f t="array" ref="J569:N569">_xlfn.XLOOKUP(A569,Productos!$A$2:$A$61,Productos!$B$2:$F$61)</f>
        <v>Falda plisada</v>
      </c>
      <c r="K569" s="2" t="s">
        <v>22</v>
      </c>
      <c r="L569" s="2" t="s">
        <v>10</v>
      </c>
      <c r="M569" s="2" t="s">
        <v>42</v>
      </c>
      <c r="N569" s="2" t="s">
        <v>32</v>
      </c>
    </row>
    <row r="570">
      <c r="A570" s="2" t="str">
        <f>IFERROR(__xludf.DUMMYFUNCTION("""COMPUTED_VALUE"""),"PR057")</f>
        <v>PR057</v>
      </c>
      <c r="B570" s="2" t="str">
        <f>IFERROR(__xludf.DUMMYFUNCTION("""COMPUTED_VALUE"""),"VD043")</f>
        <v>VD043</v>
      </c>
      <c r="C570" s="2">
        <f>IFERROR(__xludf.DUMMYFUNCTION("""COMPUTED_VALUE"""),6.0)</f>
        <v>6</v>
      </c>
      <c r="D570" s="6">
        <f>IFERROR(__xludf.DUMMYFUNCTION("""COMPUTED_VALUE"""),560.98)</f>
        <v>560.98</v>
      </c>
      <c r="E570" s="6">
        <f>IFERROR(__xludf.DUMMYFUNCTION("GOOGLEFINANCE(""Currency:BRLMXN"")*D570"),1905.92955)</f>
        <v>1905.92955</v>
      </c>
      <c r="F570" s="6">
        <f>IFERROR(__xludf.DUMMYFUNCTION("GOOGLEFINANCE(""Currency:BRLPEN"")*D570"),367.778488)</f>
        <v>367.778488</v>
      </c>
      <c r="G570" s="2" t="str">
        <f t="array" ref="G570">_xlfn.XLOOKUP(B570,Vendedores!$A$2:$A$41,Vendedores!$B$2:$B$41,"No hay datos")</f>
        <v>Carlos Henríquez</v>
      </c>
      <c r="H570" s="2" t="str">
        <f t="array" ref="H570">_xlfn.XLOOKUP(B570,Vendedores!$A$2:$A$41,Vendedores!$C$2:$C$41,"No hay datos")</f>
        <v>Ciudad Aeropuerto</v>
      </c>
      <c r="I570" s="2" t="str">
        <f t="array" ref="I570">_xlfn.XLOOKUP(B570,Vendedores!$A$2:$A$41,Vendedores!$D$2:$D$41,"No hay datos")</f>
        <v>Región Central 2</v>
      </c>
      <c r="J570" s="2" t="str">
        <f t="array" ref="J570:N570">_xlfn.XLOOKUP(A570,Productos!$A$2:$A$61,Productos!$B$2:$F$61)</f>
        <v>Sandalia plana</v>
      </c>
      <c r="K570" s="2">
        <v>37.0</v>
      </c>
      <c r="L570" s="2" t="s">
        <v>33</v>
      </c>
      <c r="M570" s="2" t="s">
        <v>58</v>
      </c>
      <c r="N570" s="2" t="s">
        <v>35</v>
      </c>
    </row>
    <row r="571">
      <c r="A571" s="2" t="str">
        <f>IFERROR(__xludf.DUMMYFUNCTION("""COMPUTED_VALUE"""),"PR026")</f>
        <v>PR026</v>
      </c>
      <c r="B571" s="2" t="str">
        <f>IFERROR(__xludf.DUMMYFUNCTION("""COMPUTED_VALUE"""),"VD046")</f>
        <v>VD046</v>
      </c>
      <c r="C571" s="2">
        <f>IFERROR(__xludf.DUMMYFUNCTION("""COMPUTED_VALUE"""),10.0)</f>
        <v>10</v>
      </c>
      <c r="D571" s="6">
        <f>IFERROR(__xludf.DUMMYFUNCTION("""COMPUTED_VALUE"""),3743.93)</f>
        <v>3743.93</v>
      </c>
      <c r="E571" s="6">
        <f>IFERROR(__xludf.DUMMYFUNCTION("GOOGLEFINANCE(""Currency:BRLMXN"")*D571"),12720.002175)</f>
        <v>12720.00218</v>
      </c>
      <c r="F571" s="6">
        <f>IFERROR(__xludf.DUMMYFUNCTION("GOOGLEFINANCE(""Currency:BRLPEN"")*D571"),2454.5205079999996)</f>
        <v>2454.520508</v>
      </c>
      <c r="G571" s="2" t="str">
        <f t="array" ref="G571">_xlfn.XLOOKUP(B571,Vendedores!$A$2:$A$41,Vendedores!$B$2:$B$41,"No hay datos")</f>
        <v>Juliana Pérez</v>
      </c>
      <c r="H571" s="2" t="str">
        <f t="array" ref="H571">_xlfn.XLOOKUP(B571,Vendedores!$A$2:$A$41,Vendedores!$C$2:$C$41,"No hay datos")</f>
        <v>Santa Cruz de la Sierra</v>
      </c>
      <c r="I571" s="2" t="str">
        <f t="array" ref="I571">_xlfn.XLOOKUP(B571,Vendedores!$A$2:$A$41,Vendedores!$D$2:$D$41,"No hay datos")</f>
        <v>Región Central 2</v>
      </c>
      <c r="J571" s="2" t="str">
        <f t="array" ref="J571:N571">_xlfn.XLOOKUP(A571,Productos!$A$2:$A$61,Productos!$B$2:$F$61)</f>
        <v>Gafas cuadradas</v>
      </c>
      <c r="K571" s="2" t="s">
        <v>29</v>
      </c>
      <c r="L571" s="2" t="s">
        <v>30</v>
      </c>
      <c r="M571" s="2" t="s">
        <v>90</v>
      </c>
      <c r="N571" s="2" t="s">
        <v>91</v>
      </c>
    </row>
    <row r="572">
      <c r="A572" s="2" t="str">
        <f>IFERROR(__xludf.DUMMYFUNCTION("""COMPUTED_VALUE"""),"PR031")</f>
        <v>PR031</v>
      </c>
      <c r="B572" s="2" t="str">
        <f>IFERROR(__xludf.DUMMYFUNCTION("""COMPUTED_VALUE"""),"VD029")</f>
        <v>VD029</v>
      </c>
      <c r="C572" s="2">
        <f>IFERROR(__xludf.DUMMYFUNCTION("""COMPUTED_VALUE"""),6.0)</f>
        <v>6</v>
      </c>
      <c r="D572" s="6">
        <f>IFERROR(__xludf.DUMMYFUNCTION("""COMPUTED_VALUE"""),1587.6)</f>
        <v>1587.6</v>
      </c>
      <c r="E572" s="6">
        <f>IFERROR(__xludf.DUMMYFUNCTION("GOOGLEFINANCE(""Currency:BRLMXN"")*D572"),5393.870999999999)</f>
        <v>5393.871</v>
      </c>
      <c r="F572" s="6">
        <f>IFERROR(__xludf.DUMMYFUNCTION("GOOGLEFINANCE(""Currency:BRLPEN"")*D572"),1040.8305599999999)</f>
        <v>1040.83056</v>
      </c>
      <c r="G572" s="2" t="str">
        <f t="array" ref="G572">_xlfn.XLOOKUP(B572,Vendedores!$A$2:$A$41,Vendedores!$B$2:$B$41,"No hay datos")</f>
        <v>Gabriela Sosa</v>
      </c>
      <c r="H572" s="2" t="str">
        <f t="array" ref="H572">_xlfn.XLOOKUP(B572,Vendedores!$A$2:$A$41,Vendedores!$C$2:$C$41,"No hay datos")</f>
        <v>Selva Verde</v>
      </c>
      <c r="I572" s="2" t="str">
        <f t="array" ref="I572">_xlfn.XLOOKUP(B572,Vendedores!$A$2:$A$41,Vendedores!$D$2:$D$41,"No hay datos")</f>
        <v>Región Amazónica</v>
      </c>
      <c r="J572" s="2" t="str">
        <f t="array" ref="J572:N572">_xlfn.XLOOKUP(A572,Productos!$A$2:$A$61,Productos!$B$2:$F$61)</f>
        <v>Tenis Chunky</v>
      </c>
      <c r="K572" s="2">
        <v>36.0</v>
      </c>
      <c r="L572" s="2" t="s">
        <v>33</v>
      </c>
      <c r="M572" s="2" t="s">
        <v>84</v>
      </c>
      <c r="N572" s="2" t="s">
        <v>85</v>
      </c>
    </row>
    <row r="573">
      <c r="A573" s="2" t="str">
        <f>IFERROR(__xludf.DUMMYFUNCTION("""COMPUTED_VALUE"""),"PR028")</f>
        <v>PR028</v>
      </c>
      <c r="B573" s="2" t="str">
        <f>IFERROR(__xludf.DUMMYFUNCTION("""COMPUTED_VALUE"""),"VD029")</f>
        <v>VD029</v>
      </c>
      <c r="C573" s="2">
        <f>IFERROR(__xludf.DUMMYFUNCTION("""COMPUTED_VALUE"""),2.0)</f>
        <v>2</v>
      </c>
      <c r="D573" s="6">
        <f>IFERROR(__xludf.DUMMYFUNCTION("""COMPUTED_VALUE"""),539.78)</f>
        <v>539.78</v>
      </c>
      <c r="E573" s="6">
        <f>IFERROR(__xludf.DUMMYFUNCTION("GOOGLEFINANCE(""Currency:BRLMXN"")*D573"),1833.9025499999998)</f>
        <v>1833.90255</v>
      </c>
      <c r="F573" s="6">
        <f>IFERROR(__xludf.DUMMYFUNCTION("GOOGLEFINANCE(""Currency:BRLPEN"")*D573"),353.87976799999996)</f>
        <v>353.879768</v>
      </c>
      <c r="G573" s="2" t="str">
        <f t="array" ref="G573">_xlfn.XLOOKUP(B573,Vendedores!$A$2:$A$41,Vendedores!$B$2:$B$41,"No hay datos")</f>
        <v>Gabriela Sosa</v>
      </c>
      <c r="H573" s="2" t="str">
        <f t="array" ref="H573">_xlfn.XLOOKUP(B573,Vendedores!$A$2:$A$41,Vendedores!$C$2:$C$41,"No hay datos")</f>
        <v>Selva Verde</v>
      </c>
      <c r="I573" s="2" t="str">
        <f t="array" ref="I573">_xlfn.XLOOKUP(B573,Vendedores!$A$2:$A$41,Vendedores!$D$2:$D$41,"No hay datos")</f>
        <v>Región Amazónica</v>
      </c>
      <c r="J573" s="2" t="str">
        <f t="array" ref="J573:N573">_xlfn.XLOOKUP(A573,Productos!$A$2:$A$61,Productos!$B$2:$F$61)</f>
        <v>Tenis Atitas</v>
      </c>
      <c r="K573" s="2">
        <v>36.0</v>
      </c>
      <c r="L573" s="2" t="s">
        <v>33</v>
      </c>
      <c r="M573" s="2" t="s">
        <v>55</v>
      </c>
      <c r="N573" s="2" t="s">
        <v>56</v>
      </c>
    </row>
    <row r="574">
      <c r="A574" s="2" t="str">
        <f>IFERROR(__xludf.DUMMYFUNCTION("""COMPUTED_VALUE"""),"PR019")</f>
        <v>PR019</v>
      </c>
      <c r="B574" s="2" t="str">
        <f>IFERROR(__xludf.DUMMYFUNCTION("""COMPUTED_VALUE"""),"VD046")</f>
        <v>VD046</v>
      </c>
      <c r="C574" s="2">
        <f>IFERROR(__xludf.DUMMYFUNCTION("""COMPUTED_VALUE"""),2.0)</f>
        <v>2</v>
      </c>
      <c r="D574" s="6">
        <f>IFERROR(__xludf.DUMMYFUNCTION("""COMPUTED_VALUE"""),109.78)</f>
        <v>109.78</v>
      </c>
      <c r="E574" s="6">
        <f>IFERROR(__xludf.DUMMYFUNCTION("GOOGLEFINANCE(""Currency:BRLMXN"")*D574"),372.97755)</f>
        <v>372.97755</v>
      </c>
      <c r="F574" s="6">
        <f>IFERROR(__xludf.DUMMYFUNCTION("GOOGLEFINANCE(""Currency:BRLPEN"")*D574"),71.971768)</f>
        <v>71.971768</v>
      </c>
      <c r="G574" s="2" t="str">
        <f t="array" ref="G574">_xlfn.XLOOKUP(B574,Vendedores!$A$2:$A$41,Vendedores!$B$2:$B$41,"No hay datos")</f>
        <v>Juliana Pérez</v>
      </c>
      <c r="H574" s="2" t="str">
        <f t="array" ref="H574">_xlfn.XLOOKUP(B574,Vendedores!$A$2:$A$41,Vendedores!$C$2:$C$41,"No hay datos")</f>
        <v>Santa Cruz de la Sierra</v>
      </c>
      <c r="I574" s="2" t="str">
        <f t="array" ref="I574">_xlfn.XLOOKUP(B574,Vendedores!$A$2:$A$41,Vendedores!$D$2:$D$41,"No hay datos")</f>
        <v>Región Central 2</v>
      </c>
      <c r="J574" s="2" t="str">
        <f t="array" ref="J574:N574">_xlfn.XLOOKUP(A574,Productos!$A$2:$A$61,Productos!$B$2:$F$61)</f>
        <v>Cinturón</v>
      </c>
      <c r="K574" s="2" t="s">
        <v>29</v>
      </c>
      <c r="L574" s="2" t="s">
        <v>30</v>
      </c>
      <c r="M574" s="2" t="s">
        <v>31</v>
      </c>
      <c r="N574" s="2" t="s">
        <v>32</v>
      </c>
    </row>
    <row r="575">
      <c r="A575" s="2" t="str">
        <f>IFERROR(__xludf.DUMMYFUNCTION("""COMPUTED_VALUE"""),"PR056")</f>
        <v>PR056</v>
      </c>
      <c r="B575" s="2" t="str">
        <f>IFERROR(__xludf.DUMMYFUNCTION("""COMPUTED_VALUE"""),"VD028")</f>
        <v>VD028</v>
      </c>
      <c r="C575" s="2">
        <f>IFERROR(__xludf.DUMMYFUNCTION("""COMPUTED_VALUE"""),3.0)</f>
        <v>3</v>
      </c>
      <c r="D575" s="6">
        <f>IFERROR(__xludf.DUMMYFUNCTION("""COMPUTED_VALUE"""),275.09)</f>
        <v>275.09</v>
      </c>
      <c r="E575" s="6">
        <f>IFERROR(__xludf.DUMMYFUNCTION("GOOGLEFINANCE(""Currency:BRLMXN"")*D575"),934.6182749999999)</f>
        <v>934.618275</v>
      </c>
      <c r="F575" s="6">
        <f>IFERROR(__xludf.DUMMYFUNCTION("GOOGLEFINANCE(""Currency:BRLPEN"")*D575"),180.34900399999998)</f>
        <v>180.349004</v>
      </c>
      <c r="G575" s="2" t="str">
        <f t="array" ref="G575">_xlfn.XLOOKUP(B575,Vendedores!$A$2:$A$41,Vendedores!$B$2:$B$41,"No hay datos")</f>
        <v>Rodrigo Almonte</v>
      </c>
      <c r="H575" s="2" t="str">
        <f t="array" ref="H575">_xlfn.XLOOKUP(B575,Vendedores!$A$2:$A$41,Vendedores!$C$2:$C$41,"No hay datos")</f>
        <v>Valle Escondido</v>
      </c>
      <c r="I575" s="2" t="str">
        <f t="array" ref="I575">_xlfn.XLOOKUP(B575,Vendedores!$A$2:$A$41,Vendedores!$D$2:$D$41,"No hay datos")</f>
        <v>Región Andina</v>
      </c>
      <c r="J575" s="2" t="str">
        <f t="array" ref="J575:N575">_xlfn.XLOOKUP(A575,Productos!$A$2:$A$61,Productos!$B$2:$F$61)</f>
        <v>Sandalia plana</v>
      </c>
      <c r="K575" s="2">
        <v>36.0</v>
      </c>
      <c r="L575" s="2" t="s">
        <v>33</v>
      </c>
      <c r="M575" s="2" t="s">
        <v>106</v>
      </c>
      <c r="N575" s="2" t="s">
        <v>35</v>
      </c>
    </row>
    <row r="576">
      <c r="A576" s="2" t="str">
        <f>IFERROR(__xludf.DUMMYFUNCTION("""COMPUTED_VALUE"""),"PR006")</f>
        <v>PR006</v>
      </c>
      <c r="B576" s="2" t="str">
        <f>IFERROR(__xludf.DUMMYFUNCTION("""COMPUTED_VALUE"""),"VD029")</f>
        <v>VD029</v>
      </c>
      <c r="C576" s="2">
        <f>IFERROR(__xludf.DUMMYFUNCTION("""COMPUTED_VALUE"""),8.0)</f>
        <v>8</v>
      </c>
      <c r="D576" s="6">
        <f>IFERROR(__xludf.DUMMYFUNCTION("""COMPUTED_VALUE"""),335.16)</f>
        <v>335.16</v>
      </c>
      <c r="E576" s="6">
        <f>IFERROR(__xludf.DUMMYFUNCTION("GOOGLEFINANCE(""Currency:BRLMXN"")*D576"),1138.7061)</f>
        <v>1138.7061</v>
      </c>
      <c r="F576" s="6">
        <f>IFERROR(__xludf.DUMMYFUNCTION("GOOGLEFINANCE(""Currency:BRLPEN"")*D576"),219.730896)</f>
        <v>219.730896</v>
      </c>
      <c r="G576" s="2" t="str">
        <f t="array" ref="G576">_xlfn.XLOOKUP(B576,Vendedores!$A$2:$A$41,Vendedores!$B$2:$B$41,"No hay datos")</f>
        <v>Gabriela Sosa</v>
      </c>
      <c r="H576" s="2" t="str">
        <f t="array" ref="H576">_xlfn.XLOOKUP(B576,Vendedores!$A$2:$A$41,Vendedores!$C$2:$C$41,"No hay datos")</f>
        <v>Selva Verde</v>
      </c>
      <c r="I576" s="2" t="str">
        <f t="array" ref="I576">_xlfn.XLOOKUP(B576,Vendedores!$A$2:$A$41,Vendedores!$D$2:$D$41,"No hay datos")</f>
        <v>Región Amazónica</v>
      </c>
      <c r="J576" s="2" t="str">
        <f t="array" ref="J576:N576">_xlfn.XLOOKUP(A576,Productos!$A$2:$A$61,Productos!$B$2:$F$61)</f>
        <v>Gorra</v>
      </c>
      <c r="K576" s="2" t="s">
        <v>29</v>
      </c>
      <c r="L576" s="2" t="s">
        <v>30</v>
      </c>
      <c r="M576" s="2" t="s">
        <v>48</v>
      </c>
      <c r="N576" s="2" t="s">
        <v>38</v>
      </c>
    </row>
    <row r="577">
      <c r="A577" s="2" t="str">
        <f>IFERROR(__xludf.DUMMYFUNCTION("""COMPUTED_VALUE"""),"PR010")</f>
        <v>PR010</v>
      </c>
      <c r="B577" s="2" t="str">
        <f>IFERROR(__xludf.DUMMYFUNCTION("""COMPUTED_VALUE"""),"VD028")</f>
        <v>VD028</v>
      </c>
      <c r="C577" s="2">
        <f>IFERROR(__xludf.DUMMYFUNCTION("""COMPUTED_VALUE"""),2.0)</f>
        <v>2</v>
      </c>
      <c r="D577" s="6">
        <f>IFERROR(__xludf.DUMMYFUNCTION("""COMPUTED_VALUE"""),96.98)</f>
        <v>96.98</v>
      </c>
      <c r="E577" s="6">
        <f>IFERROR(__xludf.DUMMYFUNCTION("GOOGLEFINANCE(""Currency:BRLMXN"")*D577"),329.48955)</f>
        <v>329.48955</v>
      </c>
      <c r="F577" s="6">
        <f>IFERROR(__xludf.DUMMYFUNCTION("GOOGLEFINANCE(""Currency:BRLPEN"")*D577"),63.580087999999996)</f>
        <v>63.580088</v>
      </c>
      <c r="G577" s="2" t="str">
        <f t="array" ref="G577">_xlfn.XLOOKUP(B577,Vendedores!$A$2:$A$41,Vendedores!$B$2:$B$41,"No hay datos")</f>
        <v>Rodrigo Almonte</v>
      </c>
      <c r="H577" s="2" t="str">
        <f t="array" ref="H577">_xlfn.XLOOKUP(B577,Vendedores!$A$2:$A$41,Vendedores!$C$2:$C$41,"No hay datos")</f>
        <v>Valle Escondido</v>
      </c>
      <c r="I577" s="2" t="str">
        <f t="array" ref="I577">_xlfn.XLOOKUP(B577,Vendedores!$A$2:$A$41,Vendedores!$D$2:$D$41,"No hay datos")</f>
        <v>Región Andina</v>
      </c>
      <c r="J577" s="2" t="str">
        <f t="array" ref="J577:N577">_xlfn.XLOOKUP(A577,Productos!$A$2:$A$61,Productos!$B$2:$F$61)</f>
        <v>Pantalón legging</v>
      </c>
      <c r="K577" s="2" t="s">
        <v>9</v>
      </c>
      <c r="L577" s="2" t="s">
        <v>10</v>
      </c>
      <c r="M577" s="2" t="s">
        <v>86</v>
      </c>
      <c r="N577" s="2" t="s">
        <v>87</v>
      </c>
    </row>
    <row r="578">
      <c r="A578" s="2" t="str">
        <f>IFERROR(__xludf.DUMMYFUNCTION("""COMPUTED_VALUE"""),"PR029")</f>
        <v>PR029</v>
      </c>
      <c r="B578" s="2" t="str">
        <f>IFERROR(__xludf.DUMMYFUNCTION("""COMPUTED_VALUE"""),"VD022")</f>
        <v>VD022</v>
      </c>
      <c r="C578" s="2">
        <f>IFERROR(__xludf.DUMMYFUNCTION("""COMPUTED_VALUE"""),18.0)</f>
        <v>18</v>
      </c>
      <c r="D578" s="6">
        <f>IFERROR(__xludf.DUMMYFUNCTION("""COMPUTED_VALUE"""),4773.6)</f>
        <v>4773.6</v>
      </c>
      <c r="E578" s="6">
        <f>IFERROR(__xludf.DUMMYFUNCTION("GOOGLEFINANCE(""Currency:BRLMXN"")*D578"),16218.306)</f>
        <v>16218.306</v>
      </c>
      <c r="F578" s="6">
        <f>IFERROR(__xludf.DUMMYFUNCTION("GOOGLEFINANCE(""Currency:BRLPEN"")*D578"),3129.57216)</f>
        <v>3129.57216</v>
      </c>
      <c r="G578" s="2" t="str">
        <f t="array" ref="G578">_xlfn.XLOOKUP(B578,Vendedores!$A$2:$A$41,Vendedores!$B$2:$B$41,"No hay datos")</f>
        <v>Santiago Linares</v>
      </c>
      <c r="H578" s="2" t="str">
        <f t="array" ref="H578">_xlfn.XLOOKUP(B578,Vendedores!$A$2:$A$41,Vendedores!$C$2:$C$41,"No hay datos")</f>
        <v>Vista Hermosa</v>
      </c>
      <c r="I578" s="2" t="str">
        <f t="array" ref="I578">_xlfn.XLOOKUP(B578,Vendedores!$A$2:$A$41,Vendedores!$D$2:$D$41,"No hay datos")</f>
        <v>Región Central</v>
      </c>
      <c r="J578" s="2" t="str">
        <f t="array" ref="J578:N578">_xlfn.XLOOKUP(A578,Productos!$A$2:$A$61,Productos!$B$2:$F$61)</f>
        <v>Tenis Atitas</v>
      </c>
      <c r="K578" s="2">
        <v>37.0</v>
      </c>
      <c r="L578" s="2" t="s">
        <v>33</v>
      </c>
      <c r="M578" s="2" t="s">
        <v>96</v>
      </c>
      <c r="N578" s="2" t="s">
        <v>97</v>
      </c>
    </row>
    <row r="579">
      <c r="A579" s="2" t="str">
        <f>IFERROR(__xludf.DUMMYFUNCTION("""COMPUTED_VALUE"""),"PR026")</f>
        <v>PR026</v>
      </c>
      <c r="B579" s="2" t="str">
        <f>IFERROR(__xludf.DUMMYFUNCTION("""COMPUTED_VALUE"""),"VD014")</f>
        <v>VD014</v>
      </c>
      <c r="C579" s="2">
        <f>IFERROR(__xludf.DUMMYFUNCTION("""COMPUTED_VALUE"""),14.0)</f>
        <v>14</v>
      </c>
      <c r="D579" s="6">
        <f>IFERROR(__xludf.DUMMYFUNCTION("""COMPUTED_VALUE"""),5241.5)</f>
        <v>5241.5</v>
      </c>
      <c r="E579" s="6">
        <f>IFERROR(__xludf.DUMMYFUNCTION("GOOGLEFINANCE(""Currency:BRLMXN"")*D579"),17807.99625)</f>
        <v>17807.99625</v>
      </c>
      <c r="F579" s="6">
        <f>IFERROR(__xludf.DUMMYFUNCTION("GOOGLEFINANCE(""Currency:BRLPEN"")*D579"),3436.3273999999997)</f>
        <v>3436.3274</v>
      </c>
      <c r="G579" s="2" t="str">
        <f t="array" ref="G579">_xlfn.XLOOKUP(B579,Vendedores!$A$2:$A$41,Vendedores!$B$2:$B$41,"No hay datos")</f>
        <v>Carla Flores</v>
      </c>
      <c r="H579" s="2" t="str">
        <f t="array" ref="H579">_xlfn.XLOOKUP(B579,Vendedores!$A$2:$A$41,Vendedores!$C$2:$C$41,"No hay datos")</f>
        <v>Valle Escondido</v>
      </c>
      <c r="I579" s="2" t="str">
        <f t="array" ref="I579">_xlfn.XLOOKUP(B579,Vendedores!$A$2:$A$41,Vendedores!$D$2:$D$41,"No hay datos")</f>
        <v>Región Andina</v>
      </c>
      <c r="J579" s="2" t="str">
        <f t="array" ref="J579:N579">_xlfn.XLOOKUP(A579,Productos!$A$2:$A$61,Productos!$B$2:$F$61)</f>
        <v>Gafas cuadradas</v>
      </c>
      <c r="K579" s="2" t="s">
        <v>29</v>
      </c>
      <c r="L579" s="2" t="s">
        <v>30</v>
      </c>
      <c r="M579" s="2" t="s">
        <v>90</v>
      </c>
      <c r="N579" s="2" t="s">
        <v>91</v>
      </c>
    </row>
    <row r="580">
      <c r="A580" s="2" t="str">
        <f>IFERROR(__xludf.DUMMYFUNCTION("""COMPUTED_VALUE"""),"PR054")</f>
        <v>PR054</v>
      </c>
      <c r="B580" s="2" t="str">
        <f>IFERROR(__xludf.DUMMYFUNCTION("""COMPUTED_VALUE"""),"VD046")</f>
        <v>VD046</v>
      </c>
      <c r="C580" s="2">
        <f>IFERROR(__xludf.DUMMYFUNCTION("""COMPUTED_VALUE"""),10.0)</f>
        <v>10</v>
      </c>
      <c r="D580" s="6">
        <f>IFERROR(__xludf.DUMMYFUNCTION("""COMPUTED_VALUE"""),503.99)</f>
        <v>503.99</v>
      </c>
      <c r="E580" s="6">
        <f>IFERROR(__xludf.DUMMYFUNCTION("GOOGLEFINANCE(""Currency:BRLMXN"")*D580"),1712.306025)</f>
        <v>1712.306025</v>
      </c>
      <c r="F580" s="6">
        <f>IFERROR(__xludf.DUMMYFUNCTION("GOOGLEFINANCE(""Currency:BRLPEN"")*D580"),330.415844)</f>
        <v>330.415844</v>
      </c>
      <c r="G580" s="2" t="str">
        <f t="array" ref="G580">_xlfn.XLOOKUP(B580,Vendedores!$A$2:$A$41,Vendedores!$B$2:$B$41,"No hay datos")</f>
        <v>Juliana Pérez</v>
      </c>
      <c r="H580" s="2" t="str">
        <f t="array" ref="H580">_xlfn.XLOOKUP(B580,Vendedores!$A$2:$A$41,Vendedores!$C$2:$C$41,"No hay datos")</f>
        <v>Santa Cruz de la Sierra</v>
      </c>
      <c r="I580" s="2" t="str">
        <f t="array" ref="I580">_xlfn.XLOOKUP(B580,Vendedores!$A$2:$A$41,Vendedores!$D$2:$D$41,"No hay datos")</f>
        <v>Región Central 2</v>
      </c>
      <c r="J580" s="2" t="str">
        <f t="array" ref="J580:N580">_xlfn.XLOOKUP(A580,Productos!$A$2:$A$61,Productos!$B$2:$F$61)</f>
        <v>Falda plisada</v>
      </c>
      <c r="K580" s="2" t="s">
        <v>22</v>
      </c>
      <c r="L580" s="2" t="s">
        <v>10</v>
      </c>
      <c r="M580" s="2" t="s">
        <v>42</v>
      </c>
      <c r="N580" s="2" t="s">
        <v>32</v>
      </c>
    </row>
    <row r="581">
      <c r="A581" s="2" t="str">
        <f>IFERROR(__xludf.DUMMYFUNCTION("""COMPUTED_VALUE"""),"PR055")</f>
        <v>PR055</v>
      </c>
      <c r="B581" s="2" t="str">
        <f>IFERROR(__xludf.DUMMYFUNCTION("""COMPUTED_VALUE"""),"VD014")</f>
        <v>VD014</v>
      </c>
      <c r="C581" s="2">
        <f>IFERROR(__xludf.DUMMYFUNCTION("""COMPUTED_VALUE"""),8.0)</f>
        <v>8</v>
      </c>
      <c r="D581" s="6">
        <f>IFERROR(__xludf.DUMMYFUNCTION("""COMPUTED_VALUE"""),747.97)</f>
        <v>747.97</v>
      </c>
      <c r="E581" s="6">
        <f>IFERROR(__xludf.DUMMYFUNCTION("GOOGLEFINANCE(""Currency:BRLMXN"")*D581"),2541.228075)</f>
        <v>2541.228075</v>
      </c>
      <c r="F581" s="6">
        <f>IFERROR(__xludf.DUMMYFUNCTION("GOOGLEFINANCE(""Currency:BRLPEN"")*D581"),490.369132)</f>
        <v>490.369132</v>
      </c>
      <c r="G581" s="2" t="str">
        <f t="array" ref="G581">_xlfn.XLOOKUP(B581,Vendedores!$A$2:$A$41,Vendedores!$B$2:$B$41,"No hay datos")</f>
        <v>Carla Flores</v>
      </c>
      <c r="H581" s="2" t="str">
        <f t="array" ref="H581">_xlfn.XLOOKUP(B581,Vendedores!$A$2:$A$41,Vendedores!$C$2:$C$41,"No hay datos")</f>
        <v>Valle Escondido</v>
      </c>
      <c r="I581" s="2" t="str">
        <f t="array" ref="I581">_xlfn.XLOOKUP(B581,Vendedores!$A$2:$A$41,Vendedores!$D$2:$D$41,"No hay datos")</f>
        <v>Región Andina</v>
      </c>
      <c r="J581" s="2" t="str">
        <f t="array" ref="J581:N581">_xlfn.XLOOKUP(A581,Productos!$A$2:$A$61,Productos!$B$2:$F$61)</f>
        <v>Sandalia plana</v>
      </c>
      <c r="K581" s="2">
        <v>35.0</v>
      </c>
      <c r="L581" s="2" t="s">
        <v>33</v>
      </c>
      <c r="M581" s="2" t="s">
        <v>34</v>
      </c>
      <c r="N581" s="2" t="s">
        <v>35</v>
      </c>
    </row>
    <row r="582">
      <c r="A582" s="2" t="str">
        <f>IFERROR(__xludf.DUMMYFUNCTION("""COMPUTED_VALUE"""),"PR022")</f>
        <v>PR022</v>
      </c>
      <c r="B582" s="2" t="str">
        <f>IFERROR(__xludf.DUMMYFUNCTION("""COMPUTED_VALUE"""),"VD041")</f>
        <v>VD041</v>
      </c>
      <c r="C582" s="2">
        <f>IFERROR(__xludf.DUMMYFUNCTION("""COMPUTED_VALUE"""),2.0)</f>
        <v>2</v>
      </c>
      <c r="D582" s="6">
        <f>IFERROR(__xludf.DUMMYFUNCTION("""COMPUTED_VALUE"""),630.0)</f>
        <v>630</v>
      </c>
      <c r="E582" s="6">
        <f>IFERROR(__xludf.DUMMYFUNCTION("GOOGLEFINANCE(""Currency:BRLMXN"")*D582"),2140.425)</f>
        <v>2140.425</v>
      </c>
      <c r="F582" s="6">
        <f>IFERROR(__xludf.DUMMYFUNCTION("GOOGLEFINANCE(""Currency:BRLPEN"")*D582"),413.02799999999996)</f>
        <v>413.028</v>
      </c>
      <c r="G582" s="2" t="str">
        <f t="array" ref="G582">_xlfn.XLOOKUP(B582,Vendedores!$A$2:$A$41,Vendedores!$B$2:$B$41,"No hay datos")</f>
        <v>Alejandro Ramos</v>
      </c>
      <c r="H582" s="2" t="str">
        <f t="array" ref="H582">_xlfn.XLOOKUP(B582,Vendedores!$A$2:$A$41,Vendedores!$C$2:$C$41,"No hay datos")</f>
        <v>San Martín de las Rosas</v>
      </c>
      <c r="I582" s="2" t="str">
        <f t="array" ref="I582">_xlfn.XLOOKUP(B582,Vendedores!$A$2:$A$41,Vendedores!$D$2:$D$41,"No hay datos")</f>
        <v>Región Central 2</v>
      </c>
      <c r="J582" s="2" t="str">
        <f t="array" ref="J582:N582">_xlfn.XLOOKUP(A582,Productos!$A$2:$A$61,Productos!$B$2:$F$61)</f>
        <v>Chaqueta de cuero</v>
      </c>
      <c r="K582" s="2" t="s">
        <v>22</v>
      </c>
      <c r="L582" s="2" t="s">
        <v>10</v>
      </c>
      <c r="M582" s="2" t="s">
        <v>78</v>
      </c>
      <c r="N582" s="2" t="s">
        <v>79</v>
      </c>
    </row>
    <row r="583">
      <c r="A583" s="2" t="str">
        <f>IFERROR(__xludf.DUMMYFUNCTION("""COMPUTED_VALUE"""),"PR038")</f>
        <v>PR038</v>
      </c>
      <c r="B583" s="2" t="str">
        <f>IFERROR(__xludf.DUMMYFUNCTION("""COMPUTED_VALUE"""),"VD038")</f>
        <v>VD038</v>
      </c>
      <c r="C583" s="2">
        <f>IFERROR(__xludf.DUMMYFUNCTION("""COMPUTED_VALUE"""),3.0)</f>
        <v>3</v>
      </c>
      <c r="D583" s="6">
        <f>IFERROR(__xludf.DUMMYFUNCTION("""COMPUTED_VALUE"""),467.28)</f>
        <v>467.28</v>
      </c>
      <c r="E583" s="6">
        <f>IFERROR(__xludf.DUMMYFUNCTION("GOOGLEFINANCE(""Currency:BRLMXN"")*D583"),1587.5837999999999)</f>
        <v>1587.5838</v>
      </c>
      <c r="F583" s="6">
        <f>IFERROR(__xludf.DUMMYFUNCTION("GOOGLEFINANCE(""Currency:BRLPEN"")*D583"),306.34876799999995)</f>
        <v>306.348768</v>
      </c>
      <c r="G583" s="2" t="str">
        <f t="array" ref="G583">_xlfn.XLOOKUP(B583,Vendedores!$A$2:$A$41,Vendedores!$B$2:$B$41,"No hay datos")</f>
        <v>Bruno Olmedo</v>
      </c>
      <c r="H583" s="2" t="str">
        <f t="array" ref="H583">_xlfn.XLOOKUP(B583,Vendedores!$A$2:$A$41,Vendedores!$C$2:$C$41,"No hay datos")</f>
        <v>Tierra Fertil</v>
      </c>
      <c r="I583" s="2" t="str">
        <f t="array" ref="I583">_xlfn.XLOOKUP(B583,Vendedores!$A$2:$A$41,Vendedores!$D$2:$D$41,"No hay datos")</f>
        <v>Región Sur 2</v>
      </c>
      <c r="J583" s="2" t="str">
        <f t="array" ref="J583:N583">_xlfn.XLOOKUP(A583,Productos!$A$2:$A$61,Productos!$B$2:$F$61)</f>
        <v>Vestido largo</v>
      </c>
      <c r="K583" s="2" t="s">
        <v>17</v>
      </c>
      <c r="L583" s="2" t="s">
        <v>10</v>
      </c>
      <c r="M583" s="2" t="s">
        <v>51</v>
      </c>
      <c r="N583" s="2" t="s">
        <v>52</v>
      </c>
    </row>
    <row r="584">
      <c r="A584" s="2" t="str">
        <f>IFERROR(__xludf.DUMMYFUNCTION("""COMPUTED_VALUE"""),"PR049")</f>
        <v>PR049</v>
      </c>
      <c r="B584" s="2" t="str">
        <f>IFERROR(__xludf.DUMMYFUNCTION("""COMPUTED_VALUE"""),"VD038")</f>
        <v>VD038</v>
      </c>
      <c r="C584" s="2">
        <f>IFERROR(__xludf.DUMMYFUNCTION("""COMPUTED_VALUE"""),4.0)</f>
        <v>4</v>
      </c>
      <c r="D584" s="6">
        <f>IFERROR(__xludf.DUMMYFUNCTION("""COMPUTED_VALUE"""),140.81)</f>
        <v>140.81</v>
      </c>
      <c r="E584" s="6">
        <f>IFERROR(__xludf.DUMMYFUNCTION("GOOGLEFINANCE(""Currency:BRLMXN"")*D584"),478.401975)</f>
        <v>478.401975</v>
      </c>
      <c r="F584" s="6">
        <f>IFERROR(__xludf.DUMMYFUNCTION("GOOGLEFINANCE(""Currency:BRLPEN"")*D584"),92.31503599999999)</f>
        <v>92.315036</v>
      </c>
      <c r="G584" s="2" t="str">
        <f t="array" ref="G584">_xlfn.XLOOKUP(B584,Vendedores!$A$2:$A$41,Vendedores!$B$2:$B$41,"No hay datos")</f>
        <v>Bruno Olmedo</v>
      </c>
      <c r="H584" s="2" t="str">
        <f t="array" ref="H584">_xlfn.XLOOKUP(B584,Vendedores!$A$2:$A$41,Vendedores!$C$2:$C$41,"No hay datos")</f>
        <v>Tierra Fertil</v>
      </c>
      <c r="I584" s="2" t="str">
        <f t="array" ref="I584">_xlfn.XLOOKUP(B584,Vendedores!$A$2:$A$41,Vendedores!$D$2:$D$41,"No hay datos")</f>
        <v>Región Sur 2</v>
      </c>
      <c r="J584" s="2" t="str">
        <f t="array" ref="J584:N584">_xlfn.XLOOKUP(A584,Productos!$A$2:$A$61,Productos!$B$2:$F$61)</f>
        <v>Playera a rayas</v>
      </c>
      <c r="K584" s="2" t="s">
        <v>9</v>
      </c>
      <c r="L584" s="2" t="s">
        <v>10</v>
      </c>
      <c r="M584" s="2" t="s">
        <v>47</v>
      </c>
      <c r="N584" s="2" t="s">
        <v>24</v>
      </c>
    </row>
    <row r="585">
      <c r="A585" s="2" t="str">
        <f>IFERROR(__xludf.DUMMYFUNCTION("""COMPUTED_VALUE"""),"PR033")</f>
        <v>PR033</v>
      </c>
      <c r="B585" s="2" t="str">
        <f>IFERROR(__xludf.DUMMYFUNCTION("""COMPUTED_VALUE"""),"VD048")</f>
        <v>VD048</v>
      </c>
      <c r="C585" s="2">
        <f>IFERROR(__xludf.DUMMYFUNCTION("""COMPUTED_VALUE"""),12.0)</f>
        <v>12</v>
      </c>
      <c r="D585" s="6">
        <f>IFERROR(__xludf.DUMMYFUNCTION("""COMPUTED_VALUE"""),3243.55)</f>
        <v>3243.55</v>
      </c>
      <c r="E585" s="6">
        <f>IFERROR(__xludf.DUMMYFUNCTION("GOOGLEFINANCE(""Currency:BRLMXN"")*D585"),11019.961125)</f>
        <v>11019.96113</v>
      </c>
      <c r="F585" s="6">
        <f>IFERROR(__xludf.DUMMYFUNCTION("GOOGLEFINANCE(""Currency:BRLPEN"")*D585"),2126.47138)</f>
        <v>2126.47138</v>
      </c>
      <c r="G585" s="2" t="str">
        <f t="array" ref="G585">_xlfn.XLOOKUP(B585,Vendedores!$A$2:$A$41,Vendedores!$B$2:$B$41,"No hay datos")</f>
        <v>Mariana Castro</v>
      </c>
      <c r="H585" s="2" t="str">
        <f t="array" ref="H585">_xlfn.XLOOKUP(B585,Vendedores!$A$2:$A$41,Vendedores!$C$2:$C$41,"No hay datos")</f>
        <v>San Carlos del Valle</v>
      </c>
      <c r="I585" s="2" t="str">
        <f t="array" ref="I585">_xlfn.XLOOKUP(B585,Vendedores!$A$2:$A$41,Vendedores!$D$2:$D$41,"No hay datos")</f>
        <v>Región Central 2</v>
      </c>
      <c r="J585" s="2" t="str">
        <f t="array" ref="J585:N585">_xlfn.XLOOKUP(A585,Productos!$A$2:$A$61,Productos!$B$2:$F$61)</f>
        <v>Tenis Chunky</v>
      </c>
      <c r="K585" s="2">
        <v>38.0</v>
      </c>
      <c r="L585" s="2" t="s">
        <v>33</v>
      </c>
      <c r="M585" s="2" t="s">
        <v>63</v>
      </c>
      <c r="N585" s="2" t="s">
        <v>64</v>
      </c>
    </row>
    <row r="586">
      <c r="A586" s="2" t="str">
        <f>IFERROR(__xludf.DUMMYFUNCTION("""COMPUTED_VALUE"""),"PR050")</f>
        <v>PR050</v>
      </c>
      <c r="B586" s="2" t="str">
        <f>IFERROR(__xludf.DUMMYFUNCTION("""COMPUTED_VALUE"""),"VD018")</f>
        <v>VD018</v>
      </c>
      <c r="C586" s="2">
        <f>IFERROR(__xludf.DUMMYFUNCTION("""COMPUTED_VALUE"""),2.0)</f>
        <v>2</v>
      </c>
      <c r="D586" s="6">
        <f>IFERROR(__xludf.DUMMYFUNCTION("""COMPUTED_VALUE"""),67.77)</f>
        <v>67.77</v>
      </c>
      <c r="E586" s="6">
        <f>IFERROR(__xludf.DUMMYFUNCTION("GOOGLEFINANCE(""Currency:BRLMXN"")*D586"),230.248575)</f>
        <v>230.248575</v>
      </c>
      <c r="F586" s="6">
        <f>IFERROR(__xludf.DUMMYFUNCTION("GOOGLEFINANCE(""Currency:BRLPEN"")*D586"),44.430012)</f>
        <v>44.430012</v>
      </c>
      <c r="G586" s="2" t="str">
        <f t="array" ref="G586">_xlfn.XLOOKUP(B586,Vendedores!$A$2:$A$41,Vendedores!$B$2:$B$41,"No hay datos")</f>
        <v>Leticia Rodríguez</v>
      </c>
      <c r="H586" s="2" t="str">
        <f t="array" ref="H586">_xlfn.XLOOKUP(B586,Vendedores!$A$2:$A$41,Vendedores!$C$2:$C$41,"No hay datos")</f>
        <v>Playa Blanca</v>
      </c>
      <c r="I586" s="2" t="str">
        <f t="array" ref="I586">_xlfn.XLOOKUP(B586,Vendedores!$A$2:$A$41,Vendedores!$D$2:$D$41,"No hay datos")</f>
        <v>Región Norte</v>
      </c>
      <c r="J586" s="2" t="str">
        <f t="array" ref="J586:N586">_xlfn.XLOOKUP(A586,Productos!$A$2:$A$61,Productos!$B$2:$F$61)</f>
        <v>Playera a rayas</v>
      </c>
      <c r="K586" s="2" t="s">
        <v>17</v>
      </c>
      <c r="L586" s="2" t="s">
        <v>10</v>
      </c>
      <c r="M586" s="2" t="s">
        <v>27</v>
      </c>
      <c r="N586" s="2" t="s">
        <v>24</v>
      </c>
    </row>
    <row r="587">
      <c r="A587" s="2" t="str">
        <f>IFERROR(__xludf.DUMMYFUNCTION("""COMPUTED_VALUE"""),"PR037")</f>
        <v>PR037</v>
      </c>
      <c r="B587" s="2" t="str">
        <f>IFERROR(__xludf.DUMMYFUNCTION("""COMPUTED_VALUE"""),"VD014")</f>
        <v>VD014</v>
      </c>
      <c r="C587" s="2">
        <f>IFERROR(__xludf.DUMMYFUNCTION("""COMPUTED_VALUE"""),8.0)</f>
        <v>8</v>
      </c>
      <c r="D587" s="6">
        <f>IFERROR(__xludf.DUMMYFUNCTION("""COMPUTED_VALUE"""),1209.6)</f>
        <v>1209.6</v>
      </c>
      <c r="E587" s="6">
        <f>IFERROR(__xludf.DUMMYFUNCTION("GOOGLEFINANCE(""Currency:BRLMXN"")*D587"),4109.616)</f>
        <v>4109.616</v>
      </c>
      <c r="F587" s="6">
        <f>IFERROR(__xludf.DUMMYFUNCTION("GOOGLEFINANCE(""Currency:BRLPEN"")*D587"),793.0137599999999)</f>
        <v>793.01376</v>
      </c>
      <c r="G587" s="2" t="str">
        <f t="array" ref="G587">_xlfn.XLOOKUP(B587,Vendedores!$A$2:$A$41,Vendedores!$B$2:$B$41,"No hay datos")</f>
        <v>Carla Flores</v>
      </c>
      <c r="H587" s="2" t="str">
        <f t="array" ref="H587">_xlfn.XLOOKUP(B587,Vendedores!$A$2:$A$41,Vendedores!$C$2:$C$41,"No hay datos")</f>
        <v>Valle Escondido</v>
      </c>
      <c r="I587" s="2" t="str">
        <f t="array" ref="I587">_xlfn.XLOOKUP(B587,Vendedores!$A$2:$A$41,Vendedores!$D$2:$D$41,"No hay datos")</f>
        <v>Región Andina</v>
      </c>
      <c r="J587" s="2" t="str">
        <f t="array" ref="J587:N587">_xlfn.XLOOKUP(A587,Productos!$A$2:$A$61,Productos!$B$2:$F$61)</f>
        <v>Vestido largo</v>
      </c>
      <c r="K587" s="2" t="s">
        <v>9</v>
      </c>
      <c r="L587" s="2" t="s">
        <v>10</v>
      </c>
      <c r="M587" s="2" t="s">
        <v>70</v>
      </c>
      <c r="N587" s="2" t="s">
        <v>71</v>
      </c>
    </row>
    <row r="588">
      <c r="A588" s="2" t="str">
        <f>IFERROR(__xludf.DUMMYFUNCTION("""COMPUTED_VALUE"""),"PR001")</f>
        <v>PR001</v>
      </c>
      <c r="B588" s="2" t="str">
        <f>IFERROR(__xludf.DUMMYFUNCTION("""COMPUTED_VALUE"""),"VD010")</f>
        <v>VD010</v>
      </c>
      <c r="C588" s="2">
        <f>IFERROR(__xludf.DUMMYFUNCTION("""COMPUTED_VALUE"""),8.0)</f>
        <v>8</v>
      </c>
      <c r="D588" s="6">
        <f>IFERROR(__xludf.DUMMYFUNCTION("""COMPUTED_VALUE"""),537.74)</f>
        <v>537.74</v>
      </c>
      <c r="E588" s="6">
        <f>IFERROR(__xludf.DUMMYFUNCTION("GOOGLEFINANCE(""Currency:BRLMXN"")*D588"),1826.97165)</f>
        <v>1826.97165</v>
      </c>
      <c r="F588" s="6">
        <f>IFERROR(__xludf.DUMMYFUNCTION("GOOGLEFINANCE(""Currency:BRLPEN"")*D588"),352.54234399999996)</f>
        <v>352.542344</v>
      </c>
      <c r="G588" s="2" t="str">
        <f t="array" ref="G588">_xlfn.XLOOKUP(B588,Vendedores!$A$2:$A$41,Vendedores!$B$2:$B$41,"No hay datos")</f>
        <v>María Silva</v>
      </c>
      <c r="H588" s="2" t="str">
        <f t="array" ref="H588">_xlfn.XLOOKUP(B588,Vendedores!$A$2:$A$41,Vendedores!$C$2:$C$41,"No hay datos")</f>
        <v>San Juan de la Sierra</v>
      </c>
      <c r="I588" s="2" t="str">
        <f t="array" ref="I588">_xlfn.XLOOKUP(B588,Vendedores!$A$2:$A$41,Vendedores!$D$2:$D$41,"No hay datos")</f>
        <v>Región Central</v>
      </c>
      <c r="J588" s="2" t="str">
        <f t="array" ref="J588:N588">_xlfn.XLOOKUP(A588,Productos!$A$2:$A$61,Productos!$B$2:$F$61)</f>
        <v>Bermuda</v>
      </c>
      <c r="K588" s="2" t="s">
        <v>9</v>
      </c>
      <c r="L588" s="2" t="s">
        <v>10</v>
      </c>
      <c r="M588" s="2" t="s">
        <v>11</v>
      </c>
      <c r="N588" s="2" t="s">
        <v>12</v>
      </c>
    </row>
    <row r="589">
      <c r="A589" s="2" t="str">
        <f>IFERROR(__xludf.DUMMYFUNCTION("""COMPUTED_VALUE"""),"PR049")</f>
        <v>PR049</v>
      </c>
      <c r="B589" s="2" t="str">
        <f>IFERROR(__xludf.DUMMYFUNCTION("""COMPUTED_VALUE"""),"VD015")</f>
        <v>VD015</v>
      </c>
      <c r="C589" s="2">
        <f>IFERROR(__xludf.DUMMYFUNCTION("""COMPUTED_VALUE"""),16.0)</f>
        <v>16</v>
      </c>
      <c r="D589" s="6">
        <f>IFERROR(__xludf.DUMMYFUNCTION("""COMPUTED_VALUE"""),573.78)</f>
        <v>573.78</v>
      </c>
      <c r="E589" s="6">
        <f>IFERROR(__xludf.DUMMYFUNCTION("GOOGLEFINANCE(""Currency:BRLMXN"")*D589"),1949.41755)</f>
        <v>1949.41755</v>
      </c>
      <c r="F589" s="6">
        <f>IFERROR(__xludf.DUMMYFUNCTION("GOOGLEFINANCE(""Currency:BRLPEN"")*D589"),376.17016799999993)</f>
        <v>376.170168</v>
      </c>
      <c r="G589" s="2" t="str">
        <f t="array" ref="G589">_xlfn.XLOOKUP(B589,Vendedores!$A$2:$A$41,Vendedores!$B$2:$B$41,"No hay datos")</f>
        <v>Lucas Castillo</v>
      </c>
      <c r="H589" s="2" t="str">
        <f t="array" ref="H589">_xlfn.XLOOKUP(B589,Vendedores!$A$2:$A$41,Vendedores!$C$2:$C$41,"No hay datos")</f>
        <v>San Miguel de los Pinos</v>
      </c>
      <c r="I589" s="2" t="str">
        <f t="array" ref="I589">_xlfn.XLOOKUP(B589,Vendedores!$A$2:$A$41,Vendedores!$D$2:$D$41,"No hay datos")</f>
        <v>Región Sur</v>
      </c>
      <c r="J589" s="2" t="str">
        <f t="array" ref="J589:N589">_xlfn.XLOOKUP(A589,Productos!$A$2:$A$61,Productos!$B$2:$F$61)</f>
        <v>Playera a rayas</v>
      </c>
      <c r="K589" s="2" t="s">
        <v>9</v>
      </c>
      <c r="L589" s="2" t="s">
        <v>10</v>
      </c>
      <c r="M589" s="2" t="s">
        <v>47</v>
      </c>
      <c r="N589" s="2" t="s">
        <v>24</v>
      </c>
    </row>
    <row r="590">
      <c r="A590" s="2" t="str">
        <f>IFERROR(__xludf.DUMMYFUNCTION("""COMPUTED_VALUE"""),"PR013")</f>
        <v>PR013</v>
      </c>
      <c r="B590" s="2" t="str">
        <f>IFERROR(__xludf.DUMMYFUNCTION("""COMPUTED_VALUE"""),"VD020")</f>
        <v>VD020</v>
      </c>
      <c r="C590" s="2">
        <f>IFERROR(__xludf.DUMMYFUNCTION("""COMPUTED_VALUE"""),6.0)</f>
        <v>6</v>
      </c>
      <c r="D590" s="6">
        <f>IFERROR(__xludf.DUMMYFUNCTION("""COMPUTED_VALUE"""),248.98)</f>
        <v>248.98</v>
      </c>
      <c r="E590" s="6">
        <f>IFERROR(__xludf.DUMMYFUNCTION("GOOGLEFINANCE(""Currency:BRLMXN"")*D590"),845.90955)</f>
        <v>845.90955</v>
      </c>
      <c r="F590" s="6">
        <f>IFERROR(__xludf.DUMMYFUNCTION("GOOGLEFINANCE(""Currency:BRLPEN"")*D590"),163.23128799999998)</f>
        <v>163.231288</v>
      </c>
      <c r="G590" s="2" t="str">
        <f t="array" ref="G590">_xlfn.XLOOKUP(B590,Vendedores!$A$2:$A$41,Vendedores!$B$2:$B$41,"No hay datos")</f>
        <v>Gustavo Morales</v>
      </c>
      <c r="H590" s="2" t="str">
        <f t="array" ref="H590">_xlfn.XLOOKUP(B590,Vendedores!$A$2:$A$41,Vendedores!$C$2:$C$41,"No hay datos")</f>
        <v>Villa del Sol</v>
      </c>
      <c r="I590" s="2" t="str">
        <f t="array" ref="I590">_xlfn.XLOOKUP(B590,Vendedores!$A$2:$A$41,Vendedores!$D$2:$D$41,"No hay datos")</f>
        <v>Región Central 2</v>
      </c>
      <c r="J590" s="2" t="str">
        <f t="array" ref="J590:N590">_xlfn.XLOOKUP(A590,Productos!$A$2:$A$61,Productos!$B$2:$F$61)</f>
        <v>Playera estampada</v>
      </c>
      <c r="K590" s="2" t="s">
        <v>9</v>
      </c>
      <c r="L590" s="2" t="s">
        <v>10</v>
      </c>
      <c r="M590" s="2" t="s">
        <v>66</v>
      </c>
      <c r="N590" s="2" t="s">
        <v>38</v>
      </c>
    </row>
    <row r="591">
      <c r="A591" s="2" t="str">
        <f>IFERROR(__xludf.DUMMYFUNCTION("""COMPUTED_VALUE"""),"PR003")</f>
        <v>PR003</v>
      </c>
      <c r="B591" s="2" t="str">
        <f>IFERROR(__xludf.DUMMYFUNCTION("""COMPUTED_VALUE"""),"VD031")</f>
        <v>VD031</v>
      </c>
      <c r="C591" s="2">
        <f>IFERROR(__xludf.DUMMYFUNCTION("""COMPUTED_VALUE"""),9.0)</f>
        <v>9</v>
      </c>
      <c r="D591" s="6">
        <f>IFERROR(__xludf.DUMMYFUNCTION("""COMPUTED_VALUE"""),657.24)</f>
        <v>657.24</v>
      </c>
      <c r="E591" s="6">
        <f>IFERROR(__xludf.DUMMYFUNCTION("GOOGLEFINANCE(""Currency:BRLMXN"")*D591"),2232.9729)</f>
        <v>2232.9729</v>
      </c>
      <c r="F591" s="6">
        <f>IFERROR(__xludf.DUMMYFUNCTION("GOOGLEFINANCE(""Currency:BRLPEN"")*D591"),430.88654399999996)</f>
        <v>430.886544</v>
      </c>
      <c r="G591" s="2" t="str">
        <f t="array" ref="G591">_xlfn.XLOOKUP(B591,Vendedores!$A$2:$A$41,Vendedores!$B$2:$B$41,"No hay datos")</f>
        <v>Vanessa Martínez</v>
      </c>
      <c r="H591" s="2" t="str">
        <f t="array" ref="H591">_xlfn.XLOOKUP(B591,Vendedores!$A$2:$A$41,Vendedores!$C$2:$C$41,"No hay datos")</f>
        <v>Monte Verde</v>
      </c>
      <c r="I591" s="2" t="str">
        <f t="array" ref="I591">_xlfn.XLOOKUP(B591,Vendedores!$A$2:$A$41,Vendedores!$D$2:$D$41,"No hay datos")</f>
        <v>Región Central 2</v>
      </c>
      <c r="J591" s="2" t="str">
        <f t="array" ref="J591:N591">_xlfn.XLOOKUP(A591,Productos!$A$2:$A$61,Productos!$B$2:$F$61)</f>
        <v>Bermuda</v>
      </c>
      <c r="K591" s="2" t="s">
        <v>22</v>
      </c>
      <c r="L591" s="2" t="s">
        <v>10</v>
      </c>
      <c r="M591" s="2" t="s">
        <v>45</v>
      </c>
      <c r="N591" s="2" t="s">
        <v>46</v>
      </c>
    </row>
    <row r="592">
      <c r="A592" s="2" t="str">
        <f>IFERROR(__xludf.DUMMYFUNCTION("""COMPUTED_VALUE"""),"PR057")</f>
        <v>PR057</v>
      </c>
      <c r="B592" s="2" t="str">
        <f>IFERROR(__xludf.DUMMYFUNCTION("""COMPUTED_VALUE"""),"VD045")</f>
        <v>VD045</v>
      </c>
      <c r="C592" s="2">
        <f>IFERROR(__xludf.DUMMYFUNCTION("""COMPUTED_VALUE"""),7.0)</f>
        <v>7</v>
      </c>
      <c r="D592" s="6">
        <f>IFERROR(__xludf.DUMMYFUNCTION("""COMPUTED_VALUE"""),679.64)</f>
        <v>679.64</v>
      </c>
      <c r="E592" s="6">
        <f>IFERROR(__xludf.DUMMYFUNCTION("GOOGLEFINANCE(""Currency:BRLMXN"")*D592"),2309.0769)</f>
        <v>2309.0769</v>
      </c>
      <c r="F592" s="6">
        <f>IFERROR(__xludf.DUMMYFUNCTION("GOOGLEFINANCE(""Currency:BRLPEN"")*D592"),445.571984)</f>
        <v>445.571984</v>
      </c>
      <c r="G592" s="2" t="str">
        <f t="array" ref="G592">_xlfn.XLOOKUP(B592,Vendedores!$A$2:$A$41,Vendedores!$B$2:$B$41,"No hay datos")</f>
        <v>Rafael Morales</v>
      </c>
      <c r="H592" s="2" t="str">
        <f t="array" ref="H592">_xlfn.XLOOKUP(B592,Vendedores!$A$2:$A$41,Vendedores!$C$2:$C$41,"No hay datos")</f>
        <v>Valle Dorado</v>
      </c>
      <c r="I592" s="2" t="str">
        <f t="array" ref="I592">_xlfn.XLOOKUP(B592,Vendedores!$A$2:$A$41,Vendedores!$D$2:$D$41,"No hay datos")</f>
        <v>Región Central 2</v>
      </c>
      <c r="J592" s="2" t="str">
        <f t="array" ref="J592:N592">_xlfn.XLOOKUP(A592,Productos!$A$2:$A$61,Productos!$B$2:$F$61)</f>
        <v>Sandalia plana</v>
      </c>
      <c r="K592" s="2">
        <v>37.0</v>
      </c>
      <c r="L592" s="2" t="s">
        <v>33</v>
      </c>
      <c r="M592" s="2" t="s">
        <v>58</v>
      </c>
      <c r="N592" s="2" t="s">
        <v>35</v>
      </c>
    </row>
    <row r="593">
      <c r="A593" s="2" t="str">
        <f>IFERROR(__xludf.DUMMYFUNCTION("""COMPUTED_VALUE"""),"PR025")</f>
        <v>PR025</v>
      </c>
      <c r="B593" s="2" t="str">
        <f>IFERROR(__xludf.DUMMYFUNCTION("""COMPUTED_VALUE"""),"VD035")</f>
        <v>VD035</v>
      </c>
      <c r="C593" s="2">
        <f>IFERROR(__xludf.DUMMYFUNCTION("""COMPUTED_VALUE"""),1.0)</f>
        <v>1</v>
      </c>
      <c r="D593" s="6">
        <f>IFERROR(__xludf.DUMMYFUNCTION("""COMPUTED_VALUE"""),305.9)</f>
        <v>305.9</v>
      </c>
      <c r="E593" s="6">
        <f>IFERROR(__xludf.DUMMYFUNCTION("GOOGLEFINANCE(""Currency:BRLMXN"")*D593"),1039.29525)</f>
        <v>1039.29525</v>
      </c>
      <c r="F593" s="6">
        <f>IFERROR(__xludf.DUMMYFUNCTION("GOOGLEFINANCE(""Currency:BRLPEN"")*D593"),200.54804)</f>
        <v>200.54804</v>
      </c>
      <c r="G593" s="2" t="str">
        <f t="array" ref="G593">_xlfn.XLOOKUP(B593,Vendedores!$A$2:$A$41,Vendedores!$B$2:$B$41,"No hay datos")</f>
        <v>Carolina Méndez</v>
      </c>
      <c r="H593" s="2" t="str">
        <f t="array" ref="H593">_xlfn.XLOOKUP(B593,Vendedores!$A$2:$A$41,Vendedores!$C$2:$C$41,"No hay datos")</f>
        <v>Valle de los Robles</v>
      </c>
      <c r="I593" s="2" t="str">
        <f t="array" ref="I593">_xlfn.XLOOKUP(B593,Vendedores!$A$2:$A$41,Vendedores!$D$2:$D$41,"No hay datos")</f>
        <v>Región Central 2</v>
      </c>
      <c r="J593" s="2" t="str">
        <f t="array" ref="J593:N593">_xlfn.XLOOKUP(A593,Productos!$A$2:$A$61,Productos!$B$2:$F$61)</f>
        <v>Chaqueta de mezclilla</v>
      </c>
      <c r="K593" s="2" t="s">
        <v>22</v>
      </c>
      <c r="L593" s="2" t="s">
        <v>10</v>
      </c>
      <c r="M593" s="2" t="s">
        <v>107</v>
      </c>
      <c r="N593" s="2" t="s">
        <v>16</v>
      </c>
    </row>
    <row r="594">
      <c r="A594" s="2" t="str">
        <f>IFERROR(__xludf.DUMMYFUNCTION("""COMPUTED_VALUE"""),"PR047")</f>
        <v>PR047</v>
      </c>
      <c r="B594" s="2" t="str">
        <f>IFERROR(__xludf.DUMMYFUNCTION("""COMPUTED_VALUE"""),"VD023")</f>
        <v>VD023</v>
      </c>
      <c r="C594" s="2">
        <f>IFERROR(__xludf.DUMMYFUNCTION("""COMPUTED_VALUE"""),20.0)</f>
        <v>20</v>
      </c>
      <c r="D594" s="6">
        <f>IFERROR(__xludf.DUMMYFUNCTION("""COMPUTED_VALUE"""),6029.92)</f>
        <v>6029.92</v>
      </c>
      <c r="E594" s="6">
        <f>IFERROR(__xludf.DUMMYFUNCTION("GOOGLEFINANCE(""Currency:BRLMXN"")*D594"),20486.6532)</f>
        <v>20486.6532</v>
      </c>
      <c r="F594" s="6">
        <f>IFERROR(__xludf.DUMMYFUNCTION("GOOGLEFINANCE(""Currency:BRLPEN"")*D594"),3953.2155519999997)</f>
        <v>3953.215552</v>
      </c>
      <c r="G594" s="2" t="str">
        <f t="array" ref="G594">_xlfn.XLOOKUP(B594,Vendedores!$A$2:$A$41,Vendedores!$B$2:$B$41,"No hay datos")</f>
        <v>Juliana Castro</v>
      </c>
      <c r="H594" s="2" t="str">
        <f t="array" ref="H594">_xlfn.XLOOKUP(B594,Vendedores!$A$2:$A$41,Vendedores!$C$2:$C$41,"No hay datos")</f>
        <v>San Miguel de los Pinos</v>
      </c>
      <c r="I594" s="2" t="str">
        <f t="array" ref="I594">_xlfn.XLOOKUP(B594,Vendedores!$A$2:$A$41,Vendedores!$D$2:$D$41,"No hay datos")</f>
        <v>Región Sur</v>
      </c>
      <c r="J594" s="2" t="str">
        <f t="array" ref="J594:N594">_xlfn.XLOOKUP(A594,Productos!$A$2:$A$61,Productos!$B$2:$F$61)</f>
        <v>Chaqueta de cuero</v>
      </c>
      <c r="K594" s="2" t="s">
        <v>17</v>
      </c>
      <c r="L594" s="2" t="s">
        <v>10</v>
      </c>
      <c r="M594" s="2" t="s">
        <v>43</v>
      </c>
      <c r="N594" s="2" t="s">
        <v>44</v>
      </c>
    </row>
    <row r="595">
      <c r="A595" s="2" t="str">
        <f>IFERROR(__xludf.DUMMYFUNCTION("""COMPUTED_VALUE"""),"PR060")</f>
        <v>PR060</v>
      </c>
      <c r="B595" s="2" t="str">
        <f>IFERROR(__xludf.DUMMYFUNCTION("""COMPUTED_VALUE"""),"VD030")</f>
        <v>VD030</v>
      </c>
      <c r="C595" s="2">
        <f>IFERROR(__xludf.DUMMYFUNCTION("""COMPUTED_VALUE"""),18.0)</f>
        <v>18</v>
      </c>
      <c r="D595" s="6">
        <f>IFERROR(__xludf.DUMMYFUNCTION("""COMPUTED_VALUE"""),3402.0)</f>
        <v>3402</v>
      </c>
      <c r="E595" s="6">
        <f>IFERROR(__xludf.DUMMYFUNCTION("GOOGLEFINANCE(""Currency:BRLMXN"")*D595"),11558.295)</f>
        <v>11558.295</v>
      </c>
      <c r="F595" s="6">
        <f>IFERROR(__xludf.DUMMYFUNCTION("GOOGLEFINANCE(""Currency:BRLPEN"")*D595"),2230.3512)</f>
        <v>2230.3512</v>
      </c>
      <c r="G595" s="2" t="str">
        <f t="array" ref="G595">_xlfn.XLOOKUP(B595,Vendedores!$A$2:$A$41,Vendedores!$B$2:$B$41,"No hay datos")</f>
        <v>Leonardo Rojas</v>
      </c>
      <c r="H595" s="2" t="str">
        <f t="array" ref="H595">_xlfn.XLOOKUP(B595,Vendedores!$A$2:$A$41,Vendedores!$C$2:$C$41,"No hay datos")</f>
        <v>Villa del Sol</v>
      </c>
      <c r="I595" s="2" t="str">
        <f t="array" ref="I595">_xlfn.XLOOKUP(B595,Vendedores!$A$2:$A$41,Vendedores!$D$2:$D$41,"No hay datos")</f>
        <v>Región Central 2</v>
      </c>
      <c r="J595" s="2" t="str">
        <f t="array" ref="J595:N595">_xlfn.XLOOKUP(A595,Productos!$A$2:$A$61,Productos!$B$2:$F$61)</f>
        <v>Pantalón de sastre</v>
      </c>
      <c r="K595" s="2" t="s">
        <v>22</v>
      </c>
      <c r="L595" s="2" t="s">
        <v>10</v>
      </c>
      <c r="M595" s="2" t="s">
        <v>75</v>
      </c>
      <c r="N595" s="2" t="s">
        <v>14</v>
      </c>
    </row>
    <row r="596">
      <c r="A596" s="2" t="str">
        <f>IFERROR(__xludf.DUMMYFUNCTION("""COMPUTED_VALUE"""),"PR017")</f>
        <v>PR017</v>
      </c>
      <c r="B596" s="2" t="str">
        <f>IFERROR(__xludf.DUMMYFUNCTION("""COMPUTED_VALUE"""),"VD049")</f>
        <v>VD049</v>
      </c>
      <c r="C596" s="2">
        <f>IFERROR(__xludf.DUMMYFUNCTION("""COMPUTED_VALUE"""),18.0)</f>
        <v>18</v>
      </c>
      <c r="D596" s="6">
        <f>IFERROR(__xludf.DUMMYFUNCTION("""COMPUTED_VALUE"""),581.26)</f>
        <v>581.26</v>
      </c>
      <c r="E596" s="6">
        <f>IFERROR(__xludf.DUMMYFUNCTION("GOOGLEFINANCE(""Currency:BRLMXN"")*D596"),1974.83085)</f>
        <v>1974.83085</v>
      </c>
      <c r="F596" s="6">
        <f>IFERROR(__xludf.DUMMYFUNCTION("GOOGLEFINANCE(""Currency:BRLPEN"")*D596"),381.074056)</f>
        <v>381.074056</v>
      </c>
      <c r="G596" s="2" t="str">
        <f t="array" ref="G596">_xlfn.XLOOKUP(B596,Vendedores!$A$2:$A$41,Vendedores!$B$2:$B$41,"No hay datos")</f>
        <v>Fernando Navarro</v>
      </c>
      <c r="H596" s="2" t="str">
        <f t="array" ref="H596">_xlfn.XLOOKUP(B596,Vendedores!$A$2:$A$41,Vendedores!$C$2:$C$41,"No hay datos")</f>
        <v>Colinas Verdes</v>
      </c>
      <c r="I596" s="2" t="str">
        <f t="array" ref="I596">_xlfn.XLOOKUP(B596,Vendedores!$A$2:$A$41,Vendedores!$D$2:$D$41,"No hay datos")</f>
        <v>Región Central 2</v>
      </c>
      <c r="J596" s="2" t="str">
        <f t="array" ref="J596:N596">_xlfn.XLOOKUP(A596,Productos!$A$2:$A$61,Productos!$B$2:$F$61)</f>
        <v>Playera lisa</v>
      </c>
      <c r="K596" s="2" t="s">
        <v>17</v>
      </c>
      <c r="L596" s="2" t="s">
        <v>10</v>
      </c>
      <c r="M596" s="2" t="s">
        <v>98</v>
      </c>
      <c r="N596" s="2" t="s">
        <v>99</v>
      </c>
    </row>
    <row r="597">
      <c r="A597" s="2" t="str">
        <f>IFERROR(__xludf.DUMMYFUNCTION("""COMPUTED_VALUE"""),"PR024")</f>
        <v>PR024</v>
      </c>
      <c r="B597" s="2" t="str">
        <f>IFERROR(__xludf.DUMMYFUNCTION("""COMPUTED_VALUE"""),"VD026")</f>
        <v>VD026</v>
      </c>
      <c r="C597" s="2">
        <f>IFERROR(__xludf.DUMMYFUNCTION("""COMPUTED_VALUE"""),10.0)</f>
        <v>10</v>
      </c>
      <c r="D597" s="6">
        <f>IFERROR(__xludf.DUMMYFUNCTION("""COMPUTED_VALUE"""),2806.92)</f>
        <v>2806.92</v>
      </c>
      <c r="E597" s="6">
        <f>IFERROR(__xludf.DUMMYFUNCTION("GOOGLEFINANCE(""Currency:BRLMXN"")*D597"),9536.5107)</f>
        <v>9536.5107</v>
      </c>
      <c r="F597" s="6">
        <f>IFERROR(__xludf.DUMMYFUNCTION("GOOGLEFINANCE(""Currency:BRLPEN"")*D597"),1840.216752)</f>
        <v>1840.216752</v>
      </c>
      <c r="G597" s="2" t="str">
        <f t="array" ref="G597">_xlfn.XLOOKUP(B597,Vendedores!$A$2:$A$41,Vendedores!$B$2:$B$41,"No hay datos")</f>
        <v>Daniel Fernández</v>
      </c>
      <c r="H597" s="2" t="str">
        <f t="array" ref="H597">_xlfn.XLOOKUP(B597,Vendedores!$A$2:$A$41,Vendedores!$C$2:$C$41,"No hay datos")</f>
        <v>Puerto Esperanza</v>
      </c>
      <c r="I597" s="2" t="str">
        <f t="array" ref="I597">_xlfn.XLOOKUP(B597,Vendedores!$A$2:$A$41,Vendedores!$D$2:$D$41,"No hay datos")</f>
        <v>Región Sur</v>
      </c>
      <c r="J597" s="2" t="str">
        <f t="array" ref="J597:N597">_xlfn.XLOOKUP(A597,Productos!$A$2:$A$61,Productos!$B$2:$F$61)</f>
        <v>Chaqueta de mezclilla</v>
      </c>
      <c r="K597" s="2" t="s">
        <v>17</v>
      </c>
      <c r="L597" s="2" t="s">
        <v>10</v>
      </c>
      <c r="M597" s="2" t="s">
        <v>92</v>
      </c>
      <c r="N597" s="2" t="s">
        <v>64</v>
      </c>
    </row>
    <row r="598">
      <c r="A598" s="2" t="str">
        <f>IFERROR(__xludf.DUMMYFUNCTION("""COMPUTED_VALUE"""),"PR013")</f>
        <v>PR013</v>
      </c>
      <c r="B598" s="2" t="str">
        <f>IFERROR(__xludf.DUMMYFUNCTION("""COMPUTED_VALUE"""),"VD013")</f>
        <v>VD013</v>
      </c>
      <c r="C598" s="2">
        <f>IFERROR(__xludf.DUMMYFUNCTION("""COMPUTED_VALUE"""),16.0)</f>
        <v>16</v>
      </c>
      <c r="D598" s="6">
        <f>IFERROR(__xludf.DUMMYFUNCTION("""COMPUTED_VALUE"""),702.24)</f>
        <v>702.24</v>
      </c>
      <c r="E598" s="6">
        <f>IFERROR(__xludf.DUMMYFUNCTION("GOOGLEFINANCE(""Currency:BRLMXN"")*D598"),2385.8604)</f>
        <v>2385.8604</v>
      </c>
      <c r="F598" s="6">
        <f>IFERROR(__xludf.DUMMYFUNCTION("GOOGLEFINANCE(""Currency:BRLPEN"")*D598"),460.38854399999997)</f>
        <v>460.388544</v>
      </c>
      <c r="G598" s="2" t="str">
        <f t="array" ref="G598">_xlfn.XLOOKUP(B598,Vendedores!$A$2:$A$41,Vendedores!$B$2:$B$41,"No hay datos")</f>
        <v>Pedro Almonte</v>
      </c>
      <c r="H598" s="2" t="str">
        <f t="array" ref="H598">_xlfn.XLOOKUP(B598,Vendedores!$A$2:$A$41,Vendedores!$C$2:$C$41,"No hay datos")</f>
        <v>Santa Rosa del Valle</v>
      </c>
      <c r="I598" s="2" t="str">
        <f t="array" ref="I598">_xlfn.XLOOKUP(B598,Vendedores!$A$2:$A$41,Vendedores!$D$2:$D$41,"No hay datos")</f>
        <v>Región Norte</v>
      </c>
      <c r="J598" s="2" t="str">
        <f t="array" ref="J598:N598">_xlfn.XLOOKUP(A598,Productos!$A$2:$A$61,Productos!$B$2:$F$61)</f>
        <v>Playera estampada</v>
      </c>
      <c r="K598" s="2" t="s">
        <v>9</v>
      </c>
      <c r="L598" s="2" t="s">
        <v>10</v>
      </c>
      <c r="M598" s="2" t="s">
        <v>66</v>
      </c>
      <c r="N598" s="2" t="s">
        <v>38</v>
      </c>
    </row>
    <row r="599">
      <c r="A599" s="2" t="str">
        <f>IFERROR(__xludf.DUMMYFUNCTION("""COMPUTED_VALUE"""),"PR057")</f>
        <v>PR057</v>
      </c>
      <c r="B599" s="2" t="str">
        <f>IFERROR(__xludf.DUMMYFUNCTION("""COMPUTED_VALUE"""),"VD027")</f>
        <v>VD027</v>
      </c>
      <c r="C599" s="2">
        <f>IFERROR(__xludf.DUMMYFUNCTION("""COMPUTED_VALUE"""),18.0)</f>
        <v>18</v>
      </c>
      <c r="D599" s="6">
        <f>IFERROR(__xludf.DUMMYFUNCTION("""COMPUTED_VALUE"""),1666.75)</f>
        <v>1666.75</v>
      </c>
      <c r="E599" s="6">
        <f>IFERROR(__xludf.DUMMYFUNCTION("GOOGLEFINANCE(""Currency:BRLMXN"")*D599"),5662.783125)</f>
        <v>5662.783125</v>
      </c>
      <c r="F599" s="6">
        <f>IFERROR(__xludf.DUMMYFUNCTION("GOOGLEFINANCE(""Currency:BRLPEN"")*D599"),1092.7213)</f>
        <v>1092.7213</v>
      </c>
      <c r="G599" s="2" t="str">
        <f t="array" ref="G599">_xlfn.XLOOKUP(B599,Vendedores!$A$2:$A$41,Vendedores!$B$2:$B$41,"No hay datos")</f>
        <v>Patricia Cortés</v>
      </c>
      <c r="H599" s="2" t="str">
        <f t="array" ref="H599">_xlfn.XLOOKUP(B599,Vendedores!$A$2:$A$41,Vendedores!$C$2:$C$41,"No hay datos")</f>
        <v>Costa Azul</v>
      </c>
      <c r="I599" s="2" t="str">
        <f t="array" ref="I599">_xlfn.XLOOKUP(B599,Vendedores!$A$2:$A$41,Vendedores!$D$2:$D$41,"No hay datos")</f>
        <v>Región Norte</v>
      </c>
      <c r="J599" s="2" t="str">
        <f t="array" ref="J599:N599">_xlfn.XLOOKUP(A599,Productos!$A$2:$A$61,Productos!$B$2:$F$61)</f>
        <v>Sandalia plana</v>
      </c>
      <c r="K599" s="2">
        <v>37.0</v>
      </c>
      <c r="L599" s="2" t="s">
        <v>33</v>
      </c>
      <c r="M599" s="2" t="s">
        <v>58</v>
      </c>
      <c r="N599" s="2" t="s">
        <v>35</v>
      </c>
    </row>
    <row r="600">
      <c r="A600" s="2" t="str">
        <f>IFERROR(__xludf.DUMMYFUNCTION("""COMPUTED_VALUE"""),"PR057")</f>
        <v>PR057</v>
      </c>
      <c r="B600" s="2" t="str">
        <f>IFERROR(__xludf.DUMMYFUNCTION("""COMPUTED_VALUE"""),"VD038")</f>
        <v>VD038</v>
      </c>
      <c r="C600" s="2">
        <f>IFERROR(__xludf.DUMMYFUNCTION("""COMPUTED_VALUE"""),8.0)</f>
        <v>8</v>
      </c>
      <c r="D600" s="6">
        <f>IFERROR(__xludf.DUMMYFUNCTION("""COMPUTED_VALUE"""),733.58)</f>
        <v>733.58</v>
      </c>
      <c r="E600" s="6">
        <f>IFERROR(__xludf.DUMMYFUNCTION("GOOGLEFINANCE(""Currency:BRLMXN"")*D600"),2492.3380500000003)</f>
        <v>2492.33805</v>
      </c>
      <c r="F600" s="6">
        <f>IFERROR(__xludf.DUMMYFUNCTION("GOOGLEFINANCE(""Currency:BRLPEN"")*D600"),480.935048)</f>
        <v>480.935048</v>
      </c>
      <c r="G600" s="2" t="str">
        <f t="array" ref="G600">_xlfn.XLOOKUP(B600,Vendedores!$A$2:$A$41,Vendedores!$B$2:$B$41,"No hay datos")</f>
        <v>Bruno Olmedo</v>
      </c>
      <c r="H600" s="2" t="str">
        <f t="array" ref="H600">_xlfn.XLOOKUP(B600,Vendedores!$A$2:$A$41,Vendedores!$C$2:$C$41,"No hay datos")</f>
        <v>Tierra Fertil</v>
      </c>
      <c r="I600" s="2" t="str">
        <f t="array" ref="I600">_xlfn.XLOOKUP(B600,Vendedores!$A$2:$A$41,Vendedores!$D$2:$D$41,"No hay datos")</f>
        <v>Región Sur 2</v>
      </c>
      <c r="J600" s="2" t="str">
        <f t="array" ref="J600:N600">_xlfn.XLOOKUP(A600,Productos!$A$2:$A$61,Productos!$B$2:$F$61)</f>
        <v>Sandalia plana</v>
      </c>
      <c r="K600" s="2">
        <v>37.0</v>
      </c>
      <c r="L600" s="2" t="s">
        <v>33</v>
      </c>
      <c r="M600" s="2" t="s">
        <v>58</v>
      </c>
      <c r="N600" s="2" t="s">
        <v>35</v>
      </c>
    </row>
    <row r="601">
      <c r="A601" s="2" t="str">
        <f>IFERROR(__xludf.DUMMYFUNCTION("""COMPUTED_VALUE"""),"PR020")</f>
        <v>PR020</v>
      </c>
      <c r="B601" s="2" t="str">
        <f>IFERROR(__xludf.DUMMYFUNCTION("""COMPUTED_VALUE"""),"VD021")</f>
        <v>VD021</v>
      </c>
      <c r="C601" s="2">
        <f>IFERROR(__xludf.DUMMYFUNCTION("""COMPUTED_VALUE"""),2.0)</f>
        <v>2</v>
      </c>
      <c r="D601" s="6">
        <f>IFERROR(__xludf.DUMMYFUNCTION("""COMPUTED_VALUE"""),617.79)</f>
        <v>617.79</v>
      </c>
      <c r="E601" s="6">
        <f>IFERROR(__xludf.DUMMYFUNCTION("GOOGLEFINANCE(""Currency:BRLMXN"")*D601"),2098.9415249999997)</f>
        <v>2098.941525</v>
      </c>
      <c r="F601" s="6">
        <f>IFERROR(__xludf.DUMMYFUNCTION("GOOGLEFINANCE(""Currency:BRLPEN"")*D601"),405.02312399999994)</f>
        <v>405.023124</v>
      </c>
      <c r="G601" s="2" t="str">
        <f t="array" ref="G601">_xlfn.XLOOKUP(B601,Vendedores!$A$2:$A$41,Vendedores!$B$2:$B$41,"No hay datos")</f>
        <v>Fernanda Méndez</v>
      </c>
      <c r="H601" s="2" t="str">
        <f t="array" ref="H601">_xlfn.XLOOKUP(B601,Vendedores!$A$2:$A$41,Vendedores!$C$2:$C$41,"No hay datos")</f>
        <v>San Juan de la Sierra</v>
      </c>
      <c r="I601" s="2" t="str">
        <f t="array" ref="I601">_xlfn.XLOOKUP(B601,Vendedores!$A$2:$A$41,Vendedores!$D$2:$D$41,"No hay datos")</f>
        <v>Región Central</v>
      </c>
      <c r="J601" s="2" t="str">
        <f t="array" ref="J601:N601">_xlfn.XLOOKUP(A601,Productos!$A$2:$A$61,Productos!$B$2:$F$61)</f>
        <v>Chaqueta de cuero</v>
      </c>
      <c r="K601" s="2" t="s">
        <v>9</v>
      </c>
      <c r="L601" s="2" t="s">
        <v>10</v>
      </c>
      <c r="M601" s="2" t="s">
        <v>15</v>
      </c>
      <c r="N601" s="2" t="s">
        <v>16</v>
      </c>
    </row>
    <row r="602">
      <c r="A602" s="2" t="str">
        <f>IFERROR(__xludf.DUMMYFUNCTION("""COMPUTED_VALUE"""),"PR007")</f>
        <v>PR007</v>
      </c>
      <c r="B602" s="2" t="str">
        <f>IFERROR(__xludf.DUMMYFUNCTION("""COMPUTED_VALUE"""),"VD033")</f>
        <v>VD033</v>
      </c>
      <c r="C602" s="2">
        <f>IFERROR(__xludf.DUMMYFUNCTION("""COMPUTED_VALUE"""),8.0)</f>
        <v>8</v>
      </c>
      <c r="D602" s="6">
        <f>IFERROR(__xludf.DUMMYFUNCTION("""COMPUTED_VALUE"""),749.05)</f>
        <v>749.05</v>
      </c>
      <c r="E602" s="6">
        <f>IFERROR(__xludf.DUMMYFUNCTION("GOOGLEFINANCE(""Currency:BRLMXN"")*D602"),2544.897375)</f>
        <v>2544.897375</v>
      </c>
      <c r="F602" s="6">
        <f>IFERROR(__xludf.DUMMYFUNCTION("GOOGLEFINANCE(""Currency:BRLPEN"")*D602"),491.07717999999994)</f>
        <v>491.07718</v>
      </c>
      <c r="G602" s="2" t="str">
        <f t="array" ref="G602">_xlfn.XLOOKUP(B602,Vendedores!$A$2:$A$41,Vendedores!$B$2:$B$41,"No hay datos")</f>
        <v>Renata Flores</v>
      </c>
      <c r="H602" s="2" t="str">
        <f t="array" ref="H602">_xlfn.XLOOKUP(B602,Vendedores!$A$2:$A$41,Vendedores!$C$2:$C$41,"No hay datos")</f>
        <v>Altos del Sur</v>
      </c>
      <c r="I602" s="2" t="str">
        <f t="array" ref="I602">_xlfn.XLOOKUP(B602,Vendedores!$A$2:$A$41,Vendedores!$D$2:$D$41,"No hay datos")</f>
        <v>Región Central 2</v>
      </c>
      <c r="J602" s="2" t="str">
        <f t="array" ref="J602:N602">_xlfn.XLOOKUP(A602,Productos!$A$2:$A$61,Productos!$B$2:$F$61)</f>
        <v>Pantalón de mezclilla</v>
      </c>
      <c r="K602" s="2" t="s">
        <v>9</v>
      </c>
      <c r="L602" s="2" t="s">
        <v>10</v>
      </c>
      <c r="M602" s="2" t="s">
        <v>103</v>
      </c>
      <c r="N602" s="2" t="s">
        <v>104</v>
      </c>
    </row>
    <row r="603">
      <c r="A603" s="2" t="str">
        <f>IFERROR(__xludf.DUMMYFUNCTION("""COMPUTED_VALUE"""),"PR040")</f>
        <v>PR040</v>
      </c>
      <c r="B603" s="2" t="str">
        <f>IFERROR(__xludf.DUMMYFUNCTION("""COMPUTED_VALUE"""),"VD023")</f>
        <v>VD023</v>
      </c>
      <c r="C603" s="2">
        <f>IFERROR(__xludf.DUMMYFUNCTION("""COMPUTED_VALUE"""),4.0)</f>
        <v>4</v>
      </c>
      <c r="D603" s="6">
        <f>IFERROR(__xludf.DUMMYFUNCTION("""COMPUTED_VALUE"""),308.0)</f>
        <v>308</v>
      </c>
      <c r="E603" s="6">
        <f>IFERROR(__xludf.DUMMYFUNCTION("GOOGLEFINANCE(""Currency:BRLMXN"")*D603"),1046.43)</f>
        <v>1046.43</v>
      </c>
      <c r="F603" s="6">
        <f>IFERROR(__xludf.DUMMYFUNCTION("GOOGLEFINANCE(""Currency:BRLPEN"")*D603"),201.92479999999998)</f>
        <v>201.9248</v>
      </c>
      <c r="G603" s="2" t="str">
        <f t="array" ref="G603">_xlfn.XLOOKUP(B603,Vendedores!$A$2:$A$41,Vendedores!$B$2:$B$41,"No hay datos")</f>
        <v>Juliana Castro</v>
      </c>
      <c r="H603" s="2" t="str">
        <f t="array" ref="H603">_xlfn.XLOOKUP(B603,Vendedores!$A$2:$A$41,Vendedores!$C$2:$C$41,"No hay datos")</f>
        <v>San Miguel de los Pinos</v>
      </c>
      <c r="I603" s="2" t="str">
        <f t="array" ref="I603">_xlfn.XLOOKUP(B603,Vendedores!$A$2:$A$41,Vendedores!$D$2:$D$41,"No hay datos")</f>
        <v>Región Sur</v>
      </c>
      <c r="J603" s="2" t="str">
        <f t="array" ref="J603:N603">_xlfn.XLOOKUP(A603,Productos!$A$2:$A$61,Productos!$B$2:$F$61)</f>
        <v>Playera confort</v>
      </c>
      <c r="K603" s="2" t="s">
        <v>9</v>
      </c>
      <c r="L603" s="2" t="s">
        <v>10</v>
      </c>
      <c r="M603" s="2" t="s">
        <v>68</v>
      </c>
      <c r="N603" s="2" t="s">
        <v>70</v>
      </c>
    </row>
    <row r="604">
      <c r="A604" s="2" t="str">
        <f>IFERROR(__xludf.DUMMYFUNCTION("""COMPUTED_VALUE"""),"PR024")</f>
        <v>PR024</v>
      </c>
      <c r="B604" s="2" t="str">
        <f>IFERROR(__xludf.DUMMYFUNCTION("""COMPUTED_VALUE"""),"VD018")</f>
        <v>VD018</v>
      </c>
      <c r="C604" s="2">
        <f>IFERROR(__xludf.DUMMYFUNCTION("""COMPUTED_VALUE"""),2.0)</f>
        <v>2</v>
      </c>
      <c r="D604" s="6">
        <f>IFERROR(__xludf.DUMMYFUNCTION("""COMPUTED_VALUE"""),535.39)</f>
        <v>535.39</v>
      </c>
      <c r="E604" s="6">
        <f>IFERROR(__xludf.DUMMYFUNCTION("GOOGLEFINANCE(""Currency:BRLMXN"")*D604"),1818.987525)</f>
        <v>1818.987525</v>
      </c>
      <c r="F604" s="6">
        <f>IFERROR(__xludf.DUMMYFUNCTION("GOOGLEFINANCE(""Currency:BRLPEN"")*D604"),351.00168399999995)</f>
        <v>351.001684</v>
      </c>
      <c r="G604" s="2" t="str">
        <f t="array" ref="G604">_xlfn.XLOOKUP(B604,Vendedores!$A$2:$A$41,Vendedores!$B$2:$B$41,"No hay datos")</f>
        <v>Leticia Rodríguez</v>
      </c>
      <c r="H604" s="2" t="str">
        <f t="array" ref="H604">_xlfn.XLOOKUP(B604,Vendedores!$A$2:$A$41,Vendedores!$C$2:$C$41,"No hay datos")</f>
        <v>Playa Blanca</v>
      </c>
      <c r="I604" s="2" t="str">
        <f t="array" ref="I604">_xlfn.XLOOKUP(B604,Vendedores!$A$2:$A$41,Vendedores!$D$2:$D$41,"No hay datos")</f>
        <v>Región Norte</v>
      </c>
      <c r="J604" s="2" t="str">
        <f t="array" ref="J604:N604">_xlfn.XLOOKUP(A604,Productos!$A$2:$A$61,Productos!$B$2:$F$61)</f>
        <v>Chaqueta de mezclilla</v>
      </c>
      <c r="K604" s="2" t="s">
        <v>17</v>
      </c>
      <c r="L604" s="2" t="s">
        <v>10</v>
      </c>
      <c r="M604" s="2" t="s">
        <v>92</v>
      </c>
      <c r="N604" s="2" t="s">
        <v>64</v>
      </c>
    </row>
    <row r="605">
      <c r="A605" s="2" t="str">
        <f>IFERROR(__xludf.DUMMYFUNCTION("""COMPUTED_VALUE"""),"PR004")</f>
        <v>PR004</v>
      </c>
      <c r="B605" s="2" t="str">
        <f>IFERROR(__xludf.DUMMYFUNCTION("""COMPUTED_VALUE"""),"VD031")</f>
        <v>VD031</v>
      </c>
      <c r="C605" s="2">
        <f>IFERROR(__xludf.DUMMYFUNCTION("""COMPUTED_VALUE"""),4.0)</f>
        <v>4</v>
      </c>
      <c r="D605" s="6">
        <f>IFERROR(__xludf.DUMMYFUNCTION("""COMPUTED_VALUE"""),603.2)</f>
        <v>603.2</v>
      </c>
      <c r="E605" s="6">
        <f>IFERROR(__xludf.DUMMYFUNCTION("GOOGLEFINANCE(""Currency:BRLMXN"")*D605"),2049.3720000000003)</f>
        <v>2049.372</v>
      </c>
      <c r="F605" s="6">
        <f>IFERROR(__xludf.DUMMYFUNCTION("GOOGLEFINANCE(""Currency:BRLPEN"")*D605"),395.45792)</f>
        <v>395.45792</v>
      </c>
      <c r="G605" s="2" t="str">
        <f t="array" ref="G605">_xlfn.XLOOKUP(B605,Vendedores!$A$2:$A$41,Vendedores!$B$2:$B$41,"No hay datos")</f>
        <v>Vanessa Martínez</v>
      </c>
      <c r="H605" s="2" t="str">
        <f t="array" ref="H605">_xlfn.XLOOKUP(B605,Vendedores!$A$2:$A$41,Vendedores!$C$2:$C$41,"No hay datos")</f>
        <v>Monte Verde</v>
      </c>
      <c r="I605" s="2" t="str">
        <f t="array" ref="I605">_xlfn.XLOOKUP(B605,Vendedores!$A$2:$A$41,Vendedores!$D$2:$D$41,"No hay datos")</f>
        <v>Región Central 2</v>
      </c>
      <c r="J605" s="2" t="str">
        <f t="array" ref="J605:N605">_xlfn.XLOOKUP(A605,Productos!$A$2:$A$61,Productos!$B$2:$F$61)</f>
        <v>Bolso versátil</v>
      </c>
      <c r="K605" s="2" t="s">
        <v>29</v>
      </c>
      <c r="L605" s="2" t="s">
        <v>30</v>
      </c>
      <c r="M605" s="2" t="s">
        <v>59</v>
      </c>
      <c r="N605" s="2" t="s">
        <v>60</v>
      </c>
    </row>
    <row r="606">
      <c r="A606" s="2" t="str">
        <f>IFERROR(__xludf.DUMMYFUNCTION("""COMPUTED_VALUE"""),"PR016")</f>
        <v>PR016</v>
      </c>
      <c r="B606" s="2" t="str">
        <f>IFERROR(__xludf.DUMMYFUNCTION("""COMPUTED_VALUE"""),"VD010")</f>
        <v>VD010</v>
      </c>
      <c r="C606" s="2">
        <f>IFERROR(__xludf.DUMMYFUNCTION("""COMPUTED_VALUE"""),8.0)</f>
        <v>8</v>
      </c>
      <c r="D606" s="6">
        <f>IFERROR(__xludf.DUMMYFUNCTION("""COMPUTED_VALUE"""),221.7)</f>
        <v>221.7</v>
      </c>
      <c r="E606" s="6">
        <f>IFERROR(__xludf.DUMMYFUNCTION("GOOGLEFINANCE(""Currency:BRLMXN"")*D606"),753.22575)</f>
        <v>753.22575</v>
      </c>
      <c r="F606" s="6">
        <f>IFERROR(__xludf.DUMMYFUNCTION("GOOGLEFINANCE(""Currency:BRLPEN"")*D606"),145.34651999999997)</f>
        <v>145.34652</v>
      </c>
      <c r="G606" s="2" t="str">
        <f t="array" ref="G606">_xlfn.XLOOKUP(B606,Vendedores!$A$2:$A$41,Vendedores!$B$2:$B$41,"No hay datos")</f>
        <v>María Silva</v>
      </c>
      <c r="H606" s="2" t="str">
        <f t="array" ref="H606">_xlfn.XLOOKUP(B606,Vendedores!$A$2:$A$41,Vendedores!$C$2:$C$41,"No hay datos")</f>
        <v>San Juan de la Sierra</v>
      </c>
      <c r="I606" s="2" t="str">
        <f t="array" ref="I606">_xlfn.XLOOKUP(B606,Vendedores!$A$2:$A$41,Vendedores!$D$2:$D$41,"No hay datos")</f>
        <v>Región Central</v>
      </c>
      <c r="J606" s="2" t="str">
        <f t="array" ref="J606:N606">_xlfn.XLOOKUP(A606,Productos!$A$2:$A$61,Productos!$B$2:$F$61)</f>
        <v>Playera lisa</v>
      </c>
      <c r="K606" s="2" t="s">
        <v>9</v>
      </c>
      <c r="L606" s="2" t="s">
        <v>10</v>
      </c>
      <c r="M606" s="2" t="s">
        <v>20</v>
      </c>
      <c r="N606" s="2" t="s">
        <v>21</v>
      </c>
    </row>
    <row r="607">
      <c r="A607" s="2" t="str">
        <f>IFERROR(__xludf.DUMMYFUNCTION("""COMPUTED_VALUE"""),"PR029")</f>
        <v>PR029</v>
      </c>
      <c r="B607" s="2" t="str">
        <f>IFERROR(__xludf.DUMMYFUNCTION("""COMPUTED_VALUE"""),"VD030")</f>
        <v>VD030</v>
      </c>
      <c r="C607" s="2">
        <f>IFERROR(__xludf.DUMMYFUNCTION("""COMPUTED_VALUE"""),5.0)</f>
        <v>5</v>
      </c>
      <c r="D607" s="6">
        <f>IFERROR(__xludf.DUMMYFUNCTION("""COMPUTED_VALUE"""),1287.75)</f>
        <v>1287.75</v>
      </c>
      <c r="E607" s="6">
        <f>IFERROR(__xludf.DUMMYFUNCTION("GOOGLEFINANCE(""Currency:BRLMXN"")*D607"),4375.130625)</f>
        <v>4375.130625</v>
      </c>
      <c r="F607" s="6">
        <f>IFERROR(__xludf.DUMMYFUNCTION("GOOGLEFINANCE(""Currency:BRLPEN"")*D607"),844.2488999999999)</f>
        <v>844.2489</v>
      </c>
      <c r="G607" s="2" t="str">
        <f t="array" ref="G607">_xlfn.XLOOKUP(B607,Vendedores!$A$2:$A$41,Vendedores!$B$2:$B$41,"No hay datos")</f>
        <v>Leonardo Rojas</v>
      </c>
      <c r="H607" s="2" t="str">
        <f t="array" ref="H607">_xlfn.XLOOKUP(B607,Vendedores!$A$2:$A$41,Vendedores!$C$2:$C$41,"No hay datos")</f>
        <v>Villa del Sol</v>
      </c>
      <c r="I607" s="2" t="str">
        <f t="array" ref="I607">_xlfn.XLOOKUP(B607,Vendedores!$A$2:$A$41,Vendedores!$D$2:$D$41,"No hay datos")</f>
        <v>Región Central 2</v>
      </c>
      <c r="J607" s="2" t="str">
        <f t="array" ref="J607:N607">_xlfn.XLOOKUP(A607,Productos!$A$2:$A$61,Productos!$B$2:$F$61)</f>
        <v>Tenis Atitas</v>
      </c>
      <c r="K607" s="2">
        <v>37.0</v>
      </c>
      <c r="L607" s="2" t="s">
        <v>33</v>
      </c>
      <c r="M607" s="2" t="s">
        <v>96</v>
      </c>
      <c r="N607" s="2" t="s">
        <v>97</v>
      </c>
    </row>
    <row r="608">
      <c r="A608" s="2" t="str">
        <f>IFERROR(__xludf.DUMMYFUNCTION("""COMPUTED_VALUE"""),"PR007")</f>
        <v>PR007</v>
      </c>
      <c r="B608" s="2" t="str">
        <f>IFERROR(__xludf.DUMMYFUNCTION("""COMPUTED_VALUE"""),"VD046")</f>
        <v>VD046</v>
      </c>
      <c r="C608" s="2">
        <f>IFERROR(__xludf.DUMMYFUNCTION("""COMPUTED_VALUE"""),9.0)</f>
        <v>9</v>
      </c>
      <c r="D608" s="6">
        <f>IFERROR(__xludf.DUMMYFUNCTION("""COMPUTED_VALUE"""),804.02)</f>
        <v>804.02</v>
      </c>
      <c r="E608" s="6">
        <f>IFERROR(__xludf.DUMMYFUNCTION("GOOGLEFINANCE(""Currency:BRLMXN"")*D608"),2731.65795)</f>
        <v>2731.65795</v>
      </c>
      <c r="F608" s="6">
        <f>IFERROR(__xludf.DUMMYFUNCTION("GOOGLEFINANCE(""Currency:BRLPEN"")*D608"),527.115512)</f>
        <v>527.115512</v>
      </c>
      <c r="G608" s="2" t="str">
        <f t="array" ref="G608">_xlfn.XLOOKUP(B608,Vendedores!$A$2:$A$41,Vendedores!$B$2:$B$41,"No hay datos")</f>
        <v>Juliana Pérez</v>
      </c>
      <c r="H608" s="2" t="str">
        <f t="array" ref="H608">_xlfn.XLOOKUP(B608,Vendedores!$A$2:$A$41,Vendedores!$C$2:$C$41,"No hay datos")</f>
        <v>Santa Cruz de la Sierra</v>
      </c>
      <c r="I608" s="2" t="str">
        <f t="array" ref="I608">_xlfn.XLOOKUP(B608,Vendedores!$A$2:$A$41,Vendedores!$D$2:$D$41,"No hay datos")</f>
        <v>Región Central 2</v>
      </c>
      <c r="J608" s="2" t="str">
        <f t="array" ref="J608:N608">_xlfn.XLOOKUP(A608,Productos!$A$2:$A$61,Productos!$B$2:$F$61)</f>
        <v>Pantalón de mezclilla</v>
      </c>
      <c r="K608" s="2" t="s">
        <v>9</v>
      </c>
      <c r="L608" s="2" t="s">
        <v>10</v>
      </c>
      <c r="M608" s="2" t="s">
        <v>103</v>
      </c>
      <c r="N608" s="2" t="s">
        <v>104</v>
      </c>
    </row>
    <row r="609">
      <c r="A609" s="2" t="str">
        <f>IFERROR(__xludf.DUMMYFUNCTION("""COMPUTED_VALUE"""),"PR049")</f>
        <v>PR049</v>
      </c>
      <c r="B609" s="2" t="str">
        <f>IFERROR(__xludf.DUMMYFUNCTION("""COMPUTED_VALUE"""),"VD032")</f>
        <v>VD032</v>
      </c>
      <c r="C609" s="2">
        <f>IFERROR(__xludf.DUMMYFUNCTION("""COMPUTED_VALUE"""),14.0)</f>
        <v>14</v>
      </c>
      <c r="D609" s="6">
        <f>IFERROR(__xludf.DUMMYFUNCTION("""COMPUTED_VALUE"""),492.84)</f>
        <v>492.84</v>
      </c>
      <c r="E609" s="6">
        <f>IFERROR(__xludf.DUMMYFUNCTION("GOOGLEFINANCE(""Currency:BRLMXN"")*D609"),1674.4239)</f>
        <v>1674.4239</v>
      </c>
      <c r="F609" s="6">
        <f>IFERROR(__xludf.DUMMYFUNCTION("GOOGLEFINANCE(""Currency:BRLPEN"")*D609"),323.10590399999995)</f>
        <v>323.105904</v>
      </c>
      <c r="G609" s="2" t="str">
        <f t="array" ref="G609">_xlfn.XLOOKUP(B609,Vendedores!$A$2:$A$41,Vendedores!$B$2:$B$41,"No hay datos")</f>
        <v>Eduardo Almonte</v>
      </c>
      <c r="H609" s="2" t="str">
        <f t="array" ref="H609">_xlfn.XLOOKUP(B609,Vendedores!$A$2:$A$41,Vendedores!$C$2:$C$41,"No hay datos")</f>
        <v>Tierra Colorada</v>
      </c>
      <c r="I609" s="2" t="str">
        <f t="array" ref="I609">_xlfn.XLOOKUP(B609,Vendedores!$A$2:$A$41,Vendedores!$D$2:$D$41,"No hay datos")</f>
        <v>Región Central 2</v>
      </c>
      <c r="J609" s="2" t="str">
        <f t="array" ref="J609:N609">_xlfn.XLOOKUP(A609,Productos!$A$2:$A$61,Productos!$B$2:$F$61)</f>
        <v>Playera a rayas</v>
      </c>
      <c r="K609" s="2" t="s">
        <v>9</v>
      </c>
      <c r="L609" s="2" t="s">
        <v>10</v>
      </c>
      <c r="M609" s="2" t="s">
        <v>47</v>
      </c>
      <c r="N609" s="2" t="s">
        <v>24</v>
      </c>
    </row>
    <row r="610">
      <c r="A610" s="2" t="str">
        <f>IFERROR(__xludf.DUMMYFUNCTION("""COMPUTED_VALUE"""),"PR039")</f>
        <v>PR039</v>
      </c>
      <c r="B610" s="2" t="str">
        <f>IFERROR(__xludf.DUMMYFUNCTION("""COMPUTED_VALUE"""),"VD035")</f>
        <v>VD035</v>
      </c>
      <c r="C610" s="2">
        <f>IFERROR(__xludf.DUMMYFUNCTION("""COMPUTED_VALUE"""),16.0)</f>
        <v>16</v>
      </c>
      <c r="D610" s="6">
        <f>IFERROR(__xludf.DUMMYFUNCTION("""COMPUTED_VALUE"""),2452.8)</f>
        <v>2452.8</v>
      </c>
      <c r="E610" s="6">
        <f>IFERROR(__xludf.DUMMYFUNCTION("GOOGLEFINANCE(""Currency:BRLMXN"")*D610"),8333.388)</f>
        <v>8333.388</v>
      </c>
      <c r="F610" s="6">
        <f>IFERROR(__xludf.DUMMYFUNCTION("GOOGLEFINANCE(""Currency:BRLPEN"")*D610"),1608.05568)</f>
        <v>1608.05568</v>
      </c>
      <c r="G610" s="2" t="str">
        <f t="array" ref="G610">_xlfn.XLOOKUP(B610,Vendedores!$A$2:$A$41,Vendedores!$B$2:$B$41,"No hay datos")</f>
        <v>Carolina Méndez</v>
      </c>
      <c r="H610" s="2" t="str">
        <f t="array" ref="H610">_xlfn.XLOOKUP(B610,Vendedores!$A$2:$A$41,Vendedores!$C$2:$C$41,"No hay datos")</f>
        <v>Valle de los Robles</v>
      </c>
      <c r="I610" s="2" t="str">
        <f t="array" ref="I610">_xlfn.XLOOKUP(B610,Vendedores!$A$2:$A$41,Vendedores!$D$2:$D$41,"No hay datos")</f>
        <v>Región Central 2</v>
      </c>
      <c r="J610" s="2" t="str">
        <f t="array" ref="J610:N610">_xlfn.XLOOKUP(A610,Productos!$A$2:$A$61,Productos!$B$2:$F$61)</f>
        <v>Vestido largo</v>
      </c>
      <c r="K610" s="2" t="s">
        <v>22</v>
      </c>
      <c r="L610" s="2" t="s">
        <v>10</v>
      </c>
      <c r="M610" s="2" t="s">
        <v>73</v>
      </c>
      <c r="N610" s="2" t="s">
        <v>74</v>
      </c>
    </row>
    <row r="611">
      <c r="A611" s="2" t="str">
        <f>IFERROR(__xludf.DUMMYFUNCTION("""COMPUTED_VALUE"""),"PR022")</f>
        <v>PR022</v>
      </c>
      <c r="B611" s="2" t="str">
        <f>IFERROR(__xludf.DUMMYFUNCTION("""COMPUTED_VALUE"""),"VD022")</f>
        <v>VD022</v>
      </c>
      <c r="C611" s="2">
        <f>IFERROR(__xludf.DUMMYFUNCTION("""COMPUTED_VALUE"""),2.0)</f>
        <v>2</v>
      </c>
      <c r="D611" s="6">
        <f>IFERROR(__xludf.DUMMYFUNCTION("""COMPUTED_VALUE"""),606.0)</f>
        <v>606</v>
      </c>
      <c r="E611" s="6">
        <f>IFERROR(__xludf.DUMMYFUNCTION("GOOGLEFINANCE(""Currency:BRLMXN"")*D611"),2058.8849999999998)</f>
        <v>2058.885</v>
      </c>
      <c r="F611" s="6">
        <f>IFERROR(__xludf.DUMMYFUNCTION("GOOGLEFINANCE(""Currency:BRLPEN"")*D611"),397.29359999999997)</f>
        <v>397.2936</v>
      </c>
      <c r="G611" s="2" t="str">
        <f t="array" ref="G611">_xlfn.XLOOKUP(B611,Vendedores!$A$2:$A$41,Vendedores!$B$2:$B$41,"No hay datos")</f>
        <v>Santiago Linares</v>
      </c>
      <c r="H611" s="2" t="str">
        <f t="array" ref="H611">_xlfn.XLOOKUP(B611,Vendedores!$A$2:$A$41,Vendedores!$C$2:$C$41,"No hay datos")</f>
        <v>Vista Hermosa</v>
      </c>
      <c r="I611" s="2" t="str">
        <f t="array" ref="I611">_xlfn.XLOOKUP(B611,Vendedores!$A$2:$A$41,Vendedores!$D$2:$D$41,"No hay datos")</f>
        <v>Región Central</v>
      </c>
      <c r="J611" s="2" t="str">
        <f t="array" ref="J611:N611">_xlfn.XLOOKUP(A611,Productos!$A$2:$A$61,Productos!$B$2:$F$61)</f>
        <v>Chaqueta de cuero</v>
      </c>
      <c r="K611" s="2" t="s">
        <v>22</v>
      </c>
      <c r="L611" s="2" t="s">
        <v>10</v>
      </c>
      <c r="M611" s="2" t="s">
        <v>78</v>
      </c>
      <c r="N611" s="2" t="s">
        <v>79</v>
      </c>
    </row>
    <row r="612">
      <c r="A612" s="2" t="str">
        <f>IFERROR(__xludf.DUMMYFUNCTION("""COMPUTED_VALUE"""),"PR004")</f>
        <v>PR004</v>
      </c>
      <c r="B612" s="2" t="str">
        <f>IFERROR(__xludf.DUMMYFUNCTION("""COMPUTED_VALUE"""),"VD023")</f>
        <v>VD023</v>
      </c>
      <c r="C612" s="2">
        <f>IFERROR(__xludf.DUMMYFUNCTION("""COMPUTED_VALUE"""),2.0)</f>
        <v>2</v>
      </c>
      <c r="D612" s="6">
        <f>IFERROR(__xludf.DUMMYFUNCTION("""COMPUTED_VALUE"""),319.0)</f>
        <v>319</v>
      </c>
      <c r="E612" s="6">
        <f>IFERROR(__xludf.DUMMYFUNCTION("GOOGLEFINANCE(""Currency:BRLMXN"")*D612"),1083.8025)</f>
        <v>1083.8025</v>
      </c>
      <c r="F612" s="6">
        <f>IFERROR(__xludf.DUMMYFUNCTION("GOOGLEFINANCE(""Currency:BRLPEN"")*D612"),209.13639999999998)</f>
        <v>209.1364</v>
      </c>
      <c r="G612" s="2" t="str">
        <f t="array" ref="G612">_xlfn.XLOOKUP(B612,Vendedores!$A$2:$A$41,Vendedores!$B$2:$B$41,"No hay datos")</f>
        <v>Juliana Castro</v>
      </c>
      <c r="H612" s="2" t="str">
        <f t="array" ref="H612">_xlfn.XLOOKUP(B612,Vendedores!$A$2:$A$41,Vendedores!$C$2:$C$41,"No hay datos")</f>
        <v>San Miguel de los Pinos</v>
      </c>
      <c r="I612" s="2" t="str">
        <f t="array" ref="I612">_xlfn.XLOOKUP(B612,Vendedores!$A$2:$A$41,Vendedores!$D$2:$D$41,"No hay datos")</f>
        <v>Región Sur</v>
      </c>
      <c r="J612" s="2" t="str">
        <f t="array" ref="J612:N612">_xlfn.XLOOKUP(A612,Productos!$A$2:$A$61,Productos!$B$2:$F$61)</f>
        <v>Bolso versátil</v>
      </c>
      <c r="K612" s="2" t="s">
        <v>29</v>
      </c>
      <c r="L612" s="2" t="s">
        <v>30</v>
      </c>
      <c r="M612" s="2" t="s">
        <v>59</v>
      </c>
      <c r="N612" s="2" t="s">
        <v>60</v>
      </c>
    </row>
    <row r="613">
      <c r="A613" s="2" t="str">
        <f>IFERROR(__xludf.DUMMYFUNCTION("""COMPUTED_VALUE"""),"PR011")</f>
        <v>PR011</v>
      </c>
      <c r="B613" s="2" t="str">
        <f>IFERROR(__xludf.DUMMYFUNCTION("""COMPUTED_VALUE"""),"VD049")</f>
        <v>VD049</v>
      </c>
      <c r="C613" s="2">
        <f>IFERROR(__xludf.DUMMYFUNCTION("""COMPUTED_VALUE"""),9.0)</f>
        <v>9</v>
      </c>
      <c r="D613" s="6">
        <f>IFERROR(__xludf.DUMMYFUNCTION("""COMPUTED_VALUE"""),460.09)</f>
        <v>460.09</v>
      </c>
      <c r="E613" s="6">
        <f>IFERROR(__xludf.DUMMYFUNCTION("GOOGLEFINANCE(""Currency:BRLMXN"")*D613"),1563.155775)</f>
        <v>1563.155775</v>
      </c>
      <c r="F613" s="6">
        <f>IFERROR(__xludf.DUMMYFUNCTION("GOOGLEFINANCE(""Currency:BRLPEN"")*D613"),301.635004)</f>
        <v>301.635004</v>
      </c>
      <c r="G613" s="2" t="str">
        <f t="array" ref="G613">_xlfn.XLOOKUP(B613,Vendedores!$A$2:$A$41,Vendedores!$B$2:$B$41,"No hay datos")</f>
        <v>Fernando Navarro</v>
      </c>
      <c r="H613" s="2" t="str">
        <f t="array" ref="H613">_xlfn.XLOOKUP(B613,Vendedores!$A$2:$A$41,Vendedores!$C$2:$C$41,"No hay datos")</f>
        <v>Colinas Verdes</v>
      </c>
      <c r="I613" s="2" t="str">
        <f t="array" ref="I613">_xlfn.XLOOKUP(B613,Vendedores!$A$2:$A$41,Vendedores!$D$2:$D$41,"No hay datos")</f>
        <v>Región Central 2</v>
      </c>
      <c r="J613" s="2" t="str">
        <f t="array" ref="J613:N613">_xlfn.XLOOKUP(A613,Productos!$A$2:$A$61,Productos!$B$2:$F$61)</f>
        <v>Pantalón legging</v>
      </c>
      <c r="K613" s="2" t="s">
        <v>17</v>
      </c>
      <c r="L613" s="2" t="s">
        <v>10</v>
      </c>
      <c r="M613" s="2" t="s">
        <v>67</v>
      </c>
      <c r="N613" s="2" t="s">
        <v>68</v>
      </c>
    </row>
    <row r="614">
      <c r="A614" s="2" t="str">
        <f>IFERROR(__xludf.DUMMYFUNCTION("""COMPUTED_VALUE"""),"PR052")</f>
        <v>PR052</v>
      </c>
      <c r="B614" s="2" t="str">
        <f>IFERROR(__xludf.DUMMYFUNCTION("""COMPUTED_VALUE"""),"VD044")</f>
        <v>VD044</v>
      </c>
      <c r="C614" s="2">
        <f>IFERROR(__xludf.DUMMYFUNCTION("""COMPUTED_VALUE"""),20.0)</f>
        <v>20</v>
      </c>
      <c r="D614" s="6">
        <f>IFERROR(__xludf.DUMMYFUNCTION("""COMPUTED_VALUE"""),1077.84)</f>
        <v>1077.84</v>
      </c>
      <c r="E614" s="6">
        <f>IFERROR(__xludf.DUMMYFUNCTION("GOOGLEFINANCE(""Currency:BRLMXN"")*D614"),3661.9613999999997)</f>
        <v>3661.9614</v>
      </c>
      <c r="F614" s="6">
        <f>IFERROR(__xludf.DUMMYFUNCTION("GOOGLEFINANCE(""Currency:BRLPEN"")*D614"),706.6319039999998)</f>
        <v>706.631904</v>
      </c>
      <c r="G614" s="2" t="str">
        <f t="array" ref="G614">_xlfn.XLOOKUP(B614,Vendedores!$A$2:$A$41,Vendedores!$B$2:$B$41,"No hay datos")</f>
        <v>Silvia Menéndez</v>
      </c>
      <c r="H614" s="2" t="str">
        <f t="array" ref="H614">_xlfn.XLOOKUP(B614,Vendedores!$A$2:$A$41,Vendedores!$C$2:$C$41,"No hay datos")</f>
        <v>San Antonio del Monte</v>
      </c>
      <c r="I614" s="2" t="str">
        <f t="array" ref="I614">_xlfn.XLOOKUP(B614,Vendedores!$A$2:$A$41,Vendedores!$D$2:$D$41,"No hay datos")</f>
        <v>Región Central 2</v>
      </c>
      <c r="J614" s="2" t="str">
        <f t="array" ref="J614:N614">_xlfn.XLOOKUP(A614,Productos!$A$2:$A$61,Productos!$B$2:$F$61)</f>
        <v>Falda plisada</v>
      </c>
      <c r="K614" s="2" t="s">
        <v>9</v>
      </c>
      <c r="L614" s="2" t="s">
        <v>10</v>
      </c>
      <c r="M614" s="2" t="s">
        <v>36</v>
      </c>
      <c r="N614" s="2" t="s">
        <v>32</v>
      </c>
    </row>
    <row r="615">
      <c r="A615" s="2" t="str">
        <f>IFERROR(__xludf.DUMMYFUNCTION("""COMPUTED_VALUE"""),"PR001")</f>
        <v>PR001</v>
      </c>
      <c r="B615" s="2" t="str">
        <f>IFERROR(__xludf.DUMMYFUNCTION("""COMPUTED_VALUE"""),"VD039")</f>
        <v>VD039</v>
      </c>
      <c r="C615" s="2">
        <f>IFERROR(__xludf.DUMMYFUNCTION("""COMPUTED_VALUE"""),5.0)</f>
        <v>5</v>
      </c>
      <c r="D615" s="6">
        <f>IFERROR(__xludf.DUMMYFUNCTION("""COMPUTED_VALUE"""),345.98)</f>
        <v>345.98</v>
      </c>
      <c r="E615" s="6">
        <f>IFERROR(__xludf.DUMMYFUNCTION("GOOGLEFINANCE(""Currency:BRLMXN"")*D615"),1175.46705)</f>
        <v>1175.46705</v>
      </c>
      <c r="F615" s="6">
        <f>IFERROR(__xludf.DUMMYFUNCTION("GOOGLEFINANCE(""Currency:BRLPEN"")*D615"),226.824488)</f>
        <v>226.824488</v>
      </c>
      <c r="G615" s="2" t="str">
        <f t="array" ref="G615">_xlfn.XLOOKUP(B615,Vendedores!$A$2:$A$41,Vendedores!$B$2:$B$41,"No hay datos")</f>
        <v>Daniela Rodríguez</v>
      </c>
      <c r="H615" s="2" t="str">
        <f t="array" ref="H615">_xlfn.XLOOKUP(B615,Vendedores!$A$2:$A$41,Vendedores!$C$2:$C$41,"No hay datos")</f>
        <v>Bahía del Sol</v>
      </c>
      <c r="I615" s="2" t="str">
        <f t="array" ref="I615">_xlfn.XLOOKUP(B615,Vendedores!$A$2:$A$41,Vendedores!$D$2:$D$41,"No hay datos")</f>
        <v>Región Central 2</v>
      </c>
      <c r="J615" s="2" t="str">
        <f t="array" ref="J615:N615">_xlfn.XLOOKUP(A615,Productos!$A$2:$A$61,Productos!$B$2:$F$61)</f>
        <v>Bermuda</v>
      </c>
      <c r="K615" s="2" t="s">
        <v>9</v>
      </c>
      <c r="L615" s="2" t="s">
        <v>10</v>
      </c>
      <c r="M615" s="2" t="s">
        <v>11</v>
      </c>
      <c r="N615" s="2" t="s">
        <v>12</v>
      </c>
    </row>
    <row r="616">
      <c r="A616" s="2" t="str">
        <f>IFERROR(__xludf.DUMMYFUNCTION("""COMPUTED_VALUE"""),"PR051")</f>
        <v>PR051</v>
      </c>
      <c r="B616" s="2" t="str">
        <f>IFERROR(__xludf.DUMMYFUNCTION("""COMPUTED_VALUE"""),"VD031")</f>
        <v>VD031</v>
      </c>
      <c r="C616" s="2">
        <f>IFERROR(__xludf.DUMMYFUNCTION("""COMPUTED_VALUE"""),5.0)</f>
        <v>5</v>
      </c>
      <c r="D616" s="6">
        <f>IFERROR(__xludf.DUMMYFUNCTION("""COMPUTED_VALUE"""),164.5)</f>
        <v>164.5</v>
      </c>
      <c r="E616" s="6">
        <f>IFERROR(__xludf.DUMMYFUNCTION("GOOGLEFINANCE(""Currency:BRLMXN"")*D616"),558.88875)</f>
        <v>558.88875</v>
      </c>
      <c r="F616" s="6">
        <f>IFERROR(__xludf.DUMMYFUNCTION("GOOGLEFINANCE(""Currency:BRLPEN"")*D616"),107.8462)</f>
        <v>107.8462</v>
      </c>
      <c r="G616" s="2" t="str">
        <f t="array" ref="G616">_xlfn.XLOOKUP(B616,Vendedores!$A$2:$A$41,Vendedores!$B$2:$B$41,"No hay datos")</f>
        <v>Vanessa Martínez</v>
      </c>
      <c r="H616" s="2" t="str">
        <f t="array" ref="H616">_xlfn.XLOOKUP(B616,Vendedores!$A$2:$A$41,Vendedores!$C$2:$C$41,"No hay datos")</f>
        <v>Monte Verde</v>
      </c>
      <c r="I616" s="2" t="str">
        <f t="array" ref="I616">_xlfn.XLOOKUP(B616,Vendedores!$A$2:$A$41,Vendedores!$D$2:$D$41,"No hay datos")</f>
        <v>Región Central 2</v>
      </c>
      <c r="J616" s="2" t="str">
        <f t="array" ref="J616:N616">_xlfn.XLOOKUP(A616,Productos!$A$2:$A$61,Productos!$B$2:$F$61)</f>
        <v>Playera a rayas</v>
      </c>
      <c r="K616" s="2" t="s">
        <v>22</v>
      </c>
      <c r="L616" s="2" t="s">
        <v>10</v>
      </c>
      <c r="M616" s="2" t="s">
        <v>23</v>
      </c>
      <c r="N616" s="2" t="s">
        <v>24</v>
      </c>
    </row>
    <row r="617">
      <c r="A617" s="2" t="str">
        <f>IFERROR(__xludf.DUMMYFUNCTION("""COMPUTED_VALUE"""),"PR007")</f>
        <v>PR007</v>
      </c>
      <c r="B617" s="2" t="str">
        <f>IFERROR(__xludf.DUMMYFUNCTION("""COMPUTED_VALUE"""),"VD023")</f>
        <v>VD023</v>
      </c>
      <c r="C617" s="2">
        <f>IFERROR(__xludf.DUMMYFUNCTION("""COMPUTED_VALUE"""),4.0)</f>
        <v>4</v>
      </c>
      <c r="D617" s="6">
        <f>IFERROR(__xludf.DUMMYFUNCTION("""COMPUTED_VALUE"""),367.65)</f>
        <v>367.65</v>
      </c>
      <c r="E617" s="6">
        <f>IFERROR(__xludf.DUMMYFUNCTION("GOOGLEFINANCE(""Currency:BRLMXN"")*D617"),1249.0908749999999)</f>
        <v>1249.090875</v>
      </c>
      <c r="F617" s="6">
        <f>IFERROR(__xludf.DUMMYFUNCTION("GOOGLEFINANCE(""Currency:BRLPEN"")*D617"),241.03133999999997)</f>
        <v>241.03134</v>
      </c>
      <c r="G617" s="2" t="str">
        <f t="array" ref="G617">_xlfn.XLOOKUP(B617,Vendedores!$A$2:$A$41,Vendedores!$B$2:$B$41,"No hay datos")</f>
        <v>Juliana Castro</v>
      </c>
      <c r="H617" s="2" t="str">
        <f t="array" ref="H617">_xlfn.XLOOKUP(B617,Vendedores!$A$2:$A$41,Vendedores!$C$2:$C$41,"No hay datos")</f>
        <v>San Miguel de los Pinos</v>
      </c>
      <c r="I617" s="2" t="str">
        <f t="array" ref="I617">_xlfn.XLOOKUP(B617,Vendedores!$A$2:$A$41,Vendedores!$D$2:$D$41,"No hay datos")</f>
        <v>Región Sur</v>
      </c>
      <c r="J617" s="2" t="str">
        <f t="array" ref="J617:N617">_xlfn.XLOOKUP(A617,Productos!$A$2:$A$61,Productos!$B$2:$F$61)</f>
        <v>Pantalón de mezclilla</v>
      </c>
      <c r="K617" s="2" t="s">
        <v>9</v>
      </c>
      <c r="L617" s="2" t="s">
        <v>10</v>
      </c>
      <c r="M617" s="2" t="s">
        <v>103</v>
      </c>
      <c r="N617" s="2" t="s">
        <v>104</v>
      </c>
    </row>
    <row r="618">
      <c r="A618" s="2" t="str">
        <f>IFERROR(__xludf.DUMMYFUNCTION("""COMPUTED_VALUE"""),"PR039")</f>
        <v>PR039</v>
      </c>
      <c r="B618" s="2" t="str">
        <f>IFERROR(__xludf.DUMMYFUNCTION("""COMPUTED_VALUE"""),"VD019")</f>
        <v>VD019</v>
      </c>
      <c r="C618" s="2">
        <f>IFERROR(__xludf.DUMMYFUNCTION("""COMPUTED_VALUE"""),3.0)</f>
        <v>3</v>
      </c>
      <c r="D618" s="6">
        <f>IFERROR(__xludf.DUMMYFUNCTION("""COMPUTED_VALUE"""),459.9)</f>
        <v>459.9</v>
      </c>
      <c r="E618" s="6">
        <f>IFERROR(__xludf.DUMMYFUNCTION("GOOGLEFINANCE(""Currency:BRLMXN"")*D618"),1562.5102499999998)</f>
        <v>1562.51025</v>
      </c>
      <c r="F618" s="6">
        <f>IFERROR(__xludf.DUMMYFUNCTION("GOOGLEFINANCE(""Currency:BRLPEN"")*D618"),301.51043999999996)</f>
        <v>301.51044</v>
      </c>
      <c r="G618" s="2" t="str">
        <f t="array" ref="G618">_xlfn.XLOOKUP(B618,Vendedores!$A$2:$A$41,Vendedores!$B$2:$B$41,"No hay datos")</f>
        <v>Rafael Sosa</v>
      </c>
      <c r="H618" s="2" t="str">
        <f t="array" ref="H618">_xlfn.XLOOKUP(B618,Vendedores!$A$2:$A$41,Vendedores!$C$2:$C$41,"No hay datos")</f>
        <v>Selva Verde</v>
      </c>
      <c r="I618" s="2" t="str">
        <f t="array" ref="I618">_xlfn.XLOOKUP(B618,Vendedores!$A$2:$A$41,Vendedores!$D$2:$D$41,"No hay datos")</f>
        <v>Región Amazónica</v>
      </c>
      <c r="J618" s="2" t="str">
        <f t="array" ref="J618:N618">_xlfn.XLOOKUP(A618,Productos!$A$2:$A$61,Productos!$B$2:$F$61)</f>
        <v>Vestido largo</v>
      </c>
      <c r="K618" s="2" t="s">
        <v>22</v>
      </c>
      <c r="L618" s="2" t="s">
        <v>10</v>
      </c>
      <c r="M618" s="2" t="s">
        <v>73</v>
      </c>
      <c r="N618" s="2" t="s">
        <v>74</v>
      </c>
    </row>
    <row r="619">
      <c r="A619" s="2" t="str">
        <f>IFERROR(__xludf.DUMMYFUNCTION("""COMPUTED_VALUE"""),"PR033")</f>
        <v>PR033</v>
      </c>
      <c r="B619" s="2" t="str">
        <f>IFERROR(__xludf.DUMMYFUNCTION("""COMPUTED_VALUE"""),"VD041")</f>
        <v>VD041</v>
      </c>
      <c r="C619" s="2">
        <f>IFERROR(__xludf.DUMMYFUNCTION("""COMPUTED_VALUE"""),5.0)</f>
        <v>5</v>
      </c>
      <c r="D619" s="6">
        <f>IFERROR(__xludf.DUMMYFUNCTION("""COMPUTED_VALUE"""),1351.48)</f>
        <v>1351.48</v>
      </c>
      <c r="E619" s="6">
        <f>IFERROR(__xludf.DUMMYFUNCTION("GOOGLEFINANCE(""Currency:BRLMXN"")*D619"),4591.6533)</f>
        <v>4591.6533</v>
      </c>
      <c r="F619" s="6">
        <f>IFERROR(__xludf.DUMMYFUNCTION("GOOGLEFINANCE(""Currency:BRLPEN"")*D619"),886.0302879999999)</f>
        <v>886.030288</v>
      </c>
      <c r="G619" s="2" t="str">
        <f t="array" ref="G619">_xlfn.XLOOKUP(B619,Vendedores!$A$2:$A$41,Vendedores!$B$2:$B$41,"No hay datos")</f>
        <v>Alejandro Ramos</v>
      </c>
      <c r="H619" s="2" t="str">
        <f t="array" ref="H619">_xlfn.XLOOKUP(B619,Vendedores!$A$2:$A$41,Vendedores!$C$2:$C$41,"No hay datos")</f>
        <v>San Martín de las Rosas</v>
      </c>
      <c r="I619" s="2" t="str">
        <f t="array" ref="I619">_xlfn.XLOOKUP(B619,Vendedores!$A$2:$A$41,Vendedores!$D$2:$D$41,"No hay datos")</f>
        <v>Región Central 2</v>
      </c>
      <c r="J619" s="2" t="str">
        <f t="array" ref="J619:N619">_xlfn.XLOOKUP(A619,Productos!$A$2:$A$61,Productos!$B$2:$F$61)</f>
        <v>Tenis Chunky</v>
      </c>
      <c r="K619" s="2">
        <v>38.0</v>
      </c>
      <c r="L619" s="2" t="s">
        <v>33</v>
      </c>
      <c r="M619" s="2" t="s">
        <v>63</v>
      </c>
      <c r="N619" s="2" t="s">
        <v>64</v>
      </c>
    </row>
    <row r="620">
      <c r="A620" s="2" t="str">
        <f>IFERROR(__xludf.DUMMYFUNCTION("""COMPUTED_VALUE"""),"PR043")</f>
        <v>PR043</v>
      </c>
      <c r="B620" s="2" t="str">
        <f>IFERROR(__xludf.DUMMYFUNCTION("""COMPUTED_VALUE"""),"VD035")</f>
        <v>VD035</v>
      </c>
      <c r="C620" s="2">
        <f>IFERROR(__xludf.DUMMYFUNCTION("""COMPUTED_VALUE"""),6.0)</f>
        <v>6</v>
      </c>
      <c r="D620" s="6">
        <f>IFERROR(__xludf.DUMMYFUNCTION("""COMPUTED_VALUE"""),474.15)</f>
        <v>474.15</v>
      </c>
      <c r="E620" s="6">
        <f>IFERROR(__xludf.DUMMYFUNCTION("GOOGLEFINANCE(""Currency:BRLMXN"")*D620"),1610.9246249999999)</f>
        <v>1610.924625</v>
      </c>
      <c r="F620" s="6">
        <f>IFERROR(__xludf.DUMMYFUNCTION("GOOGLEFINANCE(""Currency:BRLPEN"")*D620"),310.85274)</f>
        <v>310.85274</v>
      </c>
      <c r="G620" s="2" t="str">
        <f t="array" ref="G620">_xlfn.XLOOKUP(B620,Vendedores!$A$2:$A$41,Vendedores!$B$2:$B$41,"No hay datos")</f>
        <v>Carolina Méndez</v>
      </c>
      <c r="H620" s="2" t="str">
        <f t="array" ref="H620">_xlfn.XLOOKUP(B620,Vendedores!$A$2:$A$41,Vendedores!$C$2:$C$41,"No hay datos")</f>
        <v>Valle de los Robles</v>
      </c>
      <c r="I620" s="2" t="str">
        <f t="array" ref="I620">_xlfn.XLOOKUP(B620,Vendedores!$A$2:$A$41,Vendedores!$D$2:$D$41,"No hay datos")</f>
        <v>Región Central 2</v>
      </c>
      <c r="J620" s="2" t="str">
        <f t="array" ref="J620:N620">_xlfn.XLOOKUP(A620,Productos!$A$2:$A$61,Productos!$B$2:$F$61)</f>
        <v>Vestido floral</v>
      </c>
      <c r="K620" s="2" t="s">
        <v>9</v>
      </c>
      <c r="L620" s="2" t="s">
        <v>10</v>
      </c>
      <c r="M620" s="2" t="s">
        <v>69</v>
      </c>
      <c r="N620" s="2" t="s">
        <v>40</v>
      </c>
    </row>
    <row r="621">
      <c r="A621" s="2" t="str">
        <f>IFERROR(__xludf.DUMMYFUNCTION("""COMPUTED_VALUE"""),"PR056")</f>
        <v>PR056</v>
      </c>
      <c r="B621" s="2" t="str">
        <f>IFERROR(__xludf.DUMMYFUNCTION("""COMPUTED_VALUE"""),"VD025")</f>
        <v>VD025</v>
      </c>
      <c r="C621" s="2">
        <f>IFERROR(__xludf.DUMMYFUNCTION("""COMPUTED_VALUE"""),1.0)</f>
        <v>1</v>
      </c>
      <c r="D621" s="6">
        <f>IFERROR(__xludf.DUMMYFUNCTION("""COMPUTED_VALUE"""),92.6)</f>
        <v>92.6</v>
      </c>
      <c r="E621" s="6">
        <f>IFERROR(__xludf.DUMMYFUNCTION("GOOGLEFINANCE(""Currency:BRLMXN"")*D621"),314.6085)</f>
        <v>314.6085</v>
      </c>
      <c r="F621" s="6">
        <f>IFERROR(__xludf.DUMMYFUNCTION("GOOGLEFINANCE(""Currency:BRLPEN"")*D621"),60.70855999999999)</f>
        <v>60.70856</v>
      </c>
      <c r="G621" s="2" t="str">
        <f t="array" ref="G621">_xlfn.XLOOKUP(B621,Vendedores!$A$2:$A$41,Vendedores!$B$2:$B$41,"No hay datos")</f>
        <v>Alina Santana</v>
      </c>
      <c r="H621" s="2" t="str">
        <f t="array" ref="H621">_xlfn.XLOOKUP(B621,Vendedores!$A$2:$A$41,Vendedores!$C$2:$C$41,"No hay datos")</f>
        <v>Playa Blanca</v>
      </c>
      <c r="I621" s="2" t="str">
        <f t="array" ref="I621">_xlfn.XLOOKUP(B621,Vendedores!$A$2:$A$41,Vendedores!$D$2:$D$41,"No hay datos")</f>
        <v>Región Norte</v>
      </c>
      <c r="J621" s="2" t="str">
        <f t="array" ref="J621:N621">_xlfn.XLOOKUP(A621,Productos!$A$2:$A$61,Productos!$B$2:$F$61)</f>
        <v>Sandalia plana</v>
      </c>
      <c r="K621" s="2">
        <v>36.0</v>
      </c>
      <c r="L621" s="2" t="s">
        <v>33</v>
      </c>
      <c r="M621" s="2" t="s">
        <v>106</v>
      </c>
      <c r="N621" s="2" t="s">
        <v>35</v>
      </c>
    </row>
    <row r="622">
      <c r="A622" s="2" t="str">
        <f>IFERROR(__xludf.DUMMYFUNCTION("""COMPUTED_VALUE"""),"PR032")</f>
        <v>PR032</v>
      </c>
      <c r="B622" s="2" t="str">
        <f>IFERROR(__xludf.DUMMYFUNCTION("""COMPUTED_VALUE"""),"VD033")</f>
        <v>VD033</v>
      </c>
      <c r="C622" s="2">
        <f>IFERROR(__xludf.DUMMYFUNCTION("""COMPUTED_VALUE"""),7.0)</f>
        <v>7</v>
      </c>
      <c r="D622" s="6">
        <f>IFERROR(__xludf.DUMMYFUNCTION("""COMPUTED_VALUE"""),1820.0)</f>
        <v>1820</v>
      </c>
      <c r="E622" s="6">
        <f>IFERROR(__xludf.DUMMYFUNCTION("GOOGLEFINANCE(""Currency:BRLMXN"")*D622"),6183.45)</f>
        <v>6183.45</v>
      </c>
      <c r="F622" s="6">
        <f>IFERROR(__xludf.DUMMYFUNCTION("GOOGLEFINANCE(""Currency:BRLPEN"")*D622"),1193.192)</f>
        <v>1193.192</v>
      </c>
      <c r="G622" s="2" t="str">
        <f t="array" ref="G622">_xlfn.XLOOKUP(B622,Vendedores!$A$2:$A$41,Vendedores!$B$2:$B$41,"No hay datos")</f>
        <v>Renata Flores</v>
      </c>
      <c r="H622" s="2" t="str">
        <f t="array" ref="H622">_xlfn.XLOOKUP(B622,Vendedores!$A$2:$A$41,Vendedores!$C$2:$C$41,"No hay datos")</f>
        <v>Altos del Sur</v>
      </c>
      <c r="I622" s="2" t="str">
        <f t="array" ref="I622">_xlfn.XLOOKUP(B622,Vendedores!$A$2:$A$41,Vendedores!$D$2:$D$41,"No hay datos")</f>
        <v>Región Central 2</v>
      </c>
      <c r="J622" s="2" t="str">
        <f t="array" ref="J622:N622">_xlfn.XLOOKUP(A622,Productos!$A$2:$A$61,Productos!$B$2:$F$61)</f>
        <v>Tenis Chunky</v>
      </c>
      <c r="K622" s="2">
        <v>37.0</v>
      </c>
      <c r="L622" s="2" t="s">
        <v>33</v>
      </c>
      <c r="M622" s="2" t="s">
        <v>61</v>
      </c>
      <c r="N622" s="2" t="s">
        <v>62</v>
      </c>
    </row>
    <row r="623">
      <c r="A623" s="2" t="str">
        <f>IFERROR(__xludf.DUMMYFUNCTION("""COMPUTED_VALUE"""),"PR035")</f>
        <v>PR035</v>
      </c>
      <c r="B623" s="2" t="str">
        <f>IFERROR(__xludf.DUMMYFUNCTION("""COMPUTED_VALUE"""),"VD042")</f>
        <v>VD042</v>
      </c>
      <c r="C623" s="2">
        <f>IFERROR(__xludf.DUMMYFUNCTION("""COMPUTED_VALUE"""),4.0)</f>
        <v>4</v>
      </c>
      <c r="D623" s="6">
        <f>IFERROR(__xludf.DUMMYFUNCTION("""COMPUTED_VALUE"""),398.5)</f>
        <v>398.5</v>
      </c>
      <c r="E623" s="6">
        <f>IFERROR(__xludf.DUMMYFUNCTION("GOOGLEFINANCE(""Currency:BRLMXN"")*D623"),1353.90375)</f>
        <v>1353.90375</v>
      </c>
      <c r="F623" s="6">
        <f>IFERROR(__xludf.DUMMYFUNCTION("GOOGLEFINANCE(""Currency:BRLPEN"")*D623"),261.2566)</f>
        <v>261.2566</v>
      </c>
      <c r="G623" s="2" t="str">
        <f t="array" ref="G623">_xlfn.XLOOKUP(B623,Vendedores!$A$2:$A$41,Vendedores!$B$2:$B$41,"No hay datos")</f>
        <v>Priscila Duarte</v>
      </c>
      <c r="H623" s="2" t="str">
        <f t="array" ref="H623">_xlfn.XLOOKUP(B623,Vendedores!$A$2:$A$41,Vendedores!$C$2:$C$41,"No hay datos")</f>
        <v>Villa Comercial</v>
      </c>
      <c r="I623" s="2" t="str">
        <f t="array" ref="I623">_xlfn.XLOOKUP(B623,Vendedores!$A$2:$A$41,Vendedores!$D$2:$D$41,"No hay datos")</f>
        <v>Región Central 2</v>
      </c>
      <c r="J623" s="2" t="str">
        <f t="array" ref="J623:N623">_xlfn.XLOOKUP(A623,Productos!$A$2:$A$61,Productos!$B$2:$F$61)</f>
        <v>Vestido corto</v>
      </c>
      <c r="K623" s="2" t="s">
        <v>17</v>
      </c>
      <c r="L623" s="2" t="s">
        <v>10</v>
      </c>
      <c r="M623" s="2" t="s">
        <v>18</v>
      </c>
      <c r="N623" s="2" t="s">
        <v>19</v>
      </c>
    </row>
    <row r="624">
      <c r="A624" s="2" t="str">
        <f>IFERROR(__xludf.DUMMYFUNCTION("""COMPUTED_VALUE"""),"PR011")</f>
        <v>PR011</v>
      </c>
      <c r="B624" s="2" t="str">
        <f>IFERROR(__xludf.DUMMYFUNCTION("""COMPUTED_VALUE"""),"VD030")</f>
        <v>VD030</v>
      </c>
      <c r="C624" s="2">
        <f>IFERROR(__xludf.DUMMYFUNCTION("""COMPUTED_VALUE"""),4.0)</f>
        <v>4</v>
      </c>
      <c r="D624" s="6">
        <f>IFERROR(__xludf.DUMMYFUNCTION("""COMPUTED_VALUE"""),193.23)</f>
        <v>193.23</v>
      </c>
      <c r="E624" s="6">
        <f>IFERROR(__xludf.DUMMYFUNCTION("GOOGLEFINANCE(""Currency:BRLMXN"")*D624"),656.498925)</f>
        <v>656.498925</v>
      </c>
      <c r="F624" s="6">
        <f>IFERROR(__xludf.DUMMYFUNCTION("GOOGLEFINANCE(""Currency:BRLPEN"")*D624"),126.68158799999999)</f>
        <v>126.681588</v>
      </c>
      <c r="G624" s="2" t="str">
        <f t="array" ref="G624">_xlfn.XLOOKUP(B624,Vendedores!$A$2:$A$41,Vendedores!$B$2:$B$41,"No hay datos")</f>
        <v>Leonardo Rojas</v>
      </c>
      <c r="H624" s="2" t="str">
        <f t="array" ref="H624">_xlfn.XLOOKUP(B624,Vendedores!$A$2:$A$41,Vendedores!$C$2:$C$41,"No hay datos")</f>
        <v>Villa del Sol</v>
      </c>
      <c r="I624" s="2" t="str">
        <f t="array" ref="I624">_xlfn.XLOOKUP(B624,Vendedores!$A$2:$A$41,Vendedores!$D$2:$D$41,"No hay datos")</f>
        <v>Región Central 2</v>
      </c>
      <c r="J624" s="2" t="str">
        <f t="array" ref="J624:N624">_xlfn.XLOOKUP(A624,Productos!$A$2:$A$61,Productos!$B$2:$F$61)</f>
        <v>Pantalón legging</v>
      </c>
      <c r="K624" s="2" t="s">
        <v>17</v>
      </c>
      <c r="L624" s="2" t="s">
        <v>10</v>
      </c>
      <c r="M624" s="2" t="s">
        <v>67</v>
      </c>
      <c r="N624" s="2" t="s">
        <v>68</v>
      </c>
    </row>
    <row r="625">
      <c r="A625" s="2" t="str">
        <f>IFERROR(__xludf.DUMMYFUNCTION("""COMPUTED_VALUE"""),"PR011")</f>
        <v>PR011</v>
      </c>
      <c r="B625" s="2" t="str">
        <f>IFERROR(__xludf.DUMMYFUNCTION("""COMPUTED_VALUE"""),"VD036")</f>
        <v>VD036</v>
      </c>
      <c r="C625" s="2">
        <f>IFERROR(__xludf.DUMMYFUNCTION("""COMPUTED_VALUE"""),2.0)</f>
        <v>2</v>
      </c>
      <c r="D625" s="6">
        <f>IFERROR(__xludf.DUMMYFUNCTION("""COMPUTED_VALUE"""),93.8)</f>
        <v>93.8</v>
      </c>
      <c r="E625" s="6">
        <f>IFERROR(__xludf.DUMMYFUNCTION("GOOGLEFINANCE(""Currency:BRLMXN"")*D625"),318.6855)</f>
        <v>318.6855</v>
      </c>
      <c r="F625" s="6">
        <f>IFERROR(__xludf.DUMMYFUNCTION("GOOGLEFINANCE(""Currency:BRLPEN"")*D625"),61.495279999999994)</f>
        <v>61.49528</v>
      </c>
      <c r="G625" s="2" t="str">
        <f t="array" ref="G625">_xlfn.XLOOKUP(B625,Vendedores!$A$2:$A$41,Vendedores!$B$2:$B$41,"No hay datos")</f>
        <v>Ricardo Sosa</v>
      </c>
      <c r="H625" s="2" t="str">
        <f t="array" ref="H625">_xlfn.XLOOKUP(B625,Vendedores!$A$2:$A$41,Vendedores!$C$2:$C$41,"No hay datos")</f>
        <v>Puerto Nuevo</v>
      </c>
      <c r="I625" s="2" t="str">
        <f t="array" ref="I625">_xlfn.XLOOKUP(B625,Vendedores!$A$2:$A$41,Vendedores!$D$2:$D$41,"No hay datos")</f>
        <v>Región Central 2</v>
      </c>
      <c r="J625" s="2" t="str">
        <f t="array" ref="J625:N625">_xlfn.XLOOKUP(A625,Productos!$A$2:$A$61,Productos!$B$2:$F$61)</f>
        <v>Pantalón legging</v>
      </c>
      <c r="K625" s="2" t="s">
        <v>17</v>
      </c>
      <c r="L625" s="2" t="s">
        <v>10</v>
      </c>
      <c r="M625" s="2" t="s">
        <v>67</v>
      </c>
      <c r="N625" s="2" t="s">
        <v>68</v>
      </c>
    </row>
    <row r="626">
      <c r="A626" s="2" t="str">
        <f>IFERROR(__xludf.DUMMYFUNCTION("""COMPUTED_VALUE"""),"PR039")</f>
        <v>PR039</v>
      </c>
      <c r="B626" s="2" t="str">
        <f>IFERROR(__xludf.DUMMYFUNCTION("""COMPUTED_VALUE"""),"VD031")</f>
        <v>VD031</v>
      </c>
      <c r="C626" s="2">
        <f>IFERROR(__xludf.DUMMYFUNCTION("""COMPUTED_VALUE"""),4.0)</f>
        <v>4</v>
      </c>
      <c r="D626" s="6">
        <f>IFERROR(__xludf.DUMMYFUNCTION("""COMPUTED_VALUE"""),624.88)</f>
        <v>624.88</v>
      </c>
      <c r="E626" s="6">
        <f>IFERROR(__xludf.DUMMYFUNCTION("GOOGLEFINANCE(""Currency:BRLMXN"")*D626"),2123.0298)</f>
        <v>2123.0298</v>
      </c>
      <c r="F626" s="6">
        <f>IFERROR(__xludf.DUMMYFUNCTION("GOOGLEFINANCE(""Currency:BRLPEN"")*D626"),409.67132799999996)</f>
        <v>409.671328</v>
      </c>
      <c r="G626" s="2" t="str">
        <f t="array" ref="G626">_xlfn.XLOOKUP(B626,Vendedores!$A$2:$A$41,Vendedores!$B$2:$B$41,"No hay datos")</f>
        <v>Vanessa Martínez</v>
      </c>
      <c r="H626" s="2" t="str">
        <f t="array" ref="H626">_xlfn.XLOOKUP(B626,Vendedores!$A$2:$A$41,Vendedores!$C$2:$C$41,"No hay datos")</f>
        <v>Monte Verde</v>
      </c>
      <c r="I626" s="2" t="str">
        <f t="array" ref="I626">_xlfn.XLOOKUP(B626,Vendedores!$A$2:$A$41,Vendedores!$D$2:$D$41,"No hay datos")</f>
        <v>Región Central 2</v>
      </c>
      <c r="J626" s="2" t="str">
        <f t="array" ref="J626:N626">_xlfn.XLOOKUP(A626,Productos!$A$2:$A$61,Productos!$B$2:$F$61)</f>
        <v>Vestido largo</v>
      </c>
      <c r="K626" s="2" t="s">
        <v>22</v>
      </c>
      <c r="L626" s="2" t="s">
        <v>10</v>
      </c>
      <c r="M626" s="2" t="s">
        <v>73</v>
      </c>
      <c r="N626" s="2" t="s">
        <v>74</v>
      </c>
    </row>
    <row r="627">
      <c r="A627" s="2" t="str">
        <f>IFERROR(__xludf.DUMMYFUNCTION("""COMPUTED_VALUE"""),"PR026")</f>
        <v>PR026</v>
      </c>
      <c r="B627" s="2" t="str">
        <f>IFERROR(__xludf.DUMMYFUNCTION("""COMPUTED_VALUE"""),"VD045")</f>
        <v>VD045</v>
      </c>
      <c r="C627" s="2">
        <f>IFERROR(__xludf.DUMMYFUNCTION("""COMPUTED_VALUE"""),16.0)</f>
        <v>16</v>
      </c>
      <c r="D627" s="6">
        <f>IFERROR(__xludf.DUMMYFUNCTION("""COMPUTED_VALUE"""),5822.34)</f>
        <v>5822.34</v>
      </c>
      <c r="E627" s="6">
        <f>IFERROR(__xludf.DUMMYFUNCTION("GOOGLEFINANCE(""Currency:BRLMXN"")*D627"),19781.40015)</f>
        <v>19781.40015</v>
      </c>
      <c r="F627" s="6">
        <f>IFERROR(__xludf.DUMMYFUNCTION("GOOGLEFINANCE(""Currency:BRLPEN"")*D627"),3817.126104)</f>
        <v>3817.126104</v>
      </c>
      <c r="G627" s="2" t="str">
        <f t="array" ref="G627">_xlfn.XLOOKUP(B627,Vendedores!$A$2:$A$41,Vendedores!$B$2:$B$41,"No hay datos")</f>
        <v>Rafael Morales</v>
      </c>
      <c r="H627" s="2" t="str">
        <f t="array" ref="H627">_xlfn.XLOOKUP(B627,Vendedores!$A$2:$A$41,Vendedores!$C$2:$C$41,"No hay datos")</f>
        <v>Valle Dorado</v>
      </c>
      <c r="I627" s="2" t="str">
        <f t="array" ref="I627">_xlfn.XLOOKUP(B627,Vendedores!$A$2:$A$41,Vendedores!$D$2:$D$41,"No hay datos")</f>
        <v>Región Central 2</v>
      </c>
      <c r="J627" s="2" t="str">
        <f t="array" ref="J627:N627">_xlfn.XLOOKUP(A627,Productos!$A$2:$A$61,Productos!$B$2:$F$61)</f>
        <v>Gafas cuadradas</v>
      </c>
      <c r="K627" s="2" t="s">
        <v>29</v>
      </c>
      <c r="L627" s="2" t="s">
        <v>30</v>
      </c>
      <c r="M627" s="2" t="s">
        <v>90</v>
      </c>
      <c r="N627" s="2" t="s">
        <v>91</v>
      </c>
    </row>
    <row r="628">
      <c r="A628" s="2" t="str">
        <f>IFERROR(__xludf.DUMMYFUNCTION("""COMPUTED_VALUE"""),"PR048")</f>
        <v>PR048</v>
      </c>
      <c r="B628" s="2" t="str">
        <f>IFERROR(__xludf.DUMMYFUNCTION("""COMPUTED_VALUE"""),"VD029")</f>
        <v>VD029</v>
      </c>
      <c r="C628" s="2">
        <f>IFERROR(__xludf.DUMMYFUNCTION("""COMPUTED_VALUE"""),20.0)</f>
        <v>20</v>
      </c>
      <c r="D628" s="6">
        <f>IFERROR(__xludf.DUMMYFUNCTION("""COMPUTED_VALUE"""),6145.88)</f>
        <v>6145.88</v>
      </c>
      <c r="E628" s="6">
        <f>IFERROR(__xludf.DUMMYFUNCTION("GOOGLEFINANCE(""Currency:BRLMXN"")*D628"),20880.6273)</f>
        <v>20880.6273</v>
      </c>
      <c r="F628" s="6">
        <f>IFERROR(__xludf.DUMMYFUNCTION("GOOGLEFINANCE(""Currency:BRLPEN"")*D628"),4029.2389279999998)</f>
        <v>4029.238928</v>
      </c>
      <c r="G628" s="2" t="str">
        <f t="array" ref="G628">_xlfn.XLOOKUP(B628,Vendedores!$A$2:$A$41,Vendedores!$B$2:$B$41,"No hay datos")</f>
        <v>Gabriela Sosa</v>
      </c>
      <c r="H628" s="2" t="str">
        <f t="array" ref="H628">_xlfn.XLOOKUP(B628,Vendedores!$A$2:$A$41,Vendedores!$C$2:$C$41,"No hay datos")</f>
        <v>Selva Verde</v>
      </c>
      <c r="I628" s="2" t="str">
        <f t="array" ref="I628">_xlfn.XLOOKUP(B628,Vendedores!$A$2:$A$41,Vendedores!$D$2:$D$41,"No hay datos")</f>
        <v>Región Amazónica</v>
      </c>
      <c r="J628" s="2" t="str">
        <f t="array" ref="J628:N628">_xlfn.XLOOKUP(A628,Productos!$A$2:$A$61,Productos!$B$2:$F$61)</f>
        <v>Chaqueta de cuero</v>
      </c>
      <c r="K628" s="2" t="s">
        <v>22</v>
      </c>
      <c r="L628" s="2" t="s">
        <v>10</v>
      </c>
      <c r="M628" s="2" t="s">
        <v>94</v>
      </c>
      <c r="N628" s="2" t="s">
        <v>44</v>
      </c>
    </row>
    <row r="629">
      <c r="A629" s="2" t="str">
        <f>IFERROR(__xludf.DUMMYFUNCTION("""COMPUTED_VALUE"""),"PR021")</f>
        <v>PR021</v>
      </c>
      <c r="B629" s="2" t="str">
        <f>IFERROR(__xludf.DUMMYFUNCTION("""COMPUTED_VALUE"""),"VD045")</f>
        <v>VD045</v>
      </c>
      <c r="C629" s="2">
        <f>IFERROR(__xludf.DUMMYFUNCTION("""COMPUTED_VALUE"""),6.0)</f>
        <v>6</v>
      </c>
      <c r="D629" s="6">
        <f>IFERROR(__xludf.DUMMYFUNCTION("""COMPUTED_VALUE"""),1817.4)</f>
        <v>1817.4</v>
      </c>
      <c r="E629" s="6">
        <f>IFERROR(__xludf.DUMMYFUNCTION("GOOGLEFINANCE(""Currency:BRLMXN"")*D629"),6174.6165)</f>
        <v>6174.6165</v>
      </c>
      <c r="F629" s="6">
        <f>IFERROR(__xludf.DUMMYFUNCTION("GOOGLEFINANCE(""Currency:BRLPEN"")*D629"),1191.4874399999999)</f>
        <v>1191.48744</v>
      </c>
      <c r="G629" s="2" t="str">
        <f t="array" ref="G629">_xlfn.XLOOKUP(B629,Vendedores!$A$2:$A$41,Vendedores!$B$2:$B$41,"No hay datos")</f>
        <v>Rafael Morales</v>
      </c>
      <c r="H629" s="2" t="str">
        <f t="array" ref="H629">_xlfn.XLOOKUP(B629,Vendedores!$A$2:$A$41,Vendedores!$C$2:$C$41,"No hay datos")</f>
        <v>Valle Dorado</v>
      </c>
      <c r="I629" s="2" t="str">
        <f t="array" ref="I629">_xlfn.XLOOKUP(B629,Vendedores!$A$2:$A$41,Vendedores!$D$2:$D$41,"No hay datos")</f>
        <v>Región Central 2</v>
      </c>
      <c r="J629" s="2" t="str">
        <f t="array" ref="J629:N629">_xlfn.XLOOKUP(A629,Productos!$A$2:$A$61,Productos!$B$2:$F$61)</f>
        <v>Chaqueta de cuero</v>
      </c>
      <c r="K629" s="2" t="s">
        <v>17</v>
      </c>
      <c r="L629" s="2" t="s">
        <v>10</v>
      </c>
      <c r="M629" s="2" t="s">
        <v>80</v>
      </c>
      <c r="N629" s="2" t="s">
        <v>81</v>
      </c>
    </row>
    <row r="630">
      <c r="A630" s="2" t="str">
        <f>IFERROR(__xludf.DUMMYFUNCTION("""COMPUTED_VALUE"""),"PR047")</f>
        <v>PR047</v>
      </c>
      <c r="B630" s="2" t="str">
        <f>IFERROR(__xludf.DUMMYFUNCTION("""COMPUTED_VALUE"""),"VD030")</f>
        <v>VD030</v>
      </c>
      <c r="C630" s="2">
        <f>IFERROR(__xludf.DUMMYFUNCTION("""COMPUTED_VALUE"""),14.0)</f>
        <v>14</v>
      </c>
      <c r="D630" s="6">
        <f>IFERROR(__xludf.DUMMYFUNCTION("""COMPUTED_VALUE"""),4180.36)</f>
        <v>4180.36</v>
      </c>
      <c r="E630" s="6">
        <f>IFERROR(__xludf.DUMMYFUNCTION("GOOGLEFINANCE(""Currency:BRLMXN"")*D630"),14202.773099999999)</f>
        <v>14202.7731</v>
      </c>
      <c r="F630" s="6">
        <f>IFERROR(__xludf.DUMMYFUNCTION("GOOGLEFINANCE(""Currency:BRLPEN"")*D630"),2740.6440159999997)</f>
        <v>2740.644016</v>
      </c>
      <c r="G630" s="2" t="str">
        <f t="array" ref="G630">_xlfn.XLOOKUP(B630,Vendedores!$A$2:$A$41,Vendedores!$B$2:$B$41,"No hay datos")</f>
        <v>Leonardo Rojas</v>
      </c>
      <c r="H630" s="2" t="str">
        <f t="array" ref="H630">_xlfn.XLOOKUP(B630,Vendedores!$A$2:$A$41,Vendedores!$C$2:$C$41,"No hay datos")</f>
        <v>Villa del Sol</v>
      </c>
      <c r="I630" s="2" t="str">
        <f t="array" ref="I630">_xlfn.XLOOKUP(B630,Vendedores!$A$2:$A$41,Vendedores!$D$2:$D$41,"No hay datos")</f>
        <v>Región Central 2</v>
      </c>
      <c r="J630" s="2" t="str">
        <f t="array" ref="J630:N630">_xlfn.XLOOKUP(A630,Productos!$A$2:$A$61,Productos!$B$2:$F$61)</f>
        <v>Chaqueta de cuero</v>
      </c>
      <c r="K630" s="2" t="s">
        <v>17</v>
      </c>
      <c r="L630" s="2" t="s">
        <v>10</v>
      </c>
      <c r="M630" s="2" t="s">
        <v>43</v>
      </c>
      <c r="N630" s="2" t="s">
        <v>44</v>
      </c>
    </row>
    <row r="631">
      <c r="A631" s="2" t="str">
        <f>IFERROR(__xludf.DUMMYFUNCTION("""COMPUTED_VALUE"""),"PR002")</f>
        <v>PR002</v>
      </c>
      <c r="B631" s="2" t="str">
        <f>IFERROR(__xludf.DUMMYFUNCTION("""COMPUTED_VALUE"""),"VD030")</f>
        <v>VD030</v>
      </c>
      <c r="C631" s="2">
        <f>IFERROR(__xludf.DUMMYFUNCTION("""COMPUTED_VALUE"""),8.0)</f>
        <v>8</v>
      </c>
      <c r="D631" s="6">
        <f>IFERROR(__xludf.DUMMYFUNCTION("""COMPUTED_VALUE"""),609.53)</f>
        <v>609.53</v>
      </c>
      <c r="E631" s="6">
        <f>IFERROR(__xludf.DUMMYFUNCTION("GOOGLEFINANCE(""Currency:BRLMXN"")*D631"),2070.878175)</f>
        <v>2070.878175</v>
      </c>
      <c r="F631" s="6">
        <f>IFERROR(__xludf.DUMMYFUNCTION("GOOGLEFINANCE(""Currency:BRLPEN"")*D631"),399.60786799999994)</f>
        <v>399.607868</v>
      </c>
      <c r="G631" s="2" t="str">
        <f t="array" ref="G631">_xlfn.XLOOKUP(B631,Vendedores!$A$2:$A$41,Vendedores!$B$2:$B$41,"No hay datos")</f>
        <v>Leonardo Rojas</v>
      </c>
      <c r="H631" s="2" t="str">
        <f t="array" ref="H631">_xlfn.XLOOKUP(B631,Vendedores!$A$2:$A$41,Vendedores!$C$2:$C$41,"No hay datos")</f>
        <v>Villa del Sol</v>
      </c>
      <c r="I631" s="2" t="str">
        <f t="array" ref="I631">_xlfn.XLOOKUP(B631,Vendedores!$A$2:$A$41,Vendedores!$D$2:$D$41,"No hay datos")</f>
        <v>Región Central 2</v>
      </c>
      <c r="J631" s="2" t="str">
        <f t="array" ref="J631:N631">_xlfn.XLOOKUP(A631,Productos!$A$2:$A$61,Productos!$B$2:$F$61)</f>
        <v>Bermuda</v>
      </c>
      <c r="K631" s="2" t="s">
        <v>17</v>
      </c>
      <c r="L631" s="2" t="s">
        <v>10</v>
      </c>
      <c r="M631" s="2" t="s">
        <v>49</v>
      </c>
      <c r="N631" s="2" t="s">
        <v>50</v>
      </c>
    </row>
    <row r="632">
      <c r="A632" s="2" t="str">
        <f>IFERROR(__xludf.DUMMYFUNCTION("""COMPUTED_VALUE"""),"PR048")</f>
        <v>PR048</v>
      </c>
      <c r="B632" s="2" t="str">
        <f>IFERROR(__xludf.DUMMYFUNCTION("""COMPUTED_VALUE"""),"VD040")</f>
        <v>VD040</v>
      </c>
      <c r="C632" s="2">
        <f>IFERROR(__xludf.DUMMYFUNCTION("""COMPUTED_VALUE"""),4.0)</f>
        <v>4</v>
      </c>
      <c r="D632" s="6">
        <f>IFERROR(__xludf.DUMMYFUNCTION("""COMPUTED_VALUE"""),1263.96)</f>
        <v>1263.96</v>
      </c>
      <c r="E632" s="6">
        <f>IFERROR(__xludf.DUMMYFUNCTION("GOOGLEFINANCE(""Currency:BRLMXN"")*D632"),4294.3041)</f>
        <v>4294.3041</v>
      </c>
      <c r="F632" s="6">
        <f>IFERROR(__xludf.DUMMYFUNCTION("GOOGLEFINANCE(""Currency:BRLPEN"")*D632"),828.6521759999999)</f>
        <v>828.652176</v>
      </c>
      <c r="G632" s="2" t="str">
        <f t="array" ref="G632">_xlfn.XLOOKUP(B632,Vendedores!$A$2:$A$41,Vendedores!$B$2:$B$41,"No hay datos")</f>
        <v>Tatiana Montero</v>
      </c>
      <c r="H632" s="2" t="str">
        <f t="array" ref="H632">_xlfn.XLOOKUP(B632,Vendedores!$A$2:$A$41,Vendedores!$C$2:$C$41,"No hay datos")</f>
        <v>Ciudad Industrial</v>
      </c>
      <c r="I632" s="2" t="str">
        <f t="array" ref="I632">_xlfn.XLOOKUP(B632,Vendedores!$A$2:$A$41,Vendedores!$D$2:$D$41,"No hay datos")</f>
        <v>Región Central 2</v>
      </c>
      <c r="J632" s="2" t="str">
        <f t="array" ref="J632:N632">_xlfn.XLOOKUP(A632,Productos!$A$2:$A$61,Productos!$B$2:$F$61)</f>
        <v>Chaqueta de cuero</v>
      </c>
      <c r="K632" s="2" t="s">
        <v>22</v>
      </c>
      <c r="L632" s="2" t="s">
        <v>10</v>
      </c>
      <c r="M632" s="2" t="s">
        <v>94</v>
      </c>
      <c r="N632" s="2" t="s">
        <v>44</v>
      </c>
    </row>
    <row r="633">
      <c r="A633" s="2" t="str">
        <f>IFERROR(__xludf.DUMMYFUNCTION("""COMPUTED_VALUE"""),"PR017")</f>
        <v>PR017</v>
      </c>
      <c r="B633" s="2" t="str">
        <f>IFERROR(__xludf.DUMMYFUNCTION("""COMPUTED_VALUE"""),"VD019")</f>
        <v>VD019</v>
      </c>
      <c r="C633" s="2">
        <f>IFERROR(__xludf.DUMMYFUNCTION("""COMPUTED_VALUE"""),10.0)</f>
        <v>10</v>
      </c>
      <c r="D633" s="6">
        <f>IFERROR(__xludf.DUMMYFUNCTION("""COMPUTED_VALUE"""),304.98)</f>
        <v>304.98</v>
      </c>
      <c r="E633" s="6">
        <f>IFERROR(__xludf.DUMMYFUNCTION("GOOGLEFINANCE(""Currency:BRLMXN"")*D633"),1036.16955)</f>
        <v>1036.16955</v>
      </c>
      <c r="F633" s="6">
        <f>IFERROR(__xludf.DUMMYFUNCTION("GOOGLEFINANCE(""Currency:BRLPEN"")*D633"),199.944888)</f>
        <v>199.944888</v>
      </c>
      <c r="G633" s="2" t="str">
        <f t="array" ref="G633">_xlfn.XLOOKUP(B633,Vendedores!$A$2:$A$41,Vendedores!$B$2:$B$41,"No hay datos")</f>
        <v>Rafael Sosa</v>
      </c>
      <c r="H633" s="2" t="str">
        <f t="array" ref="H633">_xlfn.XLOOKUP(B633,Vendedores!$A$2:$A$41,Vendedores!$C$2:$C$41,"No hay datos")</f>
        <v>Selva Verde</v>
      </c>
      <c r="I633" s="2" t="str">
        <f t="array" ref="I633">_xlfn.XLOOKUP(B633,Vendedores!$A$2:$A$41,Vendedores!$D$2:$D$41,"No hay datos")</f>
        <v>Región Amazónica</v>
      </c>
      <c r="J633" s="2" t="str">
        <f t="array" ref="J633:N633">_xlfn.XLOOKUP(A633,Productos!$A$2:$A$61,Productos!$B$2:$F$61)</f>
        <v>Playera lisa</v>
      </c>
      <c r="K633" s="2" t="s">
        <v>17</v>
      </c>
      <c r="L633" s="2" t="s">
        <v>10</v>
      </c>
      <c r="M633" s="2" t="s">
        <v>98</v>
      </c>
      <c r="N633" s="2" t="s">
        <v>99</v>
      </c>
    </row>
    <row r="634">
      <c r="A634" s="2" t="str">
        <f>IFERROR(__xludf.DUMMYFUNCTION("""COMPUTED_VALUE"""),"PR058")</f>
        <v>PR058</v>
      </c>
      <c r="B634" s="2" t="str">
        <f>IFERROR(__xludf.DUMMYFUNCTION("""COMPUTED_VALUE"""),"VD046")</f>
        <v>VD046</v>
      </c>
      <c r="C634" s="2">
        <f>IFERROR(__xludf.DUMMYFUNCTION("""COMPUTED_VALUE"""),1.0)</f>
        <v>1</v>
      </c>
      <c r="D634" s="6">
        <f>IFERROR(__xludf.DUMMYFUNCTION("""COMPUTED_VALUE"""),189.0)</f>
        <v>189</v>
      </c>
      <c r="E634" s="6">
        <f>IFERROR(__xludf.DUMMYFUNCTION("GOOGLEFINANCE(""Currency:BRLMXN"")*D634"),642.1274999999999)</f>
        <v>642.1275</v>
      </c>
      <c r="F634" s="6">
        <f>IFERROR(__xludf.DUMMYFUNCTION("GOOGLEFINANCE(""Currency:BRLPEN"")*D634"),123.90839999999999)</f>
        <v>123.9084</v>
      </c>
      <c r="G634" s="2" t="str">
        <f t="array" ref="G634">_xlfn.XLOOKUP(B634,Vendedores!$A$2:$A$41,Vendedores!$B$2:$B$41,"No hay datos")</f>
        <v>Juliana Pérez</v>
      </c>
      <c r="H634" s="2" t="str">
        <f t="array" ref="H634">_xlfn.XLOOKUP(B634,Vendedores!$A$2:$A$41,Vendedores!$C$2:$C$41,"No hay datos")</f>
        <v>Santa Cruz de la Sierra</v>
      </c>
      <c r="I634" s="2" t="str">
        <f t="array" ref="I634">_xlfn.XLOOKUP(B634,Vendedores!$A$2:$A$41,Vendedores!$D$2:$D$41,"No hay datos")</f>
        <v>Región Central 2</v>
      </c>
      <c r="J634" s="2" t="str">
        <f t="array" ref="J634:N634">_xlfn.XLOOKUP(A634,Productos!$A$2:$A$61,Productos!$B$2:$F$61)</f>
        <v>Pantalón de sastre</v>
      </c>
      <c r="K634" s="2" t="s">
        <v>9</v>
      </c>
      <c r="L634" s="2" t="s">
        <v>10</v>
      </c>
      <c r="M634" s="2" t="s">
        <v>13</v>
      </c>
      <c r="N634" s="2" t="s">
        <v>14</v>
      </c>
    </row>
    <row r="635">
      <c r="A635" s="2" t="str">
        <f>IFERROR(__xludf.DUMMYFUNCTION("""COMPUTED_VALUE"""),"PR040")</f>
        <v>PR040</v>
      </c>
      <c r="B635" s="2" t="str">
        <f>IFERROR(__xludf.DUMMYFUNCTION("""COMPUTED_VALUE"""),"VD020")</f>
        <v>VD020</v>
      </c>
      <c r="C635" s="2">
        <f>IFERROR(__xludf.DUMMYFUNCTION("""COMPUTED_VALUE"""),10.0)</f>
        <v>10</v>
      </c>
      <c r="D635" s="6">
        <f>IFERROR(__xludf.DUMMYFUNCTION("""COMPUTED_VALUE"""),770.0)</f>
        <v>770</v>
      </c>
      <c r="E635" s="6">
        <f>IFERROR(__xludf.DUMMYFUNCTION("GOOGLEFINANCE(""Currency:BRLMXN"")*D635"),2616.075)</f>
        <v>2616.075</v>
      </c>
      <c r="F635" s="6">
        <f>IFERROR(__xludf.DUMMYFUNCTION("GOOGLEFINANCE(""Currency:BRLPEN"")*D635"),504.81199999999995)</f>
        <v>504.812</v>
      </c>
      <c r="G635" s="2" t="str">
        <f t="array" ref="G635">_xlfn.XLOOKUP(B635,Vendedores!$A$2:$A$41,Vendedores!$B$2:$B$41,"No hay datos")</f>
        <v>Gustavo Morales</v>
      </c>
      <c r="H635" s="2" t="str">
        <f t="array" ref="H635">_xlfn.XLOOKUP(B635,Vendedores!$A$2:$A$41,Vendedores!$C$2:$C$41,"No hay datos")</f>
        <v>Villa del Sol</v>
      </c>
      <c r="I635" s="2" t="str">
        <f t="array" ref="I635">_xlfn.XLOOKUP(B635,Vendedores!$A$2:$A$41,Vendedores!$D$2:$D$41,"No hay datos")</f>
        <v>Región Central 2</v>
      </c>
      <c r="J635" s="2" t="str">
        <f t="array" ref="J635:N635">_xlfn.XLOOKUP(A635,Productos!$A$2:$A$61,Productos!$B$2:$F$61)</f>
        <v>Playera confort</v>
      </c>
      <c r="K635" s="2" t="s">
        <v>9</v>
      </c>
      <c r="L635" s="2" t="s">
        <v>10</v>
      </c>
      <c r="M635" s="2" t="s">
        <v>68</v>
      </c>
      <c r="N635" s="2" t="s">
        <v>70</v>
      </c>
    </row>
    <row r="636">
      <c r="A636" s="2" t="str">
        <f>IFERROR(__xludf.DUMMYFUNCTION("""COMPUTED_VALUE"""),"PR014")</f>
        <v>PR014</v>
      </c>
      <c r="B636" s="2" t="str">
        <f>IFERROR(__xludf.DUMMYFUNCTION("""COMPUTED_VALUE"""),"VD028")</f>
        <v>VD028</v>
      </c>
      <c r="C636" s="2">
        <f>IFERROR(__xludf.DUMMYFUNCTION("""COMPUTED_VALUE"""),8.0)</f>
        <v>8</v>
      </c>
      <c r="D636" s="6">
        <f>IFERROR(__xludf.DUMMYFUNCTION("""COMPUTED_VALUE"""),331.97)</f>
        <v>331.97</v>
      </c>
      <c r="E636" s="6">
        <f>IFERROR(__xludf.DUMMYFUNCTION("GOOGLEFINANCE(""Currency:BRLMXN"")*D636"),1127.868075)</f>
        <v>1127.868075</v>
      </c>
      <c r="F636" s="6">
        <f>IFERROR(__xludf.DUMMYFUNCTION("GOOGLEFINANCE(""Currency:BRLPEN"")*D636"),217.639532)</f>
        <v>217.639532</v>
      </c>
      <c r="G636" s="2" t="str">
        <f t="array" ref="G636">_xlfn.XLOOKUP(B636,Vendedores!$A$2:$A$41,Vendedores!$B$2:$B$41,"No hay datos")</f>
        <v>Rodrigo Almonte</v>
      </c>
      <c r="H636" s="2" t="str">
        <f t="array" ref="H636">_xlfn.XLOOKUP(B636,Vendedores!$A$2:$A$41,Vendedores!$C$2:$C$41,"No hay datos")</f>
        <v>Valle Escondido</v>
      </c>
      <c r="I636" s="2" t="str">
        <f t="array" ref="I636">_xlfn.XLOOKUP(B636,Vendedores!$A$2:$A$41,Vendedores!$D$2:$D$41,"No hay datos")</f>
        <v>Región Andina</v>
      </c>
      <c r="J636" s="2" t="str">
        <f t="array" ref="J636:N636">_xlfn.XLOOKUP(A636,Productos!$A$2:$A$61,Productos!$B$2:$F$61)</f>
        <v>Playera estampada</v>
      </c>
      <c r="K636" s="2" t="s">
        <v>17</v>
      </c>
      <c r="L636" s="2" t="s">
        <v>10</v>
      </c>
      <c r="M636" s="2" t="s">
        <v>37</v>
      </c>
      <c r="N636" s="2" t="s">
        <v>38</v>
      </c>
    </row>
    <row r="637">
      <c r="A637" s="2" t="str">
        <f>IFERROR(__xludf.DUMMYFUNCTION("""COMPUTED_VALUE"""),"PR021")</f>
        <v>PR021</v>
      </c>
      <c r="B637" s="2" t="str">
        <f>IFERROR(__xludf.DUMMYFUNCTION("""COMPUTED_VALUE"""),"VD022")</f>
        <v>VD022</v>
      </c>
      <c r="C637" s="2">
        <f>IFERROR(__xludf.DUMMYFUNCTION("""COMPUTED_VALUE"""),8.0)</f>
        <v>8</v>
      </c>
      <c r="D637" s="6">
        <f>IFERROR(__xludf.DUMMYFUNCTION("""COMPUTED_VALUE"""),2447.43)</f>
        <v>2447.43</v>
      </c>
      <c r="E637" s="6">
        <f>IFERROR(__xludf.DUMMYFUNCTION("GOOGLEFINANCE(""Currency:BRLMXN"")*D637"),8315.143425)</f>
        <v>8315.143425</v>
      </c>
      <c r="F637" s="6">
        <f>IFERROR(__xludf.DUMMYFUNCTION("GOOGLEFINANCE(""Currency:BRLPEN"")*D637"),1604.5351079999998)</f>
        <v>1604.535108</v>
      </c>
      <c r="G637" s="2" t="str">
        <f t="array" ref="G637">_xlfn.XLOOKUP(B637,Vendedores!$A$2:$A$41,Vendedores!$B$2:$B$41,"No hay datos")</f>
        <v>Santiago Linares</v>
      </c>
      <c r="H637" s="2" t="str">
        <f t="array" ref="H637">_xlfn.XLOOKUP(B637,Vendedores!$A$2:$A$41,Vendedores!$C$2:$C$41,"No hay datos")</f>
        <v>Vista Hermosa</v>
      </c>
      <c r="I637" s="2" t="str">
        <f t="array" ref="I637">_xlfn.XLOOKUP(B637,Vendedores!$A$2:$A$41,Vendedores!$D$2:$D$41,"No hay datos")</f>
        <v>Región Central</v>
      </c>
      <c r="J637" s="2" t="str">
        <f t="array" ref="J637:N637">_xlfn.XLOOKUP(A637,Productos!$A$2:$A$61,Productos!$B$2:$F$61)</f>
        <v>Chaqueta de cuero</v>
      </c>
      <c r="K637" s="2" t="s">
        <v>17</v>
      </c>
      <c r="L637" s="2" t="s">
        <v>10</v>
      </c>
      <c r="M637" s="2" t="s">
        <v>80</v>
      </c>
      <c r="N637" s="2" t="s">
        <v>81</v>
      </c>
    </row>
    <row r="638">
      <c r="A638" s="2" t="str">
        <f>IFERROR(__xludf.DUMMYFUNCTION("""COMPUTED_VALUE"""),"PR028")</f>
        <v>PR028</v>
      </c>
      <c r="B638" s="2" t="str">
        <f>IFERROR(__xludf.DUMMYFUNCTION("""COMPUTED_VALUE"""),"VD021")</f>
        <v>VD021</v>
      </c>
      <c r="C638" s="2">
        <f>IFERROR(__xludf.DUMMYFUNCTION("""COMPUTED_VALUE"""),10.0)</f>
        <v>10</v>
      </c>
      <c r="D638" s="6">
        <f>IFERROR(__xludf.DUMMYFUNCTION("""COMPUTED_VALUE"""),2723.91)</f>
        <v>2723.91</v>
      </c>
      <c r="E638" s="6">
        <f>IFERROR(__xludf.DUMMYFUNCTION("GOOGLEFINANCE(""Currency:BRLMXN"")*D638"),9254.484225)</f>
        <v>9254.484225</v>
      </c>
      <c r="F638" s="6">
        <f>IFERROR(__xludf.DUMMYFUNCTION("GOOGLEFINANCE(""Currency:BRLPEN"")*D638"),1785.7953959999998)</f>
        <v>1785.795396</v>
      </c>
      <c r="G638" s="2" t="str">
        <f t="array" ref="G638">_xlfn.XLOOKUP(B638,Vendedores!$A$2:$A$41,Vendedores!$B$2:$B$41,"No hay datos")</f>
        <v>Fernanda Méndez</v>
      </c>
      <c r="H638" s="2" t="str">
        <f t="array" ref="H638">_xlfn.XLOOKUP(B638,Vendedores!$A$2:$A$41,Vendedores!$C$2:$C$41,"No hay datos")</f>
        <v>San Juan de la Sierra</v>
      </c>
      <c r="I638" s="2" t="str">
        <f t="array" ref="I638">_xlfn.XLOOKUP(B638,Vendedores!$A$2:$A$41,Vendedores!$D$2:$D$41,"No hay datos")</f>
        <v>Región Central</v>
      </c>
      <c r="J638" s="2" t="str">
        <f t="array" ref="J638:N638">_xlfn.XLOOKUP(A638,Productos!$A$2:$A$61,Productos!$B$2:$F$61)</f>
        <v>Tenis Atitas</v>
      </c>
      <c r="K638" s="2">
        <v>36.0</v>
      </c>
      <c r="L638" s="2" t="s">
        <v>33</v>
      </c>
      <c r="M638" s="2" t="s">
        <v>55</v>
      </c>
      <c r="N638" s="2" t="s">
        <v>56</v>
      </c>
    </row>
    <row r="639">
      <c r="A639" s="2" t="str">
        <f>IFERROR(__xludf.DUMMYFUNCTION("""COMPUTED_VALUE"""),"PR052")</f>
        <v>PR052</v>
      </c>
      <c r="B639" s="2" t="str">
        <f>IFERROR(__xludf.DUMMYFUNCTION("""COMPUTED_VALUE"""),"VD018")</f>
        <v>VD018</v>
      </c>
      <c r="C639" s="2">
        <f>IFERROR(__xludf.DUMMYFUNCTION("""COMPUTED_VALUE"""),5.0)</f>
        <v>5</v>
      </c>
      <c r="D639" s="6">
        <f>IFERROR(__xludf.DUMMYFUNCTION("""COMPUTED_VALUE"""),259.48)</f>
        <v>259.48</v>
      </c>
      <c r="E639" s="6">
        <f>IFERROR(__xludf.DUMMYFUNCTION("GOOGLEFINANCE(""Currency:BRLMXN"")*D639"),881.5833)</f>
        <v>881.5833</v>
      </c>
      <c r="F639" s="6">
        <f>IFERROR(__xludf.DUMMYFUNCTION("GOOGLEFINANCE(""Currency:BRLPEN"")*D639"),170.11508800000001)</f>
        <v>170.115088</v>
      </c>
      <c r="G639" s="2" t="str">
        <f t="array" ref="G639">_xlfn.XLOOKUP(B639,Vendedores!$A$2:$A$41,Vendedores!$B$2:$B$41,"No hay datos")</f>
        <v>Leticia Rodríguez</v>
      </c>
      <c r="H639" s="2" t="str">
        <f t="array" ref="H639">_xlfn.XLOOKUP(B639,Vendedores!$A$2:$A$41,Vendedores!$C$2:$C$41,"No hay datos")</f>
        <v>Playa Blanca</v>
      </c>
      <c r="I639" s="2" t="str">
        <f t="array" ref="I639">_xlfn.XLOOKUP(B639,Vendedores!$A$2:$A$41,Vendedores!$D$2:$D$41,"No hay datos")</f>
        <v>Región Norte</v>
      </c>
      <c r="J639" s="2" t="str">
        <f t="array" ref="J639:N639">_xlfn.XLOOKUP(A639,Productos!$A$2:$A$61,Productos!$B$2:$F$61)</f>
        <v>Falda plisada</v>
      </c>
      <c r="K639" s="2" t="s">
        <v>9</v>
      </c>
      <c r="L639" s="2" t="s">
        <v>10</v>
      </c>
      <c r="M639" s="2" t="s">
        <v>36</v>
      </c>
      <c r="N639" s="2" t="s">
        <v>32</v>
      </c>
    </row>
    <row r="640">
      <c r="A640" s="2" t="str">
        <f>IFERROR(__xludf.DUMMYFUNCTION("""COMPUTED_VALUE"""),"PR042")</f>
        <v>PR042</v>
      </c>
      <c r="B640" s="2" t="str">
        <f>IFERROR(__xludf.DUMMYFUNCTION("""COMPUTED_VALUE"""),"VD011")</f>
        <v>VD011</v>
      </c>
      <c r="C640" s="2">
        <f>IFERROR(__xludf.DUMMYFUNCTION("""COMPUTED_VALUE"""),9.0)</f>
        <v>9</v>
      </c>
      <c r="D640" s="6">
        <f>IFERROR(__xludf.DUMMYFUNCTION("""COMPUTED_VALUE"""),523.75)</f>
        <v>523.75</v>
      </c>
      <c r="E640" s="6">
        <f>IFERROR(__xludf.DUMMYFUNCTION("GOOGLEFINANCE(""Currency:BRLMXN"")*D640"),1779.440625)</f>
        <v>1779.440625</v>
      </c>
      <c r="F640" s="6">
        <f>IFERROR(__xludf.DUMMYFUNCTION("GOOGLEFINANCE(""Currency:BRLPEN"")*D640"),343.3705)</f>
        <v>343.3705</v>
      </c>
      <c r="G640" s="2" t="str">
        <f t="array" ref="G640">_xlfn.XLOOKUP(B640,Vendedores!$A$2:$A$41,Vendedores!$B$2:$B$41,"No hay datos")</f>
        <v>Juan Santos</v>
      </c>
      <c r="H640" s="2" t="str">
        <f t="array" ref="H640">_xlfn.XLOOKUP(B640,Vendedores!$A$2:$A$41,Vendedores!$C$2:$C$41,"No hay datos")</f>
        <v>Vista Hermosa</v>
      </c>
      <c r="I640" s="2" t="str">
        <f t="array" ref="I640">_xlfn.XLOOKUP(B640,Vendedores!$A$2:$A$41,Vendedores!$D$2:$D$41,"No hay datos")</f>
        <v>Región Central</v>
      </c>
      <c r="J640" s="2" t="str">
        <f t="array" ref="J640:N640">_xlfn.XLOOKUP(A640,Productos!$A$2:$A$61,Productos!$B$2:$F$61)</f>
        <v>Playera confort</v>
      </c>
      <c r="K640" s="2" t="s">
        <v>22</v>
      </c>
      <c r="L640" s="2" t="s">
        <v>10</v>
      </c>
      <c r="M640" s="2" t="s">
        <v>25</v>
      </c>
      <c r="N640" s="2" t="s">
        <v>26</v>
      </c>
    </row>
    <row r="641">
      <c r="A641" s="2" t="str">
        <f>IFERROR(__xludf.DUMMYFUNCTION("""COMPUTED_VALUE"""),"PR034")</f>
        <v>PR034</v>
      </c>
      <c r="B641" s="2" t="str">
        <f>IFERROR(__xludf.DUMMYFUNCTION("""COMPUTED_VALUE"""),"VD033")</f>
        <v>VD033</v>
      </c>
      <c r="C641" s="2">
        <f>IFERROR(__xludf.DUMMYFUNCTION("""COMPUTED_VALUE"""),6.0)</f>
        <v>6</v>
      </c>
      <c r="D641" s="6">
        <f>IFERROR(__xludf.DUMMYFUNCTION("""COMPUTED_VALUE"""),539.4)</f>
        <v>539.4</v>
      </c>
      <c r="E641" s="6">
        <f>IFERROR(__xludf.DUMMYFUNCTION("GOOGLEFINANCE(""Currency:BRLMXN"")*D641"),1832.6115)</f>
        <v>1832.6115</v>
      </c>
      <c r="F641" s="6">
        <f>IFERROR(__xludf.DUMMYFUNCTION("GOOGLEFINANCE(""Currency:BRLPEN"")*D641"),353.63063999999997)</f>
        <v>353.63064</v>
      </c>
      <c r="G641" s="2" t="str">
        <f t="array" ref="G641">_xlfn.XLOOKUP(B641,Vendedores!$A$2:$A$41,Vendedores!$B$2:$B$41,"No hay datos")</f>
        <v>Renata Flores</v>
      </c>
      <c r="H641" s="2" t="str">
        <f t="array" ref="H641">_xlfn.XLOOKUP(B641,Vendedores!$A$2:$A$41,Vendedores!$C$2:$C$41,"No hay datos")</f>
        <v>Altos del Sur</v>
      </c>
      <c r="I641" s="2" t="str">
        <f t="array" ref="I641">_xlfn.XLOOKUP(B641,Vendedores!$A$2:$A$41,Vendedores!$D$2:$D$41,"No hay datos")</f>
        <v>Región Central 2</v>
      </c>
      <c r="J641" s="2" t="str">
        <f t="array" ref="J641:N641">_xlfn.XLOOKUP(A641,Productos!$A$2:$A$61,Productos!$B$2:$F$61)</f>
        <v>Vestido corto</v>
      </c>
      <c r="K641" s="2" t="s">
        <v>9</v>
      </c>
      <c r="L641" s="2" t="s">
        <v>10</v>
      </c>
      <c r="M641" s="2" t="s">
        <v>93</v>
      </c>
      <c r="N641" s="2" t="s">
        <v>35</v>
      </c>
    </row>
    <row r="642">
      <c r="A642" s="2" t="str">
        <f>IFERROR(__xludf.DUMMYFUNCTION("""COMPUTED_VALUE"""),"PR040")</f>
        <v>PR040</v>
      </c>
      <c r="B642" s="2" t="str">
        <f>IFERROR(__xludf.DUMMYFUNCTION("""COMPUTED_VALUE"""),"VD011")</f>
        <v>VD011</v>
      </c>
      <c r="C642" s="2">
        <f>IFERROR(__xludf.DUMMYFUNCTION("""COMPUTED_VALUE"""),2.0)</f>
        <v>2</v>
      </c>
      <c r="D642" s="6">
        <f>IFERROR(__xludf.DUMMYFUNCTION("""COMPUTED_VALUE"""),140.0)</f>
        <v>140</v>
      </c>
      <c r="E642" s="6">
        <f>IFERROR(__xludf.DUMMYFUNCTION("GOOGLEFINANCE(""Currency:BRLMXN"")*D642"),475.65)</f>
        <v>475.65</v>
      </c>
      <c r="F642" s="6">
        <f>IFERROR(__xludf.DUMMYFUNCTION("GOOGLEFINANCE(""Currency:BRLPEN"")*D642"),91.78399999999999)</f>
        <v>91.784</v>
      </c>
      <c r="G642" s="2" t="str">
        <f t="array" ref="G642">_xlfn.XLOOKUP(B642,Vendedores!$A$2:$A$41,Vendedores!$B$2:$B$41,"No hay datos")</f>
        <v>Juan Santos</v>
      </c>
      <c r="H642" s="2" t="str">
        <f t="array" ref="H642">_xlfn.XLOOKUP(B642,Vendedores!$A$2:$A$41,Vendedores!$C$2:$C$41,"No hay datos")</f>
        <v>Vista Hermosa</v>
      </c>
      <c r="I642" s="2" t="str">
        <f t="array" ref="I642">_xlfn.XLOOKUP(B642,Vendedores!$A$2:$A$41,Vendedores!$D$2:$D$41,"No hay datos")</f>
        <v>Región Central</v>
      </c>
      <c r="J642" s="2" t="str">
        <f t="array" ref="J642:N642">_xlfn.XLOOKUP(A642,Productos!$A$2:$A$61,Productos!$B$2:$F$61)</f>
        <v>Playera confort</v>
      </c>
      <c r="K642" s="2" t="s">
        <v>9</v>
      </c>
      <c r="L642" s="2" t="s">
        <v>10</v>
      </c>
      <c r="M642" s="2" t="s">
        <v>68</v>
      </c>
      <c r="N642" s="2" t="s">
        <v>70</v>
      </c>
    </row>
    <row r="643">
      <c r="A643" s="2" t="str">
        <f>IFERROR(__xludf.DUMMYFUNCTION("""COMPUTED_VALUE"""),"PR004")</f>
        <v>PR004</v>
      </c>
      <c r="B643" s="2" t="str">
        <f>IFERROR(__xludf.DUMMYFUNCTION("""COMPUTED_VALUE"""),"VD012")</f>
        <v>VD012</v>
      </c>
      <c r="C643" s="2">
        <f>IFERROR(__xludf.DUMMYFUNCTION("""COMPUTED_VALUE"""),6.0)</f>
        <v>6</v>
      </c>
      <c r="D643" s="6">
        <f>IFERROR(__xludf.DUMMYFUNCTION("""COMPUTED_VALUE"""),948.3)</f>
        <v>948.3</v>
      </c>
      <c r="E643" s="6">
        <f>IFERROR(__xludf.DUMMYFUNCTION("GOOGLEFINANCE(""Currency:BRLMXN"")*D643"),3221.8492499999998)</f>
        <v>3221.84925</v>
      </c>
      <c r="F643" s="6">
        <f>IFERROR(__xludf.DUMMYFUNCTION("GOOGLEFINANCE(""Currency:BRLPEN"")*D643"),621.70548)</f>
        <v>621.70548</v>
      </c>
      <c r="G643" s="2" t="str">
        <f t="array" ref="G643">_xlfn.XLOOKUP(B643,Vendedores!$A$2:$A$41,Vendedores!$B$2:$B$41,"No hay datos")</f>
        <v>Ana Olmedo</v>
      </c>
      <c r="H643" s="2" t="str">
        <f t="array" ref="H643">_xlfn.XLOOKUP(B643,Vendedores!$A$2:$A$41,Vendedores!$C$2:$C$41,"No hay datos")</f>
        <v>Río Claro</v>
      </c>
      <c r="I643" s="2" t="str">
        <f t="array" ref="I643">_xlfn.XLOOKUP(B643,Vendedores!$A$2:$A$41,Vendedores!$D$2:$D$41,"No hay datos")</f>
        <v>Región Central</v>
      </c>
      <c r="J643" s="2" t="str">
        <f t="array" ref="J643:N643">_xlfn.XLOOKUP(A643,Productos!$A$2:$A$61,Productos!$B$2:$F$61)</f>
        <v>Bolso versátil</v>
      </c>
      <c r="K643" s="2" t="s">
        <v>29</v>
      </c>
      <c r="L643" s="2" t="s">
        <v>30</v>
      </c>
      <c r="M643" s="2" t="s">
        <v>59</v>
      </c>
      <c r="N643" s="2" t="s">
        <v>60</v>
      </c>
    </row>
    <row r="644">
      <c r="A644" s="2" t="str">
        <f>IFERROR(__xludf.DUMMYFUNCTION("""COMPUTED_VALUE"""),"PR050")</f>
        <v>PR050</v>
      </c>
      <c r="B644" s="2" t="str">
        <f>IFERROR(__xludf.DUMMYFUNCTION("""COMPUTED_VALUE"""),"VD040")</f>
        <v>VD040</v>
      </c>
      <c r="C644" s="2">
        <f>IFERROR(__xludf.DUMMYFUNCTION("""COMPUTED_VALUE"""),6.0)</f>
        <v>6</v>
      </c>
      <c r="D644" s="6">
        <f>IFERROR(__xludf.DUMMYFUNCTION("""COMPUTED_VALUE"""),213.19)</f>
        <v>213.19</v>
      </c>
      <c r="E644" s="6">
        <f>IFERROR(__xludf.DUMMYFUNCTION("GOOGLEFINANCE(""Currency:BRLMXN"")*D644"),724.313025)</f>
        <v>724.313025</v>
      </c>
      <c r="F644" s="6">
        <f>IFERROR(__xludf.DUMMYFUNCTION("GOOGLEFINANCE(""Currency:BRLPEN"")*D644"),139.767364)</f>
        <v>139.767364</v>
      </c>
      <c r="G644" s="2" t="str">
        <f t="array" ref="G644">_xlfn.XLOOKUP(B644,Vendedores!$A$2:$A$41,Vendedores!$B$2:$B$41,"No hay datos")</f>
        <v>Tatiana Montero</v>
      </c>
      <c r="H644" s="2" t="str">
        <f t="array" ref="H644">_xlfn.XLOOKUP(B644,Vendedores!$A$2:$A$41,Vendedores!$C$2:$C$41,"No hay datos")</f>
        <v>Ciudad Industrial</v>
      </c>
      <c r="I644" s="2" t="str">
        <f t="array" ref="I644">_xlfn.XLOOKUP(B644,Vendedores!$A$2:$A$41,Vendedores!$D$2:$D$41,"No hay datos")</f>
        <v>Región Central 2</v>
      </c>
      <c r="J644" s="2" t="str">
        <f t="array" ref="J644:N644">_xlfn.XLOOKUP(A644,Productos!$A$2:$A$61,Productos!$B$2:$F$61)</f>
        <v>Playera a rayas</v>
      </c>
      <c r="K644" s="2" t="s">
        <v>17</v>
      </c>
      <c r="L644" s="2" t="s">
        <v>10</v>
      </c>
      <c r="M644" s="2" t="s">
        <v>27</v>
      </c>
      <c r="N644" s="2" t="s">
        <v>24</v>
      </c>
    </row>
    <row r="645">
      <c r="A645" s="2" t="str">
        <f>IFERROR(__xludf.DUMMYFUNCTION("""COMPUTED_VALUE"""),"PR059")</f>
        <v>PR059</v>
      </c>
      <c r="B645" s="2" t="str">
        <f>IFERROR(__xludf.DUMMYFUNCTION("""COMPUTED_VALUE"""),"VD027")</f>
        <v>VD027</v>
      </c>
      <c r="C645" s="2">
        <f>IFERROR(__xludf.DUMMYFUNCTION("""COMPUTED_VALUE"""),2.0)</f>
        <v>2</v>
      </c>
      <c r="D645" s="6">
        <f>IFERROR(__xludf.DUMMYFUNCTION("""COMPUTED_VALUE"""),378.0)</f>
        <v>378</v>
      </c>
      <c r="E645" s="6">
        <f>IFERROR(__xludf.DUMMYFUNCTION("GOOGLEFINANCE(""Currency:BRLMXN"")*D645"),1284.2549999999999)</f>
        <v>1284.255</v>
      </c>
      <c r="F645" s="6">
        <f>IFERROR(__xludf.DUMMYFUNCTION("GOOGLEFINANCE(""Currency:BRLPEN"")*D645"),247.81679999999997)</f>
        <v>247.8168</v>
      </c>
      <c r="G645" s="2" t="str">
        <f t="array" ref="G645">_xlfn.XLOOKUP(B645,Vendedores!$A$2:$A$41,Vendedores!$B$2:$B$41,"No hay datos")</f>
        <v>Patricia Cortés</v>
      </c>
      <c r="H645" s="2" t="str">
        <f t="array" ref="H645">_xlfn.XLOOKUP(B645,Vendedores!$A$2:$A$41,Vendedores!$C$2:$C$41,"No hay datos")</f>
        <v>Costa Azul</v>
      </c>
      <c r="I645" s="2" t="str">
        <f t="array" ref="I645">_xlfn.XLOOKUP(B645,Vendedores!$A$2:$A$41,Vendedores!$D$2:$D$41,"No hay datos")</f>
        <v>Región Norte</v>
      </c>
      <c r="J645" s="2" t="str">
        <f t="array" ref="J645:N645">_xlfn.XLOOKUP(A645,Productos!$A$2:$A$61,Productos!$B$2:$F$61)</f>
        <v>Pantalón de sastre</v>
      </c>
      <c r="K645" s="2" t="s">
        <v>17</v>
      </c>
      <c r="L645" s="2" t="s">
        <v>10</v>
      </c>
      <c r="M645" s="2" t="s">
        <v>28</v>
      </c>
      <c r="N645" s="2" t="s">
        <v>14</v>
      </c>
    </row>
    <row r="646">
      <c r="A646" s="2" t="str">
        <f>IFERROR(__xludf.DUMMYFUNCTION("""COMPUTED_VALUE"""),"PR058")</f>
        <v>PR058</v>
      </c>
      <c r="B646" s="2" t="str">
        <f>IFERROR(__xludf.DUMMYFUNCTION("""COMPUTED_VALUE"""),"VD031")</f>
        <v>VD031</v>
      </c>
      <c r="C646" s="2">
        <f>IFERROR(__xludf.DUMMYFUNCTION("""COMPUTED_VALUE"""),5.0)</f>
        <v>5</v>
      </c>
      <c r="D646" s="6">
        <f>IFERROR(__xludf.DUMMYFUNCTION("""COMPUTED_VALUE"""),927.0)</f>
        <v>927</v>
      </c>
      <c r="E646" s="6">
        <f>IFERROR(__xludf.DUMMYFUNCTION("GOOGLEFINANCE(""Currency:BRLMXN"")*D646"),3149.4825)</f>
        <v>3149.4825</v>
      </c>
      <c r="F646" s="6">
        <f>IFERROR(__xludf.DUMMYFUNCTION("GOOGLEFINANCE(""Currency:BRLPEN"")*D646"),607.7411999999999)</f>
        <v>607.7412</v>
      </c>
      <c r="G646" s="2" t="str">
        <f t="array" ref="G646">_xlfn.XLOOKUP(B646,Vendedores!$A$2:$A$41,Vendedores!$B$2:$B$41,"No hay datos")</f>
        <v>Vanessa Martínez</v>
      </c>
      <c r="H646" s="2" t="str">
        <f t="array" ref="H646">_xlfn.XLOOKUP(B646,Vendedores!$A$2:$A$41,Vendedores!$C$2:$C$41,"No hay datos")</f>
        <v>Monte Verde</v>
      </c>
      <c r="I646" s="2" t="str">
        <f t="array" ref="I646">_xlfn.XLOOKUP(B646,Vendedores!$A$2:$A$41,Vendedores!$D$2:$D$41,"No hay datos")</f>
        <v>Región Central 2</v>
      </c>
      <c r="J646" s="2" t="str">
        <f t="array" ref="J646:N646">_xlfn.XLOOKUP(A646,Productos!$A$2:$A$61,Productos!$B$2:$F$61)</f>
        <v>Pantalón de sastre</v>
      </c>
      <c r="K646" s="2" t="s">
        <v>9</v>
      </c>
      <c r="L646" s="2" t="s">
        <v>10</v>
      </c>
      <c r="M646" s="2" t="s">
        <v>13</v>
      </c>
      <c r="N646" s="2" t="s">
        <v>14</v>
      </c>
    </row>
    <row r="647">
      <c r="A647" s="2" t="str">
        <f>IFERROR(__xludf.DUMMYFUNCTION("""COMPUTED_VALUE"""),"PR039")</f>
        <v>PR039</v>
      </c>
      <c r="B647" s="2" t="str">
        <f>IFERROR(__xludf.DUMMYFUNCTION("""COMPUTED_VALUE"""),"VD048")</f>
        <v>VD048</v>
      </c>
      <c r="C647" s="2">
        <f>IFERROR(__xludf.DUMMYFUNCTION("""COMPUTED_VALUE"""),1.0)</f>
        <v>1</v>
      </c>
      <c r="D647" s="6">
        <f>IFERROR(__xludf.DUMMYFUNCTION("""COMPUTED_VALUE"""),153.3)</f>
        <v>153.3</v>
      </c>
      <c r="E647" s="6">
        <f>IFERROR(__xludf.DUMMYFUNCTION("GOOGLEFINANCE(""Currency:BRLMXN"")*D647"),520.83675)</f>
        <v>520.83675</v>
      </c>
      <c r="F647" s="6">
        <f>IFERROR(__xludf.DUMMYFUNCTION("GOOGLEFINANCE(""Currency:BRLPEN"")*D647"),100.50348)</f>
        <v>100.50348</v>
      </c>
      <c r="G647" s="2" t="str">
        <f t="array" ref="G647">_xlfn.XLOOKUP(B647,Vendedores!$A$2:$A$41,Vendedores!$B$2:$B$41,"No hay datos")</f>
        <v>Mariana Castro</v>
      </c>
      <c r="H647" s="2" t="str">
        <f t="array" ref="H647">_xlfn.XLOOKUP(B647,Vendedores!$A$2:$A$41,Vendedores!$C$2:$C$41,"No hay datos")</f>
        <v>San Carlos del Valle</v>
      </c>
      <c r="I647" s="2" t="str">
        <f t="array" ref="I647">_xlfn.XLOOKUP(B647,Vendedores!$A$2:$A$41,Vendedores!$D$2:$D$41,"No hay datos")</f>
        <v>Región Central 2</v>
      </c>
      <c r="J647" s="2" t="str">
        <f t="array" ref="J647:N647">_xlfn.XLOOKUP(A647,Productos!$A$2:$A$61,Productos!$B$2:$F$61)</f>
        <v>Vestido largo</v>
      </c>
      <c r="K647" s="2" t="s">
        <v>22</v>
      </c>
      <c r="L647" s="2" t="s">
        <v>10</v>
      </c>
      <c r="M647" s="2" t="s">
        <v>73</v>
      </c>
      <c r="N647" s="2" t="s">
        <v>74</v>
      </c>
    </row>
    <row r="648">
      <c r="A648" s="2" t="str">
        <f>IFERROR(__xludf.DUMMYFUNCTION("""COMPUTED_VALUE"""),"PR001")</f>
        <v>PR001</v>
      </c>
      <c r="B648" s="2" t="str">
        <f>IFERROR(__xludf.DUMMYFUNCTION("""COMPUTED_VALUE"""),"VD028")</f>
        <v>VD028</v>
      </c>
      <c r="C648" s="2">
        <f>IFERROR(__xludf.DUMMYFUNCTION("""COMPUTED_VALUE"""),5.0)</f>
        <v>5</v>
      </c>
      <c r="D648" s="6">
        <f>IFERROR(__xludf.DUMMYFUNCTION("""COMPUTED_VALUE"""),336.09)</f>
        <v>336.09</v>
      </c>
      <c r="E648" s="6">
        <f>IFERROR(__xludf.DUMMYFUNCTION("GOOGLEFINANCE(""Currency:BRLMXN"")*D648"),1141.865775)</f>
        <v>1141.865775</v>
      </c>
      <c r="F648" s="6">
        <f>IFERROR(__xludf.DUMMYFUNCTION("GOOGLEFINANCE(""Currency:BRLPEN"")*D648"),220.34060399999996)</f>
        <v>220.340604</v>
      </c>
      <c r="G648" s="2" t="str">
        <f t="array" ref="G648">_xlfn.XLOOKUP(B648,Vendedores!$A$2:$A$41,Vendedores!$B$2:$B$41,"No hay datos")</f>
        <v>Rodrigo Almonte</v>
      </c>
      <c r="H648" s="2" t="str">
        <f t="array" ref="H648">_xlfn.XLOOKUP(B648,Vendedores!$A$2:$A$41,Vendedores!$C$2:$C$41,"No hay datos")</f>
        <v>Valle Escondido</v>
      </c>
      <c r="I648" s="2" t="str">
        <f t="array" ref="I648">_xlfn.XLOOKUP(B648,Vendedores!$A$2:$A$41,Vendedores!$D$2:$D$41,"No hay datos")</f>
        <v>Región Andina</v>
      </c>
      <c r="J648" s="2" t="str">
        <f t="array" ref="J648:N648">_xlfn.XLOOKUP(A648,Productos!$A$2:$A$61,Productos!$B$2:$F$61)</f>
        <v>Bermuda</v>
      </c>
      <c r="K648" s="2" t="s">
        <v>9</v>
      </c>
      <c r="L648" s="2" t="s">
        <v>10</v>
      </c>
      <c r="M648" s="2" t="s">
        <v>11</v>
      </c>
      <c r="N648" s="2" t="s">
        <v>12</v>
      </c>
    </row>
    <row r="649">
      <c r="A649" s="2" t="str">
        <f>IFERROR(__xludf.DUMMYFUNCTION("""COMPUTED_VALUE"""),"PR006")</f>
        <v>PR006</v>
      </c>
      <c r="B649" s="2" t="str">
        <f>IFERROR(__xludf.DUMMYFUNCTION("""COMPUTED_VALUE"""),"VD027")</f>
        <v>VD027</v>
      </c>
      <c r="C649" s="2">
        <f>IFERROR(__xludf.DUMMYFUNCTION("""COMPUTED_VALUE"""),8.0)</f>
        <v>8</v>
      </c>
      <c r="D649" s="6">
        <f>IFERROR(__xludf.DUMMYFUNCTION("""COMPUTED_VALUE"""),347.93)</f>
        <v>347.93</v>
      </c>
      <c r="E649" s="6">
        <f>IFERROR(__xludf.DUMMYFUNCTION("GOOGLEFINANCE(""Currency:BRLMXN"")*D649"),1182.092175)</f>
        <v>1182.092175</v>
      </c>
      <c r="F649" s="6">
        <f>IFERROR(__xludf.DUMMYFUNCTION("GOOGLEFINANCE(""Currency:BRLPEN"")*D649"),228.10290799999999)</f>
        <v>228.102908</v>
      </c>
      <c r="G649" s="2" t="str">
        <f t="array" ref="G649">_xlfn.XLOOKUP(B649,Vendedores!$A$2:$A$41,Vendedores!$B$2:$B$41,"No hay datos")</f>
        <v>Patricia Cortés</v>
      </c>
      <c r="H649" s="2" t="str">
        <f t="array" ref="H649">_xlfn.XLOOKUP(B649,Vendedores!$A$2:$A$41,Vendedores!$C$2:$C$41,"No hay datos")</f>
        <v>Costa Azul</v>
      </c>
      <c r="I649" s="2" t="str">
        <f t="array" ref="I649">_xlfn.XLOOKUP(B649,Vendedores!$A$2:$A$41,Vendedores!$D$2:$D$41,"No hay datos")</f>
        <v>Región Norte</v>
      </c>
      <c r="J649" s="2" t="str">
        <f t="array" ref="J649:N649">_xlfn.XLOOKUP(A649,Productos!$A$2:$A$61,Productos!$B$2:$F$61)</f>
        <v>Gorra</v>
      </c>
      <c r="K649" s="2" t="s">
        <v>29</v>
      </c>
      <c r="L649" s="2" t="s">
        <v>30</v>
      </c>
      <c r="M649" s="2" t="s">
        <v>48</v>
      </c>
      <c r="N649" s="2" t="s">
        <v>38</v>
      </c>
    </row>
    <row r="650">
      <c r="A650" s="2" t="str">
        <f>IFERROR(__xludf.DUMMYFUNCTION("""COMPUTED_VALUE"""),"PR049")</f>
        <v>PR049</v>
      </c>
      <c r="B650" s="2" t="str">
        <f>IFERROR(__xludf.DUMMYFUNCTION("""COMPUTED_VALUE"""),"VD017")</f>
        <v>VD017</v>
      </c>
      <c r="C650" s="2">
        <f>IFERROR(__xludf.DUMMYFUNCTION("""COMPUTED_VALUE"""),16.0)</f>
        <v>16</v>
      </c>
      <c r="D650" s="6">
        <f>IFERROR(__xludf.DUMMYFUNCTION("""COMPUTED_VALUE"""),536.93)</f>
        <v>536.93</v>
      </c>
      <c r="E650" s="6">
        <f>IFERROR(__xludf.DUMMYFUNCTION("GOOGLEFINANCE(""Currency:BRLMXN"")*D650"),1824.2196749999998)</f>
        <v>1824.219675</v>
      </c>
      <c r="F650" s="6">
        <f>IFERROR(__xludf.DUMMYFUNCTION("GOOGLEFINANCE(""Currency:BRLPEN"")*D650"),352.01130799999993)</f>
        <v>352.011308</v>
      </c>
      <c r="G650" s="2" t="str">
        <f t="array" ref="G650">_xlfn.XLOOKUP(B650,Vendedores!$A$2:$A$41,Vendedores!$B$2:$B$41,"No hay datos")</f>
        <v>Bruno Peralta</v>
      </c>
      <c r="H650" s="2" t="str">
        <f t="array" ref="H650">_xlfn.XLOOKUP(B650,Vendedores!$A$2:$A$41,Vendedores!$C$2:$C$41,"No hay datos")</f>
        <v>Costa Azul</v>
      </c>
      <c r="I650" s="2" t="str">
        <f t="array" ref="I650">_xlfn.XLOOKUP(B650,Vendedores!$A$2:$A$41,Vendedores!$D$2:$D$41,"No hay datos")</f>
        <v>Región Norte</v>
      </c>
      <c r="J650" s="2" t="str">
        <f t="array" ref="J650:N650">_xlfn.XLOOKUP(A650,Productos!$A$2:$A$61,Productos!$B$2:$F$61)</f>
        <v>Playera a rayas</v>
      </c>
      <c r="K650" s="2" t="s">
        <v>9</v>
      </c>
      <c r="L650" s="2" t="s">
        <v>10</v>
      </c>
      <c r="M650" s="2" t="s">
        <v>47</v>
      </c>
      <c r="N650" s="2" t="s">
        <v>24</v>
      </c>
    </row>
    <row r="651">
      <c r="A651" s="2" t="str">
        <f>IFERROR(__xludf.DUMMYFUNCTION("""COMPUTED_VALUE"""),"PR029")</f>
        <v>PR029</v>
      </c>
      <c r="B651" s="2" t="str">
        <f>IFERROR(__xludf.DUMMYFUNCTION("""COMPUTED_VALUE"""),"VD035")</f>
        <v>VD035</v>
      </c>
      <c r="C651" s="2">
        <f>IFERROR(__xludf.DUMMYFUNCTION("""COMPUTED_VALUE"""),8.0)</f>
        <v>8</v>
      </c>
      <c r="D651" s="6">
        <f>IFERROR(__xludf.DUMMYFUNCTION("""COMPUTED_VALUE"""),2121.6)</f>
        <v>2121.6</v>
      </c>
      <c r="E651" s="6">
        <f>IFERROR(__xludf.DUMMYFUNCTION("GOOGLEFINANCE(""Currency:BRLMXN"")*D651"),7208.1359999999995)</f>
        <v>7208.136</v>
      </c>
      <c r="F651" s="6">
        <f>IFERROR(__xludf.DUMMYFUNCTION("GOOGLEFINANCE(""Currency:BRLPEN"")*D651"),1390.92096)</f>
        <v>1390.92096</v>
      </c>
      <c r="G651" s="2" t="str">
        <f t="array" ref="G651">_xlfn.XLOOKUP(B651,Vendedores!$A$2:$A$41,Vendedores!$B$2:$B$41,"No hay datos")</f>
        <v>Carolina Méndez</v>
      </c>
      <c r="H651" s="2" t="str">
        <f t="array" ref="H651">_xlfn.XLOOKUP(B651,Vendedores!$A$2:$A$41,Vendedores!$C$2:$C$41,"No hay datos")</f>
        <v>Valle de los Robles</v>
      </c>
      <c r="I651" s="2" t="str">
        <f t="array" ref="I651">_xlfn.XLOOKUP(B651,Vendedores!$A$2:$A$41,Vendedores!$D$2:$D$41,"No hay datos")</f>
        <v>Región Central 2</v>
      </c>
      <c r="J651" s="2" t="str">
        <f t="array" ref="J651:N651">_xlfn.XLOOKUP(A651,Productos!$A$2:$A$61,Productos!$B$2:$F$61)</f>
        <v>Tenis Atitas</v>
      </c>
      <c r="K651" s="2">
        <v>37.0</v>
      </c>
      <c r="L651" s="2" t="s">
        <v>33</v>
      </c>
      <c r="M651" s="2" t="s">
        <v>96</v>
      </c>
      <c r="N651" s="2" t="s">
        <v>97</v>
      </c>
    </row>
    <row r="652">
      <c r="A652" s="2" t="str">
        <f>IFERROR(__xludf.DUMMYFUNCTION("""COMPUTED_VALUE"""),"PR053")</f>
        <v>PR053</v>
      </c>
      <c r="B652" s="2" t="str">
        <f>IFERROR(__xludf.DUMMYFUNCTION("""COMPUTED_VALUE"""),"VD017")</f>
        <v>VD017</v>
      </c>
      <c r="C652" s="2">
        <f>IFERROR(__xludf.DUMMYFUNCTION("""COMPUTED_VALUE"""),3.0)</f>
        <v>3</v>
      </c>
      <c r="D652" s="6">
        <f>IFERROR(__xludf.DUMMYFUNCTION("""COMPUTED_VALUE"""),164.67)</f>
        <v>164.67</v>
      </c>
      <c r="E652" s="6">
        <f>IFERROR(__xludf.DUMMYFUNCTION("GOOGLEFINANCE(""Currency:BRLMXN"")*D652"),559.466325)</f>
        <v>559.466325</v>
      </c>
      <c r="F652" s="6">
        <f>IFERROR(__xludf.DUMMYFUNCTION("GOOGLEFINANCE(""Currency:BRLPEN"")*D652"),107.95765199999998)</f>
        <v>107.957652</v>
      </c>
      <c r="G652" s="2" t="str">
        <f t="array" ref="G652">_xlfn.XLOOKUP(B652,Vendedores!$A$2:$A$41,Vendedores!$B$2:$B$41,"No hay datos")</f>
        <v>Bruno Peralta</v>
      </c>
      <c r="H652" s="2" t="str">
        <f t="array" ref="H652">_xlfn.XLOOKUP(B652,Vendedores!$A$2:$A$41,Vendedores!$C$2:$C$41,"No hay datos")</f>
        <v>Costa Azul</v>
      </c>
      <c r="I652" s="2" t="str">
        <f t="array" ref="I652">_xlfn.XLOOKUP(B652,Vendedores!$A$2:$A$41,Vendedores!$D$2:$D$41,"No hay datos")</f>
        <v>Región Norte</v>
      </c>
      <c r="J652" s="2" t="str">
        <f t="array" ref="J652:N652">_xlfn.XLOOKUP(A652,Productos!$A$2:$A$61,Productos!$B$2:$F$61)</f>
        <v>Falda plisada</v>
      </c>
      <c r="K652" s="2" t="s">
        <v>17</v>
      </c>
      <c r="L652" s="2" t="s">
        <v>10</v>
      </c>
      <c r="M652" s="2" t="s">
        <v>41</v>
      </c>
      <c r="N652" s="2" t="s">
        <v>32</v>
      </c>
    </row>
    <row r="653">
      <c r="A653" s="2" t="str">
        <f>IFERROR(__xludf.DUMMYFUNCTION("""COMPUTED_VALUE"""),"PR058")</f>
        <v>PR058</v>
      </c>
      <c r="B653" s="2" t="str">
        <f>IFERROR(__xludf.DUMMYFUNCTION("""COMPUTED_VALUE"""),"VD038")</f>
        <v>VD038</v>
      </c>
      <c r="C653" s="2">
        <f>IFERROR(__xludf.DUMMYFUNCTION("""COMPUTED_VALUE"""),5.0)</f>
        <v>5</v>
      </c>
      <c r="D653" s="6">
        <f>IFERROR(__xludf.DUMMYFUNCTION("""COMPUTED_VALUE"""),909.0)</f>
        <v>909</v>
      </c>
      <c r="E653" s="6">
        <f>IFERROR(__xludf.DUMMYFUNCTION("GOOGLEFINANCE(""Currency:BRLMXN"")*D653"),3088.3275)</f>
        <v>3088.3275</v>
      </c>
      <c r="F653" s="6">
        <f>IFERROR(__xludf.DUMMYFUNCTION("GOOGLEFINANCE(""Currency:BRLPEN"")*D653"),595.9404)</f>
        <v>595.9404</v>
      </c>
      <c r="G653" s="2" t="str">
        <f t="array" ref="G653">_xlfn.XLOOKUP(B653,Vendedores!$A$2:$A$41,Vendedores!$B$2:$B$41,"No hay datos")</f>
        <v>Bruno Olmedo</v>
      </c>
      <c r="H653" s="2" t="str">
        <f t="array" ref="H653">_xlfn.XLOOKUP(B653,Vendedores!$A$2:$A$41,Vendedores!$C$2:$C$41,"No hay datos")</f>
        <v>Tierra Fertil</v>
      </c>
      <c r="I653" s="2" t="str">
        <f t="array" ref="I653">_xlfn.XLOOKUP(B653,Vendedores!$A$2:$A$41,Vendedores!$D$2:$D$41,"No hay datos")</f>
        <v>Región Sur 2</v>
      </c>
      <c r="J653" s="2" t="str">
        <f t="array" ref="J653:N653">_xlfn.XLOOKUP(A653,Productos!$A$2:$A$61,Productos!$B$2:$F$61)</f>
        <v>Pantalón de sastre</v>
      </c>
      <c r="K653" s="2" t="s">
        <v>9</v>
      </c>
      <c r="L653" s="2" t="s">
        <v>10</v>
      </c>
      <c r="M653" s="2" t="s">
        <v>13</v>
      </c>
      <c r="N653" s="2" t="s">
        <v>14</v>
      </c>
    </row>
    <row r="654">
      <c r="A654" s="2" t="str">
        <f>IFERROR(__xludf.DUMMYFUNCTION("""COMPUTED_VALUE"""),"PR054")</f>
        <v>PR054</v>
      </c>
      <c r="B654" s="2" t="str">
        <f>IFERROR(__xludf.DUMMYFUNCTION("""COMPUTED_VALUE"""),"VD021")</f>
        <v>VD021</v>
      </c>
      <c r="C654" s="2">
        <f>IFERROR(__xludf.DUMMYFUNCTION("""COMPUTED_VALUE"""),12.0)</f>
        <v>12</v>
      </c>
      <c r="D654" s="6">
        <f>IFERROR(__xludf.DUMMYFUNCTION("""COMPUTED_VALUE"""),604.79)</f>
        <v>604.79</v>
      </c>
      <c r="E654" s="6">
        <f>IFERROR(__xludf.DUMMYFUNCTION("GOOGLEFINANCE(""Currency:BRLMXN"")*D654"),2054.7740249999997)</f>
        <v>2054.774025</v>
      </c>
      <c r="F654" s="6">
        <f>IFERROR(__xludf.DUMMYFUNCTION("GOOGLEFINANCE(""Currency:BRLPEN"")*D654"),396.500324)</f>
        <v>396.500324</v>
      </c>
      <c r="G654" s="2" t="str">
        <f t="array" ref="G654">_xlfn.XLOOKUP(B654,Vendedores!$A$2:$A$41,Vendedores!$B$2:$B$41,"No hay datos")</f>
        <v>Fernanda Méndez</v>
      </c>
      <c r="H654" s="2" t="str">
        <f t="array" ref="H654">_xlfn.XLOOKUP(B654,Vendedores!$A$2:$A$41,Vendedores!$C$2:$C$41,"No hay datos")</f>
        <v>San Juan de la Sierra</v>
      </c>
      <c r="I654" s="2" t="str">
        <f t="array" ref="I654">_xlfn.XLOOKUP(B654,Vendedores!$A$2:$A$41,Vendedores!$D$2:$D$41,"No hay datos")</f>
        <v>Región Central</v>
      </c>
      <c r="J654" s="2" t="str">
        <f t="array" ref="J654:N654">_xlfn.XLOOKUP(A654,Productos!$A$2:$A$61,Productos!$B$2:$F$61)</f>
        <v>Falda plisada</v>
      </c>
      <c r="K654" s="2" t="s">
        <v>22</v>
      </c>
      <c r="L654" s="2" t="s">
        <v>10</v>
      </c>
      <c r="M654" s="2" t="s">
        <v>42</v>
      </c>
      <c r="N654" s="2" t="s">
        <v>32</v>
      </c>
    </row>
    <row r="655">
      <c r="A655" s="2" t="str">
        <f>IFERROR(__xludf.DUMMYFUNCTION("""COMPUTED_VALUE"""),"PR035")</f>
        <v>PR035</v>
      </c>
      <c r="B655" s="2" t="str">
        <f>IFERROR(__xludf.DUMMYFUNCTION("""COMPUTED_VALUE"""),"VD039")</f>
        <v>VD039</v>
      </c>
      <c r="C655" s="2">
        <f>IFERROR(__xludf.DUMMYFUNCTION("""COMPUTED_VALUE"""),1.0)</f>
        <v>1</v>
      </c>
      <c r="D655" s="6">
        <f>IFERROR(__xludf.DUMMYFUNCTION("""COMPUTED_VALUE"""),94.14)</f>
        <v>94.14</v>
      </c>
      <c r="E655" s="6">
        <f>IFERROR(__xludf.DUMMYFUNCTION("GOOGLEFINANCE(""Currency:BRLMXN"")*D655"),319.84065)</f>
        <v>319.84065</v>
      </c>
      <c r="F655" s="6">
        <f>IFERROR(__xludf.DUMMYFUNCTION("GOOGLEFINANCE(""Currency:BRLPEN"")*D655"),61.718183999999994)</f>
        <v>61.718184</v>
      </c>
      <c r="G655" s="2" t="str">
        <f t="array" ref="G655">_xlfn.XLOOKUP(B655,Vendedores!$A$2:$A$41,Vendedores!$B$2:$B$41,"No hay datos")</f>
        <v>Daniela Rodríguez</v>
      </c>
      <c r="H655" s="2" t="str">
        <f t="array" ref="H655">_xlfn.XLOOKUP(B655,Vendedores!$A$2:$A$41,Vendedores!$C$2:$C$41,"No hay datos")</f>
        <v>Bahía del Sol</v>
      </c>
      <c r="I655" s="2" t="str">
        <f t="array" ref="I655">_xlfn.XLOOKUP(B655,Vendedores!$A$2:$A$41,Vendedores!$D$2:$D$41,"No hay datos")</f>
        <v>Región Central 2</v>
      </c>
      <c r="J655" s="2" t="str">
        <f t="array" ref="J655:N655">_xlfn.XLOOKUP(A655,Productos!$A$2:$A$61,Productos!$B$2:$F$61)</f>
        <v>Vestido corto</v>
      </c>
      <c r="K655" s="2" t="s">
        <v>17</v>
      </c>
      <c r="L655" s="2" t="s">
        <v>10</v>
      </c>
      <c r="M655" s="2" t="s">
        <v>18</v>
      </c>
      <c r="N655" s="2" t="s">
        <v>19</v>
      </c>
    </row>
    <row r="656">
      <c r="A656" s="2" t="str">
        <f>IFERROR(__xludf.DUMMYFUNCTION("""COMPUTED_VALUE"""),"PR013")</f>
        <v>PR013</v>
      </c>
      <c r="B656" s="2" t="str">
        <f>IFERROR(__xludf.DUMMYFUNCTION("""COMPUTED_VALUE"""),"VD020")</f>
        <v>VD020</v>
      </c>
      <c r="C656" s="2">
        <f>IFERROR(__xludf.DUMMYFUNCTION("""COMPUTED_VALUE"""),18.0)</f>
        <v>18</v>
      </c>
      <c r="D656" s="6">
        <f>IFERROR(__xludf.DUMMYFUNCTION("""COMPUTED_VALUE"""),761.29)</f>
        <v>761.29</v>
      </c>
      <c r="E656" s="6">
        <f>IFERROR(__xludf.DUMMYFUNCTION("GOOGLEFINANCE(""Currency:BRLMXN"")*D656"),2586.482775)</f>
        <v>2586.482775</v>
      </c>
      <c r="F656" s="6">
        <f>IFERROR(__xludf.DUMMYFUNCTION("GOOGLEFINANCE(""Currency:BRLPEN"")*D656"),499.10172399999993)</f>
        <v>499.101724</v>
      </c>
      <c r="G656" s="2" t="str">
        <f t="array" ref="G656">_xlfn.XLOOKUP(B656,Vendedores!$A$2:$A$41,Vendedores!$B$2:$B$41,"No hay datos")</f>
        <v>Gustavo Morales</v>
      </c>
      <c r="H656" s="2" t="str">
        <f t="array" ref="H656">_xlfn.XLOOKUP(B656,Vendedores!$A$2:$A$41,Vendedores!$C$2:$C$41,"No hay datos")</f>
        <v>Villa del Sol</v>
      </c>
      <c r="I656" s="2" t="str">
        <f t="array" ref="I656">_xlfn.XLOOKUP(B656,Vendedores!$A$2:$A$41,Vendedores!$D$2:$D$41,"No hay datos")</f>
        <v>Región Central 2</v>
      </c>
      <c r="J656" s="2" t="str">
        <f t="array" ref="J656:N656">_xlfn.XLOOKUP(A656,Productos!$A$2:$A$61,Productos!$B$2:$F$61)</f>
        <v>Playera estampada</v>
      </c>
      <c r="K656" s="2" t="s">
        <v>9</v>
      </c>
      <c r="L656" s="2" t="s">
        <v>10</v>
      </c>
      <c r="M656" s="2" t="s">
        <v>66</v>
      </c>
      <c r="N656" s="2" t="s">
        <v>38</v>
      </c>
    </row>
    <row r="657">
      <c r="A657" s="2" t="str">
        <f>IFERROR(__xludf.DUMMYFUNCTION("""COMPUTED_VALUE"""),"PR011")</f>
        <v>PR011</v>
      </c>
      <c r="B657" s="2" t="str">
        <f>IFERROR(__xludf.DUMMYFUNCTION("""COMPUTED_VALUE"""),"VD032")</f>
        <v>VD032</v>
      </c>
      <c r="C657" s="2">
        <f>IFERROR(__xludf.DUMMYFUNCTION("""COMPUTED_VALUE"""),18.0)</f>
        <v>18</v>
      </c>
      <c r="D657" s="6">
        <f>IFERROR(__xludf.DUMMYFUNCTION("""COMPUTED_VALUE"""),886.41)</f>
        <v>886.41</v>
      </c>
      <c r="E657" s="6">
        <f>IFERROR(__xludf.DUMMYFUNCTION("GOOGLEFINANCE(""Currency:BRLMXN"")*D657"),3011.5779749999997)</f>
        <v>3011.577975</v>
      </c>
      <c r="F657" s="6">
        <f>IFERROR(__xludf.DUMMYFUNCTION("GOOGLEFINANCE(""Currency:BRLPEN"")*D657"),581.1303959999999)</f>
        <v>581.130396</v>
      </c>
      <c r="G657" s="2" t="str">
        <f t="array" ref="G657">_xlfn.XLOOKUP(B657,Vendedores!$A$2:$A$41,Vendedores!$B$2:$B$41,"No hay datos")</f>
        <v>Eduardo Almonte</v>
      </c>
      <c r="H657" s="2" t="str">
        <f t="array" ref="H657">_xlfn.XLOOKUP(B657,Vendedores!$A$2:$A$41,Vendedores!$C$2:$C$41,"No hay datos")</f>
        <v>Tierra Colorada</v>
      </c>
      <c r="I657" s="2" t="str">
        <f t="array" ref="I657">_xlfn.XLOOKUP(B657,Vendedores!$A$2:$A$41,Vendedores!$D$2:$D$41,"No hay datos")</f>
        <v>Región Central 2</v>
      </c>
      <c r="J657" s="2" t="str">
        <f t="array" ref="J657:N657">_xlfn.XLOOKUP(A657,Productos!$A$2:$A$61,Productos!$B$2:$F$61)</f>
        <v>Pantalón legging</v>
      </c>
      <c r="K657" s="2" t="s">
        <v>17</v>
      </c>
      <c r="L657" s="2" t="s">
        <v>10</v>
      </c>
      <c r="M657" s="2" t="s">
        <v>67</v>
      </c>
      <c r="N657" s="2" t="s">
        <v>68</v>
      </c>
    </row>
    <row r="658">
      <c r="A658" s="2" t="str">
        <f>IFERROR(__xludf.DUMMYFUNCTION("""COMPUTED_VALUE"""),"PR037")</f>
        <v>PR037</v>
      </c>
      <c r="B658" s="2" t="str">
        <f>IFERROR(__xludf.DUMMYFUNCTION("""COMPUTED_VALUE"""),"VD010")</f>
        <v>VD010</v>
      </c>
      <c r="C658" s="2">
        <f>IFERROR(__xludf.DUMMYFUNCTION("""COMPUTED_VALUE"""),10.0)</f>
        <v>10</v>
      </c>
      <c r="D658" s="6">
        <f>IFERROR(__xludf.DUMMYFUNCTION("""COMPUTED_VALUE"""),1540.0)</f>
        <v>1540</v>
      </c>
      <c r="E658" s="6">
        <f>IFERROR(__xludf.DUMMYFUNCTION("GOOGLEFINANCE(""Currency:BRLMXN"")*D658"),5232.15)</f>
        <v>5232.15</v>
      </c>
      <c r="F658" s="6">
        <f>IFERROR(__xludf.DUMMYFUNCTION("GOOGLEFINANCE(""Currency:BRLPEN"")*D658"),1009.6239999999999)</f>
        <v>1009.624</v>
      </c>
      <c r="G658" s="2" t="str">
        <f t="array" ref="G658">_xlfn.XLOOKUP(B658,Vendedores!$A$2:$A$41,Vendedores!$B$2:$B$41,"No hay datos")</f>
        <v>María Silva</v>
      </c>
      <c r="H658" s="2" t="str">
        <f t="array" ref="H658">_xlfn.XLOOKUP(B658,Vendedores!$A$2:$A$41,Vendedores!$C$2:$C$41,"No hay datos")</f>
        <v>San Juan de la Sierra</v>
      </c>
      <c r="I658" s="2" t="str">
        <f t="array" ref="I658">_xlfn.XLOOKUP(B658,Vendedores!$A$2:$A$41,Vendedores!$D$2:$D$41,"No hay datos")</f>
        <v>Región Central</v>
      </c>
      <c r="J658" s="2" t="str">
        <f t="array" ref="J658:N658">_xlfn.XLOOKUP(A658,Productos!$A$2:$A$61,Productos!$B$2:$F$61)</f>
        <v>Vestido largo</v>
      </c>
      <c r="K658" s="2" t="s">
        <v>9</v>
      </c>
      <c r="L658" s="2" t="s">
        <v>10</v>
      </c>
      <c r="M658" s="2" t="s">
        <v>70</v>
      </c>
      <c r="N658" s="2" t="s">
        <v>71</v>
      </c>
    </row>
    <row r="659">
      <c r="A659" s="2" t="str">
        <f>IFERROR(__xludf.DUMMYFUNCTION("""COMPUTED_VALUE"""),"PR038")</f>
        <v>PR038</v>
      </c>
      <c r="B659" s="2" t="str">
        <f>IFERROR(__xludf.DUMMYFUNCTION("""COMPUTED_VALUE"""),"VD040")</f>
        <v>VD040</v>
      </c>
      <c r="C659" s="2">
        <f>IFERROR(__xludf.DUMMYFUNCTION("""COMPUTED_VALUE"""),6.0)</f>
        <v>6</v>
      </c>
      <c r="D659" s="6">
        <f>IFERROR(__xludf.DUMMYFUNCTION("""COMPUTED_VALUE"""),908.84)</f>
        <v>908.84</v>
      </c>
      <c r="E659" s="6">
        <f>IFERROR(__xludf.DUMMYFUNCTION("GOOGLEFINANCE(""Currency:BRLMXN"")*D659"),3087.7839)</f>
        <v>3087.7839</v>
      </c>
      <c r="F659" s="6">
        <f>IFERROR(__xludf.DUMMYFUNCTION("GOOGLEFINANCE(""Currency:BRLPEN"")*D659"),595.835504)</f>
        <v>595.835504</v>
      </c>
      <c r="G659" s="2" t="str">
        <f t="array" ref="G659">_xlfn.XLOOKUP(B659,Vendedores!$A$2:$A$41,Vendedores!$B$2:$B$41,"No hay datos")</f>
        <v>Tatiana Montero</v>
      </c>
      <c r="H659" s="2" t="str">
        <f t="array" ref="H659">_xlfn.XLOOKUP(B659,Vendedores!$A$2:$A$41,Vendedores!$C$2:$C$41,"No hay datos")</f>
        <v>Ciudad Industrial</v>
      </c>
      <c r="I659" s="2" t="str">
        <f t="array" ref="I659">_xlfn.XLOOKUP(B659,Vendedores!$A$2:$A$41,Vendedores!$D$2:$D$41,"No hay datos")</f>
        <v>Región Central 2</v>
      </c>
      <c r="J659" s="2" t="str">
        <f t="array" ref="J659:N659">_xlfn.XLOOKUP(A659,Productos!$A$2:$A$61,Productos!$B$2:$F$61)</f>
        <v>Vestido largo</v>
      </c>
      <c r="K659" s="2" t="s">
        <v>17</v>
      </c>
      <c r="L659" s="2" t="s">
        <v>10</v>
      </c>
      <c r="M659" s="2" t="s">
        <v>51</v>
      </c>
      <c r="N659" s="2" t="s">
        <v>52</v>
      </c>
    </row>
    <row r="660">
      <c r="A660" s="2" t="str">
        <f>IFERROR(__xludf.DUMMYFUNCTION("""COMPUTED_VALUE"""),"PR049")</f>
        <v>PR049</v>
      </c>
      <c r="B660" s="2" t="str">
        <f>IFERROR(__xludf.DUMMYFUNCTION("""COMPUTED_VALUE"""),"VD020")</f>
        <v>VD020</v>
      </c>
      <c r="C660" s="2">
        <f>IFERROR(__xludf.DUMMYFUNCTION("""COMPUTED_VALUE"""),2.0)</f>
        <v>2</v>
      </c>
      <c r="D660" s="6">
        <f>IFERROR(__xludf.DUMMYFUNCTION("""COMPUTED_VALUE"""),68.43)</f>
        <v>68.43</v>
      </c>
      <c r="E660" s="6">
        <f>IFERROR(__xludf.DUMMYFUNCTION("GOOGLEFINANCE(""Currency:BRLMXN"")*D660"),232.49092500000003)</f>
        <v>232.490925</v>
      </c>
      <c r="F660" s="6">
        <f>IFERROR(__xludf.DUMMYFUNCTION("GOOGLEFINANCE(""Currency:BRLPEN"")*D660"),44.862708000000005)</f>
        <v>44.862708</v>
      </c>
      <c r="G660" s="2" t="str">
        <f t="array" ref="G660">_xlfn.XLOOKUP(B660,Vendedores!$A$2:$A$41,Vendedores!$B$2:$B$41,"No hay datos")</f>
        <v>Gustavo Morales</v>
      </c>
      <c r="H660" s="2" t="str">
        <f t="array" ref="H660">_xlfn.XLOOKUP(B660,Vendedores!$A$2:$A$41,Vendedores!$C$2:$C$41,"No hay datos")</f>
        <v>Villa del Sol</v>
      </c>
      <c r="I660" s="2" t="str">
        <f t="array" ref="I660">_xlfn.XLOOKUP(B660,Vendedores!$A$2:$A$41,Vendedores!$D$2:$D$41,"No hay datos")</f>
        <v>Región Central 2</v>
      </c>
      <c r="J660" s="2" t="str">
        <f t="array" ref="J660:N660">_xlfn.XLOOKUP(A660,Productos!$A$2:$A$61,Productos!$B$2:$F$61)</f>
        <v>Playera a rayas</v>
      </c>
      <c r="K660" s="2" t="s">
        <v>9</v>
      </c>
      <c r="L660" s="2" t="s">
        <v>10</v>
      </c>
      <c r="M660" s="2" t="s">
        <v>47</v>
      </c>
      <c r="N660" s="2" t="s">
        <v>24</v>
      </c>
    </row>
    <row r="661">
      <c r="A661" s="2" t="str">
        <f>IFERROR(__xludf.DUMMYFUNCTION("""COMPUTED_VALUE"""),"PR006")</f>
        <v>PR006</v>
      </c>
      <c r="B661" s="2" t="str">
        <f>IFERROR(__xludf.DUMMYFUNCTION("""COMPUTED_VALUE"""),"VD048")</f>
        <v>VD048</v>
      </c>
      <c r="C661" s="2">
        <f>IFERROR(__xludf.DUMMYFUNCTION("""COMPUTED_VALUE"""),7.0)</f>
        <v>7</v>
      </c>
      <c r="D661" s="6">
        <f>IFERROR(__xludf.DUMMYFUNCTION("""COMPUTED_VALUE"""),307.23)</f>
        <v>307.23</v>
      </c>
      <c r="E661" s="6">
        <f>IFERROR(__xludf.DUMMYFUNCTION("GOOGLEFINANCE(""Currency:BRLMXN"")*D661"),1043.8139250000002)</f>
        <v>1043.813925</v>
      </c>
      <c r="F661" s="6">
        <f>IFERROR(__xludf.DUMMYFUNCTION("GOOGLEFINANCE(""Currency:BRLPEN"")*D661"),201.419988)</f>
        <v>201.419988</v>
      </c>
      <c r="G661" s="2" t="str">
        <f t="array" ref="G661">_xlfn.XLOOKUP(B661,Vendedores!$A$2:$A$41,Vendedores!$B$2:$B$41,"No hay datos")</f>
        <v>Mariana Castro</v>
      </c>
      <c r="H661" s="2" t="str">
        <f t="array" ref="H661">_xlfn.XLOOKUP(B661,Vendedores!$A$2:$A$41,Vendedores!$C$2:$C$41,"No hay datos")</f>
        <v>San Carlos del Valle</v>
      </c>
      <c r="I661" s="2" t="str">
        <f t="array" ref="I661">_xlfn.XLOOKUP(B661,Vendedores!$A$2:$A$41,Vendedores!$D$2:$D$41,"No hay datos")</f>
        <v>Región Central 2</v>
      </c>
      <c r="J661" s="2" t="str">
        <f t="array" ref="J661:N661">_xlfn.XLOOKUP(A661,Productos!$A$2:$A$61,Productos!$B$2:$F$61)</f>
        <v>Gorra</v>
      </c>
      <c r="K661" s="2" t="s">
        <v>29</v>
      </c>
      <c r="L661" s="2" t="s">
        <v>30</v>
      </c>
      <c r="M661" s="2" t="s">
        <v>48</v>
      </c>
      <c r="N661" s="2" t="s">
        <v>38</v>
      </c>
    </row>
    <row r="662">
      <c r="A662" s="2" t="str">
        <f>IFERROR(__xludf.DUMMYFUNCTION("""COMPUTED_VALUE"""),"PR058")</f>
        <v>PR058</v>
      </c>
      <c r="B662" s="2" t="str">
        <f>IFERROR(__xludf.DUMMYFUNCTION("""COMPUTED_VALUE"""),"VD021")</f>
        <v>VD021</v>
      </c>
      <c r="C662" s="2">
        <f>IFERROR(__xludf.DUMMYFUNCTION("""COMPUTED_VALUE"""),6.0)</f>
        <v>6</v>
      </c>
      <c r="D662" s="6">
        <f>IFERROR(__xludf.DUMMYFUNCTION("""COMPUTED_VALUE"""),1166.4)</f>
        <v>1166.4</v>
      </c>
      <c r="E662" s="6">
        <f>IFERROR(__xludf.DUMMYFUNCTION("GOOGLEFINANCE(""Currency:BRLMXN"")*D662"),3962.844)</f>
        <v>3962.844</v>
      </c>
      <c r="F662" s="6">
        <f>IFERROR(__xludf.DUMMYFUNCTION("GOOGLEFINANCE(""Currency:BRLPEN"")*D662"),764.6918400000001)</f>
        <v>764.69184</v>
      </c>
      <c r="G662" s="2" t="str">
        <f t="array" ref="G662">_xlfn.XLOOKUP(B662,Vendedores!$A$2:$A$41,Vendedores!$B$2:$B$41,"No hay datos")</f>
        <v>Fernanda Méndez</v>
      </c>
      <c r="H662" s="2" t="str">
        <f t="array" ref="H662">_xlfn.XLOOKUP(B662,Vendedores!$A$2:$A$41,Vendedores!$C$2:$C$41,"No hay datos")</f>
        <v>San Juan de la Sierra</v>
      </c>
      <c r="I662" s="2" t="str">
        <f t="array" ref="I662">_xlfn.XLOOKUP(B662,Vendedores!$A$2:$A$41,Vendedores!$D$2:$D$41,"No hay datos")</f>
        <v>Región Central</v>
      </c>
      <c r="J662" s="2" t="str">
        <f t="array" ref="J662:N662">_xlfn.XLOOKUP(A662,Productos!$A$2:$A$61,Productos!$B$2:$F$61)</f>
        <v>Pantalón de sastre</v>
      </c>
      <c r="K662" s="2" t="s">
        <v>9</v>
      </c>
      <c r="L662" s="2" t="s">
        <v>10</v>
      </c>
      <c r="M662" s="2" t="s">
        <v>13</v>
      </c>
      <c r="N662" s="2" t="s">
        <v>14</v>
      </c>
    </row>
    <row r="663">
      <c r="A663" s="2" t="str">
        <f>IFERROR(__xludf.DUMMYFUNCTION("""COMPUTED_VALUE"""),"PR059")</f>
        <v>PR059</v>
      </c>
      <c r="B663" s="2" t="str">
        <f>IFERROR(__xludf.DUMMYFUNCTION("""COMPUTED_VALUE"""),"VD033")</f>
        <v>VD033</v>
      </c>
      <c r="C663" s="2">
        <f>IFERROR(__xludf.DUMMYFUNCTION("""COMPUTED_VALUE"""),6.0)</f>
        <v>6</v>
      </c>
      <c r="D663" s="6">
        <f>IFERROR(__xludf.DUMMYFUNCTION("""COMPUTED_VALUE"""),1166.4)</f>
        <v>1166.4</v>
      </c>
      <c r="E663" s="6">
        <f>IFERROR(__xludf.DUMMYFUNCTION("GOOGLEFINANCE(""Currency:BRLMXN"")*D663"),3962.844)</f>
        <v>3962.844</v>
      </c>
      <c r="F663" s="6">
        <f>IFERROR(__xludf.DUMMYFUNCTION("GOOGLEFINANCE(""Currency:BRLPEN"")*D663"),764.6918400000001)</f>
        <v>764.69184</v>
      </c>
      <c r="G663" s="2" t="str">
        <f t="array" ref="G663">_xlfn.XLOOKUP(B663,Vendedores!$A$2:$A$41,Vendedores!$B$2:$B$41,"No hay datos")</f>
        <v>Renata Flores</v>
      </c>
      <c r="H663" s="2" t="str">
        <f t="array" ref="H663">_xlfn.XLOOKUP(B663,Vendedores!$A$2:$A$41,Vendedores!$C$2:$C$41,"No hay datos")</f>
        <v>Altos del Sur</v>
      </c>
      <c r="I663" s="2" t="str">
        <f t="array" ref="I663">_xlfn.XLOOKUP(B663,Vendedores!$A$2:$A$41,Vendedores!$D$2:$D$41,"No hay datos")</f>
        <v>Región Central 2</v>
      </c>
      <c r="J663" s="2" t="str">
        <f t="array" ref="J663:N663">_xlfn.XLOOKUP(A663,Productos!$A$2:$A$61,Productos!$B$2:$F$61)</f>
        <v>Pantalón de sastre</v>
      </c>
      <c r="K663" s="2" t="s">
        <v>17</v>
      </c>
      <c r="L663" s="2" t="s">
        <v>10</v>
      </c>
      <c r="M663" s="2" t="s">
        <v>28</v>
      </c>
      <c r="N663" s="2" t="s">
        <v>14</v>
      </c>
    </row>
    <row r="664">
      <c r="A664" s="2" t="str">
        <f>IFERROR(__xludf.DUMMYFUNCTION("""COMPUTED_VALUE"""),"PR051")</f>
        <v>PR051</v>
      </c>
      <c r="B664" s="2" t="str">
        <f>IFERROR(__xludf.DUMMYFUNCTION("""COMPUTED_VALUE"""),"VD024")</f>
        <v>VD024</v>
      </c>
      <c r="C664" s="2">
        <f>IFERROR(__xludf.DUMMYFUNCTION("""COMPUTED_VALUE"""),1.0)</f>
        <v>1</v>
      </c>
      <c r="D664" s="6">
        <f>IFERROR(__xludf.DUMMYFUNCTION("""COMPUTED_VALUE"""),33.56)</f>
        <v>33.56</v>
      </c>
      <c r="E664" s="6">
        <f>IFERROR(__xludf.DUMMYFUNCTION("GOOGLEFINANCE(""Currency:BRLMXN"")*D664"),114.02010000000001)</f>
        <v>114.0201</v>
      </c>
      <c r="F664" s="6">
        <f>IFERROR(__xludf.DUMMYFUNCTION("GOOGLEFINANCE(""Currency:BRLPEN"")*D664"),22.001936)</f>
        <v>22.001936</v>
      </c>
      <c r="G664" s="2" t="str">
        <f t="array" ref="G664">_xlfn.XLOOKUP(B664,Vendedores!$A$2:$A$41,Vendedores!$B$2:$B$41,"No hay datos")</f>
        <v>Marcos Rivera</v>
      </c>
      <c r="H664" s="2" t="str">
        <f t="array" ref="H664">_xlfn.XLOOKUP(B664,Vendedores!$A$2:$A$41,Vendedores!$C$2:$C$41,"No hay datos")</f>
        <v>Santa Rosa del Valle</v>
      </c>
      <c r="I664" s="2" t="str">
        <f t="array" ref="I664">_xlfn.XLOOKUP(B664,Vendedores!$A$2:$A$41,Vendedores!$D$2:$D$41,"No hay datos")</f>
        <v>Región Norte</v>
      </c>
      <c r="J664" s="2" t="str">
        <f t="array" ref="J664:N664">_xlfn.XLOOKUP(A664,Productos!$A$2:$A$61,Productos!$B$2:$F$61)</f>
        <v>Playera a rayas</v>
      </c>
      <c r="K664" s="2" t="s">
        <v>22</v>
      </c>
      <c r="L664" s="2" t="s">
        <v>10</v>
      </c>
      <c r="M664" s="2" t="s">
        <v>23</v>
      </c>
      <c r="N664" s="2" t="s">
        <v>24</v>
      </c>
    </row>
    <row r="665">
      <c r="A665" s="2" t="str">
        <f>IFERROR(__xludf.DUMMYFUNCTION("""COMPUTED_VALUE"""),"PR038")</f>
        <v>PR038</v>
      </c>
      <c r="B665" s="2" t="str">
        <f>IFERROR(__xludf.DUMMYFUNCTION("""COMPUTED_VALUE"""),"VD013")</f>
        <v>VD013</v>
      </c>
      <c r="C665" s="2">
        <f>IFERROR(__xludf.DUMMYFUNCTION("""COMPUTED_VALUE"""),7.0)</f>
        <v>7</v>
      </c>
      <c r="D665" s="6">
        <f>IFERROR(__xludf.DUMMYFUNCTION("""COMPUTED_VALUE"""),1020.31)</f>
        <v>1020.31</v>
      </c>
      <c r="E665" s="6">
        <f>IFERROR(__xludf.DUMMYFUNCTION("GOOGLEFINANCE(""Currency:BRLMXN"")*D665"),3466.503225)</f>
        <v>3466.503225</v>
      </c>
      <c r="F665" s="6">
        <f>IFERROR(__xludf.DUMMYFUNCTION("GOOGLEFINANCE(""Currency:BRLPEN"")*D665"),668.9152359999999)</f>
        <v>668.915236</v>
      </c>
      <c r="G665" s="2" t="str">
        <f t="array" ref="G665">_xlfn.XLOOKUP(B665,Vendedores!$A$2:$A$41,Vendedores!$B$2:$B$41,"No hay datos")</f>
        <v>Pedro Almonte</v>
      </c>
      <c r="H665" s="2" t="str">
        <f t="array" ref="H665">_xlfn.XLOOKUP(B665,Vendedores!$A$2:$A$41,Vendedores!$C$2:$C$41,"No hay datos")</f>
        <v>Santa Rosa del Valle</v>
      </c>
      <c r="I665" s="2" t="str">
        <f t="array" ref="I665">_xlfn.XLOOKUP(B665,Vendedores!$A$2:$A$41,Vendedores!$D$2:$D$41,"No hay datos")</f>
        <v>Región Norte</v>
      </c>
      <c r="J665" s="2" t="str">
        <f t="array" ref="J665:N665">_xlfn.XLOOKUP(A665,Productos!$A$2:$A$61,Productos!$B$2:$F$61)</f>
        <v>Vestido largo</v>
      </c>
      <c r="K665" s="2" t="s">
        <v>17</v>
      </c>
      <c r="L665" s="2" t="s">
        <v>10</v>
      </c>
      <c r="M665" s="2" t="s">
        <v>51</v>
      </c>
      <c r="N665" s="2" t="s">
        <v>52</v>
      </c>
    </row>
    <row r="666">
      <c r="A666" s="2" t="str">
        <f>IFERROR(__xludf.DUMMYFUNCTION("""COMPUTED_VALUE"""),"PR005")</f>
        <v>PR005</v>
      </c>
      <c r="B666" s="2" t="str">
        <f>IFERROR(__xludf.DUMMYFUNCTION("""COMPUTED_VALUE"""),"VD048")</f>
        <v>VD048</v>
      </c>
      <c r="C666" s="2">
        <f>IFERROR(__xludf.DUMMYFUNCTION("""COMPUTED_VALUE"""),1.0)</f>
        <v>1</v>
      </c>
      <c r="D666" s="6">
        <f>IFERROR(__xludf.DUMMYFUNCTION("""COMPUTED_VALUE"""),275.49)</f>
        <v>275.49</v>
      </c>
      <c r="E666" s="6">
        <f>IFERROR(__xludf.DUMMYFUNCTION("GOOGLEFINANCE(""Currency:BRLMXN"")*D666"),935.9772750000001)</f>
        <v>935.977275</v>
      </c>
      <c r="F666" s="6">
        <f>IFERROR(__xludf.DUMMYFUNCTION("GOOGLEFINANCE(""Currency:BRLPEN"")*D666"),180.611244)</f>
        <v>180.611244</v>
      </c>
      <c r="G666" s="2" t="str">
        <f t="array" ref="G666">_xlfn.XLOOKUP(B666,Vendedores!$A$2:$A$41,Vendedores!$B$2:$B$41,"No hay datos")</f>
        <v>Mariana Castro</v>
      </c>
      <c r="H666" s="2" t="str">
        <f t="array" ref="H666">_xlfn.XLOOKUP(B666,Vendedores!$A$2:$A$41,Vendedores!$C$2:$C$41,"No hay datos")</f>
        <v>San Carlos del Valle</v>
      </c>
      <c r="I666" s="2" t="str">
        <f t="array" ref="I666">_xlfn.XLOOKUP(B666,Vendedores!$A$2:$A$41,Vendedores!$D$2:$D$41,"No hay datos")</f>
        <v>Región Central 2</v>
      </c>
      <c r="J666" s="2" t="str">
        <f t="array" ref="J666:N666">_xlfn.XLOOKUP(A666,Productos!$A$2:$A$61,Productos!$B$2:$F$61)</f>
        <v>Bolso de cuero</v>
      </c>
      <c r="K666" s="2" t="s">
        <v>29</v>
      </c>
      <c r="L666" s="2" t="s">
        <v>30</v>
      </c>
      <c r="M666" s="2" t="s">
        <v>100</v>
      </c>
      <c r="N666" s="2" t="s">
        <v>64</v>
      </c>
    </row>
    <row r="667">
      <c r="A667" s="2" t="str">
        <f>IFERROR(__xludf.DUMMYFUNCTION("""COMPUTED_VALUE"""),"PR008")</f>
        <v>PR008</v>
      </c>
      <c r="B667" s="2" t="str">
        <f>IFERROR(__xludf.DUMMYFUNCTION("""COMPUTED_VALUE"""),"VD015")</f>
        <v>VD015</v>
      </c>
      <c r="C667" s="2">
        <f>IFERROR(__xludf.DUMMYFUNCTION("""COMPUTED_VALUE"""),20.0)</f>
        <v>20</v>
      </c>
      <c r="D667" s="6">
        <f>IFERROR(__xludf.DUMMYFUNCTION("""COMPUTED_VALUE"""),1977.8)</f>
        <v>1977.8</v>
      </c>
      <c r="E667" s="6">
        <f>IFERROR(__xludf.DUMMYFUNCTION("GOOGLEFINANCE(""Currency:BRLMXN"")*D667"),6719.5755)</f>
        <v>6719.5755</v>
      </c>
      <c r="F667" s="6">
        <f>IFERROR(__xludf.DUMMYFUNCTION("GOOGLEFINANCE(""Currency:BRLPEN"")*D667"),1296.6456799999999)</f>
        <v>1296.64568</v>
      </c>
      <c r="G667" s="2" t="str">
        <f t="array" ref="G667">_xlfn.XLOOKUP(B667,Vendedores!$A$2:$A$41,Vendedores!$B$2:$B$41,"No hay datos")</f>
        <v>Lucas Castillo</v>
      </c>
      <c r="H667" s="2" t="str">
        <f t="array" ref="H667">_xlfn.XLOOKUP(B667,Vendedores!$A$2:$A$41,Vendedores!$C$2:$C$41,"No hay datos")</f>
        <v>San Miguel de los Pinos</v>
      </c>
      <c r="I667" s="2" t="str">
        <f t="array" ref="I667">_xlfn.XLOOKUP(B667,Vendedores!$A$2:$A$41,Vendedores!$D$2:$D$41,"No hay datos")</f>
        <v>Región Sur</v>
      </c>
      <c r="J667" s="2" t="str">
        <f t="array" ref="J667:N667">_xlfn.XLOOKUP(A667,Productos!$A$2:$A$61,Productos!$B$2:$F$61)</f>
        <v>Pantalón de mezclilla</v>
      </c>
      <c r="K667" s="2" t="s">
        <v>17</v>
      </c>
      <c r="L667" s="2" t="s">
        <v>10</v>
      </c>
      <c r="M667" s="2" t="s">
        <v>65</v>
      </c>
      <c r="N667" s="2" t="s">
        <v>35</v>
      </c>
    </row>
    <row r="668">
      <c r="A668" s="2" t="str">
        <f>IFERROR(__xludf.DUMMYFUNCTION("""COMPUTED_VALUE"""),"PR044")</f>
        <v>PR044</v>
      </c>
      <c r="B668" s="2" t="str">
        <f>IFERROR(__xludf.DUMMYFUNCTION("""COMPUTED_VALUE"""),"VD046")</f>
        <v>VD046</v>
      </c>
      <c r="C668" s="2">
        <f>IFERROR(__xludf.DUMMYFUNCTION("""COMPUTED_VALUE"""),5.0)</f>
        <v>5</v>
      </c>
      <c r="D668" s="6">
        <f>IFERROR(__xludf.DUMMYFUNCTION("""COMPUTED_VALUE"""),387.88)</f>
        <v>387.88</v>
      </c>
      <c r="E668" s="6">
        <f>IFERROR(__xludf.DUMMYFUNCTION("GOOGLEFINANCE(""Currency:BRLMXN"")*D668"),1317.8223)</f>
        <v>1317.8223</v>
      </c>
      <c r="F668" s="6">
        <f>IFERROR(__xludf.DUMMYFUNCTION("GOOGLEFINANCE(""Currency:BRLPEN"")*D668"),254.29412799999997)</f>
        <v>254.294128</v>
      </c>
      <c r="G668" s="2" t="str">
        <f t="array" ref="G668">_xlfn.XLOOKUP(B668,Vendedores!$A$2:$A$41,Vendedores!$B$2:$B$41,"No hay datos")</f>
        <v>Juliana Pérez</v>
      </c>
      <c r="H668" s="2" t="str">
        <f t="array" ref="H668">_xlfn.XLOOKUP(B668,Vendedores!$A$2:$A$41,Vendedores!$C$2:$C$41,"No hay datos")</f>
        <v>Santa Cruz de la Sierra</v>
      </c>
      <c r="I668" s="2" t="str">
        <f t="array" ref="I668">_xlfn.XLOOKUP(B668,Vendedores!$A$2:$A$41,Vendedores!$D$2:$D$41,"No hay datos")</f>
        <v>Región Central 2</v>
      </c>
      <c r="J668" s="2" t="str">
        <f t="array" ref="J668:N668">_xlfn.XLOOKUP(A668,Productos!$A$2:$A$61,Productos!$B$2:$F$61)</f>
        <v>Vestido floral</v>
      </c>
      <c r="K668" s="2" t="s">
        <v>17</v>
      </c>
      <c r="L668" s="2" t="s">
        <v>10</v>
      </c>
      <c r="M668" s="2" t="s">
        <v>105</v>
      </c>
      <c r="N668" s="2" t="s">
        <v>40</v>
      </c>
    </row>
    <row r="669">
      <c r="A669" s="2" t="str">
        <f>IFERROR(__xludf.DUMMYFUNCTION("""COMPUTED_VALUE"""),"PR022")</f>
        <v>PR022</v>
      </c>
      <c r="B669" s="2" t="str">
        <f>IFERROR(__xludf.DUMMYFUNCTION("""COMPUTED_VALUE"""),"VD021")</f>
        <v>VD021</v>
      </c>
      <c r="C669" s="2">
        <f>IFERROR(__xludf.DUMMYFUNCTION("""COMPUTED_VALUE"""),3.0)</f>
        <v>3</v>
      </c>
      <c r="D669" s="6">
        <f>IFERROR(__xludf.DUMMYFUNCTION("""COMPUTED_VALUE"""),963.0)</f>
        <v>963</v>
      </c>
      <c r="E669" s="6">
        <f>IFERROR(__xludf.DUMMYFUNCTION("GOOGLEFINANCE(""Currency:BRLMXN"")*D669"),3271.7925)</f>
        <v>3271.7925</v>
      </c>
      <c r="F669" s="6">
        <f>IFERROR(__xludf.DUMMYFUNCTION("GOOGLEFINANCE(""Currency:BRLPEN"")*D669"),631.3428)</f>
        <v>631.3428</v>
      </c>
      <c r="G669" s="2" t="str">
        <f t="array" ref="G669">_xlfn.XLOOKUP(B669,Vendedores!$A$2:$A$41,Vendedores!$B$2:$B$41,"No hay datos")</f>
        <v>Fernanda Méndez</v>
      </c>
      <c r="H669" s="2" t="str">
        <f t="array" ref="H669">_xlfn.XLOOKUP(B669,Vendedores!$A$2:$A$41,Vendedores!$C$2:$C$41,"No hay datos")</f>
        <v>San Juan de la Sierra</v>
      </c>
      <c r="I669" s="2" t="str">
        <f t="array" ref="I669">_xlfn.XLOOKUP(B669,Vendedores!$A$2:$A$41,Vendedores!$D$2:$D$41,"No hay datos")</f>
        <v>Región Central</v>
      </c>
      <c r="J669" s="2" t="str">
        <f t="array" ref="J669:N669">_xlfn.XLOOKUP(A669,Productos!$A$2:$A$61,Productos!$B$2:$F$61)</f>
        <v>Chaqueta de cuero</v>
      </c>
      <c r="K669" s="2" t="s">
        <v>22</v>
      </c>
      <c r="L669" s="2" t="s">
        <v>10</v>
      </c>
      <c r="M669" s="2" t="s">
        <v>78</v>
      </c>
      <c r="N669" s="2" t="s">
        <v>79</v>
      </c>
    </row>
    <row r="670">
      <c r="A670" s="2" t="str">
        <f>IFERROR(__xludf.DUMMYFUNCTION("""COMPUTED_VALUE"""),"PR017")</f>
        <v>PR017</v>
      </c>
      <c r="B670" s="2" t="str">
        <f>IFERROR(__xludf.DUMMYFUNCTION("""COMPUTED_VALUE"""),"VD042")</f>
        <v>VD042</v>
      </c>
      <c r="C670" s="2">
        <f>IFERROR(__xludf.DUMMYFUNCTION("""COMPUTED_VALUE"""),4.0)</f>
        <v>4</v>
      </c>
      <c r="D670" s="6">
        <f>IFERROR(__xludf.DUMMYFUNCTION("""COMPUTED_VALUE"""),121.99)</f>
        <v>121.99</v>
      </c>
      <c r="E670" s="6">
        <f>IFERROR(__xludf.DUMMYFUNCTION("GOOGLEFINANCE(""Currency:BRLMXN"")*D670"),414.461025)</f>
        <v>414.461025</v>
      </c>
      <c r="F670" s="6">
        <f>IFERROR(__xludf.DUMMYFUNCTION("GOOGLEFINANCE(""Currency:BRLPEN"")*D670"),79.976644)</f>
        <v>79.976644</v>
      </c>
      <c r="G670" s="2" t="str">
        <f t="array" ref="G670">_xlfn.XLOOKUP(B670,Vendedores!$A$2:$A$41,Vendedores!$B$2:$B$41,"No hay datos")</f>
        <v>Priscila Duarte</v>
      </c>
      <c r="H670" s="2" t="str">
        <f t="array" ref="H670">_xlfn.XLOOKUP(B670,Vendedores!$A$2:$A$41,Vendedores!$C$2:$C$41,"No hay datos")</f>
        <v>Villa Comercial</v>
      </c>
      <c r="I670" s="2" t="str">
        <f t="array" ref="I670">_xlfn.XLOOKUP(B670,Vendedores!$A$2:$A$41,Vendedores!$D$2:$D$41,"No hay datos")</f>
        <v>Región Central 2</v>
      </c>
      <c r="J670" s="2" t="str">
        <f t="array" ref="J670:N670">_xlfn.XLOOKUP(A670,Productos!$A$2:$A$61,Productos!$B$2:$F$61)</f>
        <v>Playera lisa</v>
      </c>
      <c r="K670" s="2" t="s">
        <v>17</v>
      </c>
      <c r="L670" s="2" t="s">
        <v>10</v>
      </c>
      <c r="M670" s="2" t="s">
        <v>98</v>
      </c>
      <c r="N670" s="2" t="s">
        <v>99</v>
      </c>
    </row>
    <row r="671">
      <c r="A671" s="2" t="str">
        <f>IFERROR(__xludf.DUMMYFUNCTION("""COMPUTED_VALUE"""),"PR008")</f>
        <v>PR008</v>
      </c>
      <c r="B671" s="2" t="str">
        <f>IFERROR(__xludf.DUMMYFUNCTION("""COMPUTED_VALUE"""),"VD043")</f>
        <v>VD043</v>
      </c>
      <c r="C671" s="2">
        <f>IFERROR(__xludf.DUMMYFUNCTION("""COMPUTED_VALUE"""),10.0)</f>
        <v>10</v>
      </c>
      <c r="D671" s="6">
        <f>IFERROR(__xludf.DUMMYFUNCTION("""COMPUTED_VALUE"""),943.95)</f>
        <v>943.95</v>
      </c>
      <c r="E671" s="6">
        <f>IFERROR(__xludf.DUMMYFUNCTION("GOOGLEFINANCE(""Currency:BRLMXN"")*D671"),3207.070125)</f>
        <v>3207.070125</v>
      </c>
      <c r="F671" s="6">
        <f>IFERROR(__xludf.DUMMYFUNCTION("GOOGLEFINANCE(""Currency:BRLPEN"")*D671"),618.85362)</f>
        <v>618.85362</v>
      </c>
      <c r="G671" s="2" t="str">
        <f t="array" ref="G671">_xlfn.XLOOKUP(B671,Vendedores!$A$2:$A$41,Vendedores!$B$2:$B$41,"No hay datos")</f>
        <v>Carlos Henríquez</v>
      </c>
      <c r="H671" s="2" t="str">
        <f t="array" ref="H671">_xlfn.XLOOKUP(B671,Vendedores!$A$2:$A$41,Vendedores!$C$2:$C$41,"No hay datos")</f>
        <v>Ciudad Aeropuerto</v>
      </c>
      <c r="I671" s="2" t="str">
        <f t="array" ref="I671">_xlfn.XLOOKUP(B671,Vendedores!$A$2:$A$41,Vendedores!$D$2:$D$41,"No hay datos")</f>
        <v>Región Central 2</v>
      </c>
      <c r="J671" s="2" t="str">
        <f t="array" ref="J671:N671">_xlfn.XLOOKUP(A671,Productos!$A$2:$A$61,Productos!$B$2:$F$61)</f>
        <v>Pantalón de mezclilla</v>
      </c>
      <c r="K671" s="2" t="s">
        <v>17</v>
      </c>
      <c r="L671" s="2" t="s">
        <v>10</v>
      </c>
      <c r="M671" s="2" t="s">
        <v>65</v>
      </c>
      <c r="N671" s="2" t="s">
        <v>35</v>
      </c>
    </row>
    <row r="672">
      <c r="A672" s="2" t="str">
        <f>IFERROR(__xludf.DUMMYFUNCTION("""COMPUTED_VALUE"""),"PR047")</f>
        <v>PR047</v>
      </c>
      <c r="B672" s="2" t="str">
        <f>IFERROR(__xludf.DUMMYFUNCTION("""COMPUTED_VALUE"""),"VD025")</f>
        <v>VD025</v>
      </c>
      <c r="C672" s="2">
        <f>IFERROR(__xludf.DUMMYFUNCTION("""COMPUTED_VALUE"""),6.0)</f>
        <v>6</v>
      </c>
      <c r="D672" s="6">
        <f>IFERROR(__xludf.DUMMYFUNCTION("""COMPUTED_VALUE"""),1861.16)</f>
        <v>1861.16</v>
      </c>
      <c r="E672" s="6">
        <f>IFERROR(__xludf.DUMMYFUNCTION("GOOGLEFINANCE(""Currency:BRLMXN"")*D672"),6323.2911)</f>
        <v>6323.2911</v>
      </c>
      <c r="F672" s="6">
        <f>IFERROR(__xludf.DUMMYFUNCTION("GOOGLEFINANCE(""Currency:BRLPEN"")*D672"),1220.176496)</f>
        <v>1220.176496</v>
      </c>
      <c r="G672" s="2" t="str">
        <f t="array" ref="G672">_xlfn.XLOOKUP(B672,Vendedores!$A$2:$A$41,Vendedores!$B$2:$B$41,"No hay datos")</f>
        <v>Alina Santana</v>
      </c>
      <c r="H672" s="2" t="str">
        <f t="array" ref="H672">_xlfn.XLOOKUP(B672,Vendedores!$A$2:$A$41,Vendedores!$C$2:$C$41,"No hay datos")</f>
        <v>Playa Blanca</v>
      </c>
      <c r="I672" s="2" t="str">
        <f t="array" ref="I672">_xlfn.XLOOKUP(B672,Vendedores!$A$2:$A$41,Vendedores!$D$2:$D$41,"No hay datos")</f>
        <v>Región Norte</v>
      </c>
      <c r="J672" s="2" t="str">
        <f t="array" ref="J672:N672">_xlfn.XLOOKUP(A672,Productos!$A$2:$A$61,Productos!$B$2:$F$61)</f>
        <v>Chaqueta de cuero</v>
      </c>
      <c r="K672" s="2" t="s">
        <v>17</v>
      </c>
      <c r="L672" s="2" t="s">
        <v>10</v>
      </c>
      <c r="M672" s="2" t="s">
        <v>43</v>
      </c>
      <c r="N672" s="2" t="s">
        <v>44</v>
      </c>
    </row>
    <row r="673">
      <c r="A673" s="2" t="str">
        <f>IFERROR(__xludf.DUMMYFUNCTION("""COMPUTED_VALUE"""),"PR041")</f>
        <v>PR041</v>
      </c>
      <c r="B673" s="2" t="str">
        <f>IFERROR(__xludf.DUMMYFUNCTION("""COMPUTED_VALUE"""),"VD041")</f>
        <v>VD041</v>
      </c>
      <c r="C673" s="2">
        <f>IFERROR(__xludf.DUMMYFUNCTION("""COMPUTED_VALUE"""),2.0)</f>
        <v>2</v>
      </c>
      <c r="D673" s="6">
        <f>IFERROR(__xludf.DUMMYFUNCTION("""COMPUTED_VALUE"""),116.39)</f>
        <v>116.39</v>
      </c>
      <c r="E673" s="6">
        <f>IFERROR(__xludf.DUMMYFUNCTION("GOOGLEFINANCE(""Currency:BRLMXN"")*D673"),395.435025)</f>
        <v>395.435025</v>
      </c>
      <c r="F673" s="6">
        <f>IFERROR(__xludf.DUMMYFUNCTION("GOOGLEFINANCE(""Currency:BRLPEN"")*D673"),76.305284)</f>
        <v>76.305284</v>
      </c>
      <c r="G673" s="2" t="str">
        <f t="array" ref="G673">_xlfn.XLOOKUP(B673,Vendedores!$A$2:$A$41,Vendedores!$B$2:$B$41,"No hay datos")</f>
        <v>Alejandro Ramos</v>
      </c>
      <c r="H673" s="2" t="str">
        <f t="array" ref="H673">_xlfn.XLOOKUP(B673,Vendedores!$A$2:$A$41,Vendedores!$C$2:$C$41,"No hay datos")</f>
        <v>San Martín de las Rosas</v>
      </c>
      <c r="I673" s="2" t="str">
        <f t="array" ref="I673">_xlfn.XLOOKUP(B673,Vendedores!$A$2:$A$41,Vendedores!$D$2:$D$41,"No hay datos")</f>
        <v>Región Central 2</v>
      </c>
      <c r="J673" s="2" t="str">
        <f t="array" ref="J673:N673">_xlfn.XLOOKUP(A673,Productos!$A$2:$A$61,Productos!$B$2:$F$61)</f>
        <v>Playera confort</v>
      </c>
      <c r="K673" s="2" t="s">
        <v>17</v>
      </c>
      <c r="L673" s="2" t="s">
        <v>10</v>
      </c>
      <c r="M673" s="2" t="s">
        <v>95</v>
      </c>
      <c r="N673" s="2" t="s">
        <v>26</v>
      </c>
    </row>
    <row r="674">
      <c r="A674" s="2" t="str">
        <f>IFERROR(__xludf.DUMMYFUNCTION("""COMPUTED_VALUE"""),"PR051")</f>
        <v>PR051</v>
      </c>
      <c r="B674" s="2" t="str">
        <f>IFERROR(__xludf.DUMMYFUNCTION("""COMPUTED_VALUE"""),"VD044")</f>
        <v>VD044</v>
      </c>
      <c r="C674" s="2">
        <f>IFERROR(__xludf.DUMMYFUNCTION("""COMPUTED_VALUE"""),10.0)</f>
        <v>10</v>
      </c>
      <c r="D674" s="6">
        <f>IFERROR(__xludf.DUMMYFUNCTION("""COMPUTED_VALUE"""),358.61)</f>
        <v>358.61</v>
      </c>
      <c r="E674" s="6">
        <f>IFERROR(__xludf.DUMMYFUNCTION("GOOGLEFINANCE(""Currency:BRLMXN"")*D674"),1218.377475)</f>
        <v>1218.377475</v>
      </c>
      <c r="F674" s="6">
        <f>IFERROR(__xludf.DUMMYFUNCTION("GOOGLEFINANCE(""Currency:BRLPEN"")*D674"),235.104716)</f>
        <v>235.104716</v>
      </c>
      <c r="G674" s="2" t="str">
        <f t="array" ref="G674">_xlfn.XLOOKUP(B674,Vendedores!$A$2:$A$41,Vendedores!$B$2:$B$41,"No hay datos")</f>
        <v>Silvia Menéndez</v>
      </c>
      <c r="H674" s="2" t="str">
        <f t="array" ref="H674">_xlfn.XLOOKUP(B674,Vendedores!$A$2:$A$41,Vendedores!$C$2:$C$41,"No hay datos")</f>
        <v>San Antonio del Monte</v>
      </c>
      <c r="I674" s="2" t="str">
        <f t="array" ref="I674">_xlfn.XLOOKUP(B674,Vendedores!$A$2:$A$41,Vendedores!$D$2:$D$41,"No hay datos")</f>
        <v>Región Central 2</v>
      </c>
      <c r="J674" s="2" t="str">
        <f t="array" ref="J674:N674">_xlfn.XLOOKUP(A674,Productos!$A$2:$A$61,Productos!$B$2:$F$61)</f>
        <v>Playera a rayas</v>
      </c>
      <c r="K674" s="2" t="s">
        <v>22</v>
      </c>
      <c r="L674" s="2" t="s">
        <v>10</v>
      </c>
      <c r="M674" s="2" t="s">
        <v>23</v>
      </c>
      <c r="N674" s="2" t="s">
        <v>24</v>
      </c>
    </row>
    <row r="675">
      <c r="A675" s="2" t="str">
        <f>IFERROR(__xludf.DUMMYFUNCTION("""COMPUTED_VALUE"""),"PR001")</f>
        <v>PR001</v>
      </c>
      <c r="B675" s="2" t="str">
        <f>IFERROR(__xludf.DUMMYFUNCTION("""COMPUTED_VALUE"""),"VD032")</f>
        <v>VD032</v>
      </c>
      <c r="C675" s="2">
        <f>IFERROR(__xludf.DUMMYFUNCTION("""COMPUTED_VALUE"""),6.0)</f>
        <v>6</v>
      </c>
      <c r="D675" s="6">
        <f>IFERROR(__xludf.DUMMYFUNCTION("""COMPUTED_VALUE"""),427.03)</f>
        <v>427.03</v>
      </c>
      <c r="E675" s="6">
        <f>IFERROR(__xludf.DUMMYFUNCTION("GOOGLEFINANCE(""Currency:BRLMXN"")*D675"),1450.8344249999998)</f>
        <v>1450.834425</v>
      </c>
      <c r="F675" s="6">
        <f>IFERROR(__xludf.DUMMYFUNCTION("GOOGLEFINANCE(""Currency:BRLPEN"")*D675"),279.96086799999995)</f>
        <v>279.960868</v>
      </c>
      <c r="G675" s="2" t="str">
        <f t="array" ref="G675">_xlfn.XLOOKUP(B675,Vendedores!$A$2:$A$41,Vendedores!$B$2:$B$41,"No hay datos")</f>
        <v>Eduardo Almonte</v>
      </c>
      <c r="H675" s="2" t="str">
        <f t="array" ref="H675">_xlfn.XLOOKUP(B675,Vendedores!$A$2:$A$41,Vendedores!$C$2:$C$41,"No hay datos")</f>
        <v>Tierra Colorada</v>
      </c>
      <c r="I675" s="2" t="str">
        <f t="array" ref="I675">_xlfn.XLOOKUP(B675,Vendedores!$A$2:$A$41,Vendedores!$D$2:$D$41,"No hay datos")</f>
        <v>Región Central 2</v>
      </c>
      <c r="J675" s="2" t="str">
        <f t="array" ref="J675:N675">_xlfn.XLOOKUP(A675,Productos!$A$2:$A$61,Productos!$B$2:$F$61)</f>
        <v>Bermuda</v>
      </c>
      <c r="K675" s="2" t="s">
        <v>9</v>
      </c>
      <c r="L675" s="2" t="s">
        <v>10</v>
      </c>
      <c r="M675" s="2" t="s">
        <v>11</v>
      </c>
      <c r="N675" s="2" t="s">
        <v>12</v>
      </c>
    </row>
    <row r="676">
      <c r="A676" s="2" t="str">
        <f>IFERROR(__xludf.DUMMYFUNCTION("""COMPUTED_VALUE"""),"PR010")</f>
        <v>PR010</v>
      </c>
      <c r="B676" s="2" t="str">
        <f>IFERROR(__xludf.DUMMYFUNCTION("""COMPUTED_VALUE"""),"VD037")</f>
        <v>VD037</v>
      </c>
      <c r="C676" s="2">
        <f>IFERROR(__xludf.DUMMYFUNCTION("""COMPUTED_VALUE"""),20.0)</f>
        <v>20</v>
      </c>
      <c r="D676" s="6">
        <f>IFERROR(__xludf.DUMMYFUNCTION("""COMPUTED_VALUE"""),942.9)</f>
        <v>942.9</v>
      </c>
      <c r="E676" s="6">
        <f>IFERROR(__xludf.DUMMYFUNCTION("GOOGLEFINANCE(""Currency:BRLMXN"")*D676"),3203.50275)</f>
        <v>3203.50275</v>
      </c>
      <c r="F676" s="6">
        <f>IFERROR(__xludf.DUMMYFUNCTION("GOOGLEFINANCE(""Currency:BRLPEN"")*D676"),618.1652399999999)</f>
        <v>618.16524</v>
      </c>
      <c r="G676" s="2" t="str">
        <f t="array" ref="G676">_xlfn.XLOOKUP(B676,Vendedores!$A$2:$A$41,Vendedores!$B$2:$B$41,"No hay datos")</f>
        <v>Amanda Silva</v>
      </c>
      <c r="H676" s="2" t="str">
        <f t="array" ref="H676">_xlfn.XLOOKUP(B676,Vendedores!$A$2:$A$41,Vendedores!$C$2:$C$41,"No hay datos")</f>
        <v>Villa Esperanza</v>
      </c>
      <c r="I676" s="2" t="str">
        <f t="array" ref="I676">_xlfn.XLOOKUP(B676,Vendedores!$A$2:$A$41,Vendedores!$D$2:$D$41,"No hay datos")</f>
        <v>Región Sur 2</v>
      </c>
      <c r="J676" s="2" t="str">
        <f t="array" ref="J676:N676">_xlfn.XLOOKUP(A676,Productos!$A$2:$A$61,Productos!$B$2:$F$61)</f>
        <v>Pantalón legging</v>
      </c>
      <c r="K676" s="2" t="s">
        <v>9</v>
      </c>
      <c r="L676" s="2" t="s">
        <v>10</v>
      </c>
      <c r="M676" s="2" t="s">
        <v>86</v>
      </c>
      <c r="N676" s="2" t="s">
        <v>87</v>
      </c>
    </row>
    <row r="677">
      <c r="A677" s="2" t="str">
        <f>IFERROR(__xludf.DUMMYFUNCTION("""COMPUTED_VALUE"""),"PR047")</f>
        <v>PR047</v>
      </c>
      <c r="B677" s="2" t="str">
        <f>IFERROR(__xludf.DUMMYFUNCTION("""COMPUTED_VALUE"""),"VD033")</f>
        <v>VD033</v>
      </c>
      <c r="C677" s="2">
        <f>IFERROR(__xludf.DUMMYFUNCTION("""COMPUTED_VALUE"""),8.0)</f>
        <v>8</v>
      </c>
      <c r="D677" s="6">
        <f>IFERROR(__xludf.DUMMYFUNCTION("""COMPUTED_VALUE"""),2388.78)</f>
        <v>2388.78</v>
      </c>
      <c r="E677" s="6">
        <f>IFERROR(__xludf.DUMMYFUNCTION("GOOGLEFINANCE(""Currency:BRLMXN"")*D677"),8115.880050000001)</f>
        <v>8115.88005</v>
      </c>
      <c r="F677" s="6">
        <f>IFERROR(__xludf.DUMMYFUNCTION("GOOGLEFINANCE(""Currency:BRLPEN"")*D677"),1566.084168)</f>
        <v>1566.084168</v>
      </c>
      <c r="G677" s="2" t="str">
        <f t="array" ref="G677">_xlfn.XLOOKUP(B677,Vendedores!$A$2:$A$41,Vendedores!$B$2:$B$41,"No hay datos")</f>
        <v>Renata Flores</v>
      </c>
      <c r="H677" s="2" t="str">
        <f t="array" ref="H677">_xlfn.XLOOKUP(B677,Vendedores!$A$2:$A$41,Vendedores!$C$2:$C$41,"No hay datos")</f>
        <v>Altos del Sur</v>
      </c>
      <c r="I677" s="2" t="str">
        <f t="array" ref="I677">_xlfn.XLOOKUP(B677,Vendedores!$A$2:$A$41,Vendedores!$D$2:$D$41,"No hay datos")</f>
        <v>Región Central 2</v>
      </c>
      <c r="J677" s="2" t="str">
        <f t="array" ref="J677:N677">_xlfn.XLOOKUP(A677,Productos!$A$2:$A$61,Productos!$B$2:$F$61)</f>
        <v>Chaqueta de cuero</v>
      </c>
      <c r="K677" s="2" t="s">
        <v>17</v>
      </c>
      <c r="L677" s="2" t="s">
        <v>10</v>
      </c>
      <c r="M677" s="2" t="s">
        <v>43</v>
      </c>
      <c r="N677" s="2" t="s">
        <v>44</v>
      </c>
    </row>
    <row r="678">
      <c r="A678" s="2" t="str">
        <f>IFERROR(__xludf.DUMMYFUNCTION("""COMPUTED_VALUE"""),"PR029")</f>
        <v>PR029</v>
      </c>
      <c r="B678" s="2" t="str">
        <f>IFERROR(__xludf.DUMMYFUNCTION("""COMPUTED_VALUE"""),"VD013")</f>
        <v>VD013</v>
      </c>
      <c r="C678" s="2">
        <f>IFERROR(__xludf.DUMMYFUNCTION("""COMPUTED_VALUE"""),14.0)</f>
        <v>14</v>
      </c>
      <c r="D678" s="6">
        <f>IFERROR(__xludf.DUMMYFUNCTION("""COMPUTED_VALUE"""),3641.4)</f>
        <v>3641.4</v>
      </c>
      <c r="E678" s="6">
        <f>IFERROR(__xludf.DUMMYFUNCTION("GOOGLEFINANCE(""Currency:BRLMXN"")*D678"),12371.656500000001)</f>
        <v>12371.6565</v>
      </c>
      <c r="F678" s="6">
        <f>IFERROR(__xludf.DUMMYFUNCTION("GOOGLEFINANCE(""Currency:BRLPEN"")*D678"),2387.30184)</f>
        <v>2387.30184</v>
      </c>
      <c r="G678" s="2" t="str">
        <f t="array" ref="G678">_xlfn.XLOOKUP(B678,Vendedores!$A$2:$A$41,Vendedores!$B$2:$B$41,"No hay datos")</f>
        <v>Pedro Almonte</v>
      </c>
      <c r="H678" s="2" t="str">
        <f t="array" ref="H678">_xlfn.XLOOKUP(B678,Vendedores!$A$2:$A$41,Vendedores!$C$2:$C$41,"No hay datos")</f>
        <v>Santa Rosa del Valle</v>
      </c>
      <c r="I678" s="2" t="str">
        <f t="array" ref="I678">_xlfn.XLOOKUP(B678,Vendedores!$A$2:$A$41,Vendedores!$D$2:$D$41,"No hay datos")</f>
        <v>Región Norte</v>
      </c>
      <c r="J678" s="2" t="str">
        <f t="array" ref="J678:N678">_xlfn.XLOOKUP(A678,Productos!$A$2:$A$61,Productos!$B$2:$F$61)</f>
        <v>Tenis Atitas</v>
      </c>
      <c r="K678" s="2">
        <v>37.0</v>
      </c>
      <c r="L678" s="2" t="s">
        <v>33</v>
      </c>
      <c r="M678" s="2" t="s">
        <v>96</v>
      </c>
      <c r="N678" s="2" t="s">
        <v>97</v>
      </c>
    </row>
    <row r="679">
      <c r="A679" s="2" t="str">
        <f>IFERROR(__xludf.DUMMYFUNCTION("""COMPUTED_VALUE"""),"PR031")</f>
        <v>PR031</v>
      </c>
      <c r="B679" s="2" t="str">
        <f>IFERROR(__xludf.DUMMYFUNCTION("""COMPUTED_VALUE"""),"VD036")</f>
        <v>VD036</v>
      </c>
      <c r="C679" s="2">
        <f>IFERROR(__xludf.DUMMYFUNCTION("""COMPUTED_VALUE"""),2.0)</f>
        <v>2</v>
      </c>
      <c r="D679" s="6">
        <f>IFERROR(__xludf.DUMMYFUNCTION("""COMPUTED_VALUE"""),499.8)</f>
        <v>499.8</v>
      </c>
      <c r="E679" s="6">
        <f>IFERROR(__xludf.DUMMYFUNCTION("GOOGLEFINANCE(""Currency:BRLMXN"")*D679"),1698.0705)</f>
        <v>1698.0705</v>
      </c>
      <c r="F679" s="6">
        <f>IFERROR(__xludf.DUMMYFUNCTION("GOOGLEFINANCE(""Currency:BRLPEN"")*D679"),327.66888)</f>
        <v>327.66888</v>
      </c>
      <c r="G679" s="2" t="str">
        <f t="array" ref="G679">_xlfn.XLOOKUP(B679,Vendedores!$A$2:$A$41,Vendedores!$B$2:$B$41,"No hay datos")</f>
        <v>Ricardo Sosa</v>
      </c>
      <c r="H679" s="2" t="str">
        <f t="array" ref="H679">_xlfn.XLOOKUP(B679,Vendedores!$A$2:$A$41,Vendedores!$C$2:$C$41,"No hay datos")</f>
        <v>Puerto Nuevo</v>
      </c>
      <c r="I679" s="2" t="str">
        <f t="array" ref="I679">_xlfn.XLOOKUP(B679,Vendedores!$A$2:$A$41,Vendedores!$D$2:$D$41,"No hay datos")</f>
        <v>Región Central 2</v>
      </c>
      <c r="J679" s="2" t="str">
        <f t="array" ref="J679:N679">_xlfn.XLOOKUP(A679,Productos!$A$2:$A$61,Productos!$B$2:$F$61)</f>
        <v>Tenis Chunky</v>
      </c>
      <c r="K679" s="2">
        <v>36.0</v>
      </c>
      <c r="L679" s="2" t="s">
        <v>33</v>
      </c>
      <c r="M679" s="2" t="s">
        <v>84</v>
      </c>
      <c r="N679" s="2" t="s">
        <v>85</v>
      </c>
    </row>
    <row r="680">
      <c r="A680" s="2" t="str">
        <f>IFERROR(__xludf.DUMMYFUNCTION("""COMPUTED_VALUE"""),"PR032")</f>
        <v>PR032</v>
      </c>
      <c r="B680" s="2" t="str">
        <f>IFERROR(__xludf.DUMMYFUNCTION("""COMPUTED_VALUE"""),"VD021")</f>
        <v>VD021</v>
      </c>
      <c r="C680" s="2">
        <f>IFERROR(__xludf.DUMMYFUNCTION("""COMPUTED_VALUE"""),3.0)</f>
        <v>3</v>
      </c>
      <c r="D680" s="6">
        <f>IFERROR(__xludf.DUMMYFUNCTION("""COMPUTED_VALUE"""),772.5)</f>
        <v>772.5</v>
      </c>
      <c r="E680" s="6">
        <f>IFERROR(__xludf.DUMMYFUNCTION("GOOGLEFINANCE(""Currency:BRLMXN"")*D680"),2624.56875)</f>
        <v>2624.56875</v>
      </c>
      <c r="F680" s="6">
        <f>IFERROR(__xludf.DUMMYFUNCTION("GOOGLEFINANCE(""Currency:BRLPEN"")*D680"),506.45099999999996)</f>
        <v>506.451</v>
      </c>
      <c r="G680" s="2" t="str">
        <f t="array" ref="G680">_xlfn.XLOOKUP(B680,Vendedores!$A$2:$A$41,Vendedores!$B$2:$B$41,"No hay datos")</f>
        <v>Fernanda Méndez</v>
      </c>
      <c r="H680" s="2" t="str">
        <f t="array" ref="H680">_xlfn.XLOOKUP(B680,Vendedores!$A$2:$A$41,Vendedores!$C$2:$C$41,"No hay datos")</f>
        <v>San Juan de la Sierra</v>
      </c>
      <c r="I680" s="2" t="str">
        <f t="array" ref="I680">_xlfn.XLOOKUP(B680,Vendedores!$A$2:$A$41,Vendedores!$D$2:$D$41,"No hay datos")</f>
        <v>Región Central</v>
      </c>
      <c r="J680" s="2" t="str">
        <f t="array" ref="J680:N680">_xlfn.XLOOKUP(A680,Productos!$A$2:$A$61,Productos!$B$2:$F$61)</f>
        <v>Tenis Chunky</v>
      </c>
      <c r="K680" s="2">
        <v>37.0</v>
      </c>
      <c r="L680" s="2" t="s">
        <v>33</v>
      </c>
      <c r="M680" s="2" t="s">
        <v>61</v>
      </c>
      <c r="N680" s="2" t="s">
        <v>62</v>
      </c>
    </row>
    <row r="681">
      <c r="A681" s="2" t="str">
        <f>IFERROR(__xludf.DUMMYFUNCTION("""COMPUTED_VALUE"""),"PR037")</f>
        <v>PR037</v>
      </c>
      <c r="B681" s="2" t="str">
        <f>IFERROR(__xludf.DUMMYFUNCTION("""COMPUTED_VALUE"""),"VD049")</f>
        <v>VD049</v>
      </c>
      <c r="C681" s="2">
        <f>IFERROR(__xludf.DUMMYFUNCTION("""COMPUTED_VALUE"""),3.0)</f>
        <v>3</v>
      </c>
      <c r="D681" s="6">
        <f>IFERROR(__xludf.DUMMYFUNCTION("""COMPUTED_VALUE"""),432.6)</f>
        <v>432.6</v>
      </c>
      <c r="E681" s="6">
        <f>IFERROR(__xludf.DUMMYFUNCTION("GOOGLEFINANCE(""Currency:BRLMXN"")*D681"),1469.7585000000001)</f>
        <v>1469.7585</v>
      </c>
      <c r="F681" s="6">
        <f>IFERROR(__xludf.DUMMYFUNCTION("GOOGLEFINANCE(""Currency:BRLPEN"")*D681"),283.61256)</f>
        <v>283.61256</v>
      </c>
      <c r="G681" s="2" t="str">
        <f t="array" ref="G681">_xlfn.XLOOKUP(B681,Vendedores!$A$2:$A$41,Vendedores!$B$2:$B$41,"No hay datos")</f>
        <v>Fernando Navarro</v>
      </c>
      <c r="H681" s="2" t="str">
        <f t="array" ref="H681">_xlfn.XLOOKUP(B681,Vendedores!$A$2:$A$41,Vendedores!$C$2:$C$41,"No hay datos")</f>
        <v>Colinas Verdes</v>
      </c>
      <c r="I681" s="2" t="str">
        <f t="array" ref="I681">_xlfn.XLOOKUP(B681,Vendedores!$A$2:$A$41,Vendedores!$D$2:$D$41,"No hay datos")</f>
        <v>Región Central 2</v>
      </c>
      <c r="J681" s="2" t="str">
        <f t="array" ref="J681:N681">_xlfn.XLOOKUP(A681,Productos!$A$2:$A$61,Productos!$B$2:$F$61)</f>
        <v>Vestido largo</v>
      </c>
      <c r="K681" s="2" t="s">
        <v>9</v>
      </c>
      <c r="L681" s="2" t="s">
        <v>10</v>
      </c>
      <c r="M681" s="2" t="s">
        <v>70</v>
      </c>
      <c r="N681" s="2" t="s">
        <v>71</v>
      </c>
    </row>
    <row r="682">
      <c r="A682" s="2" t="str">
        <f>IFERROR(__xludf.DUMMYFUNCTION("""COMPUTED_VALUE"""),"PR018")</f>
        <v>PR018</v>
      </c>
      <c r="B682" s="2" t="str">
        <f>IFERROR(__xludf.DUMMYFUNCTION("""COMPUTED_VALUE"""),"VD026")</f>
        <v>VD026</v>
      </c>
      <c r="C682" s="2">
        <f>IFERROR(__xludf.DUMMYFUNCTION("""COMPUTED_VALUE"""),3.0)</f>
        <v>3</v>
      </c>
      <c r="D682" s="6">
        <f>IFERROR(__xludf.DUMMYFUNCTION("""COMPUTED_VALUE"""),107.58)</f>
        <v>107.58</v>
      </c>
      <c r="E682" s="6">
        <f>IFERROR(__xludf.DUMMYFUNCTION("GOOGLEFINANCE(""Currency:BRLMXN"")*D682"),365.50305)</f>
        <v>365.50305</v>
      </c>
      <c r="F682" s="6">
        <f>IFERROR(__xludf.DUMMYFUNCTION("GOOGLEFINANCE(""Currency:BRLPEN"")*D682"),70.52944799999999)</f>
        <v>70.529448</v>
      </c>
      <c r="G682" s="2" t="str">
        <f t="array" ref="G682">_xlfn.XLOOKUP(B682,Vendedores!$A$2:$A$41,Vendedores!$B$2:$B$41,"No hay datos")</f>
        <v>Daniel Fernández</v>
      </c>
      <c r="H682" s="2" t="str">
        <f t="array" ref="H682">_xlfn.XLOOKUP(B682,Vendedores!$A$2:$A$41,Vendedores!$C$2:$C$41,"No hay datos")</f>
        <v>Puerto Esperanza</v>
      </c>
      <c r="I682" s="2" t="str">
        <f t="array" ref="I682">_xlfn.XLOOKUP(B682,Vendedores!$A$2:$A$41,Vendedores!$D$2:$D$41,"No hay datos")</f>
        <v>Región Sur</v>
      </c>
      <c r="J682" s="2" t="str">
        <f t="array" ref="J682:N682">_xlfn.XLOOKUP(A682,Productos!$A$2:$A$61,Productos!$B$2:$F$61)</f>
        <v>Playera lisa</v>
      </c>
      <c r="K682" s="2" t="s">
        <v>22</v>
      </c>
      <c r="L682" s="2" t="s">
        <v>10</v>
      </c>
      <c r="M682" s="2" t="s">
        <v>57</v>
      </c>
      <c r="N682" s="2" t="s">
        <v>24</v>
      </c>
    </row>
    <row r="683">
      <c r="A683" s="2" t="str">
        <f>IFERROR(__xludf.DUMMYFUNCTION("""COMPUTED_VALUE"""),"PR048")</f>
        <v>PR048</v>
      </c>
      <c r="B683" s="2" t="str">
        <f>IFERROR(__xludf.DUMMYFUNCTION("""COMPUTED_VALUE"""),"VD040")</f>
        <v>VD040</v>
      </c>
      <c r="C683" s="2">
        <f>IFERROR(__xludf.DUMMYFUNCTION("""COMPUTED_VALUE"""),2.0)</f>
        <v>2</v>
      </c>
      <c r="D683" s="6">
        <f>IFERROR(__xludf.DUMMYFUNCTION("""COMPUTED_VALUE"""),591.4)</f>
        <v>591.4</v>
      </c>
      <c r="E683" s="6">
        <f>IFERROR(__xludf.DUMMYFUNCTION("GOOGLEFINANCE(""Currency:BRLMXN"")*D683"),2009.2814999999998)</f>
        <v>2009.2815</v>
      </c>
      <c r="F683" s="6">
        <f>IFERROR(__xludf.DUMMYFUNCTION("GOOGLEFINANCE(""Currency:BRLPEN"")*D683"),387.72184)</f>
        <v>387.72184</v>
      </c>
      <c r="G683" s="2" t="str">
        <f t="array" ref="G683">_xlfn.XLOOKUP(B683,Vendedores!$A$2:$A$41,Vendedores!$B$2:$B$41,"No hay datos")</f>
        <v>Tatiana Montero</v>
      </c>
      <c r="H683" s="2" t="str">
        <f t="array" ref="H683">_xlfn.XLOOKUP(B683,Vendedores!$A$2:$A$41,Vendedores!$C$2:$C$41,"No hay datos")</f>
        <v>Ciudad Industrial</v>
      </c>
      <c r="I683" s="2" t="str">
        <f t="array" ref="I683">_xlfn.XLOOKUP(B683,Vendedores!$A$2:$A$41,Vendedores!$D$2:$D$41,"No hay datos")</f>
        <v>Región Central 2</v>
      </c>
      <c r="J683" s="2" t="str">
        <f t="array" ref="J683:N683">_xlfn.XLOOKUP(A683,Productos!$A$2:$A$61,Productos!$B$2:$F$61)</f>
        <v>Chaqueta de cuero</v>
      </c>
      <c r="K683" s="2" t="s">
        <v>22</v>
      </c>
      <c r="L683" s="2" t="s">
        <v>10</v>
      </c>
      <c r="M683" s="2" t="s">
        <v>94</v>
      </c>
      <c r="N683" s="2" t="s">
        <v>44</v>
      </c>
    </row>
    <row r="684">
      <c r="A684" s="2" t="str">
        <f>IFERROR(__xludf.DUMMYFUNCTION("""COMPUTED_VALUE"""),"PR011")</f>
        <v>PR011</v>
      </c>
      <c r="B684" s="2" t="str">
        <f>IFERROR(__xludf.DUMMYFUNCTION("""COMPUTED_VALUE"""),"VD036")</f>
        <v>VD036</v>
      </c>
      <c r="C684" s="2">
        <f>IFERROR(__xludf.DUMMYFUNCTION("""COMPUTED_VALUE"""),9.0)</f>
        <v>9</v>
      </c>
      <c r="D684" s="6">
        <f>IFERROR(__xludf.DUMMYFUNCTION("""COMPUTED_VALUE"""),464.31)</f>
        <v>464.31</v>
      </c>
      <c r="E684" s="6">
        <f>IFERROR(__xludf.DUMMYFUNCTION("GOOGLEFINANCE(""Currency:BRLMXN"")*D684"),1577.493225)</f>
        <v>1577.493225</v>
      </c>
      <c r="F684" s="6">
        <f>IFERROR(__xludf.DUMMYFUNCTION("GOOGLEFINANCE(""Currency:BRLPEN"")*D684"),304.401636)</f>
        <v>304.401636</v>
      </c>
      <c r="G684" s="2" t="str">
        <f t="array" ref="G684">_xlfn.XLOOKUP(B684,Vendedores!$A$2:$A$41,Vendedores!$B$2:$B$41,"No hay datos")</f>
        <v>Ricardo Sosa</v>
      </c>
      <c r="H684" s="2" t="str">
        <f t="array" ref="H684">_xlfn.XLOOKUP(B684,Vendedores!$A$2:$A$41,Vendedores!$C$2:$C$41,"No hay datos")</f>
        <v>Puerto Nuevo</v>
      </c>
      <c r="I684" s="2" t="str">
        <f t="array" ref="I684">_xlfn.XLOOKUP(B684,Vendedores!$A$2:$A$41,Vendedores!$D$2:$D$41,"No hay datos")</f>
        <v>Región Central 2</v>
      </c>
      <c r="J684" s="2" t="str">
        <f t="array" ref="J684:N684">_xlfn.XLOOKUP(A684,Productos!$A$2:$A$61,Productos!$B$2:$F$61)</f>
        <v>Pantalón legging</v>
      </c>
      <c r="K684" s="2" t="s">
        <v>17</v>
      </c>
      <c r="L684" s="2" t="s">
        <v>10</v>
      </c>
      <c r="M684" s="2" t="s">
        <v>67</v>
      </c>
      <c r="N684" s="2" t="s">
        <v>68</v>
      </c>
    </row>
    <row r="685">
      <c r="A685" s="2" t="str">
        <f>IFERROR(__xludf.DUMMYFUNCTION("""COMPUTED_VALUE"""),"PR021")</f>
        <v>PR021</v>
      </c>
      <c r="B685" s="2" t="str">
        <f>IFERROR(__xludf.DUMMYFUNCTION("""COMPUTED_VALUE"""),"VD019")</f>
        <v>VD019</v>
      </c>
      <c r="C685" s="2">
        <f>IFERROR(__xludf.DUMMYFUNCTION("""COMPUTED_VALUE"""),2.0)</f>
        <v>2</v>
      </c>
      <c r="D685" s="6">
        <f>IFERROR(__xludf.DUMMYFUNCTION("""COMPUTED_VALUE"""),623.97)</f>
        <v>623.97</v>
      </c>
      <c r="E685" s="6">
        <f>IFERROR(__xludf.DUMMYFUNCTION("GOOGLEFINANCE(""Currency:BRLMXN"")*D685"),2119.938075)</f>
        <v>2119.938075</v>
      </c>
      <c r="F685" s="6">
        <f>IFERROR(__xludf.DUMMYFUNCTION("GOOGLEFINANCE(""Currency:BRLPEN"")*D685"),409.074732)</f>
        <v>409.074732</v>
      </c>
      <c r="G685" s="2" t="str">
        <f t="array" ref="G685">_xlfn.XLOOKUP(B685,Vendedores!$A$2:$A$41,Vendedores!$B$2:$B$41,"No hay datos")</f>
        <v>Rafael Sosa</v>
      </c>
      <c r="H685" s="2" t="str">
        <f t="array" ref="H685">_xlfn.XLOOKUP(B685,Vendedores!$A$2:$A$41,Vendedores!$C$2:$C$41,"No hay datos")</f>
        <v>Selva Verde</v>
      </c>
      <c r="I685" s="2" t="str">
        <f t="array" ref="I685">_xlfn.XLOOKUP(B685,Vendedores!$A$2:$A$41,Vendedores!$D$2:$D$41,"No hay datos")</f>
        <v>Región Amazónica</v>
      </c>
      <c r="J685" s="2" t="str">
        <f t="array" ref="J685:N685">_xlfn.XLOOKUP(A685,Productos!$A$2:$A$61,Productos!$B$2:$F$61)</f>
        <v>Chaqueta de cuero</v>
      </c>
      <c r="K685" s="2" t="s">
        <v>17</v>
      </c>
      <c r="L685" s="2" t="s">
        <v>10</v>
      </c>
      <c r="M685" s="2" t="s">
        <v>80</v>
      </c>
      <c r="N685" s="2" t="s">
        <v>81</v>
      </c>
    </row>
    <row r="686">
      <c r="A686" s="2" t="str">
        <f>IFERROR(__xludf.DUMMYFUNCTION("""COMPUTED_VALUE"""),"PR021")</f>
        <v>PR021</v>
      </c>
      <c r="B686" s="2" t="str">
        <f>IFERROR(__xludf.DUMMYFUNCTION("""COMPUTED_VALUE"""),"VD038")</f>
        <v>VD038</v>
      </c>
      <c r="C686" s="2">
        <f>IFERROR(__xludf.DUMMYFUNCTION("""COMPUTED_VALUE"""),6.0)</f>
        <v>6</v>
      </c>
      <c r="D686" s="6">
        <f>IFERROR(__xludf.DUMMYFUNCTION("""COMPUTED_VALUE"""),1926.44)</f>
        <v>1926.44</v>
      </c>
      <c r="E686" s="6">
        <f>IFERROR(__xludf.DUMMYFUNCTION("GOOGLEFINANCE(""Currency:BRLMXN"")*D686"),6545.0799)</f>
        <v>6545.0799</v>
      </c>
      <c r="F686" s="6">
        <f>IFERROR(__xludf.DUMMYFUNCTION("GOOGLEFINANCE(""Currency:BRLPEN"")*D686"),1262.974064)</f>
        <v>1262.974064</v>
      </c>
      <c r="G686" s="2" t="str">
        <f t="array" ref="G686">_xlfn.XLOOKUP(B686,Vendedores!$A$2:$A$41,Vendedores!$B$2:$B$41,"No hay datos")</f>
        <v>Bruno Olmedo</v>
      </c>
      <c r="H686" s="2" t="str">
        <f t="array" ref="H686">_xlfn.XLOOKUP(B686,Vendedores!$A$2:$A$41,Vendedores!$C$2:$C$41,"No hay datos")</f>
        <v>Tierra Fertil</v>
      </c>
      <c r="I686" s="2" t="str">
        <f t="array" ref="I686">_xlfn.XLOOKUP(B686,Vendedores!$A$2:$A$41,Vendedores!$D$2:$D$41,"No hay datos")</f>
        <v>Región Sur 2</v>
      </c>
      <c r="J686" s="2" t="str">
        <f t="array" ref="J686:N686">_xlfn.XLOOKUP(A686,Productos!$A$2:$A$61,Productos!$B$2:$F$61)</f>
        <v>Chaqueta de cuero</v>
      </c>
      <c r="K686" s="2" t="s">
        <v>17</v>
      </c>
      <c r="L686" s="2" t="s">
        <v>10</v>
      </c>
      <c r="M686" s="2" t="s">
        <v>80</v>
      </c>
      <c r="N686" s="2" t="s">
        <v>81</v>
      </c>
    </row>
    <row r="687">
      <c r="A687" s="2" t="str">
        <f>IFERROR(__xludf.DUMMYFUNCTION("""COMPUTED_VALUE"""),"PR049")</f>
        <v>PR049</v>
      </c>
      <c r="B687" s="2" t="str">
        <f>IFERROR(__xludf.DUMMYFUNCTION("""COMPUTED_VALUE"""),"VD021")</f>
        <v>VD021</v>
      </c>
      <c r="C687" s="2">
        <f>IFERROR(__xludf.DUMMYFUNCTION("""COMPUTED_VALUE"""),2.0)</f>
        <v>2</v>
      </c>
      <c r="D687" s="6">
        <f>IFERROR(__xludf.DUMMYFUNCTION("""COMPUTED_VALUE"""),67.77)</f>
        <v>67.77</v>
      </c>
      <c r="E687" s="6">
        <f>IFERROR(__xludf.DUMMYFUNCTION("GOOGLEFINANCE(""Currency:BRLMXN"")*D687"),230.248575)</f>
        <v>230.248575</v>
      </c>
      <c r="F687" s="6">
        <f>IFERROR(__xludf.DUMMYFUNCTION("GOOGLEFINANCE(""Currency:BRLPEN"")*D687"),44.430012)</f>
        <v>44.430012</v>
      </c>
      <c r="G687" s="2" t="str">
        <f t="array" ref="G687">_xlfn.XLOOKUP(B687,Vendedores!$A$2:$A$41,Vendedores!$B$2:$B$41,"No hay datos")</f>
        <v>Fernanda Méndez</v>
      </c>
      <c r="H687" s="2" t="str">
        <f t="array" ref="H687">_xlfn.XLOOKUP(B687,Vendedores!$A$2:$A$41,Vendedores!$C$2:$C$41,"No hay datos")</f>
        <v>San Juan de la Sierra</v>
      </c>
      <c r="I687" s="2" t="str">
        <f t="array" ref="I687">_xlfn.XLOOKUP(B687,Vendedores!$A$2:$A$41,Vendedores!$D$2:$D$41,"No hay datos")</f>
        <v>Región Central</v>
      </c>
      <c r="J687" s="2" t="str">
        <f t="array" ref="J687:N687">_xlfn.XLOOKUP(A687,Productos!$A$2:$A$61,Productos!$B$2:$F$61)</f>
        <v>Playera a rayas</v>
      </c>
      <c r="K687" s="2" t="s">
        <v>9</v>
      </c>
      <c r="L687" s="2" t="s">
        <v>10</v>
      </c>
      <c r="M687" s="2" t="s">
        <v>47</v>
      </c>
      <c r="N687" s="2" t="s">
        <v>24</v>
      </c>
    </row>
    <row r="688">
      <c r="A688" s="2" t="str">
        <f>IFERROR(__xludf.DUMMYFUNCTION("""COMPUTED_VALUE"""),"PR056")</f>
        <v>PR056</v>
      </c>
      <c r="B688" s="2" t="str">
        <f>IFERROR(__xludf.DUMMYFUNCTION("""COMPUTED_VALUE"""),"VD030")</f>
        <v>VD030</v>
      </c>
      <c r="C688" s="2">
        <f>IFERROR(__xludf.DUMMYFUNCTION("""COMPUTED_VALUE"""),7.0)</f>
        <v>7</v>
      </c>
      <c r="D688" s="6">
        <f>IFERROR(__xludf.DUMMYFUNCTION("""COMPUTED_VALUE"""),692.23)</f>
        <v>692.23</v>
      </c>
      <c r="E688" s="6">
        <f>IFERROR(__xludf.DUMMYFUNCTION("GOOGLEFINANCE(""Currency:BRLMXN"")*D688"),2351.851425)</f>
        <v>2351.851425</v>
      </c>
      <c r="F688" s="6">
        <f>IFERROR(__xludf.DUMMYFUNCTION("GOOGLEFINANCE(""Currency:BRLPEN"")*D688"),453.825988)</f>
        <v>453.825988</v>
      </c>
      <c r="G688" s="2" t="str">
        <f t="array" ref="G688">_xlfn.XLOOKUP(B688,Vendedores!$A$2:$A$41,Vendedores!$B$2:$B$41,"No hay datos")</f>
        <v>Leonardo Rojas</v>
      </c>
      <c r="H688" s="2" t="str">
        <f t="array" ref="H688">_xlfn.XLOOKUP(B688,Vendedores!$A$2:$A$41,Vendedores!$C$2:$C$41,"No hay datos")</f>
        <v>Villa del Sol</v>
      </c>
      <c r="I688" s="2" t="str">
        <f t="array" ref="I688">_xlfn.XLOOKUP(B688,Vendedores!$A$2:$A$41,Vendedores!$D$2:$D$41,"No hay datos")</f>
        <v>Región Central 2</v>
      </c>
      <c r="J688" s="2" t="str">
        <f t="array" ref="J688:N688">_xlfn.XLOOKUP(A688,Productos!$A$2:$A$61,Productos!$B$2:$F$61)</f>
        <v>Sandalia plana</v>
      </c>
      <c r="K688" s="2">
        <v>36.0</v>
      </c>
      <c r="L688" s="2" t="s">
        <v>33</v>
      </c>
      <c r="M688" s="2" t="s">
        <v>106</v>
      </c>
      <c r="N688" s="2" t="s">
        <v>35</v>
      </c>
    </row>
    <row r="689">
      <c r="A689" s="2" t="str">
        <f>IFERROR(__xludf.DUMMYFUNCTION("""COMPUTED_VALUE"""),"PR005")</f>
        <v>PR005</v>
      </c>
      <c r="B689" s="2" t="str">
        <f>IFERROR(__xludf.DUMMYFUNCTION("""COMPUTED_VALUE"""),"VD028")</f>
        <v>VD028</v>
      </c>
      <c r="C689" s="2">
        <f>IFERROR(__xludf.DUMMYFUNCTION("""COMPUTED_VALUE"""),6.0)</f>
        <v>6</v>
      </c>
      <c r="D689" s="6">
        <f>IFERROR(__xludf.DUMMYFUNCTION("""COMPUTED_VALUE"""),1684.15)</f>
        <v>1684.15</v>
      </c>
      <c r="E689" s="6">
        <f>IFERROR(__xludf.DUMMYFUNCTION("GOOGLEFINANCE(""Currency:BRLMXN"")*D689"),5721.899625)</f>
        <v>5721.899625</v>
      </c>
      <c r="F689" s="6">
        <f>IFERROR(__xludf.DUMMYFUNCTION("GOOGLEFINANCE(""Currency:BRLPEN"")*D689"),1104.1287399999999)</f>
        <v>1104.12874</v>
      </c>
      <c r="G689" s="2" t="str">
        <f t="array" ref="G689">_xlfn.XLOOKUP(B689,Vendedores!$A$2:$A$41,Vendedores!$B$2:$B$41,"No hay datos")</f>
        <v>Rodrigo Almonte</v>
      </c>
      <c r="H689" s="2" t="str">
        <f t="array" ref="H689">_xlfn.XLOOKUP(B689,Vendedores!$A$2:$A$41,Vendedores!$C$2:$C$41,"No hay datos")</f>
        <v>Valle Escondido</v>
      </c>
      <c r="I689" s="2" t="str">
        <f t="array" ref="I689">_xlfn.XLOOKUP(B689,Vendedores!$A$2:$A$41,Vendedores!$D$2:$D$41,"No hay datos")</f>
        <v>Región Andina</v>
      </c>
      <c r="J689" s="2" t="str">
        <f t="array" ref="J689:N689">_xlfn.XLOOKUP(A689,Productos!$A$2:$A$61,Productos!$B$2:$F$61)</f>
        <v>Bolso de cuero</v>
      </c>
      <c r="K689" s="2" t="s">
        <v>29</v>
      </c>
      <c r="L689" s="2" t="s">
        <v>30</v>
      </c>
      <c r="M689" s="2" t="s">
        <v>100</v>
      </c>
      <c r="N689" s="2" t="s">
        <v>64</v>
      </c>
    </row>
    <row r="690">
      <c r="A690" s="2" t="str">
        <f>IFERROR(__xludf.DUMMYFUNCTION("""COMPUTED_VALUE"""),"PR029")</f>
        <v>PR029</v>
      </c>
      <c r="B690" s="2" t="str">
        <f>IFERROR(__xludf.DUMMYFUNCTION("""COMPUTED_VALUE"""),"VD010")</f>
        <v>VD010</v>
      </c>
      <c r="C690" s="2">
        <f>IFERROR(__xludf.DUMMYFUNCTION("""COMPUTED_VALUE"""),8.0)</f>
        <v>8</v>
      </c>
      <c r="D690" s="6">
        <f>IFERROR(__xludf.DUMMYFUNCTION("""COMPUTED_VALUE"""),2060.4)</f>
        <v>2060.4</v>
      </c>
      <c r="E690" s="6">
        <f>IFERROR(__xludf.DUMMYFUNCTION("GOOGLEFINANCE(""Currency:BRLMXN"")*D690"),7000.209)</f>
        <v>7000.209</v>
      </c>
      <c r="F690" s="6">
        <f>IFERROR(__xludf.DUMMYFUNCTION("GOOGLEFINANCE(""Currency:BRLPEN"")*D690"),1350.79824)</f>
        <v>1350.79824</v>
      </c>
      <c r="G690" s="2" t="str">
        <f t="array" ref="G690">_xlfn.XLOOKUP(B690,Vendedores!$A$2:$A$41,Vendedores!$B$2:$B$41,"No hay datos")</f>
        <v>María Silva</v>
      </c>
      <c r="H690" s="2" t="str">
        <f t="array" ref="H690">_xlfn.XLOOKUP(B690,Vendedores!$A$2:$A$41,Vendedores!$C$2:$C$41,"No hay datos")</f>
        <v>San Juan de la Sierra</v>
      </c>
      <c r="I690" s="2" t="str">
        <f t="array" ref="I690">_xlfn.XLOOKUP(B690,Vendedores!$A$2:$A$41,Vendedores!$D$2:$D$41,"No hay datos")</f>
        <v>Región Central</v>
      </c>
      <c r="J690" s="2" t="str">
        <f t="array" ref="J690:N690">_xlfn.XLOOKUP(A690,Productos!$A$2:$A$61,Productos!$B$2:$F$61)</f>
        <v>Tenis Atitas</v>
      </c>
      <c r="K690" s="2">
        <v>37.0</v>
      </c>
      <c r="L690" s="2" t="s">
        <v>33</v>
      </c>
      <c r="M690" s="2" t="s">
        <v>96</v>
      </c>
      <c r="N690" s="2" t="s">
        <v>97</v>
      </c>
    </row>
    <row r="691">
      <c r="A691" s="2" t="str">
        <f>IFERROR(__xludf.DUMMYFUNCTION("""COMPUTED_VALUE"""),"PR054")</f>
        <v>PR054</v>
      </c>
      <c r="B691" s="2" t="str">
        <f>IFERROR(__xludf.DUMMYFUNCTION("""COMPUTED_VALUE"""),"VD032")</f>
        <v>VD032</v>
      </c>
      <c r="C691" s="2">
        <f>IFERROR(__xludf.DUMMYFUNCTION("""COMPUTED_VALUE"""),10.0)</f>
        <v>10</v>
      </c>
      <c r="D691" s="6">
        <f>IFERROR(__xludf.DUMMYFUNCTION("""COMPUTED_VALUE"""),538.92)</f>
        <v>538.92</v>
      </c>
      <c r="E691" s="6">
        <f>IFERROR(__xludf.DUMMYFUNCTION("GOOGLEFINANCE(""Currency:BRLMXN"")*D691"),1830.9806999999998)</f>
        <v>1830.9807</v>
      </c>
      <c r="F691" s="6">
        <f>IFERROR(__xludf.DUMMYFUNCTION("GOOGLEFINANCE(""Currency:BRLPEN"")*D691"),353.3159519999999)</f>
        <v>353.315952</v>
      </c>
      <c r="G691" s="2" t="str">
        <f t="array" ref="G691">_xlfn.XLOOKUP(B691,Vendedores!$A$2:$A$41,Vendedores!$B$2:$B$41,"No hay datos")</f>
        <v>Eduardo Almonte</v>
      </c>
      <c r="H691" s="2" t="str">
        <f t="array" ref="H691">_xlfn.XLOOKUP(B691,Vendedores!$A$2:$A$41,Vendedores!$C$2:$C$41,"No hay datos")</f>
        <v>Tierra Colorada</v>
      </c>
      <c r="I691" s="2" t="str">
        <f t="array" ref="I691">_xlfn.XLOOKUP(B691,Vendedores!$A$2:$A$41,Vendedores!$D$2:$D$41,"No hay datos")</f>
        <v>Región Central 2</v>
      </c>
      <c r="J691" s="2" t="str">
        <f t="array" ref="J691:N691">_xlfn.XLOOKUP(A691,Productos!$A$2:$A$61,Productos!$B$2:$F$61)</f>
        <v>Falda plisada</v>
      </c>
      <c r="K691" s="2" t="s">
        <v>22</v>
      </c>
      <c r="L691" s="2" t="s">
        <v>10</v>
      </c>
      <c r="M691" s="2" t="s">
        <v>42</v>
      </c>
      <c r="N691" s="2" t="s">
        <v>32</v>
      </c>
    </row>
    <row r="692">
      <c r="A692" s="2" t="str">
        <f>IFERROR(__xludf.DUMMYFUNCTION("""COMPUTED_VALUE"""),"PR038")</f>
        <v>PR038</v>
      </c>
      <c r="B692" s="2" t="str">
        <f>IFERROR(__xludf.DUMMYFUNCTION("""COMPUTED_VALUE"""),"VD040")</f>
        <v>VD040</v>
      </c>
      <c r="C692" s="2">
        <f>IFERROR(__xludf.DUMMYFUNCTION("""COMPUTED_VALUE"""),6.0)</f>
        <v>6</v>
      </c>
      <c r="D692" s="6">
        <f>IFERROR(__xludf.DUMMYFUNCTION("""COMPUTED_VALUE"""),917.42)</f>
        <v>917.42</v>
      </c>
      <c r="E692" s="6">
        <f>IFERROR(__xludf.DUMMYFUNCTION("GOOGLEFINANCE(""Currency:BRLMXN"")*D692"),3116.9344499999997)</f>
        <v>3116.93445</v>
      </c>
      <c r="F692" s="6">
        <f>IFERROR(__xludf.DUMMYFUNCTION("GOOGLEFINANCE(""Currency:BRLPEN"")*D692"),601.4605519999999)</f>
        <v>601.460552</v>
      </c>
      <c r="G692" s="2" t="str">
        <f t="array" ref="G692">_xlfn.XLOOKUP(B692,Vendedores!$A$2:$A$41,Vendedores!$B$2:$B$41,"No hay datos")</f>
        <v>Tatiana Montero</v>
      </c>
      <c r="H692" s="2" t="str">
        <f t="array" ref="H692">_xlfn.XLOOKUP(B692,Vendedores!$A$2:$A$41,Vendedores!$C$2:$C$41,"No hay datos")</f>
        <v>Ciudad Industrial</v>
      </c>
      <c r="I692" s="2" t="str">
        <f t="array" ref="I692">_xlfn.XLOOKUP(B692,Vendedores!$A$2:$A$41,Vendedores!$D$2:$D$41,"No hay datos")</f>
        <v>Región Central 2</v>
      </c>
      <c r="J692" s="2" t="str">
        <f t="array" ref="J692:N692">_xlfn.XLOOKUP(A692,Productos!$A$2:$A$61,Productos!$B$2:$F$61)</f>
        <v>Vestido largo</v>
      </c>
      <c r="K692" s="2" t="s">
        <v>17</v>
      </c>
      <c r="L692" s="2" t="s">
        <v>10</v>
      </c>
      <c r="M692" s="2" t="s">
        <v>51</v>
      </c>
      <c r="N692" s="2" t="s">
        <v>52</v>
      </c>
    </row>
    <row r="693">
      <c r="A693" s="2" t="str">
        <f>IFERROR(__xludf.DUMMYFUNCTION("""COMPUTED_VALUE"""),"PR042")</f>
        <v>PR042</v>
      </c>
      <c r="B693" s="2" t="str">
        <f>IFERROR(__xludf.DUMMYFUNCTION("""COMPUTED_VALUE"""),"VD012")</f>
        <v>VD012</v>
      </c>
      <c r="C693" s="2">
        <f>IFERROR(__xludf.DUMMYFUNCTION("""COMPUTED_VALUE"""),8.0)</f>
        <v>8</v>
      </c>
      <c r="D693" s="6">
        <f>IFERROR(__xludf.DUMMYFUNCTION("""COMPUTED_VALUE"""),452.38)</f>
        <v>452.38</v>
      </c>
      <c r="E693" s="6">
        <f>IFERROR(__xludf.DUMMYFUNCTION("GOOGLEFINANCE(""Currency:BRLMXN"")*D693"),1536.96105)</f>
        <v>1536.96105</v>
      </c>
      <c r="F693" s="6">
        <f>IFERROR(__xludf.DUMMYFUNCTION("GOOGLEFINANCE(""Currency:BRLPEN"")*D693"),296.58032799999995)</f>
        <v>296.580328</v>
      </c>
      <c r="G693" s="2" t="str">
        <f t="array" ref="G693">_xlfn.XLOOKUP(B693,Vendedores!$A$2:$A$41,Vendedores!$B$2:$B$41,"No hay datos")</f>
        <v>Ana Olmedo</v>
      </c>
      <c r="H693" s="2" t="str">
        <f t="array" ref="H693">_xlfn.XLOOKUP(B693,Vendedores!$A$2:$A$41,Vendedores!$C$2:$C$41,"No hay datos")</f>
        <v>Río Claro</v>
      </c>
      <c r="I693" s="2" t="str">
        <f t="array" ref="I693">_xlfn.XLOOKUP(B693,Vendedores!$A$2:$A$41,Vendedores!$D$2:$D$41,"No hay datos")</f>
        <v>Región Central</v>
      </c>
      <c r="J693" s="2" t="str">
        <f t="array" ref="J693:N693">_xlfn.XLOOKUP(A693,Productos!$A$2:$A$61,Productos!$B$2:$F$61)</f>
        <v>Playera confort</v>
      </c>
      <c r="K693" s="2" t="s">
        <v>22</v>
      </c>
      <c r="L693" s="2" t="s">
        <v>10</v>
      </c>
      <c r="M693" s="2" t="s">
        <v>25</v>
      </c>
      <c r="N693" s="2" t="s">
        <v>26</v>
      </c>
    </row>
    <row r="694">
      <c r="A694" s="2" t="str">
        <f>IFERROR(__xludf.DUMMYFUNCTION("""COMPUTED_VALUE"""),"PR028")</f>
        <v>PR028</v>
      </c>
      <c r="B694" s="2" t="str">
        <f>IFERROR(__xludf.DUMMYFUNCTION("""COMPUTED_VALUE"""),"VD032")</f>
        <v>VD032</v>
      </c>
      <c r="C694" s="2">
        <f>IFERROR(__xludf.DUMMYFUNCTION("""COMPUTED_VALUE"""),9.0)</f>
        <v>9</v>
      </c>
      <c r="D694" s="6">
        <f>IFERROR(__xludf.DUMMYFUNCTION("""COMPUTED_VALUE"""),2429.03)</f>
        <v>2429.03</v>
      </c>
      <c r="E694" s="6">
        <f>IFERROR(__xludf.DUMMYFUNCTION("GOOGLEFINANCE(""Currency:BRLMXN"")*D694"),8252.629425000001)</f>
        <v>8252.629425</v>
      </c>
      <c r="F694" s="6">
        <f>IFERROR(__xludf.DUMMYFUNCTION("GOOGLEFINANCE(""Currency:BRLPEN"")*D694"),1592.472068)</f>
        <v>1592.472068</v>
      </c>
      <c r="G694" s="2" t="str">
        <f t="array" ref="G694">_xlfn.XLOOKUP(B694,Vendedores!$A$2:$A$41,Vendedores!$B$2:$B$41,"No hay datos")</f>
        <v>Eduardo Almonte</v>
      </c>
      <c r="H694" s="2" t="str">
        <f t="array" ref="H694">_xlfn.XLOOKUP(B694,Vendedores!$A$2:$A$41,Vendedores!$C$2:$C$41,"No hay datos")</f>
        <v>Tierra Colorada</v>
      </c>
      <c r="I694" s="2" t="str">
        <f t="array" ref="I694">_xlfn.XLOOKUP(B694,Vendedores!$A$2:$A$41,Vendedores!$D$2:$D$41,"No hay datos")</f>
        <v>Región Central 2</v>
      </c>
      <c r="J694" s="2" t="str">
        <f t="array" ref="J694:N694">_xlfn.XLOOKUP(A694,Productos!$A$2:$A$61,Productos!$B$2:$F$61)</f>
        <v>Tenis Atitas</v>
      </c>
      <c r="K694" s="2">
        <v>36.0</v>
      </c>
      <c r="L694" s="2" t="s">
        <v>33</v>
      </c>
      <c r="M694" s="2" t="s">
        <v>55</v>
      </c>
      <c r="N694" s="2" t="s">
        <v>56</v>
      </c>
    </row>
    <row r="695">
      <c r="A695" s="2" t="str">
        <f>IFERROR(__xludf.DUMMYFUNCTION("""COMPUTED_VALUE"""),"PR039")</f>
        <v>PR039</v>
      </c>
      <c r="B695" s="2" t="str">
        <f>IFERROR(__xludf.DUMMYFUNCTION("""COMPUTED_VALUE"""),"VD027")</f>
        <v>VD027</v>
      </c>
      <c r="C695" s="2">
        <f>IFERROR(__xludf.DUMMYFUNCTION("""COMPUTED_VALUE"""),6.0)</f>
        <v>6</v>
      </c>
      <c r="D695" s="6">
        <f>IFERROR(__xludf.DUMMYFUNCTION("""COMPUTED_VALUE"""),928.56)</f>
        <v>928.56</v>
      </c>
      <c r="E695" s="6">
        <f>IFERROR(__xludf.DUMMYFUNCTION("GOOGLEFINANCE(""Currency:BRLMXN"")*D695"),3154.7826)</f>
        <v>3154.7826</v>
      </c>
      <c r="F695" s="6">
        <f>IFERROR(__xludf.DUMMYFUNCTION("GOOGLEFINANCE(""Currency:BRLPEN"")*D695"),608.763936)</f>
        <v>608.763936</v>
      </c>
      <c r="G695" s="2" t="str">
        <f t="array" ref="G695">_xlfn.XLOOKUP(B695,Vendedores!$A$2:$A$41,Vendedores!$B$2:$B$41,"No hay datos")</f>
        <v>Patricia Cortés</v>
      </c>
      <c r="H695" s="2" t="str">
        <f t="array" ref="H695">_xlfn.XLOOKUP(B695,Vendedores!$A$2:$A$41,Vendedores!$C$2:$C$41,"No hay datos")</f>
        <v>Costa Azul</v>
      </c>
      <c r="I695" s="2" t="str">
        <f t="array" ref="I695">_xlfn.XLOOKUP(B695,Vendedores!$A$2:$A$41,Vendedores!$D$2:$D$41,"No hay datos")</f>
        <v>Región Norte</v>
      </c>
      <c r="J695" s="2" t="str">
        <f t="array" ref="J695:N695">_xlfn.XLOOKUP(A695,Productos!$A$2:$A$61,Productos!$B$2:$F$61)</f>
        <v>Vestido largo</v>
      </c>
      <c r="K695" s="2" t="s">
        <v>22</v>
      </c>
      <c r="L695" s="2" t="s">
        <v>10</v>
      </c>
      <c r="M695" s="2" t="s">
        <v>73</v>
      </c>
      <c r="N695" s="2" t="s">
        <v>74</v>
      </c>
    </row>
    <row r="696">
      <c r="A696" s="2" t="str">
        <f>IFERROR(__xludf.DUMMYFUNCTION("""COMPUTED_VALUE"""),"PR010")</f>
        <v>PR010</v>
      </c>
      <c r="B696" s="2" t="str">
        <f>IFERROR(__xludf.DUMMYFUNCTION("""COMPUTED_VALUE"""),"VD027")</f>
        <v>VD027</v>
      </c>
      <c r="C696" s="2">
        <f>IFERROR(__xludf.DUMMYFUNCTION("""COMPUTED_VALUE"""),1.0)</f>
        <v>1</v>
      </c>
      <c r="D696" s="6">
        <f>IFERROR(__xludf.DUMMYFUNCTION("""COMPUTED_VALUE"""),45.8)</f>
        <v>45.8</v>
      </c>
      <c r="E696" s="6">
        <f>IFERROR(__xludf.DUMMYFUNCTION("GOOGLEFINANCE(""Currency:BRLMXN"")*D696"),155.60549999999998)</f>
        <v>155.6055</v>
      </c>
      <c r="F696" s="6">
        <f>IFERROR(__xludf.DUMMYFUNCTION("GOOGLEFINANCE(""Currency:BRLPEN"")*D696"),30.026479999999996)</f>
        <v>30.02648</v>
      </c>
      <c r="G696" s="2" t="str">
        <f t="array" ref="G696">_xlfn.XLOOKUP(B696,Vendedores!$A$2:$A$41,Vendedores!$B$2:$B$41,"No hay datos")</f>
        <v>Patricia Cortés</v>
      </c>
      <c r="H696" s="2" t="str">
        <f t="array" ref="H696">_xlfn.XLOOKUP(B696,Vendedores!$A$2:$A$41,Vendedores!$C$2:$C$41,"No hay datos")</f>
        <v>Costa Azul</v>
      </c>
      <c r="I696" s="2" t="str">
        <f t="array" ref="I696">_xlfn.XLOOKUP(B696,Vendedores!$A$2:$A$41,Vendedores!$D$2:$D$41,"No hay datos")</f>
        <v>Región Norte</v>
      </c>
      <c r="J696" s="2" t="str">
        <f t="array" ref="J696:N696">_xlfn.XLOOKUP(A696,Productos!$A$2:$A$61,Productos!$B$2:$F$61)</f>
        <v>Pantalón legging</v>
      </c>
      <c r="K696" s="2" t="s">
        <v>9</v>
      </c>
      <c r="L696" s="2" t="s">
        <v>10</v>
      </c>
      <c r="M696" s="2" t="s">
        <v>86</v>
      </c>
      <c r="N696" s="2" t="s">
        <v>87</v>
      </c>
    </row>
    <row r="697">
      <c r="A697" s="2" t="str">
        <f>IFERROR(__xludf.DUMMYFUNCTION("""COMPUTED_VALUE"""),"PR050")</f>
        <v>PR050</v>
      </c>
      <c r="B697" s="2" t="str">
        <f>IFERROR(__xludf.DUMMYFUNCTION("""COMPUTED_VALUE"""),"VD029")</f>
        <v>VD029</v>
      </c>
      <c r="C697" s="2">
        <f>IFERROR(__xludf.DUMMYFUNCTION("""COMPUTED_VALUE"""),16.0)</f>
        <v>16</v>
      </c>
      <c r="D697" s="6">
        <f>IFERROR(__xludf.DUMMYFUNCTION("""COMPUTED_VALUE"""),526.4)</f>
        <v>526.4</v>
      </c>
      <c r="E697" s="6">
        <f>IFERROR(__xludf.DUMMYFUNCTION("GOOGLEFINANCE(""Currency:BRLMXN"")*D697"),1788.444)</f>
        <v>1788.444</v>
      </c>
      <c r="F697" s="6">
        <f>IFERROR(__xludf.DUMMYFUNCTION("GOOGLEFINANCE(""Currency:BRLPEN"")*D697"),345.10783999999995)</f>
        <v>345.10784</v>
      </c>
      <c r="G697" s="2" t="str">
        <f t="array" ref="G697">_xlfn.XLOOKUP(B697,Vendedores!$A$2:$A$41,Vendedores!$B$2:$B$41,"No hay datos")</f>
        <v>Gabriela Sosa</v>
      </c>
      <c r="H697" s="2" t="str">
        <f t="array" ref="H697">_xlfn.XLOOKUP(B697,Vendedores!$A$2:$A$41,Vendedores!$C$2:$C$41,"No hay datos")</f>
        <v>Selva Verde</v>
      </c>
      <c r="I697" s="2" t="str">
        <f t="array" ref="I697">_xlfn.XLOOKUP(B697,Vendedores!$A$2:$A$41,Vendedores!$D$2:$D$41,"No hay datos")</f>
        <v>Región Amazónica</v>
      </c>
      <c r="J697" s="2" t="str">
        <f t="array" ref="J697:N697">_xlfn.XLOOKUP(A697,Productos!$A$2:$A$61,Productos!$B$2:$F$61)</f>
        <v>Playera a rayas</v>
      </c>
      <c r="K697" s="2" t="s">
        <v>17</v>
      </c>
      <c r="L697" s="2" t="s">
        <v>10</v>
      </c>
      <c r="M697" s="2" t="s">
        <v>27</v>
      </c>
      <c r="N697" s="2" t="s">
        <v>24</v>
      </c>
    </row>
    <row r="698">
      <c r="A698" s="2" t="str">
        <f>IFERROR(__xludf.DUMMYFUNCTION("""COMPUTED_VALUE"""),"PR046")</f>
        <v>PR046</v>
      </c>
      <c r="B698" s="2" t="str">
        <f>IFERROR(__xludf.DUMMYFUNCTION("""COMPUTED_VALUE"""),"VD025")</f>
        <v>VD025</v>
      </c>
      <c r="C698" s="2">
        <f>IFERROR(__xludf.DUMMYFUNCTION("""COMPUTED_VALUE"""),6.0)</f>
        <v>6</v>
      </c>
      <c r="D698" s="6">
        <f>IFERROR(__xludf.DUMMYFUNCTION("""COMPUTED_VALUE"""),1826.37)</f>
        <v>1826.37</v>
      </c>
      <c r="E698" s="6">
        <f>IFERROR(__xludf.DUMMYFUNCTION("GOOGLEFINANCE(""Currency:BRLMXN"")*D698"),6205.092075)</f>
        <v>6205.092075</v>
      </c>
      <c r="F698" s="6">
        <f>IFERROR(__xludf.DUMMYFUNCTION("GOOGLEFINANCE(""Currency:BRLPEN"")*D698"),1197.368172)</f>
        <v>1197.368172</v>
      </c>
      <c r="G698" s="2" t="str">
        <f t="array" ref="G698">_xlfn.XLOOKUP(B698,Vendedores!$A$2:$A$41,Vendedores!$B$2:$B$41,"No hay datos")</f>
        <v>Alina Santana</v>
      </c>
      <c r="H698" s="2" t="str">
        <f t="array" ref="H698">_xlfn.XLOOKUP(B698,Vendedores!$A$2:$A$41,Vendedores!$C$2:$C$41,"No hay datos")</f>
        <v>Playa Blanca</v>
      </c>
      <c r="I698" s="2" t="str">
        <f t="array" ref="I698">_xlfn.XLOOKUP(B698,Vendedores!$A$2:$A$41,Vendedores!$D$2:$D$41,"No hay datos")</f>
        <v>Región Norte</v>
      </c>
      <c r="J698" s="2" t="str">
        <f t="array" ref="J698:N698">_xlfn.XLOOKUP(A698,Productos!$A$2:$A$61,Productos!$B$2:$F$61)</f>
        <v>Chaqueta de cuero</v>
      </c>
      <c r="K698" s="2" t="s">
        <v>9</v>
      </c>
      <c r="L698" s="2" t="s">
        <v>10</v>
      </c>
      <c r="M698" s="2" t="s">
        <v>94</v>
      </c>
      <c r="N698" s="2" t="s">
        <v>44</v>
      </c>
    </row>
    <row r="699">
      <c r="A699" s="2" t="str">
        <f>IFERROR(__xludf.DUMMYFUNCTION("""COMPUTED_VALUE"""),"PR036")</f>
        <v>PR036</v>
      </c>
      <c r="B699" s="2" t="str">
        <f>IFERROR(__xludf.DUMMYFUNCTION("""COMPUTED_VALUE"""),"VD024")</f>
        <v>VD024</v>
      </c>
      <c r="C699" s="2">
        <f>IFERROR(__xludf.DUMMYFUNCTION("""COMPUTED_VALUE"""),2.0)</f>
        <v>2</v>
      </c>
      <c r="D699" s="6">
        <f>IFERROR(__xludf.DUMMYFUNCTION("""COMPUTED_VALUE"""),203.83)</f>
        <v>203.83</v>
      </c>
      <c r="E699" s="6">
        <f>IFERROR(__xludf.DUMMYFUNCTION("GOOGLEFINANCE(""Currency:BRLMXN"")*D699"),692.512425)</f>
        <v>692.512425</v>
      </c>
      <c r="F699" s="6">
        <f>IFERROR(__xludf.DUMMYFUNCTION("GOOGLEFINANCE(""Currency:BRLPEN"")*D699"),133.630948)</f>
        <v>133.630948</v>
      </c>
      <c r="G699" s="2" t="str">
        <f t="array" ref="G699">_xlfn.XLOOKUP(B699,Vendedores!$A$2:$A$41,Vendedores!$B$2:$B$41,"No hay datos")</f>
        <v>Marcos Rivera</v>
      </c>
      <c r="H699" s="2" t="str">
        <f t="array" ref="H699">_xlfn.XLOOKUP(B699,Vendedores!$A$2:$A$41,Vendedores!$C$2:$C$41,"No hay datos")</f>
        <v>Santa Rosa del Valle</v>
      </c>
      <c r="I699" s="2" t="str">
        <f t="array" ref="I699">_xlfn.XLOOKUP(B699,Vendedores!$A$2:$A$41,Vendedores!$D$2:$D$41,"No hay datos")</f>
        <v>Región Norte</v>
      </c>
      <c r="J699" s="2" t="str">
        <f t="array" ref="J699:N699">_xlfn.XLOOKUP(A699,Productos!$A$2:$A$61,Productos!$B$2:$F$61)</f>
        <v>Vestido corto</v>
      </c>
      <c r="K699" s="2" t="s">
        <v>22</v>
      </c>
      <c r="L699" s="2" t="s">
        <v>10</v>
      </c>
      <c r="M699" s="2" t="s">
        <v>82</v>
      </c>
      <c r="N699" s="2" t="s">
        <v>83</v>
      </c>
    </row>
    <row r="700">
      <c r="A700" s="2" t="str">
        <f>IFERROR(__xludf.DUMMYFUNCTION("""COMPUTED_VALUE"""),"PR047")</f>
        <v>PR047</v>
      </c>
      <c r="B700" s="2" t="str">
        <f>IFERROR(__xludf.DUMMYFUNCTION("""COMPUTED_VALUE"""),"VD035")</f>
        <v>VD035</v>
      </c>
      <c r="C700" s="2">
        <f>IFERROR(__xludf.DUMMYFUNCTION("""COMPUTED_VALUE"""),1.0)</f>
        <v>1</v>
      </c>
      <c r="D700" s="6">
        <f>IFERROR(__xludf.DUMMYFUNCTION("""COMPUTED_VALUE"""),313.09)</f>
        <v>313.09</v>
      </c>
      <c r="E700" s="6">
        <f>IFERROR(__xludf.DUMMYFUNCTION("GOOGLEFINANCE(""Currency:BRLMXN"")*D700"),1063.7232749999998)</f>
        <v>1063.723275</v>
      </c>
      <c r="F700" s="6">
        <f>IFERROR(__xludf.DUMMYFUNCTION("GOOGLEFINANCE(""Currency:BRLPEN"")*D700"),205.26180399999998)</f>
        <v>205.261804</v>
      </c>
      <c r="G700" s="2" t="str">
        <f t="array" ref="G700">_xlfn.XLOOKUP(B700,Vendedores!$A$2:$A$41,Vendedores!$B$2:$B$41,"No hay datos")</f>
        <v>Carolina Méndez</v>
      </c>
      <c r="H700" s="2" t="str">
        <f t="array" ref="H700">_xlfn.XLOOKUP(B700,Vendedores!$A$2:$A$41,Vendedores!$C$2:$C$41,"No hay datos")</f>
        <v>Valle de los Robles</v>
      </c>
      <c r="I700" s="2" t="str">
        <f t="array" ref="I700">_xlfn.XLOOKUP(B700,Vendedores!$A$2:$A$41,Vendedores!$D$2:$D$41,"No hay datos")</f>
        <v>Región Central 2</v>
      </c>
      <c r="J700" s="2" t="str">
        <f t="array" ref="J700:N700">_xlfn.XLOOKUP(A700,Productos!$A$2:$A$61,Productos!$B$2:$F$61)</f>
        <v>Chaqueta de cuero</v>
      </c>
      <c r="K700" s="2" t="s">
        <v>17</v>
      </c>
      <c r="L700" s="2" t="s">
        <v>10</v>
      </c>
      <c r="M700" s="2" t="s">
        <v>43</v>
      </c>
      <c r="N700" s="2" t="s">
        <v>44</v>
      </c>
    </row>
    <row r="701">
      <c r="A701" s="2" t="str">
        <f>IFERROR(__xludf.DUMMYFUNCTION("""COMPUTED_VALUE"""),"PR014")</f>
        <v>PR014</v>
      </c>
      <c r="B701" s="2" t="str">
        <f>IFERROR(__xludf.DUMMYFUNCTION("""COMPUTED_VALUE"""),"VD028")</f>
        <v>VD028</v>
      </c>
      <c r="C701" s="2">
        <f>IFERROR(__xludf.DUMMYFUNCTION("""COMPUTED_VALUE"""),4.0)</f>
        <v>4</v>
      </c>
      <c r="D701" s="6">
        <f>IFERROR(__xludf.DUMMYFUNCTION("""COMPUTED_VALUE"""),161.2)</f>
        <v>161.2</v>
      </c>
      <c r="E701" s="6">
        <f>IFERROR(__xludf.DUMMYFUNCTION("GOOGLEFINANCE(""Currency:BRLMXN"")*D701"),547.6769999999999)</f>
        <v>547.677</v>
      </c>
      <c r="F701" s="6">
        <f>IFERROR(__xludf.DUMMYFUNCTION("GOOGLEFINANCE(""Currency:BRLPEN"")*D701"),105.68271999999999)</f>
        <v>105.68272</v>
      </c>
      <c r="G701" s="2" t="str">
        <f t="array" ref="G701">_xlfn.XLOOKUP(B701,Vendedores!$A$2:$A$41,Vendedores!$B$2:$B$41,"No hay datos")</f>
        <v>Rodrigo Almonte</v>
      </c>
      <c r="H701" s="2" t="str">
        <f t="array" ref="H701">_xlfn.XLOOKUP(B701,Vendedores!$A$2:$A$41,Vendedores!$C$2:$C$41,"No hay datos")</f>
        <v>Valle Escondido</v>
      </c>
      <c r="I701" s="2" t="str">
        <f t="array" ref="I701">_xlfn.XLOOKUP(B701,Vendedores!$A$2:$A$41,Vendedores!$D$2:$D$41,"No hay datos")</f>
        <v>Región Andina</v>
      </c>
      <c r="J701" s="2" t="str">
        <f t="array" ref="J701:N701">_xlfn.XLOOKUP(A701,Productos!$A$2:$A$61,Productos!$B$2:$F$61)</f>
        <v>Playera estampada</v>
      </c>
      <c r="K701" s="2" t="s">
        <v>17</v>
      </c>
      <c r="L701" s="2" t="s">
        <v>10</v>
      </c>
      <c r="M701" s="2" t="s">
        <v>37</v>
      </c>
      <c r="N701" s="2" t="s">
        <v>38</v>
      </c>
    </row>
    <row r="702">
      <c r="A702" s="2" t="str">
        <f>IFERROR(__xludf.DUMMYFUNCTION("""COMPUTED_VALUE"""),"PR039")</f>
        <v>PR039</v>
      </c>
      <c r="B702" s="2" t="str">
        <f>IFERROR(__xludf.DUMMYFUNCTION("""COMPUTED_VALUE"""),"VD012")</f>
        <v>VD012</v>
      </c>
      <c r="C702" s="2">
        <f>IFERROR(__xludf.DUMMYFUNCTION("""COMPUTED_VALUE"""),20.0)</f>
        <v>20</v>
      </c>
      <c r="D702" s="6">
        <f>IFERROR(__xludf.DUMMYFUNCTION("""COMPUTED_VALUE"""),3124.4)</f>
        <v>3124.4</v>
      </c>
      <c r="E702" s="6">
        <f>IFERROR(__xludf.DUMMYFUNCTION("GOOGLEFINANCE(""Currency:BRLMXN"")*D702"),10615.149)</f>
        <v>10615.149</v>
      </c>
      <c r="F702" s="6">
        <f>IFERROR(__xludf.DUMMYFUNCTION("GOOGLEFINANCE(""Currency:BRLPEN"")*D702"),2048.35664)</f>
        <v>2048.35664</v>
      </c>
      <c r="G702" s="2" t="str">
        <f t="array" ref="G702">_xlfn.XLOOKUP(B702,Vendedores!$A$2:$A$41,Vendedores!$B$2:$B$41,"No hay datos")</f>
        <v>Ana Olmedo</v>
      </c>
      <c r="H702" s="2" t="str">
        <f t="array" ref="H702">_xlfn.XLOOKUP(B702,Vendedores!$A$2:$A$41,Vendedores!$C$2:$C$41,"No hay datos")</f>
        <v>Río Claro</v>
      </c>
      <c r="I702" s="2" t="str">
        <f t="array" ref="I702">_xlfn.XLOOKUP(B702,Vendedores!$A$2:$A$41,Vendedores!$D$2:$D$41,"No hay datos")</f>
        <v>Región Central</v>
      </c>
      <c r="J702" s="2" t="str">
        <f t="array" ref="J702:N702">_xlfn.XLOOKUP(A702,Productos!$A$2:$A$61,Productos!$B$2:$F$61)</f>
        <v>Vestido largo</v>
      </c>
      <c r="K702" s="2" t="s">
        <v>22</v>
      </c>
      <c r="L702" s="2" t="s">
        <v>10</v>
      </c>
      <c r="M702" s="2" t="s">
        <v>73</v>
      </c>
      <c r="N702" s="2" t="s">
        <v>74</v>
      </c>
    </row>
    <row r="703">
      <c r="A703" s="2" t="str">
        <f>IFERROR(__xludf.DUMMYFUNCTION("""COMPUTED_VALUE"""),"PR051")</f>
        <v>PR051</v>
      </c>
      <c r="B703" s="2" t="str">
        <f>IFERROR(__xludf.DUMMYFUNCTION("""COMPUTED_VALUE"""),"VD034")</f>
        <v>VD034</v>
      </c>
      <c r="C703" s="2">
        <f>IFERROR(__xludf.DUMMYFUNCTION("""COMPUTED_VALUE"""),6.0)</f>
        <v>6</v>
      </c>
      <c r="D703" s="6">
        <f>IFERROR(__xludf.DUMMYFUNCTION("""COMPUTED_VALUE"""),211.22)</f>
        <v>211.22</v>
      </c>
      <c r="E703" s="6">
        <f>IFERROR(__xludf.DUMMYFUNCTION("GOOGLEFINANCE(""Currency:BRLMXN"")*D703"),717.61995)</f>
        <v>717.61995</v>
      </c>
      <c r="F703" s="6">
        <f>IFERROR(__xludf.DUMMYFUNCTION("GOOGLEFINANCE(""Currency:BRLPEN"")*D703"),138.475832)</f>
        <v>138.475832</v>
      </c>
      <c r="G703" s="2" t="str">
        <f t="array" ref="G703">_xlfn.XLOOKUP(B703,Vendedores!$A$2:$A$41,Vendedores!$B$2:$B$41,"No hay datos")</f>
        <v>Felipe Carvajal</v>
      </c>
      <c r="H703" s="2" t="str">
        <f t="array" ref="H703">_xlfn.XLOOKUP(B703,Vendedores!$A$2:$A$41,Vendedores!$C$2:$C$41,"No hay datos")</f>
        <v>San Pedro del Río</v>
      </c>
      <c r="I703" s="2" t="str">
        <f t="array" ref="I703">_xlfn.XLOOKUP(B703,Vendedores!$A$2:$A$41,Vendedores!$D$2:$D$41,"No hay datos")</f>
        <v>Región Sur 2</v>
      </c>
      <c r="J703" s="2" t="str">
        <f t="array" ref="J703:N703">_xlfn.XLOOKUP(A703,Productos!$A$2:$A$61,Productos!$B$2:$F$61)</f>
        <v>Playera a rayas</v>
      </c>
      <c r="K703" s="2" t="s">
        <v>22</v>
      </c>
      <c r="L703" s="2" t="s">
        <v>10</v>
      </c>
      <c r="M703" s="2" t="s">
        <v>23</v>
      </c>
      <c r="N703" s="2" t="s">
        <v>24</v>
      </c>
    </row>
    <row r="704">
      <c r="A704" s="2" t="str">
        <f>IFERROR(__xludf.DUMMYFUNCTION("""COMPUTED_VALUE"""),"PR060")</f>
        <v>PR060</v>
      </c>
      <c r="B704" s="2" t="str">
        <f>IFERROR(__xludf.DUMMYFUNCTION("""COMPUTED_VALUE"""),"VD043")</f>
        <v>VD043</v>
      </c>
      <c r="C704" s="2">
        <f>IFERROR(__xludf.DUMMYFUNCTION("""COMPUTED_VALUE"""),8.0)</f>
        <v>8</v>
      </c>
      <c r="D704" s="6">
        <f>IFERROR(__xludf.DUMMYFUNCTION("""COMPUTED_VALUE"""),1483.2)</f>
        <v>1483.2</v>
      </c>
      <c r="E704" s="6">
        <f>IFERROR(__xludf.DUMMYFUNCTION("GOOGLEFINANCE(""Currency:BRLMXN"")*D704"),5039.1720000000005)</f>
        <v>5039.172</v>
      </c>
      <c r="F704" s="6">
        <f>IFERROR(__xludf.DUMMYFUNCTION("GOOGLEFINANCE(""Currency:BRLPEN"")*D704"),972.3859199999999)</f>
        <v>972.38592</v>
      </c>
      <c r="G704" s="2" t="str">
        <f t="array" ref="G704">_xlfn.XLOOKUP(B704,Vendedores!$A$2:$A$41,Vendedores!$B$2:$B$41,"No hay datos")</f>
        <v>Carlos Henríquez</v>
      </c>
      <c r="H704" s="2" t="str">
        <f t="array" ref="H704">_xlfn.XLOOKUP(B704,Vendedores!$A$2:$A$41,Vendedores!$C$2:$C$41,"No hay datos")</f>
        <v>Ciudad Aeropuerto</v>
      </c>
      <c r="I704" s="2" t="str">
        <f t="array" ref="I704">_xlfn.XLOOKUP(B704,Vendedores!$A$2:$A$41,Vendedores!$D$2:$D$41,"No hay datos")</f>
        <v>Región Central 2</v>
      </c>
      <c r="J704" s="2" t="str">
        <f t="array" ref="J704:N704">_xlfn.XLOOKUP(A704,Productos!$A$2:$A$61,Productos!$B$2:$F$61)</f>
        <v>Pantalón de sastre</v>
      </c>
      <c r="K704" s="2" t="s">
        <v>22</v>
      </c>
      <c r="L704" s="2" t="s">
        <v>10</v>
      </c>
      <c r="M704" s="2" t="s">
        <v>75</v>
      </c>
      <c r="N704" s="2" t="s">
        <v>14</v>
      </c>
    </row>
    <row r="705">
      <c r="A705" s="2" t="str">
        <f>IFERROR(__xludf.DUMMYFUNCTION("""COMPUTED_VALUE"""),"PR050")</f>
        <v>PR050</v>
      </c>
      <c r="B705" s="2" t="str">
        <f>IFERROR(__xludf.DUMMYFUNCTION("""COMPUTED_VALUE"""),"VD040")</f>
        <v>VD040</v>
      </c>
      <c r="C705" s="2">
        <f>IFERROR(__xludf.DUMMYFUNCTION("""COMPUTED_VALUE"""),10.0)</f>
        <v>10</v>
      </c>
      <c r="D705" s="6">
        <f>IFERROR(__xludf.DUMMYFUNCTION("""COMPUTED_VALUE"""),329.0)</f>
        <v>329</v>
      </c>
      <c r="E705" s="6">
        <f>IFERROR(__xludf.DUMMYFUNCTION("GOOGLEFINANCE(""Currency:BRLMXN"")*D705"),1117.7775)</f>
        <v>1117.7775</v>
      </c>
      <c r="F705" s="6">
        <f>IFERROR(__xludf.DUMMYFUNCTION("GOOGLEFINANCE(""Currency:BRLPEN"")*D705"),215.6924)</f>
        <v>215.6924</v>
      </c>
      <c r="G705" s="2" t="str">
        <f t="array" ref="G705">_xlfn.XLOOKUP(B705,Vendedores!$A$2:$A$41,Vendedores!$B$2:$B$41,"No hay datos")</f>
        <v>Tatiana Montero</v>
      </c>
      <c r="H705" s="2" t="str">
        <f t="array" ref="H705">_xlfn.XLOOKUP(B705,Vendedores!$A$2:$A$41,Vendedores!$C$2:$C$41,"No hay datos")</f>
        <v>Ciudad Industrial</v>
      </c>
      <c r="I705" s="2" t="str">
        <f t="array" ref="I705">_xlfn.XLOOKUP(B705,Vendedores!$A$2:$A$41,Vendedores!$D$2:$D$41,"No hay datos")</f>
        <v>Región Central 2</v>
      </c>
      <c r="J705" s="2" t="str">
        <f t="array" ref="J705:N705">_xlfn.XLOOKUP(A705,Productos!$A$2:$A$61,Productos!$B$2:$F$61)</f>
        <v>Playera a rayas</v>
      </c>
      <c r="K705" s="2" t="s">
        <v>17</v>
      </c>
      <c r="L705" s="2" t="s">
        <v>10</v>
      </c>
      <c r="M705" s="2" t="s">
        <v>27</v>
      </c>
      <c r="N705" s="2" t="s">
        <v>24</v>
      </c>
    </row>
    <row r="706">
      <c r="A706" s="2" t="str">
        <f>IFERROR(__xludf.DUMMYFUNCTION("""COMPUTED_VALUE"""),"PR044")</f>
        <v>PR044</v>
      </c>
      <c r="B706" s="2" t="str">
        <f>IFERROR(__xludf.DUMMYFUNCTION("""COMPUTED_VALUE"""),"VD012")</f>
        <v>VD012</v>
      </c>
      <c r="C706" s="2">
        <f>IFERROR(__xludf.DUMMYFUNCTION("""COMPUTED_VALUE"""),4.0)</f>
        <v>4</v>
      </c>
      <c r="D706" s="6">
        <f>IFERROR(__xludf.DUMMYFUNCTION("""COMPUTED_VALUE"""),301.6)</f>
        <v>301.6</v>
      </c>
      <c r="E706" s="6">
        <f>IFERROR(__xludf.DUMMYFUNCTION("GOOGLEFINANCE(""Currency:BRLMXN"")*D706"),1024.6860000000001)</f>
        <v>1024.686</v>
      </c>
      <c r="F706" s="6">
        <f>IFERROR(__xludf.DUMMYFUNCTION("GOOGLEFINANCE(""Currency:BRLPEN"")*D706"),197.72896)</f>
        <v>197.72896</v>
      </c>
      <c r="G706" s="2" t="str">
        <f t="array" ref="G706">_xlfn.XLOOKUP(B706,Vendedores!$A$2:$A$41,Vendedores!$B$2:$B$41,"No hay datos")</f>
        <v>Ana Olmedo</v>
      </c>
      <c r="H706" s="2" t="str">
        <f t="array" ref="H706">_xlfn.XLOOKUP(B706,Vendedores!$A$2:$A$41,Vendedores!$C$2:$C$41,"No hay datos")</f>
        <v>Río Claro</v>
      </c>
      <c r="I706" s="2" t="str">
        <f t="array" ref="I706">_xlfn.XLOOKUP(B706,Vendedores!$A$2:$A$41,Vendedores!$D$2:$D$41,"No hay datos")</f>
        <v>Región Central</v>
      </c>
      <c r="J706" s="2" t="str">
        <f t="array" ref="J706:N706">_xlfn.XLOOKUP(A706,Productos!$A$2:$A$61,Productos!$B$2:$F$61)</f>
        <v>Vestido floral</v>
      </c>
      <c r="K706" s="2" t="s">
        <v>17</v>
      </c>
      <c r="L706" s="2" t="s">
        <v>10</v>
      </c>
      <c r="M706" s="2" t="s">
        <v>105</v>
      </c>
      <c r="N706" s="2" t="s">
        <v>40</v>
      </c>
    </row>
    <row r="707">
      <c r="A707" s="2" t="str">
        <f>IFERROR(__xludf.DUMMYFUNCTION("""COMPUTED_VALUE"""),"PR013")</f>
        <v>PR013</v>
      </c>
      <c r="B707" s="2" t="str">
        <f>IFERROR(__xludf.DUMMYFUNCTION("""COMPUTED_VALUE"""),"VD031")</f>
        <v>VD031</v>
      </c>
      <c r="C707" s="2">
        <f>IFERROR(__xludf.DUMMYFUNCTION("""COMPUTED_VALUE"""),14.0)</f>
        <v>14</v>
      </c>
      <c r="D707" s="6">
        <f>IFERROR(__xludf.DUMMYFUNCTION("""COMPUTED_VALUE"""),608.87)</f>
        <v>608.87</v>
      </c>
      <c r="E707" s="6">
        <f>IFERROR(__xludf.DUMMYFUNCTION("GOOGLEFINANCE(""Currency:BRLMXN"")*D707"),2068.635825)</f>
        <v>2068.635825</v>
      </c>
      <c r="F707" s="6">
        <f>IFERROR(__xludf.DUMMYFUNCTION("GOOGLEFINANCE(""Currency:BRLPEN"")*D707"),399.175172)</f>
        <v>399.175172</v>
      </c>
      <c r="G707" s="2" t="str">
        <f t="array" ref="G707">_xlfn.XLOOKUP(B707,Vendedores!$A$2:$A$41,Vendedores!$B$2:$B$41,"No hay datos")</f>
        <v>Vanessa Martínez</v>
      </c>
      <c r="H707" s="2" t="str">
        <f t="array" ref="H707">_xlfn.XLOOKUP(B707,Vendedores!$A$2:$A$41,Vendedores!$C$2:$C$41,"No hay datos")</f>
        <v>Monte Verde</v>
      </c>
      <c r="I707" s="2" t="str">
        <f t="array" ref="I707">_xlfn.XLOOKUP(B707,Vendedores!$A$2:$A$41,Vendedores!$D$2:$D$41,"No hay datos")</f>
        <v>Región Central 2</v>
      </c>
      <c r="J707" s="2" t="str">
        <f t="array" ref="J707:N707">_xlfn.XLOOKUP(A707,Productos!$A$2:$A$61,Productos!$B$2:$F$61)</f>
        <v>Playera estampada</v>
      </c>
      <c r="K707" s="2" t="s">
        <v>9</v>
      </c>
      <c r="L707" s="2" t="s">
        <v>10</v>
      </c>
      <c r="M707" s="2" t="s">
        <v>66</v>
      </c>
      <c r="N707" s="2" t="s">
        <v>38</v>
      </c>
    </row>
    <row r="708">
      <c r="A708" s="2" t="str">
        <f>IFERROR(__xludf.DUMMYFUNCTION("""COMPUTED_VALUE"""),"PR002")</f>
        <v>PR002</v>
      </c>
      <c r="B708" s="2" t="str">
        <f>IFERROR(__xludf.DUMMYFUNCTION("""COMPUTED_VALUE"""),"VD027")</f>
        <v>VD027</v>
      </c>
      <c r="C708" s="2">
        <f>IFERROR(__xludf.DUMMYFUNCTION("""COMPUTED_VALUE"""),6.0)</f>
        <v>6</v>
      </c>
      <c r="D708" s="6">
        <f>IFERROR(__xludf.DUMMYFUNCTION("""COMPUTED_VALUE"""),452.95)</f>
        <v>452.95</v>
      </c>
      <c r="E708" s="6">
        <f>IFERROR(__xludf.DUMMYFUNCTION("GOOGLEFINANCE(""Currency:BRLMXN"")*D708"),1538.8976249999998)</f>
        <v>1538.897625</v>
      </c>
      <c r="F708" s="6">
        <f>IFERROR(__xludf.DUMMYFUNCTION("GOOGLEFINANCE(""Currency:BRLPEN"")*D708"),296.95401999999996)</f>
        <v>296.95402</v>
      </c>
      <c r="G708" s="2" t="str">
        <f t="array" ref="G708">_xlfn.XLOOKUP(B708,Vendedores!$A$2:$A$41,Vendedores!$B$2:$B$41,"No hay datos")</f>
        <v>Patricia Cortés</v>
      </c>
      <c r="H708" s="2" t="str">
        <f t="array" ref="H708">_xlfn.XLOOKUP(B708,Vendedores!$A$2:$A$41,Vendedores!$C$2:$C$41,"No hay datos")</f>
        <v>Costa Azul</v>
      </c>
      <c r="I708" s="2" t="str">
        <f t="array" ref="I708">_xlfn.XLOOKUP(B708,Vendedores!$A$2:$A$41,Vendedores!$D$2:$D$41,"No hay datos")</f>
        <v>Región Norte</v>
      </c>
      <c r="J708" s="2" t="str">
        <f t="array" ref="J708:N708">_xlfn.XLOOKUP(A708,Productos!$A$2:$A$61,Productos!$B$2:$F$61)</f>
        <v>Bermuda</v>
      </c>
      <c r="K708" s="2" t="s">
        <v>17</v>
      </c>
      <c r="L708" s="2" t="s">
        <v>10</v>
      </c>
      <c r="M708" s="2" t="s">
        <v>49</v>
      </c>
      <c r="N708" s="2" t="s">
        <v>50</v>
      </c>
    </row>
    <row r="709">
      <c r="A709" s="2" t="str">
        <f>IFERROR(__xludf.DUMMYFUNCTION("""COMPUTED_VALUE"""),"PR031")</f>
        <v>PR031</v>
      </c>
      <c r="B709" s="2" t="str">
        <f>IFERROR(__xludf.DUMMYFUNCTION("""COMPUTED_VALUE"""),"VD024")</f>
        <v>VD024</v>
      </c>
      <c r="C709" s="2">
        <f>IFERROR(__xludf.DUMMYFUNCTION("""COMPUTED_VALUE"""),6.0)</f>
        <v>6</v>
      </c>
      <c r="D709" s="6">
        <f>IFERROR(__xludf.DUMMYFUNCTION("""COMPUTED_VALUE"""),1499.4)</f>
        <v>1499.4</v>
      </c>
      <c r="E709" s="6">
        <f>IFERROR(__xludf.DUMMYFUNCTION("GOOGLEFINANCE(""Currency:BRLMXN"")*D709"),5094.2115)</f>
        <v>5094.2115</v>
      </c>
      <c r="F709" s="6">
        <f>IFERROR(__xludf.DUMMYFUNCTION("GOOGLEFINANCE(""Currency:BRLPEN"")*D709"),983.00664)</f>
        <v>983.00664</v>
      </c>
      <c r="G709" s="2" t="str">
        <f t="array" ref="G709">_xlfn.XLOOKUP(B709,Vendedores!$A$2:$A$41,Vendedores!$B$2:$B$41,"No hay datos")</f>
        <v>Marcos Rivera</v>
      </c>
      <c r="H709" s="2" t="str">
        <f t="array" ref="H709">_xlfn.XLOOKUP(B709,Vendedores!$A$2:$A$41,Vendedores!$C$2:$C$41,"No hay datos")</f>
        <v>Santa Rosa del Valle</v>
      </c>
      <c r="I709" s="2" t="str">
        <f t="array" ref="I709">_xlfn.XLOOKUP(B709,Vendedores!$A$2:$A$41,Vendedores!$D$2:$D$41,"No hay datos")</f>
        <v>Región Norte</v>
      </c>
      <c r="J709" s="2" t="str">
        <f t="array" ref="J709:N709">_xlfn.XLOOKUP(A709,Productos!$A$2:$A$61,Productos!$B$2:$F$61)</f>
        <v>Tenis Chunky</v>
      </c>
      <c r="K709" s="2">
        <v>36.0</v>
      </c>
      <c r="L709" s="2" t="s">
        <v>33</v>
      </c>
      <c r="M709" s="2" t="s">
        <v>84</v>
      </c>
      <c r="N709" s="2" t="s">
        <v>85</v>
      </c>
    </row>
    <row r="710">
      <c r="A710" s="2" t="str">
        <f>IFERROR(__xludf.DUMMYFUNCTION("""COMPUTED_VALUE"""),"PR052")</f>
        <v>PR052</v>
      </c>
      <c r="B710" s="2" t="str">
        <f>IFERROR(__xludf.DUMMYFUNCTION("""COMPUTED_VALUE"""),"VD041")</f>
        <v>VD041</v>
      </c>
      <c r="C710" s="2">
        <f>IFERROR(__xludf.DUMMYFUNCTION("""COMPUTED_VALUE"""),14.0)</f>
        <v>14</v>
      </c>
      <c r="D710" s="6">
        <f>IFERROR(__xludf.DUMMYFUNCTION("""COMPUTED_VALUE"""),754.49)</f>
        <v>754.49</v>
      </c>
      <c r="E710" s="6">
        <f>IFERROR(__xludf.DUMMYFUNCTION("GOOGLEFINANCE(""Currency:BRLMXN"")*D710"),2563.379775)</f>
        <v>2563.379775</v>
      </c>
      <c r="F710" s="6">
        <f>IFERROR(__xludf.DUMMYFUNCTION("GOOGLEFINANCE(""Currency:BRLPEN"")*D710"),494.643644)</f>
        <v>494.643644</v>
      </c>
      <c r="G710" s="2" t="str">
        <f t="array" ref="G710">_xlfn.XLOOKUP(B710,Vendedores!$A$2:$A$41,Vendedores!$B$2:$B$41,"No hay datos")</f>
        <v>Alejandro Ramos</v>
      </c>
      <c r="H710" s="2" t="str">
        <f t="array" ref="H710">_xlfn.XLOOKUP(B710,Vendedores!$A$2:$A$41,Vendedores!$C$2:$C$41,"No hay datos")</f>
        <v>San Martín de las Rosas</v>
      </c>
      <c r="I710" s="2" t="str">
        <f t="array" ref="I710">_xlfn.XLOOKUP(B710,Vendedores!$A$2:$A$41,Vendedores!$D$2:$D$41,"No hay datos")</f>
        <v>Región Central 2</v>
      </c>
      <c r="J710" s="2" t="str">
        <f t="array" ref="J710:N710">_xlfn.XLOOKUP(A710,Productos!$A$2:$A$61,Productos!$B$2:$F$61)</f>
        <v>Falda plisada</v>
      </c>
      <c r="K710" s="2" t="s">
        <v>9</v>
      </c>
      <c r="L710" s="2" t="s">
        <v>10</v>
      </c>
      <c r="M710" s="2" t="s">
        <v>36</v>
      </c>
      <c r="N710" s="2" t="s">
        <v>32</v>
      </c>
    </row>
    <row r="711">
      <c r="A711" s="2" t="str">
        <f>IFERROR(__xludf.DUMMYFUNCTION("""COMPUTED_VALUE"""),"PR058")</f>
        <v>PR058</v>
      </c>
      <c r="B711" s="2" t="str">
        <f>IFERROR(__xludf.DUMMYFUNCTION("""COMPUTED_VALUE"""),"VD030")</f>
        <v>VD030</v>
      </c>
      <c r="C711" s="2">
        <f>IFERROR(__xludf.DUMMYFUNCTION("""COMPUTED_VALUE"""),2.0)</f>
        <v>2</v>
      </c>
      <c r="D711" s="6">
        <f>IFERROR(__xludf.DUMMYFUNCTION("""COMPUTED_VALUE"""),363.6)</f>
        <v>363.6</v>
      </c>
      <c r="E711" s="6">
        <f>IFERROR(__xludf.DUMMYFUNCTION("GOOGLEFINANCE(""Currency:BRLMXN"")*D711"),1235.3310000000001)</f>
        <v>1235.331</v>
      </c>
      <c r="F711" s="6">
        <f>IFERROR(__xludf.DUMMYFUNCTION("GOOGLEFINANCE(""Currency:BRLPEN"")*D711"),238.37616)</f>
        <v>238.37616</v>
      </c>
      <c r="G711" s="2" t="str">
        <f t="array" ref="G711">_xlfn.XLOOKUP(B711,Vendedores!$A$2:$A$41,Vendedores!$B$2:$B$41,"No hay datos")</f>
        <v>Leonardo Rojas</v>
      </c>
      <c r="H711" s="2" t="str">
        <f t="array" ref="H711">_xlfn.XLOOKUP(B711,Vendedores!$A$2:$A$41,Vendedores!$C$2:$C$41,"No hay datos")</f>
        <v>Villa del Sol</v>
      </c>
      <c r="I711" s="2" t="str">
        <f t="array" ref="I711">_xlfn.XLOOKUP(B711,Vendedores!$A$2:$A$41,Vendedores!$D$2:$D$41,"No hay datos")</f>
        <v>Región Central 2</v>
      </c>
      <c r="J711" s="2" t="str">
        <f t="array" ref="J711:N711">_xlfn.XLOOKUP(A711,Productos!$A$2:$A$61,Productos!$B$2:$F$61)</f>
        <v>Pantalón de sastre</v>
      </c>
      <c r="K711" s="2" t="s">
        <v>9</v>
      </c>
      <c r="L711" s="2" t="s">
        <v>10</v>
      </c>
      <c r="M711" s="2" t="s">
        <v>13</v>
      </c>
      <c r="N711" s="2" t="s">
        <v>14</v>
      </c>
    </row>
    <row r="712">
      <c r="A712" s="2" t="str">
        <f>IFERROR(__xludf.DUMMYFUNCTION("""COMPUTED_VALUE"""),"PR034")</f>
        <v>PR034</v>
      </c>
      <c r="B712" s="2" t="str">
        <f>IFERROR(__xludf.DUMMYFUNCTION("""COMPUTED_VALUE"""),"VD013")</f>
        <v>VD013</v>
      </c>
      <c r="C712" s="2">
        <f>IFERROR(__xludf.DUMMYFUNCTION("""COMPUTED_VALUE"""),7.0)</f>
        <v>7</v>
      </c>
      <c r="D712" s="6">
        <f>IFERROR(__xludf.DUMMYFUNCTION("""COMPUTED_VALUE"""),667.06)</f>
        <v>667.06</v>
      </c>
      <c r="E712" s="6">
        <f>IFERROR(__xludf.DUMMYFUNCTION("GOOGLEFINANCE(""Currency:BRLMXN"")*D712"),2266.3363499999996)</f>
        <v>2266.33635</v>
      </c>
      <c r="F712" s="6">
        <f>IFERROR(__xludf.DUMMYFUNCTION("GOOGLEFINANCE(""Currency:BRLPEN"")*D712"),437.3245359999999)</f>
        <v>437.324536</v>
      </c>
      <c r="G712" s="2" t="str">
        <f t="array" ref="G712">_xlfn.XLOOKUP(B712,Vendedores!$A$2:$A$41,Vendedores!$B$2:$B$41,"No hay datos")</f>
        <v>Pedro Almonte</v>
      </c>
      <c r="H712" s="2" t="str">
        <f t="array" ref="H712">_xlfn.XLOOKUP(B712,Vendedores!$A$2:$A$41,Vendedores!$C$2:$C$41,"No hay datos")</f>
        <v>Santa Rosa del Valle</v>
      </c>
      <c r="I712" s="2" t="str">
        <f t="array" ref="I712">_xlfn.XLOOKUP(B712,Vendedores!$A$2:$A$41,Vendedores!$D$2:$D$41,"No hay datos")</f>
        <v>Región Norte</v>
      </c>
      <c r="J712" s="2" t="str">
        <f t="array" ref="J712:N712">_xlfn.XLOOKUP(A712,Productos!$A$2:$A$61,Productos!$B$2:$F$61)</f>
        <v>Vestido corto</v>
      </c>
      <c r="K712" s="2" t="s">
        <v>9</v>
      </c>
      <c r="L712" s="2" t="s">
        <v>10</v>
      </c>
      <c r="M712" s="2" t="s">
        <v>93</v>
      </c>
      <c r="N712" s="2" t="s">
        <v>35</v>
      </c>
    </row>
    <row r="713">
      <c r="A713" s="2" t="str">
        <f>IFERROR(__xludf.DUMMYFUNCTION("""COMPUTED_VALUE"""),"PR052")</f>
        <v>PR052</v>
      </c>
      <c r="B713" s="2" t="str">
        <f>IFERROR(__xludf.DUMMYFUNCTION("""COMPUTED_VALUE"""),"VD041")</f>
        <v>VD041</v>
      </c>
      <c r="C713" s="2">
        <f>IFERROR(__xludf.DUMMYFUNCTION("""COMPUTED_VALUE"""),18.0)</f>
        <v>18</v>
      </c>
      <c r="D713" s="6">
        <f>IFERROR(__xludf.DUMMYFUNCTION("""COMPUTED_VALUE"""),970.06)</f>
        <v>970.06</v>
      </c>
      <c r="E713" s="6">
        <f>IFERROR(__xludf.DUMMYFUNCTION("GOOGLEFINANCE(""Currency:BRLMXN"")*D713"),3295.7788499999997)</f>
        <v>3295.77885</v>
      </c>
      <c r="F713" s="6">
        <f>IFERROR(__xludf.DUMMYFUNCTION("GOOGLEFINANCE(""Currency:BRLPEN"")*D713"),635.971336)</f>
        <v>635.971336</v>
      </c>
      <c r="G713" s="2" t="str">
        <f t="array" ref="G713">_xlfn.XLOOKUP(B713,Vendedores!$A$2:$A$41,Vendedores!$B$2:$B$41,"No hay datos")</f>
        <v>Alejandro Ramos</v>
      </c>
      <c r="H713" s="2" t="str">
        <f t="array" ref="H713">_xlfn.XLOOKUP(B713,Vendedores!$A$2:$A$41,Vendedores!$C$2:$C$41,"No hay datos")</f>
        <v>San Martín de las Rosas</v>
      </c>
      <c r="I713" s="2" t="str">
        <f t="array" ref="I713">_xlfn.XLOOKUP(B713,Vendedores!$A$2:$A$41,Vendedores!$D$2:$D$41,"No hay datos")</f>
        <v>Región Central 2</v>
      </c>
      <c r="J713" s="2" t="str">
        <f t="array" ref="J713:N713">_xlfn.XLOOKUP(A713,Productos!$A$2:$A$61,Productos!$B$2:$F$61)</f>
        <v>Falda plisada</v>
      </c>
      <c r="K713" s="2" t="s">
        <v>9</v>
      </c>
      <c r="L713" s="2" t="s">
        <v>10</v>
      </c>
      <c r="M713" s="2" t="s">
        <v>36</v>
      </c>
      <c r="N713" s="2" t="s">
        <v>32</v>
      </c>
    </row>
    <row r="714">
      <c r="A714" s="2" t="str">
        <f>IFERROR(__xludf.DUMMYFUNCTION("""COMPUTED_VALUE"""),"PR046")</f>
        <v>PR046</v>
      </c>
      <c r="B714" s="2" t="str">
        <f>IFERROR(__xludf.DUMMYFUNCTION("""COMPUTED_VALUE"""),"VD019")</f>
        <v>VD019</v>
      </c>
      <c r="C714" s="2">
        <f>IFERROR(__xludf.DUMMYFUNCTION("""COMPUTED_VALUE"""),4.0)</f>
        <v>4</v>
      </c>
      <c r="D714" s="6">
        <f>IFERROR(__xludf.DUMMYFUNCTION("""COMPUTED_VALUE"""),1240.77)</f>
        <v>1240.77</v>
      </c>
      <c r="E714" s="6">
        <f>IFERROR(__xludf.DUMMYFUNCTION("GOOGLEFINANCE(""Currency:BRLMXN"")*D714"),4215.516075)</f>
        <v>4215.516075</v>
      </c>
      <c r="F714" s="6">
        <f>IFERROR(__xludf.DUMMYFUNCTION("GOOGLEFINANCE(""Currency:BRLPEN"")*D714"),813.448812)</f>
        <v>813.448812</v>
      </c>
      <c r="G714" s="2" t="str">
        <f t="array" ref="G714">_xlfn.XLOOKUP(B714,Vendedores!$A$2:$A$41,Vendedores!$B$2:$B$41,"No hay datos")</f>
        <v>Rafael Sosa</v>
      </c>
      <c r="H714" s="2" t="str">
        <f t="array" ref="H714">_xlfn.XLOOKUP(B714,Vendedores!$A$2:$A$41,Vendedores!$C$2:$C$41,"No hay datos")</f>
        <v>Selva Verde</v>
      </c>
      <c r="I714" s="2" t="str">
        <f t="array" ref="I714">_xlfn.XLOOKUP(B714,Vendedores!$A$2:$A$41,Vendedores!$D$2:$D$41,"No hay datos")</f>
        <v>Región Amazónica</v>
      </c>
      <c r="J714" s="2" t="str">
        <f t="array" ref="J714:N714">_xlfn.XLOOKUP(A714,Productos!$A$2:$A$61,Productos!$B$2:$F$61)</f>
        <v>Chaqueta de cuero</v>
      </c>
      <c r="K714" s="2" t="s">
        <v>9</v>
      </c>
      <c r="L714" s="2" t="s">
        <v>10</v>
      </c>
      <c r="M714" s="2" t="s">
        <v>94</v>
      </c>
      <c r="N714" s="2" t="s">
        <v>44</v>
      </c>
    </row>
    <row r="715">
      <c r="A715" s="2" t="str">
        <f>IFERROR(__xludf.DUMMYFUNCTION("""COMPUTED_VALUE"""),"PR056")</f>
        <v>PR056</v>
      </c>
      <c r="B715" s="2" t="str">
        <f>IFERROR(__xludf.DUMMYFUNCTION("""COMPUTED_VALUE"""),"VD039")</f>
        <v>VD039</v>
      </c>
      <c r="C715" s="2">
        <f>IFERROR(__xludf.DUMMYFUNCTION("""COMPUTED_VALUE"""),14.0)</f>
        <v>14</v>
      </c>
      <c r="D715" s="6">
        <f>IFERROR(__xludf.DUMMYFUNCTION("""COMPUTED_VALUE"""),1334.12)</f>
        <v>1334.12</v>
      </c>
      <c r="E715" s="6">
        <f>IFERROR(__xludf.DUMMYFUNCTION("GOOGLEFINANCE(""Currency:BRLMXN"")*D715"),4532.672699999999)</f>
        <v>4532.6727</v>
      </c>
      <c r="F715" s="6">
        <f>IFERROR(__xludf.DUMMYFUNCTION("GOOGLEFINANCE(""Currency:BRLPEN"")*D715"),874.6490719999998)</f>
        <v>874.649072</v>
      </c>
      <c r="G715" s="2" t="str">
        <f t="array" ref="G715">_xlfn.XLOOKUP(B715,Vendedores!$A$2:$A$41,Vendedores!$B$2:$B$41,"No hay datos")</f>
        <v>Daniela Rodríguez</v>
      </c>
      <c r="H715" s="2" t="str">
        <f t="array" ref="H715">_xlfn.XLOOKUP(B715,Vendedores!$A$2:$A$41,Vendedores!$C$2:$C$41,"No hay datos")</f>
        <v>Bahía del Sol</v>
      </c>
      <c r="I715" s="2" t="str">
        <f t="array" ref="I715">_xlfn.XLOOKUP(B715,Vendedores!$A$2:$A$41,Vendedores!$D$2:$D$41,"No hay datos")</f>
        <v>Región Central 2</v>
      </c>
      <c r="J715" s="2" t="str">
        <f t="array" ref="J715:N715">_xlfn.XLOOKUP(A715,Productos!$A$2:$A$61,Productos!$B$2:$F$61)</f>
        <v>Sandalia plana</v>
      </c>
      <c r="K715" s="2">
        <v>36.0</v>
      </c>
      <c r="L715" s="2" t="s">
        <v>33</v>
      </c>
      <c r="M715" s="2" t="s">
        <v>106</v>
      </c>
      <c r="N715" s="2" t="s">
        <v>35</v>
      </c>
    </row>
    <row r="716">
      <c r="A716" s="2" t="str">
        <f>IFERROR(__xludf.DUMMYFUNCTION("""COMPUTED_VALUE"""),"PR034")</f>
        <v>PR034</v>
      </c>
      <c r="B716" s="2" t="str">
        <f>IFERROR(__xludf.DUMMYFUNCTION("""COMPUTED_VALUE"""),"VD042")</f>
        <v>VD042</v>
      </c>
      <c r="C716" s="2">
        <f>IFERROR(__xludf.DUMMYFUNCTION("""COMPUTED_VALUE"""),10.0)</f>
        <v>10</v>
      </c>
      <c r="D716" s="6">
        <f>IFERROR(__xludf.DUMMYFUNCTION("""COMPUTED_VALUE"""),988.9)</f>
        <v>988.9</v>
      </c>
      <c r="E716" s="6">
        <f>IFERROR(__xludf.DUMMYFUNCTION("GOOGLEFINANCE(""Currency:BRLMXN"")*D716"),3359.78775)</f>
        <v>3359.78775</v>
      </c>
      <c r="F716" s="6">
        <f>IFERROR(__xludf.DUMMYFUNCTION("GOOGLEFINANCE(""Currency:BRLPEN"")*D716"),648.3228399999999)</f>
        <v>648.32284</v>
      </c>
      <c r="G716" s="2" t="str">
        <f t="array" ref="G716">_xlfn.XLOOKUP(B716,Vendedores!$A$2:$A$41,Vendedores!$B$2:$B$41,"No hay datos")</f>
        <v>Priscila Duarte</v>
      </c>
      <c r="H716" s="2" t="str">
        <f t="array" ref="H716">_xlfn.XLOOKUP(B716,Vendedores!$A$2:$A$41,Vendedores!$C$2:$C$41,"No hay datos")</f>
        <v>Villa Comercial</v>
      </c>
      <c r="I716" s="2" t="str">
        <f t="array" ref="I716">_xlfn.XLOOKUP(B716,Vendedores!$A$2:$A$41,Vendedores!$D$2:$D$41,"No hay datos")</f>
        <v>Región Central 2</v>
      </c>
      <c r="J716" s="2" t="str">
        <f t="array" ref="J716:N716">_xlfn.XLOOKUP(A716,Productos!$A$2:$A$61,Productos!$B$2:$F$61)</f>
        <v>Vestido corto</v>
      </c>
      <c r="K716" s="2" t="s">
        <v>9</v>
      </c>
      <c r="L716" s="2" t="s">
        <v>10</v>
      </c>
      <c r="M716" s="2" t="s">
        <v>93</v>
      </c>
      <c r="N716" s="2" t="s">
        <v>35</v>
      </c>
    </row>
    <row r="717">
      <c r="A717" s="2" t="str">
        <f>IFERROR(__xludf.DUMMYFUNCTION("""COMPUTED_VALUE"""),"PR029")</f>
        <v>PR029</v>
      </c>
      <c r="B717" s="2" t="str">
        <f>IFERROR(__xludf.DUMMYFUNCTION("""COMPUTED_VALUE"""),"VD043")</f>
        <v>VD043</v>
      </c>
      <c r="C717" s="2">
        <f>IFERROR(__xludf.DUMMYFUNCTION("""COMPUTED_VALUE"""),1.0)</f>
        <v>1</v>
      </c>
      <c r="D717" s="6">
        <f>IFERROR(__xludf.DUMMYFUNCTION("""COMPUTED_VALUE"""),267.75)</f>
        <v>267.75</v>
      </c>
      <c r="E717" s="6">
        <f>IFERROR(__xludf.DUMMYFUNCTION("GOOGLEFINANCE(""Currency:BRLMXN"")*D717"),909.680625)</f>
        <v>909.680625</v>
      </c>
      <c r="F717" s="6">
        <f>IFERROR(__xludf.DUMMYFUNCTION("GOOGLEFINANCE(""Currency:BRLPEN"")*D717"),175.5369)</f>
        <v>175.5369</v>
      </c>
      <c r="G717" s="2" t="str">
        <f t="array" ref="G717">_xlfn.XLOOKUP(B717,Vendedores!$A$2:$A$41,Vendedores!$B$2:$B$41,"No hay datos")</f>
        <v>Carlos Henríquez</v>
      </c>
      <c r="H717" s="2" t="str">
        <f t="array" ref="H717">_xlfn.XLOOKUP(B717,Vendedores!$A$2:$A$41,Vendedores!$C$2:$C$41,"No hay datos")</f>
        <v>Ciudad Aeropuerto</v>
      </c>
      <c r="I717" s="2" t="str">
        <f t="array" ref="I717">_xlfn.XLOOKUP(B717,Vendedores!$A$2:$A$41,Vendedores!$D$2:$D$41,"No hay datos")</f>
        <v>Región Central 2</v>
      </c>
      <c r="J717" s="2" t="str">
        <f t="array" ref="J717:N717">_xlfn.XLOOKUP(A717,Productos!$A$2:$A$61,Productos!$B$2:$F$61)</f>
        <v>Tenis Atitas</v>
      </c>
      <c r="K717" s="2">
        <v>37.0</v>
      </c>
      <c r="L717" s="2" t="s">
        <v>33</v>
      </c>
      <c r="M717" s="2" t="s">
        <v>96</v>
      </c>
      <c r="N717" s="2" t="s">
        <v>97</v>
      </c>
    </row>
    <row r="718">
      <c r="A718" s="2" t="str">
        <f>IFERROR(__xludf.DUMMYFUNCTION("""COMPUTED_VALUE"""),"PR043")</f>
        <v>PR043</v>
      </c>
      <c r="B718" s="2" t="str">
        <f>IFERROR(__xludf.DUMMYFUNCTION("""COMPUTED_VALUE"""),"VD023")</f>
        <v>VD023</v>
      </c>
      <c r="C718" s="2">
        <f>IFERROR(__xludf.DUMMYFUNCTION("""COMPUTED_VALUE"""),8.0)</f>
        <v>8</v>
      </c>
      <c r="D718" s="6">
        <f>IFERROR(__xludf.DUMMYFUNCTION("""COMPUTED_VALUE"""),603.2)</f>
        <v>603.2</v>
      </c>
      <c r="E718" s="6">
        <f>IFERROR(__xludf.DUMMYFUNCTION("GOOGLEFINANCE(""Currency:BRLMXN"")*D718"),2049.3720000000003)</f>
        <v>2049.372</v>
      </c>
      <c r="F718" s="6">
        <f>IFERROR(__xludf.DUMMYFUNCTION("GOOGLEFINANCE(""Currency:BRLPEN"")*D718"),395.45792)</f>
        <v>395.45792</v>
      </c>
      <c r="G718" s="2" t="str">
        <f t="array" ref="G718">_xlfn.XLOOKUP(B718,Vendedores!$A$2:$A$41,Vendedores!$B$2:$B$41,"No hay datos")</f>
        <v>Juliana Castro</v>
      </c>
      <c r="H718" s="2" t="str">
        <f t="array" ref="H718">_xlfn.XLOOKUP(B718,Vendedores!$A$2:$A$41,Vendedores!$C$2:$C$41,"No hay datos")</f>
        <v>San Miguel de los Pinos</v>
      </c>
      <c r="I718" s="2" t="str">
        <f t="array" ref="I718">_xlfn.XLOOKUP(B718,Vendedores!$A$2:$A$41,Vendedores!$D$2:$D$41,"No hay datos")</f>
        <v>Región Sur</v>
      </c>
      <c r="J718" s="2" t="str">
        <f t="array" ref="J718:N718">_xlfn.XLOOKUP(A718,Productos!$A$2:$A$61,Productos!$B$2:$F$61)</f>
        <v>Vestido floral</v>
      </c>
      <c r="K718" s="2" t="s">
        <v>9</v>
      </c>
      <c r="L718" s="2" t="s">
        <v>10</v>
      </c>
      <c r="M718" s="2" t="s">
        <v>69</v>
      </c>
      <c r="N718" s="2" t="s">
        <v>40</v>
      </c>
    </row>
    <row r="719">
      <c r="A719" s="2" t="str">
        <f>IFERROR(__xludf.DUMMYFUNCTION("""COMPUTED_VALUE"""),"PR014")</f>
        <v>PR014</v>
      </c>
      <c r="B719" s="2" t="str">
        <f>IFERROR(__xludf.DUMMYFUNCTION("""COMPUTED_VALUE"""),"VD035")</f>
        <v>VD035</v>
      </c>
      <c r="C719" s="2">
        <f>IFERROR(__xludf.DUMMYFUNCTION("""COMPUTED_VALUE"""),5.0)</f>
        <v>5</v>
      </c>
      <c r="D719" s="6">
        <f>IFERROR(__xludf.DUMMYFUNCTION("""COMPUTED_VALUE"""),211.47)</f>
        <v>211.47</v>
      </c>
      <c r="E719" s="6">
        <f>IFERROR(__xludf.DUMMYFUNCTION("GOOGLEFINANCE(""Currency:BRLMXN"")*D719"),718.469325)</f>
        <v>718.469325</v>
      </c>
      <c r="F719" s="6">
        <f>IFERROR(__xludf.DUMMYFUNCTION("GOOGLEFINANCE(""Currency:BRLPEN"")*D719"),138.63973199999998)</f>
        <v>138.639732</v>
      </c>
      <c r="G719" s="2" t="str">
        <f t="array" ref="G719">_xlfn.XLOOKUP(B719,Vendedores!$A$2:$A$41,Vendedores!$B$2:$B$41,"No hay datos")</f>
        <v>Carolina Méndez</v>
      </c>
      <c r="H719" s="2" t="str">
        <f t="array" ref="H719">_xlfn.XLOOKUP(B719,Vendedores!$A$2:$A$41,Vendedores!$C$2:$C$41,"No hay datos")</f>
        <v>Valle de los Robles</v>
      </c>
      <c r="I719" s="2" t="str">
        <f t="array" ref="I719">_xlfn.XLOOKUP(B719,Vendedores!$A$2:$A$41,Vendedores!$D$2:$D$41,"No hay datos")</f>
        <v>Región Central 2</v>
      </c>
      <c r="J719" s="2" t="str">
        <f t="array" ref="J719:N719">_xlfn.XLOOKUP(A719,Productos!$A$2:$A$61,Productos!$B$2:$F$61)</f>
        <v>Playera estampada</v>
      </c>
      <c r="K719" s="2" t="s">
        <v>17</v>
      </c>
      <c r="L719" s="2" t="s">
        <v>10</v>
      </c>
      <c r="M719" s="2" t="s">
        <v>37</v>
      </c>
      <c r="N719" s="2" t="s">
        <v>38</v>
      </c>
    </row>
    <row r="720">
      <c r="A720" s="2" t="str">
        <f>IFERROR(__xludf.DUMMYFUNCTION("""COMPUTED_VALUE"""),"PR019")</f>
        <v>PR019</v>
      </c>
      <c r="B720" s="2" t="str">
        <f>IFERROR(__xludf.DUMMYFUNCTION("""COMPUTED_VALUE"""),"VD018")</f>
        <v>VD018</v>
      </c>
      <c r="C720" s="2">
        <f>IFERROR(__xludf.DUMMYFUNCTION("""COMPUTED_VALUE"""),18.0)</f>
        <v>18</v>
      </c>
      <c r="D720" s="6">
        <f>IFERROR(__xludf.DUMMYFUNCTION("""COMPUTED_VALUE"""),925.15)</f>
        <v>925.15</v>
      </c>
      <c r="E720" s="6">
        <f>IFERROR(__xludf.DUMMYFUNCTION("GOOGLEFINANCE(""Currency:BRLMXN"")*D720"),3143.1971249999997)</f>
        <v>3143.197125</v>
      </c>
      <c r="F720" s="6">
        <f>IFERROR(__xludf.DUMMYFUNCTION("GOOGLEFINANCE(""Currency:BRLPEN"")*D720"),606.52834)</f>
        <v>606.52834</v>
      </c>
      <c r="G720" s="2" t="str">
        <f t="array" ref="G720">_xlfn.XLOOKUP(B720,Vendedores!$A$2:$A$41,Vendedores!$B$2:$B$41,"No hay datos")</f>
        <v>Leticia Rodríguez</v>
      </c>
      <c r="H720" s="2" t="str">
        <f t="array" ref="H720">_xlfn.XLOOKUP(B720,Vendedores!$A$2:$A$41,Vendedores!$C$2:$C$41,"No hay datos")</f>
        <v>Playa Blanca</v>
      </c>
      <c r="I720" s="2" t="str">
        <f t="array" ref="I720">_xlfn.XLOOKUP(B720,Vendedores!$A$2:$A$41,Vendedores!$D$2:$D$41,"No hay datos")</f>
        <v>Región Norte</v>
      </c>
      <c r="J720" s="2" t="str">
        <f t="array" ref="J720:N720">_xlfn.XLOOKUP(A720,Productos!$A$2:$A$61,Productos!$B$2:$F$61)</f>
        <v>Cinturón</v>
      </c>
      <c r="K720" s="2" t="s">
        <v>29</v>
      </c>
      <c r="L720" s="2" t="s">
        <v>30</v>
      </c>
      <c r="M720" s="2" t="s">
        <v>31</v>
      </c>
      <c r="N720" s="2" t="s">
        <v>32</v>
      </c>
    </row>
    <row r="721">
      <c r="A721" s="2" t="str">
        <f>IFERROR(__xludf.DUMMYFUNCTION("""COMPUTED_VALUE"""),"PR057")</f>
        <v>PR057</v>
      </c>
      <c r="B721" s="2" t="str">
        <f>IFERROR(__xludf.DUMMYFUNCTION("""COMPUTED_VALUE"""),"VD028")</f>
        <v>VD028</v>
      </c>
      <c r="C721" s="2">
        <f>IFERROR(__xludf.DUMMYFUNCTION("""COMPUTED_VALUE"""),6.0)</f>
        <v>6</v>
      </c>
      <c r="D721" s="6">
        <f>IFERROR(__xludf.DUMMYFUNCTION("""COMPUTED_VALUE"""),539.4)</f>
        <v>539.4</v>
      </c>
      <c r="E721" s="6">
        <f>IFERROR(__xludf.DUMMYFUNCTION("GOOGLEFINANCE(""Currency:BRLMXN"")*D721"),1832.6115)</f>
        <v>1832.6115</v>
      </c>
      <c r="F721" s="6">
        <f>IFERROR(__xludf.DUMMYFUNCTION("GOOGLEFINANCE(""Currency:BRLPEN"")*D721"),353.63063999999997)</f>
        <v>353.63064</v>
      </c>
      <c r="G721" s="2" t="str">
        <f t="array" ref="G721">_xlfn.XLOOKUP(B721,Vendedores!$A$2:$A$41,Vendedores!$B$2:$B$41,"No hay datos")</f>
        <v>Rodrigo Almonte</v>
      </c>
      <c r="H721" s="2" t="str">
        <f t="array" ref="H721">_xlfn.XLOOKUP(B721,Vendedores!$A$2:$A$41,Vendedores!$C$2:$C$41,"No hay datos")</f>
        <v>Valle Escondido</v>
      </c>
      <c r="I721" s="2" t="str">
        <f t="array" ref="I721">_xlfn.XLOOKUP(B721,Vendedores!$A$2:$A$41,Vendedores!$D$2:$D$41,"No hay datos")</f>
        <v>Región Andina</v>
      </c>
      <c r="J721" s="2" t="str">
        <f t="array" ref="J721:N721">_xlfn.XLOOKUP(A721,Productos!$A$2:$A$61,Productos!$B$2:$F$61)</f>
        <v>Sandalia plana</v>
      </c>
      <c r="K721" s="2">
        <v>37.0</v>
      </c>
      <c r="L721" s="2" t="s">
        <v>33</v>
      </c>
      <c r="M721" s="2" t="s">
        <v>58</v>
      </c>
      <c r="N721" s="2" t="s">
        <v>35</v>
      </c>
    </row>
    <row r="722">
      <c r="A722" s="2" t="str">
        <f>IFERROR(__xludf.DUMMYFUNCTION("""COMPUTED_VALUE"""),"PR047")</f>
        <v>PR047</v>
      </c>
      <c r="B722" s="2" t="str">
        <f>IFERROR(__xludf.DUMMYFUNCTION("""COMPUTED_VALUE"""),"VD047")</f>
        <v>VD047</v>
      </c>
      <c r="C722" s="2">
        <f>IFERROR(__xludf.DUMMYFUNCTION("""COMPUTED_VALUE"""),8.0)</f>
        <v>8</v>
      </c>
      <c r="D722" s="6">
        <f>IFERROR(__xludf.DUMMYFUNCTION("""COMPUTED_VALUE"""),2458.35)</f>
        <v>2458.35</v>
      </c>
      <c r="E722" s="6">
        <f>IFERROR(__xludf.DUMMYFUNCTION("GOOGLEFINANCE(""Currency:BRLMXN"")*D722"),8352.244125)</f>
        <v>8352.244125</v>
      </c>
      <c r="F722" s="6">
        <f>IFERROR(__xludf.DUMMYFUNCTION("GOOGLEFINANCE(""Currency:BRLPEN"")*D722"),1611.6942599999998)</f>
        <v>1611.69426</v>
      </c>
      <c r="G722" s="2" t="str">
        <f t="array" ref="G722">_xlfn.XLOOKUP(B722,Vendedores!$A$2:$A$41,Vendedores!$B$2:$B$41,"No hay datos")</f>
        <v>Andrés López</v>
      </c>
      <c r="H722" s="2" t="str">
        <f t="array" ref="H722">_xlfn.XLOOKUP(B722,Vendedores!$A$2:$A$41,Vendedores!$C$2:$C$41,"No hay datos")</f>
        <v>Villa Progreso</v>
      </c>
      <c r="I722" s="2" t="str">
        <f t="array" ref="I722">_xlfn.XLOOKUP(B722,Vendedores!$A$2:$A$41,Vendedores!$D$2:$D$41,"No hay datos")</f>
        <v>Región Central 2</v>
      </c>
      <c r="J722" s="2" t="str">
        <f t="array" ref="J722:N722">_xlfn.XLOOKUP(A722,Productos!$A$2:$A$61,Productos!$B$2:$F$61)</f>
        <v>Chaqueta de cuero</v>
      </c>
      <c r="K722" s="2" t="s">
        <v>17</v>
      </c>
      <c r="L722" s="2" t="s">
        <v>10</v>
      </c>
      <c r="M722" s="2" t="s">
        <v>43</v>
      </c>
      <c r="N722" s="2" t="s">
        <v>44</v>
      </c>
    </row>
    <row r="723">
      <c r="A723" s="2" t="str">
        <f>IFERROR(__xludf.DUMMYFUNCTION("""COMPUTED_VALUE"""),"PR012")</f>
        <v>PR012</v>
      </c>
      <c r="B723" s="2" t="str">
        <f>IFERROR(__xludf.DUMMYFUNCTION("""COMPUTED_VALUE"""),"VD042")</f>
        <v>VD042</v>
      </c>
      <c r="C723" s="2">
        <f>IFERROR(__xludf.DUMMYFUNCTION("""COMPUTED_VALUE"""),16.0)</f>
        <v>16</v>
      </c>
      <c r="D723" s="6">
        <f>IFERROR(__xludf.DUMMYFUNCTION("""COMPUTED_VALUE"""),837.17)</f>
        <v>837.17</v>
      </c>
      <c r="E723" s="6">
        <f>IFERROR(__xludf.DUMMYFUNCTION("GOOGLEFINANCE(""Currency:BRLMXN"")*D723"),2844.285075)</f>
        <v>2844.285075</v>
      </c>
      <c r="F723" s="6">
        <f>IFERROR(__xludf.DUMMYFUNCTION("GOOGLEFINANCE(""Currency:BRLPEN"")*D723"),548.8486519999999)</f>
        <v>548.848652</v>
      </c>
      <c r="G723" s="2" t="str">
        <f t="array" ref="G723">_xlfn.XLOOKUP(B723,Vendedores!$A$2:$A$41,Vendedores!$B$2:$B$41,"No hay datos")</f>
        <v>Priscila Duarte</v>
      </c>
      <c r="H723" s="2" t="str">
        <f t="array" ref="H723">_xlfn.XLOOKUP(B723,Vendedores!$A$2:$A$41,Vendedores!$C$2:$C$41,"No hay datos")</f>
        <v>Villa Comercial</v>
      </c>
      <c r="I723" s="2" t="str">
        <f t="array" ref="I723">_xlfn.XLOOKUP(B723,Vendedores!$A$2:$A$41,Vendedores!$D$2:$D$41,"No hay datos")</f>
        <v>Región Central 2</v>
      </c>
      <c r="J723" s="2" t="str">
        <f t="array" ref="J723:N723">_xlfn.XLOOKUP(A723,Productos!$A$2:$A$61,Productos!$B$2:$F$61)</f>
        <v>Pantalón legging</v>
      </c>
      <c r="K723" s="2" t="s">
        <v>22</v>
      </c>
      <c r="L723" s="2" t="s">
        <v>10</v>
      </c>
      <c r="M723" s="2" t="s">
        <v>88</v>
      </c>
      <c r="N723" s="2" t="s">
        <v>89</v>
      </c>
    </row>
    <row r="724">
      <c r="A724" s="2" t="str">
        <f>IFERROR(__xludf.DUMMYFUNCTION("""COMPUTED_VALUE"""),"PR016")</f>
        <v>PR016</v>
      </c>
      <c r="B724" s="2" t="str">
        <f>IFERROR(__xludf.DUMMYFUNCTION("""COMPUTED_VALUE"""),"VD048")</f>
        <v>VD048</v>
      </c>
      <c r="C724" s="2">
        <f>IFERROR(__xludf.DUMMYFUNCTION("""COMPUTED_VALUE"""),14.0)</f>
        <v>14</v>
      </c>
      <c r="D724" s="6">
        <f>IFERROR(__xludf.DUMMYFUNCTION("""COMPUTED_VALUE"""),391.61)</f>
        <v>391.61</v>
      </c>
      <c r="E724" s="6">
        <f>IFERROR(__xludf.DUMMYFUNCTION("GOOGLEFINANCE(""Currency:BRLMXN"")*D724"),1330.494975)</f>
        <v>1330.494975</v>
      </c>
      <c r="F724" s="6">
        <f>IFERROR(__xludf.DUMMYFUNCTION("GOOGLEFINANCE(""Currency:BRLPEN"")*D724"),256.739516)</f>
        <v>256.739516</v>
      </c>
      <c r="G724" s="2" t="str">
        <f t="array" ref="G724">_xlfn.XLOOKUP(B724,Vendedores!$A$2:$A$41,Vendedores!$B$2:$B$41,"No hay datos")</f>
        <v>Mariana Castro</v>
      </c>
      <c r="H724" s="2" t="str">
        <f t="array" ref="H724">_xlfn.XLOOKUP(B724,Vendedores!$A$2:$A$41,Vendedores!$C$2:$C$41,"No hay datos")</f>
        <v>San Carlos del Valle</v>
      </c>
      <c r="I724" s="2" t="str">
        <f t="array" ref="I724">_xlfn.XLOOKUP(B724,Vendedores!$A$2:$A$41,Vendedores!$D$2:$D$41,"No hay datos")</f>
        <v>Región Central 2</v>
      </c>
      <c r="J724" s="2" t="str">
        <f t="array" ref="J724:N724">_xlfn.XLOOKUP(A724,Productos!$A$2:$A$61,Productos!$B$2:$F$61)</f>
        <v>Playera lisa</v>
      </c>
      <c r="K724" s="2" t="s">
        <v>9</v>
      </c>
      <c r="L724" s="2" t="s">
        <v>10</v>
      </c>
      <c r="M724" s="2" t="s">
        <v>20</v>
      </c>
      <c r="N724" s="2" t="s">
        <v>21</v>
      </c>
    </row>
    <row r="725">
      <c r="A725" s="2" t="str">
        <f>IFERROR(__xludf.DUMMYFUNCTION("""COMPUTED_VALUE"""),"PR047")</f>
        <v>PR047</v>
      </c>
      <c r="B725" s="2" t="str">
        <f>IFERROR(__xludf.DUMMYFUNCTION("""COMPUTED_VALUE"""),"VD049")</f>
        <v>VD049</v>
      </c>
      <c r="C725" s="2">
        <f>IFERROR(__xludf.DUMMYFUNCTION("""COMPUTED_VALUE"""),2.0)</f>
        <v>2</v>
      </c>
      <c r="D725" s="6">
        <f>IFERROR(__xludf.DUMMYFUNCTION("""COMPUTED_VALUE"""),620.39)</f>
        <v>620.39</v>
      </c>
      <c r="E725" s="6">
        <f>IFERROR(__xludf.DUMMYFUNCTION("GOOGLEFINANCE(""Currency:BRLMXN"")*D725"),2107.775025)</f>
        <v>2107.775025</v>
      </c>
      <c r="F725" s="6">
        <f>IFERROR(__xludf.DUMMYFUNCTION("GOOGLEFINANCE(""Currency:BRLPEN"")*D725"),406.72768399999995)</f>
        <v>406.727684</v>
      </c>
      <c r="G725" s="2" t="str">
        <f t="array" ref="G725">_xlfn.XLOOKUP(B725,Vendedores!$A$2:$A$41,Vendedores!$B$2:$B$41,"No hay datos")</f>
        <v>Fernando Navarro</v>
      </c>
      <c r="H725" s="2" t="str">
        <f t="array" ref="H725">_xlfn.XLOOKUP(B725,Vendedores!$A$2:$A$41,Vendedores!$C$2:$C$41,"No hay datos")</f>
        <v>Colinas Verdes</v>
      </c>
      <c r="I725" s="2" t="str">
        <f t="array" ref="I725">_xlfn.XLOOKUP(B725,Vendedores!$A$2:$A$41,Vendedores!$D$2:$D$41,"No hay datos")</f>
        <v>Región Central 2</v>
      </c>
      <c r="J725" s="2" t="str">
        <f t="array" ref="J725:N725">_xlfn.XLOOKUP(A725,Productos!$A$2:$A$61,Productos!$B$2:$F$61)</f>
        <v>Chaqueta de cuero</v>
      </c>
      <c r="K725" s="2" t="s">
        <v>17</v>
      </c>
      <c r="L725" s="2" t="s">
        <v>10</v>
      </c>
      <c r="M725" s="2" t="s">
        <v>43</v>
      </c>
      <c r="N725" s="2" t="s">
        <v>44</v>
      </c>
    </row>
    <row r="726">
      <c r="A726" s="2" t="str">
        <f>IFERROR(__xludf.DUMMYFUNCTION("""COMPUTED_VALUE"""),"PR048")</f>
        <v>PR048</v>
      </c>
      <c r="B726" s="2" t="str">
        <f>IFERROR(__xludf.DUMMYFUNCTION("""COMPUTED_VALUE"""),"VD036")</f>
        <v>VD036</v>
      </c>
      <c r="C726" s="2">
        <f>IFERROR(__xludf.DUMMYFUNCTION("""COMPUTED_VALUE"""),4.0)</f>
        <v>4</v>
      </c>
      <c r="D726" s="6">
        <f>IFERROR(__xludf.DUMMYFUNCTION("""COMPUTED_VALUE"""),1275.56)</f>
        <v>1275.56</v>
      </c>
      <c r="E726" s="6">
        <f>IFERROR(__xludf.DUMMYFUNCTION("GOOGLEFINANCE(""Currency:BRLMXN"")*D726"),4333.715099999999)</f>
        <v>4333.7151</v>
      </c>
      <c r="F726" s="6">
        <f>IFERROR(__xludf.DUMMYFUNCTION("GOOGLEFINANCE(""Currency:BRLPEN"")*D726"),836.257136)</f>
        <v>836.257136</v>
      </c>
      <c r="G726" s="2" t="str">
        <f t="array" ref="G726">_xlfn.XLOOKUP(B726,Vendedores!$A$2:$A$41,Vendedores!$B$2:$B$41,"No hay datos")</f>
        <v>Ricardo Sosa</v>
      </c>
      <c r="H726" s="2" t="str">
        <f t="array" ref="H726">_xlfn.XLOOKUP(B726,Vendedores!$A$2:$A$41,Vendedores!$C$2:$C$41,"No hay datos")</f>
        <v>Puerto Nuevo</v>
      </c>
      <c r="I726" s="2" t="str">
        <f t="array" ref="I726">_xlfn.XLOOKUP(B726,Vendedores!$A$2:$A$41,Vendedores!$D$2:$D$41,"No hay datos")</f>
        <v>Región Central 2</v>
      </c>
      <c r="J726" s="2" t="str">
        <f t="array" ref="J726:N726">_xlfn.XLOOKUP(A726,Productos!$A$2:$A$61,Productos!$B$2:$F$61)</f>
        <v>Chaqueta de cuero</v>
      </c>
      <c r="K726" s="2" t="s">
        <v>22</v>
      </c>
      <c r="L726" s="2" t="s">
        <v>10</v>
      </c>
      <c r="M726" s="2" t="s">
        <v>94</v>
      </c>
      <c r="N726" s="2" t="s">
        <v>44</v>
      </c>
    </row>
    <row r="727">
      <c r="A727" s="2" t="str">
        <f>IFERROR(__xludf.DUMMYFUNCTION("""COMPUTED_VALUE"""),"PR020")</f>
        <v>PR020</v>
      </c>
      <c r="B727" s="2" t="str">
        <f>IFERROR(__xludf.DUMMYFUNCTION("""COMPUTED_VALUE"""),"VD038")</f>
        <v>VD038</v>
      </c>
      <c r="C727" s="2">
        <f>IFERROR(__xludf.DUMMYFUNCTION("""COMPUTED_VALUE"""),4.0)</f>
        <v>4</v>
      </c>
      <c r="D727" s="6">
        <f>IFERROR(__xludf.DUMMYFUNCTION("""COMPUTED_VALUE"""),1235.59)</f>
        <v>1235.59</v>
      </c>
      <c r="E727" s="6">
        <f>IFERROR(__xludf.DUMMYFUNCTION("GOOGLEFINANCE(""Currency:BRLMXN"")*D727"),4197.917025)</f>
        <v>4197.917025</v>
      </c>
      <c r="F727" s="6">
        <f>IFERROR(__xludf.DUMMYFUNCTION("GOOGLEFINANCE(""Currency:BRLPEN"")*D727"),810.0528039999999)</f>
        <v>810.052804</v>
      </c>
      <c r="G727" s="2" t="str">
        <f t="array" ref="G727">_xlfn.XLOOKUP(B727,Vendedores!$A$2:$A$41,Vendedores!$B$2:$B$41,"No hay datos")</f>
        <v>Bruno Olmedo</v>
      </c>
      <c r="H727" s="2" t="str">
        <f t="array" ref="H727">_xlfn.XLOOKUP(B727,Vendedores!$A$2:$A$41,Vendedores!$C$2:$C$41,"No hay datos")</f>
        <v>Tierra Fertil</v>
      </c>
      <c r="I727" s="2" t="str">
        <f t="array" ref="I727">_xlfn.XLOOKUP(B727,Vendedores!$A$2:$A$41,Vendedores!$D$2:$D$41,"No hay datos")</f>
        <v>Región Sur 2</v>
      </c>
      <c r="J727" s="2" t="str">
        <f t="array" ref="J727:N727">_xlfn.XLOOKUP(A727,Productos!$A$2:$A$61,Productos!$B$2:$F$61)</f>
        <v>Chaqueta de cuero</v>
      </c>
      <c r="K727" s="2" t="s">
        <v>9</v>
      </c>
      <c r="L727" s="2" t="s">
        <v>10</v>
      </c>
      <c r="M727" s="2" t="s">
        <v>15</v>
      </c>
      <c r="N727" s="2" t="s">
        <v>16</v>
      </c>
    </row>
    <row r="728">
      <c r="A728" s="2" t="str">
        <f>IFERROR(__xludf.DUMMYFUNCTION("""COMPUTED_VALUE"""),"PR011")</f>
        <v>PR011</v>
      </c>
      <c r="B728" s="2" t="str">
        <f>IFERROR(__xludf.DUMMYFUNCTION("""COMPUTED_VALUE"""),"VD018")</f>
        <v>VD018</v>
      </c>
      <c r="C728" s="2">
        <f>IFERROR(__xludf.DUMMYFUNCTION("""COMPUTED_VALUE"""),6.0)</f>
        <v>6</v>
      </c>
      <c r="D728" s="6">
        <f>IFERROR(__xludf.DUMMYFUNCTION("""COMPUTED_VALUE"""),309.54)</f>
        <v>309.54</v>
      </c>
      <c r="E728" s="6">
        <f>IFERROR(__xludf.DUMMYFUNCTION("GOOGLEFINANCE(""Currency:BRLMXN"")*D728"),1051.66215)</f>
        <v>1051.66215</v>
      </c>
      <c r="F728" s="6">
        <f>IFERROR(__xludf.DUMMYFUNCTION("GOOGLEFINANCE(""Currency:BRLPEN"")*D728"),202.934424)</f>
        <v>202.934424</v>
      </c>
      <c r="G728" s="2" t="str">
        <f t="array" ref="G728">_xlfn.XLOOKUP(B728,Vendedores!$A$2:$A$41,Vendedores!$B$2:$B$41,"No hay datos")</f>
        <v>Leticia Rodríguez</v>
      </c>
      <c r="H728" s="2" t="str">
        <f t="array" ref="H728">_xlfn.XLOOKUP(B728,Vendedores!$A$2:$A$41,Vendedores!$C$2:$C$41,"No hay datos")</f>
        <v>Playa Blanca</v>
      </c>
      <c r="I728" s="2" t="str">
        <f t="array" ref="I728">_xlfn.XLOOKUP(B728,Vendedores!$A$2:$A$41,Vendedores!$D$2:$D$41,"No hay datos")</f>
        <v>Región Norte</v>
      </c>
      <c r="J728" s="2" t="str">
        <f t="array" ref="J728:N728">_xlfn.XLOOKUP(A728,Productos!$A$2:$A$61,Productos!$B$2:$F$61)</f>
        <v>Pantalón legging</v>
      </c>
      <c r="K728" s="2" t="s">
        <v>17</v>
      </c>
      <c r="L728" s="2" t="s">
        <v>10</v>
      </c>
      <c r="M728" s="2" t="s">
        <v>67</v>
      </c>
      <c r="N728" s="2" t="s">
        <v>68</v>
      </c>
    </row>
    <row r="729">
      <c r="A729" s="2" t="str">
        <f>IFERROR(__xludf.DUMMYFUNCTION("""COMPUTED_VALUE"""),"PR049")</f>
        <v>PR049</v>
      </c>
      <c r="B729" s="2" t="str">
        <f>IFERROR(__xludf.DUMMYFUNCTION("""COMPUTED_VALUE"""),"VD043")</f>
        <v>VD043</v>
      </c>
      <c r="C729" s="2">
        <f>IFERROR(__xludf.DUMMYFUNCTION("""COMPUTED_VALUE"""),7.0)</f>
        <v>7</v>
      </c>
      <c r="D729" s="6">
        <f>IFERROR(__xludf.DUMMYFUNCTION("""COMPUTED_VALUE"""),244.12)</f>
        <v>244.12</v>
      </c>
      <c r="E729" s="6">
        <f>IFERROR(__xludf.DUMMYFUNCTION("GOOGLEFINANCE(""Currency:BRLMXN"")*D729"),829.3977)</f>
        <v>829.3977</v>
      </c>
      <c r="F729" s="6">
        <f>IFERROR(__xludf.DUMMYFUNCTION("GOOGLEFINANCE(""Currency:BRLPEN"")*D729"),160.045072)</f>
        <v>160.045072</v>
      </c>
      <c r="G729" s="2" t="str">
        <f t="array" ref="G729">_xlfn.XLOOKUP(B729,Vendedores!$A$2:$A$41,Vendedores!$B$2:$B$41,"No hay datos")</f>
        <v>Carlos Henríquez</v>
      </c>
      <c r="H729" s="2" t="str">
        <f t="array" ref="H729">_xlfn.XLOOKUP(B729,Vendedores!$A$2:$A$41,Vendedores!$C$2:$C$41,"No hay datos")</f>
        <v>Ciudad Aeropuerto</v>
      </c>
      <c r="I729" s="2" t="str">
        <f t="array" ref="I729">_xlfn.XLOOKUP(B729,Vendedores!$A$2:$A$41,Vendedores!$D$2:$D$41,"No hay datos")</f>
        <v>Región Central 2</v>
      </c>
      <c r="J729" s="2" t="str">
        <f t="array" ref="J729:N729">_xlfn.XLOOKUP(A729,Productos!$A$2:$A$61,Productos!$B$2:$F$61)</f>
        <v>Playera a rayas</v>
      </c>
      <c r="K729" s="2" t="s">
        <v>9</v>
      </c>
      <c r="L729" s="2" t="s">
        <v>10</v>
      </c>
      <c r="M729" s="2" t="s">
        <v>47</v>
      </c>
      <c r="N729" s="2" t="s">
        <v>24</v>
      </c>
    </row>
    <row r="730">
      <c r="A730" s="2" t="str">
        <f>IFERROR(__xludf.DUMMYFUNCTION("""COMPUTED_VALUE"""),"PR018")</f>
        <v>PR018</v>
      </c>
      <c r="B730" s="2" t="str">
        <f>IFERROR(__xludf.DUMMYFUNCTION("""COMPUTED_VALUE"""),"VD033")</f>
        <v>VD033</v>
      </c>
      <c r="C730" s="2">
        <f>IFERROR(__xludf.DUMMYFUNCTION("""COMPUTED_VALUE"""),4.0)</f>
        <v>4</v>
      </c>
      <c r="D730" s="6">
        <f>IFERROR(__xludf.DUMMYFUNCTION("""COMPUTED_VALUE"""),135.55)</f>
        <v>135.55</v>
      </c>
      <c r="E730" s="6">
        <f>IFERROR(__xludf.DUMMYFUNCTION("GOOGLEFINANCE(""Currency:BRLMXN"")*D730"),460.53112500000003)</f>
        <v>460.531125</v>
      </c>
      <c r="F730" s="6">
        <f>IFERROR(__xludf.DUMMYFUNCTION("GOOGLEFINANCE(""Currency:BRLPEN"")*D730"),88.86658)</f>
        <v>88.86658</v>
      </c>
      <c r="G730" s="2" t="str">
        <f t="array" ref="G730">_xlfn.XLOOKUP(B730,Vendedores!$A$2:$A$41,Vendedores!$B$2:$B$41,"No hay datos")</f>
        <v>Renata Flores</v>
      </c>
      <c r="H730" s="2" t="str">
        <f t="array" ref="H730">_xlfn.XLOOKUP(B730,Vendedores!$A$2:$A$41,Vendedores!$C$2:$C$41,"No hay datos")</f>
        <v>Altos del Sur</v>
      </c>
      <c r="I730" s="2" t="str">
        <f t="array" ref="I730">_xlfn.XLOOKUP(B730,Vendedores!$A$2:$A$41,Vendedores!$D$2:$D$41,"No hay datos")</f>
        <v>Región Central 2</v>
      </c>
      <c r="J730" s="2" t="str">
        <f t="array" ref="J730:N730">_xlfn.XLOOKUP(A730,Productos!$A$2:$A$61,Productos!$B$2:$F$61)</f>
        <v>Playera lisa</v>
      </c>
      <c r="K730" s="2" t="s">
        <v>22</v>
      </c>
      <c r="L730" s="2" t="s">
        <v>10</v>
      </c>
      <c r="M730" s="2" t="s">
        <v>57</v>
      </c>
      <c r="N730" s="2" t="s">
        <v>24</v>
      </c>
    </row>
    <row r="731">
      <c r="A731" s="2" t="str">
        <f>IFERROR(__xludf.DUMMYFUNCTION("""COMPUTED_VALUE"""),"PR051")</f>
        <v>PR051</v>
      </c>
      <c r="B731" s="2" t="str">
        <f>IFERROR(__xludf.DUMMYFUNCTION("""COMPUTED_VALUE"""),"VD010")</f>
        <v>VD010</v>
      </c>
      <c r="C731" s="2">
        <f>IFERROR(__xludf.DUMMYFUNCTION("""COMPUTED_VALUE"""),9.0)</f>
        <v>9</v>
      </c>
      <c r="D731" s="6">
        <f>IFERROR(__xludf.DUMMYFUNCTION("""COMPUTED_VALUE"""),296.1)</f>
        <v>296.1</v>
      </c>
      <c r="E731" s="6">
        <f>IFERROR(__xludf.DUMMYFUNCTION("GOOGLEFINANCE(""Currency:BRLMXN"")*D731"),1005.9997500000001)</f>
        <v>1005.99975</v>
      </c>
      <c r="F731" s="6">
        <f>IFERROR(__xludf.DUMMYFUNCTION("GOOGLEFINANCE(""Currency:BRLPEN"")*D731"),194.12316)</f>
        <v>194.12316</v>
      </c>
      <c r="G731" s="2" t="str">
        <f t="array" ref="G731">_xlfn.XLOOKUP(B731,Vendedores!$A$2:$A$41,Vendedores!$B$2:$B$41,"No hay datos")</f>
        <v>María Silva</v>
      </c>
      <c r="H731" s="2" t="str">
        <f t="array" ref="H731">_xlfn.XLOOKUP(B731,Vendedores!$A$2:$A$41,Vendedores!$C$2:$C$41,"No hay datos")</f>
        <v>San Juan de la Sierra</v>
      </c>
      <c r="I731" s="2" t="str">
        <f t="array" ref="I731">_xlfn.XLOOKUP(B731,Vendedores!$A$2:$A$41,Vendedores!$D$2:$D$41,"No hay datos")</f>
        <v>Región Central</v>
      </c>
      <c r="J731" s="2" t="str">
        <f t="array" ref="J731:N731">_xlfn.XLOOKUP(A731,Productos!$A$2:$A$61,Productos!$B$2:$F$61)</f>
        <v>Playera a rayas</v>
      </c>
      <c r="K731" s="2" t="s">
        <v>22</v>
      </c>
      <c r="L731" s="2" t="s">
        <v>10</v>
      </c>
      <c r="M731" s="2" t="s">
        <v>23</v>
      </c>
      <c r="N731" s="2" t="s">
        <v>24</v>
      </c>
    </row>
    <row r="732">
      <c r="A732" s="2" t="str">
        <f>IFERROR(__xludf.DUMMYFUNCTION("""COMPUTED_VALUE"""),"PR007")</f>
        <v>PR007</v>
      </c>
      <c r="B732" s="2" t="str">
        <f>IFERROR(__xludf.DUMMYFUNCTION("""COMPUTED_VALUE"""),"VD041")</f>
        <v>VD041</v>
      </c>
      <c r="C732" s="2">
        <f>IFERROR(__xludf.DUMMYFUNCTION("""COMPUTED_VALUE"""),4.0)</f>
        <v>4</v>
      </c>
      <c r="D732" s="6">
        <f>IFERROR(__xludf.DUMMYFUNCTION("""COMPUTED_VALUE"""),353.91)</f>
        <v>353.91</v>
      </c>
      <c r="E732" s="6">
        <f>IFERROR(__xludf.DUMMYFUNCTION("GOOGLEFINANCE(""Currency:BRLMXN"")*D732"),1202.409225)</f>
        <v>1202.409225</v>
      </c>
      <c r="F732" s="6">
        <f>IFERROR(__xludf.DUMMYFUNCTION("GOOGLEFINANCE(""Currency:BRLPEN"")*D732"),232.023396)</f>
        <v>232.023396</v>
      </c>
      <c r="G732" s="2" t="str">
        <f t="array" ref="G732">_xlfn.XLOOKUP(B732,Vendedores!$A$2:$A$41,Vendedores!$B$2:$B$41,"No hay datos")</f>
        <v>Alejandro Ramos</v>
      </c>
      <c r="H732" s="2" t="str">
        <f t="array" ref="H732">_xlfn.XLOOKUP(B732,Vendedores!$A$2:$A$41,Vendedores!$C$2:$C$41,"No hay datos")</f>
        <v>San Martín de las Rosas</v>
      </c>
      <c r="I732" s="2" t="str">
        <f t="array" ref="I732">_xlfn.XLOOKUP(B732,Vendedores!$A$2:$A$41,Vendedores!$D$2:$D$41,"No hay datos")</f>
        <v>Región Central 2</v>
      </c>
      <c r="J732" s="2" t="str">
        <f t="array" ref="J732:N732">_xlfn.XLOOKUP(A732,Productos!$A$2:$A$61,Productos!$B$2:$F$61)</f>
        <v>Pantalón de mezclilla</v>
      </c>
      <c r="K732" s="2" t="s">
        <v>9</v>
      </c>
      <c r="L732" s="2" t="s">
        <v>10</v>
      </c>
      <c r="M732" s="2" t="s">
        <v>103</v>
      </c>
      <c r="N732" s="2" t="s">
        <v>104</v>
      </c>
    </row>
    <row r="733">
      <c r="A733" s="2" t="str">
        <f>IFERROR(__xludf.DUMMYFUNCTION("""COMPUTED_VALUE"""),"PR008")</f>
        <v>PR008</v>
      </c>
      <c r="B733" s="2" t="str">
        <f>IFERROR(__xludf.DUMMYFUNCTION("""COMPUTED_VALUE"""),"VD046")</f>
        <v>VD046</v>
      </c>
      <c r="C733" s="2">
        <f>IFERROR(__xludf.DUMMYFUNCTION("""COMPUTED_VALUE"""),3.0)</f>
        <v>3</v>
      </c>
      <c r="D733" s="6">
        <f>IFERROR(__xludf.DUMMYFUNCTION("""COMPUTED_VALUE"""),288.58)</f>
        <v>288.58</v>
      </c>
      <c r="E733" s="6">
        <f>IFERROR(__xludf.DUMMYFUNCTION("GOOGLEFINANCE(""Currency:BRLMXN"")*D733"),980.4505499999999)</f>
        <v>980.45055</v>
      </c>
      <c r="F733" s="6">
        <f>IFERROR(__xludf.DUMMYFUNCTION("GOOGLEFINANCE(""Currency:BRLPEN"")*D733"),189.19304799999998)</f>
        <v>189.193048</v>
      </c>
      <c r="G733" s="2" t="str">
        <f t="array" ref="G733">_xlfn.XLOOKUP(B733,Vendedores!$A$2:$A$41,Vendedores!$B$2:$B$41,"No hay datos")</f>
        <v>Juliana Pérez</v>
      </c>
      <c r="H733" s="2" t="str">
        <f t="array" ref="H733">_xlfn.XLOOKUP(B733,Vendedores!$A$2:$A$41,Vendedores!$C$2:$C$41,"No hay datos")</f>
        <v>Santa Cruz de la Sierra</v>
      </c>
      <c r="I733" s="2" t="str">
        <f t="array" ref="I733">_xlfn.XLOOKUP(B733,Vendedores!$A$2:$A$41,Vendedores!$D$2:$D$41,"No hay datos")</f>
        <v>Región Central 2</v>
      </c>
      <c r="J733" s="2" t="str">
        <f t="array" ref="J733:N733">_xlfn.XLOOKUP(A733,Productos!$A$2:$A$61,Productos!$B$2:$F$61)</f>
        <v>Pantalón de mezclilla</v>
      </c>
      <c r="K733" s="2" t="s">
        <v>17</v>
      </c>
      <c r="L733" s="2" t="s">
        <v>10</v>
      </c>
      <c r="M733" s="2" t="s">
        <v>65</v>
      </c>
      <c r="N733" s="2" t="s">
        <v>35</v>
      </c>
    </row>
    <row r="734">
      <c r="A734" s="2" t="str">
        <f>IFERROR(__xludf.DUMMYFUNCTION("""COMPUTED_VALUE"""),"PR053")</f>
        <v>PR053</v>
      </c>
      <c r="B734" s="2" t="str">
        <f>IFERROR(__xludf.DUMMYFUNCTION("""COMPUTED_VALUE"""),"VD029")</f>
        <v>VD029</v>
      </c>
      <c r="C734" s="2">
        <f>IFERROR(__xludf.DUMMYFUNCTION("""COMPUTED_VALUE"""),8.0)</f>
        <v>8</v>
      </c>
      <c r="D734" s="6">
        <f>IFERROR(__xludf.DUMMYFUNCTION("""COMPUTED_VALUE"""),415.17)</f>
        <v>415.17</v>
      </c>
      <c r="E734" s="6">
        <f>IFERROR(__xludf.DUMMYFUNCTION("GOOGLEFINANCE(""Currency:BRLMXN"")*D734"),1410.5400750000001)</f>
        <v>1410.540075</v>
      </c>
      <c r="F734" s="6">
        <f>IFERROR(__xludf.DUMMYFUNCTION("GOOGLEFINANCE(""Currency:BRLPEN"")*D734"),272.185452)</f>
        <v>272.185452</v>
      </c>
      <c r="G734" s="2" t="str">
        <f t="array" ref="G734">_xlfn.XLOOKUP(B734,Vendedores!$A$2:$A$41,Vendedores!$B$2:$B$41,"No hay datos")</f>
        <v>Gabriela Sosa</v>
      </c>
      <c r="H734" s="2" t="str">
        <f t="array" ref="H734">_xlfn.XLOOKUP(B734,Vendedores!$A$2:$A$41,Vendedores!$C$2:$C$41,"No hay datos")</f>
        <v>Selva Verde</v>
      </c>
      <c r="I734" s="2" t="str">
        <f t="array" ref="I734">_xlfn.XLOOKUP(B734,Vendedores!$A$2:$A$41,Vendedores!$D$2:$D$41,"No hay datos")</f>
        <v>Región Amazónica</v>
      </c>
      <c r="J734" s="2" t="str">
        <f t="array" ref="J734:N734">_xlfn.XLOOKUP(A734,Productos!$A$2:$A$61,Productos!$B$2:$F$61)</f>
        <v>Falda plisada</v>
      </c>
      <c r="K734" s="2" t="s">
        <v>17</v>
      </c>
      <c r="L734" s="2" t="s">
        <v>10</v>
      </c>
      <c r="M734" s="2" t="s">
        <v>41</v>
      </c>
      <c r="N734" s="2" t="s">
        <v>32</v>
      </c>
    </row>
    <row r="735">
      <c r="A735" s="2" t="str">
        <f>IFERROR(__xludf.DUMMYFUNCTION("""COMPUTED_VALUE"""),"PR060")</f>
        <v>PR060</v>
      </c>
      <c r="B735" s="2" t="str">
        <f>IFERROR(__xludf.DUMMYFUNCTION("""COMPUTED_VALUE"""),"VD015")</f>
        <v>VD015</v>
      </c>
      <c r="C735" s="2">
        <f>IFERROR(__xludf.DUMMYFUNCTION("""COMPUTED_VALUE"""),20.0)</f>
        <v>20</v>
      </c>
      <c r="D735" s="6">
        <f>IFERROR(__xludf.DUMMYFUNCTION("""COMPUTED_VALUE"""),3744.0)</f>
        <v>3744</v>
      </c>
      <c r="E735" s="6">
        <f>IFERROR(__xludf.DUMMYFUNCTION("GOOGLEFINANCE(""Currency:BRLMXN"")*D735"),12720.24)</f>
        <v>12720.24</v>
      </c>
      <c r="F735" s="6">
        <f>IFERROR(__xludf.DUMMYFUNCTION("GOOGLEFINANCE(""Currency:BRLPEN"")*D735"),2454.5663999999997)</f>
        <v>2454.5664</v>
      </c>
      <c r="G735" s="2" t="str">
        <f t="array" ref="G735">_xlfn.XLOOKUP(B735,Vendedores!$A$2:$A$41,Vendedores!$B$2:$B$41,"No hay datos")</f>
        <v>Lucas Castillo</v>
      </c>
      <c r="H735" s="2" t="str">
        <f t="array" ref="H735">_xlfn.XLOOKUP(B735,Vendedores!$A$2:$A$41,Vendedores!$C$2:$C$41,"No hay datos")</f>
        <v>San Miguel de los Pinos</v>
      </c>
      <c r="I735" s="2" t="str">
        <f t="array" ref="I735">_xlfn.XLOOKUP(B735,Vendedores!$A$2:$A$41,Vendedores!$D$2:$D$41,"No hay datos")</f>
        <v>Región Sur</v>
      </c>
      <c r="J735" s="2" t="str">
        <f t="array" ref="J735:N735">_xlfn.XLOOKUP(A735,Productos!$A$2:$A$61,Productos!$B$2:$F$61)</f>
        <v>Pantalón de sastre</v>
      </c>
      <c r="K735" s="2" t="s">
        <v>22</v>
      </c>
      <c r="L735" s="2" t="s">
        <v>10</v>
      </c>
      <c r="M735" s="2" t="s">
        <v>75</v>
      </c>
      <c r="N735" s="2" t="s">
        <v>14</v>
      </c>
    </row>
    <row r="736">
      <c r="A736" s="2" t="str">
        <f>IFERROR(__xludf.DUMMYFUNCTION("""COMPUTED_VALUE"""),"PR037")</f>
        <v>PR037</v>
      </c>
      <c r="B736" s="2" t="str">
        <f>IFERROR(__xludf.DUMMYFUNCTION("""COMPUTED_VALUE"""),"VD040")</f>
        <v>VD040</v>
      </c>
      <c r="C736" s="2">
        <f>IFERROR(__xludf.DUMMYFUNCTION("""COMPUTED_VALUE"""),9.0)</f>
        <v>9</v>
      </c>
      <c r="D736" s="6">
        <f>IFERROR(__xludf.DUMMYFUNCTION("""COMPUTED_VALUE"""),1335.6)</f>
        <v>1335.6</v>
      </c>
      <c r="E736" s="6">
        <f>IFERROR(__xludf.DUMMYFUNCTION("GOOGLEFINANCE(""Currency:BRLMXN"")*D736"),4537.701)</f>
        <v>4537.701</v>
      </c>
      <c r="F736" s="6">
        <f>IFERROR(__xludf.DUMMYFUNCTION("GOOGLEFINANCE(""Currency:BRLPEN"")*D736"),875.6193599999999)</f>
        <v>875.61936</v>
      </c>
      <c r="G736" s="2" t="str">
        <f t="array" ref="G736">_xlfn.XLOOKUP(B736,Vendedores!$A$2:$A$41,Vendedores!$B$2:$B$41,"No hay datos")</f>
        <v>Tatiana Montero</v>
      </c>
      <c r="H736" s="2" t="str">
        <f t="array" ref="H736">_xlfn.XLOOKUP(B736,Vendedores!$A$2:$A$41,Vendedores!$C$2:$C$41,"No hay datos")</f>
        <v>Ciudad Industrial</v>
      </c>
      <c r="I736" s="2" t="str">
        <f t="array" ref="I736">_xlfn.XLOOKUP(B736,Vendedores!$A$2:$A$41,Vendedores!$D$2:$D$41,"No hay datos")</f>
        <v>Región Central 2</v>
      </c>
      <c r="J736" s="2" t="str">
        <f t="array" ref="J736:N736">_xlfn.XLOOKUP(A736,Productos!$A$2:$A$61,Productos!$B$2:$F$61)</f>
        <v>Vestido largo</v>
      </c>
      <c r="K736" s="2" t="s">
        <v>9</v>
      </c>
      <c r="L736" s="2" t="s">
        <v>10</v>
      </c>
      <c r="M736" s="2" t="s">
        <v>70</v>
      </c>
      <c r="N736" s="2" t="s">
        <v>71</v>
      </c>
    </row>
    <row r="737">
      <c r="A737" s="2" t="str">
        <f>IFERROR(__xludf.DUMMYFUNCTION("""COMPUTED_VALUE"""),"PR050")</f>
        <v>PR050</v>
      </c>
      <c r="B737" s="2" t="str">
        <f>IFERROR(__xludf.DUMMYFUNCTION("""COMPUTED_VALUE"""),"VD028")</f>
        <v>VD028</v>
      </c>
      <c r="C737" s="2">
        <f>IFERROR(__xludf.DUMMYFUNCTION("""COMPUTED_VALUE"""),2.0)</f>
        <v>2</v>
      </c>
      <c r="D737" s="6">
        <f>IFERROR(__xludf.DUMMYFUNCTION("""COMPUTED_VALUE"""),66.46)</f>
        <v>66.46</v>
      </c>
      <c r="E737" s="6">
        <f>IFERROR(__xludf.DUMMYFUNCTION("GOOGLEFINANCE(""Currency:BRLMXN"")*D737"),225.79784999999998)</f>
        <v>225.79785</v>
      </c>
      <c r="F737" s="6">
        <f>IFERROR(__xludf.DUMMYFUNCTION("GOOGLEFINANCE(""Currency:BRLPEN"")*D737"),43.571175999999994)</f>
        <v>43.571176</v>
      </c>
      <c r="G737" s="2" t="str">
        <f t="array" ref="G737">_xlfn.XLOOKUP(B737,Vendedores!$A$2:$A$41,Vendedores!$B$2:$B$41,"No hay datos")</f>
        <v>Rodrigo Almonte</v>
      </c>
      <c r="H737" s="2" t="str">
        <f t="array" ref="H737">_xlfn.XLOOKUP(B737,Vendedores!$A$2:$A$41,Vendedores!$C$2:$C$41,"No hay datos")</f>
        <v>Valle Escondido</v>
      </c>
      <c r="I737" s="2" t="str">
        <f t="array" ref="I737">_xlfn.XLOOKUP(B737,Vendedores!$A$2:$A$41,Vendedores!$D$2:$D$41,"No hay datos")</f>
        <v>Región Andina</v>
      </c>
      <c r="J737" s="2" t="str">
        <f t="array" ref="J737:N737">_xlfn.XLOOKUP(A737,Productos!$A$2:$A$61,Productos!$B$2:$F$61)</f>
        <v>Playera a rayas</v>
      </c>
      <c r="K737" s="2" t="s">
        <v>17</v>
      </c>
      <c r="L737" s="2" t="s">
        <v>10</v>
      </c>
      <c r="M737" s="2" t="s">
        <v>27</v>
      </c>
      <c r="N737" s="2" t="s">
        <v>24</v>
      </c>
    </row>
    <row r="738">
      <c r="A738" s="2" t="str">
        <f>IFERROR(__xludf.DUMMYFUNCTION("""COMPUTED_VALUE"""),"PR013")</f>
        <v>PR013</v>
      </c>
      <c r="B738" s="2" t="str">
        <f>IFERROR(__xludf.DUMMYFUNCTION("""COMPUTED_VALUE"""),"VD017")</f>
        <v>VD017</v>
      </c>
      <c r="C738" s="2">
        <f>IFERROR(__xludf.DUMMYFUNCTION("""COMPUTED_VALUE"""),8.0)</f>
        <v>8</v>
      </c>
      <c r="D738" s="6">
        <f>IFERROR(__xludf.DUMMYFUNCTION("""COMPUTED_VALUE"""),351.12)</f>
        <v>351.12</v>
      </c>
      <c r="E738" s="6">
        <f>IFERROR(__xludf.DUMMYFUNCTION("GOOGLEFINANCE(""Currency:BRLMXN"")*D738"),1192.9302)</f>
        <v>1192.9302</v>
      </c>
      <c r="F738" s="6">
        <f>IFERROR(__xludf.DUMMYFUNCTION("GOOGLEFINANCE(""Currency:BRLPEN"")*D738"),230.19427199999998)</f>
        <v>230.194272</v>
      </c>
      <c r="G738" s="2" t="str">
        <f t="array" ref="G738">_xlfn.XLOOKUP(B738,Vendedores!$A$2:$A$41,Vendedores!$B$2:$B$41,"No hay datos")</f>
        <v>Bruno Peralta</v>
      </c>
      <c r="H738" s="2" t="str">
        <f t="array" ref="H738">_xlfn.XLOOKUP(B738,Vendedores!$A$2:$A$41,Vendedores!$C$2:$C$41,"No hay datos")</f>
        <v>Costa Azul</v>
      </c>
      <c r="I738" s="2" t="str">
        <f t="array" ref="I738">_xlfn.XLOOKUP(B738,Vendedores!$A$2:$A$41,Vendedores!$D$2:$D$41,"No hay datos")</f>
        <v>Región Norte</v>
      </c>
      <c r="J738" s="2" t="str">
        <f t="array" ref="J738:N738">_xlfn.XLOOKUP(A738,Productos!$A$2:$A$61,Productos!$B$2:$F$61)</f>
        <v>Playera estampada</v>
      </c>
      <c r="K738" s="2" t="s">
        <v>9</v>
      </c>
      <c r="L738" s="2" t="s">
        <v>10</v>
      </c>
      <c r="M738" s="2" t="s">
        <v>66</v>
      </c>
      <c r="N738" s="2" t="s">
        <v>38</v>
      </c>
    </row>
    <row r="739">
      <c r="A739" s="2" t="str">
        <f>IFERROR(__xludf.DUMMYFUNCTION("""COMPUTED_VALUE"""),"PR024")</f>
        <v>PR024</v>
      </c>
      <c r="B739" s="2" t="str">
        <f>IFERROR(__xludf.DUMMYFUNCTION("""COMPUTED_VALUE"""),"VD043")</f>
        <v>VD043</v>
      </c>
      <c r="C739" s="2">
        <f>IFERROR(__xludf.DUMMYFUNCTION("""COMPUTED_VALUE"""),10.0)</f>
        <v>10</v>
      </c>
      <c r="D739" s="6">
        <f>IFERROR(__xludf.DUMMYFUNCTION("""COMPUTED_VALUE"""),2650.98)</f>
        <v>2650.98</v>
      </c>
      <c r="E739" s="6">
        <f>IFERROR(__xludf.DUMMYFUNCTION("GOOGLEFINANCE(""Currency:BRLMXN"")*D739"),9006.70455)</f>
        <v>9006.70455</v>
      </c>
      <c r="F739" s="6">
        <f>IFERROR(__xludf.DUMMYFUNCTION("GOOGLEFINANCE(""Currency:BRLPEN"")*D739"),1737.9824879999999)</f>
        <v>1737.982488</v>
      </c>
      <c r="G739" s="2" t="str">
        <f t="array" ref="G739">_xlfn.XLOOKUP(B739,Vendedores!$A$2:$A$41,Vendedores!$B$2:$B$41,"No hay datos")</f>
        <v>Carlos Henríquez</v>
      </c>
      <c r="H739" s="2" t="str">
        <f t="array" ref="H739">_xlfn.XLOOKUP(B739,Vendedores!$A$2:$A$41,Vendedores!$C$2:$C$41,"No hay datos")</f>
        <v>Ciudad Aeropuerto</v>
      </c>
      <c r="I739" s="2" t="str">
        <f t="array" ref="I739">_xlfn.XLOOKUP(B739,Vendedores!$A$2:$A$41,Vendedores!$D$2:$D$41,"No hay datos")</f>
        <v>Región Central 2</v>
      </c>
      <c r="J739" s="2" t="str">
        <f t="array" ref="J739:N739">_xlfn.XLOOKUP(A739,Productos!$A$2:$A$61,Productos!$B$2:$F$61)</f>
        <v>Chaqueta de mezclilla</v>
      </c>
      <c r="K739" s="2" t="s">
        <v>17</v>
      </c>
      <c r="L739" s="2" t="s">
        <v>10</v>
      </c>
      <c r="M739" s="2" t="s">
        <v>92</v>
      </c>
      <c r="N739" s="2" t="s">
        <v>64</v>
      </c>
    </row>
    <row r="740">
      <c r="A740" s="2" t="str">
        <f>IFERROR(__xludf.DUMMYFUNCTION("""COMPUTED_VALUE"""),"PR001")</f>
        <v>PR001</v>
      </c>
      <c r="B740" s="2" t="str">
        <f>IFERROR(__xludf.DUMMYFUNCTION("""COMPUTED_VALUE"""),"VD038")</f>
        <v>VD038</v>
      </c>
      <c r="C740" s="2">
        <f>IFERROR(__xludf.DUMMYFUNCTION("""COMPUTED_VALUE"""),14.0)</f>
        <v>14</v>
      </c>
      <c r="D740" s="6">
        <f>IFERROR(__xludf.DUMMYFUNCTION("""COMPUTED_VALUE"""),987.18)</f>
        <v>987.18</v>
      </c>
      <c r="E740" s="6">
        <f>IFERROR(__xludf.DUMMYFUNCTION("GOOGLEFINANCE(""Currency:BRLMXN"")*D740"),3353.9440499999996)</f>
        <v>3353.94405</v>
      </c>
      <c r="F740" s="6">
        <f>IFERROR(__xludf.DUMMYFUNCTION("GOOGLEFINANCE(""Currency:BRLPEN"")*D740"),647.195208)</f>
        <v>647.195208</v>
      </c>
      <c r="G740" s="2" t="str">
        <f t="array" ref="G740">_xlfn.XLOOKUP(B740,Vendedores!$A$2:$A$41,Vendedores!$B$2:$B$41,"No hay datos")</f>
        <v>Bruno Olmedo</v>
      </c>
      <c r="H740" s="2" t="str">
        <f t="array" ref="H740">_xlfn.XLOOKUP(B740,Vendedores!$A$2:$A$41,Vendedores!$C$2:$C$41,"No hay datos")</f>
        <v>Tierra Fertil</v>
      </c>
      <c r="I740" s="2" t="str">
        <f t="array" ref="I740">_xlfn.XLOOKUP(B740,Vendedores!$A$2:$A$41,Vendedores!$D$2:$D$41,"No hay datos")</f>
        <v>Región Sur 2</v>
      </c>
      <c r="J740" s="2" t="str">
        <f t="array" ref="J740:N740">_xlfn.XLOOKUP(A740,Productos!$A$2:$A$61,Productos!$B$2:$F$61)</f>
        <v>Bermuda</v>
      </c>
      <c r="K740" s="2" t="s">
        <v>9</v>
      </c>
      <c r="L740" s="2" t="s">
        <v>10</v>
      </c>
      <c r="M740" s="2" t="s">
        <v>11</v>
      </c>
      <c r="N740" s="2" t="s">
        <v>12</v>
      </c>
    </row>
    <row r="741">
      <c r="A741" s="2" t="str">
        <f>IFERROR(__xludf.DUMMYFUNCTION("""COMPUTED_VALUE"""),"PR004")</f>
        <v>PR004</v>
      </c>
      <c r="B741" s="2" t="str">
        <f>IFERROR(__xludf.DUMMYFUNCTION("""COMPUTED_VALUE"""),"VD019")</f>
        <v>VD019</v>
      </c>
      <c r="C741" s="2">
        <f>IFERROR(__xludf.DUMMYFUNCTION("""COMPUTED_VALUE"""),1.0)</f>
        <v>1</v>
      </c>
      <c r="D741" s="6">
        <f>IFERROR(__xludf.DUMMYFUNCTION("""COMPUTED_VALUE"""),150.8)</f>
        <v>150.8</v>
      </c>
      <c r="E741" s="6">
        <f>IFERROR(__xludf.DUMMYFUNCTION("GOOGLEFINANCE(""Currency:BRLMXN"")*D741"),512.3430000000001)</f>
        <v>512.343</v>
      </c>
      <c r="F741" s="6">
        <f>IFERROR(__xludf.DUMMYFUNCTION("GOOGLEFINANCE(""Currency:BRLPEN"")*D741"),98.86448)</f>
        <v>98.86448</v>
      </c>
      <c r="G741" s="2" t="str">
        <f t="array" ref="G741">_xlfn.XLOOKUP(B741,Vendedores!$A$2:$A$41,Vendedores!$B$2:$B$41,"No hay datos")</f>
        <v>Rafael Sosa</v>
      </c>
      <c r="H741" s="2" t="str">
        <f t="array" ref="H741">_xlfn.XLOOKUP(B741,Vendedores!$A$2:$A$41,Vendedores!$C$2:$C$41,"No hay datos")</f>
        <v>Selva Verde</v>
      </c>
      <c r="I741" s="2" t="str">
        <f t="array" ref="I741">_xlfn.XLOOKUP(B741,Vendedores!$A$2:$A$41,Vendedores!$D$2:$D$41,"No hay datos")</f>
        <v>Región Amazónica</v>
      </c>
      <c r="J741" s="2" t="str">
        <f t="array" ref="J741:N741">_xlfn.XLOOKUP(A741,Productos!$A$2:$A$61,Productos!$B$2:$F$61)</f>
        <v>Bolso versátil</v>
      </c>
      <c r="K741" s="2" t="s">
        <v>29</v>
      </c>
      <c r="L741" s="2" t="s">
        <v>30</v>
      </c>
      <c r="M741" s="2" t="s">
        <v>59</v>
      </c>
      <c r="N741" s="2" t="s">
        <v>60</v>
      </c>
    </row>
    <row r="742">
      <c r="A742" s="2" t="str">
        <f>IFERROR(__xludf.DUMMYFUNCTION("""COMPUTED_VALUE"""),"PR041")</f>
        <v>PR041</v>
      </c>
      <c r="B742" s="2" t="str">
        <f>IFERROR(__xludf.DUMMYFUNCTION("""COMPUTED_VALUE"""),"VD017")</f>
        <v>VD017</v>
      </c>
      <c r="C742" s="2">
        <f>IFERROR(__xludf.DUMMYFUNCTION("""COMPUTED_VALUE"""),4.0)</f>
        <v>4</v>
      </c>
      <c r="D742" s="6">
        <f>IFERROR(__xludf.DUMMYFUNCTION("""COMPUTED_VALUE"""),228.38)</f>
        <v>228.38</v>
      </c>
      <c r="E742" s="6">
        <f>IFERROR(__xludf.DUMMYFUNCTION("GOOGLEFINANCE(""Currency:BRLMXN"")*D742"),775.9210499999999)</f>
        <v>775.92105</v>
      </c>
      <c r="F742" s="6">
        <f>IFERROR(__xludf.DUMMYFUNCTION("GOOGLEFINANCE(""Currency:BRLPEN"")*D742"),149.72592799999998)</f>
        <v>149.725928</v>
      </c>
      <c r="G742" s="2" t="str">
        <f t="array" ref="G742">_xlfn.XLOOKUP(B742,Vendedores!$A$2:$A$41,Vendedores!$B$2:$B$41,"No hay datos")</f>
        <v>Bruno Peralta</v>
      </c>
      <c r="H742" s="2" t="str">
        <f t="array" ref="H742">_xlfn.XLOOKUP(B742,Vendedores!$A$2:$A$41,Vendedores!$C$2:$C$41,"No hay datos")</f>
        <v>Costa Azul</v>
      </c>
      <c r="I742" s="2" t="str">
        <f t="array" ref="I742">_xlfn.XLOOKUP(B742,Vendedores!$A$2:$A$41,Vendedores!$D$2:$D$41,"No hay datos")</f>
        <v>Región Norte</v>
      </c>
      <c r="J742" s="2" t="str">
        <f t="array" ref="J742:N742">_xlfn.XLOOKUP(A742,Productos!$A$2:$A$61,Productos!$B$2:$F$61)</f>
        <v>Playera confort</v>
      </c>
      <c r="K742" s="2" t="s">
        <v>17</v>
      </c>
      <c r="L742" s="2" t="s">
        <v>10</v>
      </c>
      <c r="M742" s="2" t="s">
        <v>95</v>
      </c>
      <c r="N742" s="2" t="s">
        <v>26</v>
      </c>
    </row>
    <row r="743">
      <c r="A743" s="2" t="str">
        <f>IFERROR(__xludf.DUMMYFUNCTION("""COMPUTED_VALUE"""),"PR055")</f>
        <v>PR055</v>
      </c>
      <c r="B743" s="2" t="str">
        <f>IFERROR(__xludf.DUMMYFUNCTION("""COMPUTED_VALUE"""),"VD040")</f>
        <v>VD040</v>
      </c>
      <c r="C743" s="2">
        <f>IFERROR(__xludf.DUMMYFUNCTION("""COMPUTED_VALUE"""),16.0)</f>
        <v>16</v>
      </c>
      <c r="D743" s="6">
        <f>IFERROR(__xludf.DUMMYFUNCTION("""COMPUTED_VALUE"""),1495.94)</f>
        <v>1495.94</v>
      </c>
      <c r="E743" s="6">
        <f>IFERROR(__xludf.DUMMYFUNCTION("GOOGLEFINANCE(""Currency:BRLMXN"")*D743"),5082.45615)</f>
        <v>5082.45615</v>
      </c>
      <c r="F743" s="6">
        <f>IFERROR(__xludf.DUMMYFUNCTION("GOOGLEFINANCE(""Currency:BRLPEN"")*D743"),980.738264)</f>
        <v>980.738264</v>
      </c>
      <c r="G743" s="2" t="str">
        <f t="array" ref="G743">_xlfn.XLOOKUP(B743,Vendedores!$A$2:$A$41,Vendedores!$B$2:$B$41,"No hay datos")</f>
        <v>Tatiana Montero</v>
      </c>
      <c r="H743" s="2" t="str">
        <f t="array" ref="H743">_xlfn.XLOOKUP(B743,Vendedores!$A$2:$A$41,Vendedores!$C$2:$C$41,"No hay datos")</f>
        <v>Ciudad Industrial</v>
      </c>
      <c r="I743" s="2" t="str">
        <f t="array" ref="I743">_xlfn.XLOOKUP(B743,Vendedores!$A$2:$A$41,Vendedores!$D$2:$D$41,"No hay datos")</f>
        <v>Región Central 2</v>
      </c>
      <c r="J743" s="2" t="str">
        <f t="array" ref="J743:N743">_xlfn.XLOOKUP(A743,Productos!$A$2:$A$61,Productos!$B$2:$F$61)</f>
        <v>Sandalia plana</v>
      </c>
      <c r="K743" s="2">
        <v>35.0</v>
      </c>
      <c r="L743" s="2" t="s">
        <v>33</v>
      </c>
      <c r="M743" s="2" t="s">
        <v>34</v>
      </c>
      <c r="N743" s="2" t="s">
        <v>35</v>
      </c>
    </row>
    <row r="744">
      <c r="A744" s="2" t="str">
        <f>IFERROR(__xludf.DUMMYFUNCTION("""COMPUTED_VALUE"""),"PR048")</f>
        <v>PR048</v>
      </c>
      <c r="B744" s="2" t="str">
        <f>IFERROR(__xludf.DUMMYFUNCTION("""COMPUTED_VALUE"""),"VD045")</f>
        <v>VD045</v>
      </c>
      <c r="C744" s="2">
        <f>IFERROR(__xludf.DUMMYFUNCTION("""COMPUTED_VALUE"""),4.0)</f>
        <v>4</v>
      </c>
      <c r="D744" s="6">
        <f>IFERROR(__xludf.DUMMYFUNCTION("""COMPUTED_VALUE"""),1205.98)</f>
        <v>1205.98</v>
      </c>
      <c r="E744" s="6">
        <f>IFERROR(__xludf.DUMMYFUNCTION("GOOGLEFINANCE(""Currency:BRLMXN"")*D744"),4097.31705)</f>
        <v>4097.31705</v>
      </c>
      <c r="F744" s="6">
        <f>IFERROR(__xludf.DUMMYFUNCTION("GOOGLEFINANCE(""Currency:BRLPEN"")*D744"),790.640488)</f>
        <v>790.640488</v>
      </c>
      <c r="G744" s="2" t="str">
        <f t="array" ref="G744">_xlfn.XLOOKUP(B744,Vendedores!$A$2:$A$41,Vendedores!$B$2:$B$41,"No hay datos")</f>
        <v>Rafael Morales</v>
      </c>
      <c r="H744" s="2" t="str">
        <f t="array" ref="H744">_xlfn.XLOOKUP(B744,Vendedores!$A$2:$A$41,Vendedores!$C$2:$C$41,"No hay datos")</f>
        <v>Valle Dorado</v>
      </c>
      <c r="I744" s="2" t="str">
        <f t="array" ref="I744">_xlfn.XLOOKUP(B744,Vendedores!$A$2:$A$41,Vendedores!$D$2:$D$41,"No hay datos")</f>
        <v>Región Central 2</v>
      </c>
      <c r="J744" s="2" t="str">
        <f t="array" ref="J744:N744">_xlfn.XLOOKUP(A744,Productos!$A$2:$A$61,Productos!$B$2:$F$61)</f>
        <v>Chaqueta de cuero</v>
      </c>
      <c r="K744" s="2" t="s">
        <v>22</v>
      </c>
      <c r="L744" s="2" t="s">
        <v>10</v>
      </c>
      <c r="M744" s="2" t="s">
        <v>94</v>
      </c>
      <c r="N744" s="2" t="s">
        <v>44</v>
      </c>
    </row>
    <row r="745">
      <c r="A745" s="2" t="str">
        <f>IFERROR(__xludf.DUMMYFUNCTION("""COMPUTED_VALUE"""),"PR024")</f>
        <v>PR024</v>
      </c>
      <c r="B745" s="2" t="str">
        <f>IFERROR(__xludf.DUMMYFUNCTION("""COMPUTED_VALUE"""),"VD019")</f>
        <v>VD019</v>
      </c>
      <c r="C745" s="2">
        <f>IFERROR(__xludf.DUMMYFUNCTION("""COMPUTED_VALUE"""),4.0)</f>
        <v>4</v>
      </c>
      <c r="D745" s="6">
        <f>IFERROR(__xludf.DUMMYFUNCTION("""COMPUTED_VALUE"""),1112.37)</f>
        <v>1112.37</v>
      </c>
      <c r="E745" s="6">
        <f>IFERROR(__xludf.DUMMYFUNCTION("GOOGLEFINANCE(""Currency:BRLMXN"")*D745"),3779.2770749999995)</f>
        <v>3779.277075</v>
      </c>
      <c r="F745" s="6">
        <f>IFERROR(__xludf.DUMMYFUNCTION("GOOGLEFINANCE(""Currency:BRLPEN"")*D745"),729.2697719999999)</f>
        <v>729.269772</v>
      </c>
      <c r="G745" s="2" t="str">
        <f t="array" ref="G745">_xlfn.XLOOKUP(B745,Vendedores!$A$2:$A$41,Vendedores!$B$2:$B$41,"No hay datos")</f>
        <v>Rafael Sosa</v>
      </c>
      <c r="H745" s="2" t="str">
        <f t="array" ref="H745">_xlfn.XLOOKUP(B745,Vendedores!$A$2:$A$41,Vendedores!$C$2:$C$41,"No hay datos")</f>
        <v>Selva Verde</v>
      </c>
      <c r="I745" s="2" t="str">
        <f t="array" ref="I745">_xlfn.XLOOKUP(B745,Vendedores!$A$2:$A$41,Vendedores!$D$2:$D$41,"No hay datos")</f>
        <v>Región Amazónica</v>
      </c>
      <c r="J745" s="2" t="str">
        <f t="array" ref="J745:N745">_xlfn.XLOOKUP(A745,Productos!$A$2:$A$61,Productos!$B$2:$F$61)</f>
        <v>Chaqueta de mezclilla</v>
      </c>
      <c r="K745" s="2" t="s">
        <v>17</v>
      </c>
      <c r="L745" s="2" t="s">
        <v>10</v>
      </c>
      <c r="M745" s="2" t="s">
        <v>92</v>
      </c>
      <c r="N745" s="2" t="s">
        <v>64</v>
      </c>
    </row>
    <row r="746">
      <c r="A746" s="2" t="str">
        <f>IFERROR(__xludf.DUMMYFUNCTION("""COMPUTED_VALUE"""),"PR006")</f>
        <v>PR006</v>
      </c>
      <c r="B746" s="2" t="str">
        <f>IFERROR(__xludf.DUMMYFUNCTION("""COMPUTED_VALUE"""),"VD023")</f>
        <v>VD023</v>
      </c>
      <c r="C746" s="2">
        <f>IFERROR(__xludf.DUMMYFUNCTION("""COMPUTED_VALUE"""),14.0)</f>
        <v>14</v>
      </c>
      <c r="D746" s="6">
        <f>IFERROR(__xludf.DUMMYFUNCTION("""COMPUTED_VALUE"""),586.53)</f>
        <v>586.53</v>
      </c>
      <c r="E746" s="6">
        <f>IFERROR(__xludf.DUMMYFUNCTION("GOOGLEFINANCE(""Currency:BRLMXN"")*D746"),1992.735675)</f>
        <v>1992.735675</v>
      </c>
      <c r="F746" s="6">
        <f>IFERROR(__xludf.DUMMYFUNCTION("GOOGLEFINANCE(""Currency:BRLPEN"")*D746"),384.52906799999994)</f>
        <v>384.529068</v>
      </c>
      <c r="G746" s="2" t="str">
        <f t="array" ref="G746">_xlfn.XLOOKUP(B746,Vendedores!$A$2:$A$41,Vendedores!$B$2:$B$41,"No hay datos")</f>
        <v>Juliana Castro</v>
      </c>
      <c r="H746" s="2" t="str">
        <f t="array" ref="H746">_xlfn.XLOOKUP(B746,Vendedores!$A$2:$A$41,Vendedores!$C$2:$C$41,"No hay datos")</f>
        <v>San Miguel de los Pinos</v>
      </c>
      <c r="I746" s="2" t="str">
        <f t="array" ref="I746">_xlfn.XLOOKUP(B746,Vendedores!$A$2:$A$41,Vendedores!$D$2:$D$41,"No hay datos")</f>
        <v>Región Sur</v>
      </c>
      <c r="J746" s="2" t="str">
        <f t="array" ref="J746:N746">_xlfn.XLOOKUP(A746,Productos!$A$2:$A$61,Productos!$B$2:$F$61)</f>
        <v>Gorra</v>
      </c>
      <c r="K746" s="2" t="s">
        <v>29</v>
      </c>
      <c r="L746" s="2" t="s">
        <v>30</v>
      </c>
      <c r="M746" s="2" t="s">
        <v>48</v>
      </c>
      <c r="N746" s="2" t="s">
        <v>38</v>
      </c>
    </row>
    <row r="747">
      <c r="A747" s="2" t="str">
        <f>IFERROR(__xludf.DUMMYFUNCTION("""COMPUTED_VALUE"""),"PR022")</f>
        <v>PR022</v>
      </c>
      <c r="B747" s="2" t="str">
        <f>IFERROR(__xludf.DUMMYFUNCTION("""COMPUTED_VALUE"""),"VD029")</f>
        <v>VD029</v>
      </c>
      <c r="C747" s="2">
        <f>IFERROR(__xludf.DUMMYFUNCTION("""COMPUTED_VALUE"""),7.0)</f>
        <v>7</v>
      </c>
      <c r="D747" s="6">
        <f>IFERROR(__xludf.DUMMYFUNCTION("""COMPUTED_VALUE"""),2100.0)</f>
        <v>2100</v>
      </c>
      <c r="E747" s="6">
        <f>IFERROR(__xludf.DUMMYFUNCTION("GOOGLEFINANCE(""Currency:BRLMXN"")*D747"),7134.75)</f>
        <v>7134.75</v>
      </c>
      <c r="F747" s="6">
        <f>IFERROR(__xludf.DUMMYFUNCTION("GOOGLEFINANCE(""Currency:BRLPEN"")*D747"),1376.76)</f>
        <v>1376.76</v>
      </c>
      <c r="G747" s="2" t="str">
        <f t="array" ref="G747">_xlfn.XLOOKUP(B747,Vendedores!$A$2:$A$41,Vendedores!$B$2:$B$41,"No hay datos")</f>
        <v>Gabriela Sosa</v>
      </c>
      <c r="H747" s="2" t="str">
        <f t="array" ref="H747">_xlfn.XLOOKUP(B747,Vendedores!$A$2:$A$41,Vendedores!$C$2:$C$41,"No hay datos")</f>
        <v>Selva Verde</v>
      </c>
      <c r="I747" s="2" t="str">
        <f t="array" ref="I747">_xlfn.XLOOKUP(B747,Vendedores!$A$2:$A$41,Vendedores!$D$2:$D$41,"No hay datos")</f>
        <v>Región Amazónica</v>
      </c>
      <c r="J747" s="2" t="str">
        <f t="array" ref="J747:N747">_xlfn.XLOOKUP(A747,Productos!$A$2:$A$61,Productos!$B$2:$F$61)</f>
        <v>Chaqueta de cuero</v>
      </c>
      <c r="K747" s="2" t="s">
        <v>22</v>
      </c>
      <c r="L747" s="2" t="s">
        <v>10</v>
      </c>
      <c r="M747" s="2" t="s">
        <v>78</v>
      </c>
      <c r="N747" s="2" t="s">
        <v>79</v>
      </c>
    </row>
    <row r="748">
      <c r="A748" s="2" t="str">
        <f>IFERROR(__xludf.DUMMYFUNCTION("""COMPUTED_VALUE"""),"PR027")</f>
        <v>PR027</v>
      </c>
      <c r="B748" s="2" t="str">
        <f>IFERROR(__xludf.DUMMYFUNCTION("""COMPUTED_VALUE"""),"VD016")</f>
        <v>VD016</v>
      </c>
      <c r="C748" s="2">
        <f>IFERROR(__xludf.DUMMYFUNCTION("""COMPUTED_VALUE"""),2.0)</f>
        <v>2</v>
      </c>
      <c r="D748" s="6">
        <f>IFERROR(__xludf.DUMMYFUNCTION("""COMPUTED_VALUE"""),242.4)</f>
        <v>242.4</v>
      </c>
      <c r="E748" s="6">
        <f>IFERROR(__xludf.DUMMYFUNCTION("GOOGLEFINANCE(""Currency:BRLMXN"")*D748"),823.554)</f>
        <v>823.554</v>
      </c>
      <c r="F748" s="6">
        <f>IFERROR(__xludf.DUMMYFUNCTION("GOOGLEFINANCE(""Currency:BRLPEN"")*D748"),158.91744)</f>
        <v>158.91744</v>
      </c>
      <c r="G748" s="2" t="str">
        <f t="array" ref="G748">_xlfn.XLOOKUP(B748,Vendedores!$A$2:$A$41,Vendedores!$B$2:$B$41,"No hay datos")</f>
        <v>Beatriz Linares</v>
      </c>
      <c r="H748" s="2" t="str">
        <f t="array" ref="H748">_xlfn.XLOOKUP(B748,Vendedores!$A$2:$A$41,Vendedores!$C$2:$C$41,"No hay datos")</f>
        <v>Puerto Esperanza</v>
      </c>
      <c r="I748" s="2" t="str">
        <f t="array" ref="I748">_xlfn.XLOOKUP(B748,Vendedores!$A$2:$A$41,Vendedores!$D$2:$D$41,"No hay datos")</f>
        <v>Región Sur</v>
      </c>
      <c r="J748" s="2" t="str">
        <f t="array" ref="J748:N748">_xlfn.XLOOKUP(A748,Productos!$A$2:$A$61,Productos!$B$2:$F$61)</f>
        <v>Gafas redondas</v>
      </c>
      <c r="K748" s="2" t="s">
        <v>29</v>
      </c>
      <c r="L748" s="2" t="s">
        <v>30</v>
      </c>
      <c r="M748" s="2" t="s">
        <v>53</v>
      </c>
      <c r="N748" s="2" t="s">
        <v>54</v>
      </c>
    </row>
    <row r="749">
      <c r="A749" s="2" t="str">
        <f>IFERROR(__xludf.DUMMYFUNCTION("""COMPUTED_VALUE"""),"PR017")</f>
        <v>PR017</v>
      </c>
      <c r="B749" s="2" t="str">
        <f>IFERROR(__xludf.DUMMYFUNCTION("""COMPUTED_VALUE"""),"VD029")</f>
        <v>VD029</v>
      </c>
      <c r="C749" s="2">
        <f>IFERROR(__xludf.DUMMYFUNCTION("""COMPUTED_VALUE"""),12.0)</f>
        <v>12</v>
      </c>
      <c r="D749" s="6">
        <f>IFERROR(__xludf.DUMMYFUNCTION("""COMPUTED_VALUE"""),380.33)</f>
        <v>380.33</v>
      </c>
      <c r="E749" s="6">
        <f>IFERROR(__xludf.DUMMYFUNCTION("GOOGLEFINANCE(""Currency:BRLMXN"")*D749"),1292.171175)</f>
        <v>1292.171175</v>
      </c>
      <c r="F749" s="6">
        <f>IFERROR(__xludf.DUMMYFUNCTION("GOOGLEFINANCE(""Currency:BRLPEN"")*D749"),249.34434799999997)</f>
        <v>249.344348</v>
      </c>
      <c r="G749" s="2" t="str">
        <f t="array" ref="G749">_xlfn.XLOOKUP(B749,Vendedores!$A$2:$A$41,Vendedores!$B$2:$B$41,"No hay datos")</f>
        <v>Gabriela Sosa</v>
      </c>
      <c r="H749" s="2" t="str">
        <f t="array" ref="H749">_xlfn.XLOOKUP(B749,Vendedores!$A$2:$A$41,Vendedores!$C$2:$C$41,"No hay datos")</f>
        <v>Selva Verde</v>
      </c>
      <c r="I749" s="2" t="str">
        <f t="array" ref="I749">_xlfn.XLOOKUP(B749,Vendedores!$A$2:$A$41,Vendedores!$D$2:$D$41,"No hay datos")</f>
        <v>Región Amazónica</v>
      </c>
      <c r="J749" s="2" t="str">
        <f t="array" ref="J749:N749">_xlfn.XLOOKUP(A749,Productos!$A$2:$A$61,Productos!$B$2:$F$61)</f>
        <v>Playera lisa</v>
      </c>
      <c r="K749" s="2" t="s">
        <v>17</v>
      </c>
      <c r="L749" s="2" t="s">
        <v>10</v>
      </c>
      <c r="M749" s="2" t="s">
        <v>98</v>
      </c>
      <c r="N749" s="2" t="s">
        <v>99</v>
      </c>
    </row>
    <row r="750">
      <c r="A750" s="2" t="str">
        <f>IFERROR(__xludf.DUMMYFUNCTION("""COMPUTED_VALUE"""),"PR018")</f>
        <v>PR018</v>
      </c>
      <c r="B750" s="2" t="str">
        <f>IFERROR(__xludf.DUMMYFUNCTION("""COMPUTED_VALUE"""),"VD049")</f>
        <v>VD049</v>
      </c>
      <c r="C750" s="2">
        <f>IFERROR(__xludf.DUMMYFUNCTION("""COMPUTED_VALUE"""),12.0)</f>
        <v>12</v>
      </c>
      <c r="D750" s="6">
        <f>IFERROR(__xludf.DUMMYFUNCTION("""COMPUTED_VALUE"""),410.59)</f>
        <v>410.59</v>
      </c>
      <c r="E750" s="6">
        <f>IFERROR(__xludf.DUMMYFUNCTION("GOOGLEFINANCE(""Currency:BRLMXN"")*D750"),1394.979525)</f>
        <v>1394.979525</v>
      </c>
      <c r="F750" s="6">
        <f>IFERROR(__xludf.DUMMYFUNCTION("GOOGLEFINANCE(""Currency:BRLPEN"")*D750"),269.182804)</f>
        <v>269.182804</v>
      </c>
      <c r="G750" s="2" t="str">
        <f t="array" ref="G750">_xlfn.XLOOKUP(B750,Vendedores!$A$2:$A$41,Vendedores!$B$2:$B$41,"No hay datos")</f>
        <v>Fernando Navarro</v>
      </c>
      <c r="H750" s="2" t="str">
        <f t="array" ref="H750">_xlfn.XLOOKUP(B750,Vendedores!$A$2:$A$41,Vendedores!$C$2:$C$41,"No hay datos")</f>
        <v>Colinas Verdes</v>
      </c>
      <c r="I750" s="2" t="str">
        <f t="array" ref="I750">_xlfn.XLOOKUP(B750,Vendedores!$A$2:$A$41,Vendedores!$D$2:$D$41,"No hay datos")</f>
        <v>Región Central 2</v>
      </c>
      <c r="J750" s="2" t="str">
        <f t="array" ref="J750:N750">_xlfn.XLOOKUP(A750,Productos!$A$2:$A$61,Productos!$B$2:$F$61)</f>
        <v>Playera lisa</v>
      </c>
      <c r="K750" s="2" t="s">
        <v>22</v>
      </c>
      <c r="L750" s="2" t="s">
        <v>10</v>
      </c>
      <c r="M750" s="2" t="s">
        <v>57</v>
      </c>
      <c r="N750" s="2" t="s">
        <v>24</v>
      </c>
    </row>
    <row r="751">
      <c r="A751" s="2" t="str">
        <f>IFERROR(__xludf.DUMMYFUNCTION("""COMPUTED_VALUE"""),"PR003")</f>
        <v>PR003</v>
      </c>
      <c r="B751" s="2" t="str">
        <f>IFERROR(__xludf.DUMMYFUNCTION("""COMPUTED_VALUE"""),"VD024")</f>
        <v>VD024</v>
      </c>
      <c r="C751" s="2">
        <f>IFERROR(__xludf.DUMMYFUNCTION("""COMPUTED_VALUE"""),9.0)</f>
        <v>9</v>
      </c>
      <c r="D751" s="6">
        <f>IFERROR(__xludf.DUMMYFUNCTION("""COMPUTED_VALUE"""),638.1)</f>
        <v>638.1</v>
      </c>
      <c r="E751" s="6">
        <f>IFERROR(__xludf.DUMMYFUNCTION("GOOGLEFINANCE(""Currency:BRLMXN"")*D751"),2167.94475)</f>
        <v>2167.94475</v>
      </c>
      <c r="F751" s="6">
        <f>IFERROR(__xludf.DUMMYFUNCTION("GOOGLEFINANCE(""Currency:BRLPEN"")*D751"),418.33835999999997)</f>
        <v>418.33836</v>
      </c>
      <c r="G751" s="2" t="str">
        <f t="array" ref="G751">_xlfn.XLOOKUP(B751,Vendedores!$A$2:$A$41,Vendedores!$B$2:$B$41,"No hay datos")</f>
        <v>Marcos Rivera</v>
      </c>
      <c r="H751" s="2" t="str">
        <f t="array" ref="H751">_xlfn.XLOOKUP(B751,Vendedores!$A$2:$A$41,Vendedores!$C$2:$C$41,"No hay datos")</f>
        <v>Santa Rosa del Valle</v>
      </c>
      <c r="I751" s="2" t="str">
        <f t="array" ref="I751">_xlfn.XLOOKUP(B751,Vendedores!$A$2:$A$41,Vendedores!$D$2:$D$41,"No hay datos")</f>
        <v>Región Norte</v>
      </c>
      <c r="J751" s="2" t="str">
        <f t="array" ref="J751:N751">_xlfn.XLOOKUP(A751,Productos!$A$2:$A$61,Productos!$B$2:$F$61)</f>
        <v>Bermuda</v>
      </c>
      <c r="K751" s="2" t="s">
        <v>22</v>
      </c>
      <c r="L751" s="2" t="s">
        <v>10</v>
      </c>
      <c r="M751" s="2" t="s">
        <v>45</v>
      </c>
      <c r="N751" s="2" t="s">
        <v>46</v>
      </c>
    </row>
    <row r="752">
      <c r="A752" s="2" t="str">
        <f>IFERROR(__xludf.DUMMYFUNCTION("""COMPUTED_VALUE"""),"PR021")</f>
        <v>PR021</v>
      </c>
      <c r="B752" s="2" t="str">
        <f>IFERROR(__xludf.DUMMYFUNCTION("""COMPUTED_VALUE"""),"VD046")</f>
        <v>VD046</v>
      </c>
      <c r="C752" s="2">
        <f>IFERROR(__xludf.DUMMYFUNCTION("""COMPUTED_VALUE"""),20.0)</f>
        <v>20</v>
      </c>
      <c r="D752" s="6">
        <f>IFERROR(__xludf.DUMMYFUNCTION("""COMPUTED_VALUE"""),6239.74)</f>
        <v>6239.74</v>
      </c>
      <c r="E752" s="6">
        <f>IFERROR(__xludf.DUMMYFUNCTION("GOOGLEFINANCE(""Currency:BRLMXN"")*D752"),21199.516649999998)</f>
        <v>21199.51665</v>
      </c>
      <c r="F752" s="6">
        <f>IFERROR(__xludf.DUMMYFUNCTION("GOOGLEFINANCE(""Currency:BRLPEN"")*D752"),4090.7735439999997)</f>
        <v>4090.773544</v>
      </c>
      <c r="G752" s="2" t="str">
        <f t="array" ref="G752">_xlfn.XLOOKUP(B752,Vendedores!$A$2:$A$41,Vendedores!$B$2:$B$41,"No hay datos")</f>
        <v>Juliana Pérez</v>
      </c>
      <c r="H752" s="2" t="str">
        <f t="array" ref="H752">_xlfn.XLOOKUP(B752,Vendedores!$A$2:$A$41,Vendedores!$C$2:$C$41,"No hay datos")</f>
        <v>Santa Cruz de la Sierra</v>
      </c>
      <c r="I752" s="2" t="str">
        <f t="array" ref="I752">_xlfn.XLOOKUP(B752,Vendedores!$A$2:$A$41,Vendedores!$D$2:$D$41,"No hay datos")</f>
        <v>Región Central 2</v>
      </c>
      <c r="J752" s="2" t="str">
        <f t="array" ref="J752:N752">_xlfn.XLOOKUP(A752,Productos!$A$2:$A$61,Productos!$B$2:$F$61)</f>
        <v>Chaqueta de cuero</v>
      </c>
      <c r="K752" s="2" t="s">
        <v>17</v>
      </c>
      <c r="L752" s="2" t="s">
        <v>10</v>
      </c>
      <c r="M752" s="2" t="s">
        <v>80</v>
      </c>
      <c r="N752" s="2" t="s">
        <v>81</v>
      </c>
    </row>
    <row r="753">
      <c r="A753" s="2" t="str">
        <f>IFERROR(__xludf.DUMMYFUNCTION("""COMPUTED_VALUE"""),"PR018")</f>
        <v>PR018</v>
      </c>
      <c r="B753" s="2" t="str">
        <f>IFERROR(__xludf.DUMMYFUNCTION("""COMPUTED_VALUE"""),"VD049")</f>
        <v>VD049</v>
      </c>
      <c r="C753" s="2">
        <f>IFERROR(__xludf.DUMMYFUNCTION("""COMPUTED_VALUE"""),8.0)</f>
        <v>8</v>
      </c>
      <c r="D753" s="6">
        <f>IFERROR(__xludf.DUMMYFUNCTION("""COMPUTED_VALUE"""),278.99)</f>
        <v>278.99</v>
      </c>
      <c r="E753" s="6">
        <f>IFERROR(__xludf.DUMMYFUNCTION("GOOGLEFINANCE(""Currency:BRLMXN"")*D753"),947.868525)</f>
        <v>947.868525</v>
      </c>
      <c r="F753" s="6">
        <f>IFERROR(__xludf.DUMMYFUNCTION("GOOGLEFINANCE(""Currency:BRLPEN"")*D753"),182.905844)</f>
        <v>182.905844</v>
      </c>
      <c r="G753" s="2" t="str">
        <f t="array" ref="G753">_xlfn.XLOOKUP(B753,Vendedores!$A$2:$A$41,Vendedores!$B$2:$B$41,"No hay datos")</f>
        <v>Fernando Navarro</v>
      </c>
      <c r="H753" s="2" t="str">
        <f t="array" ref="H753">_xlfn.XLOOKUP(B753,Vendedores!$A$2:$A$41,Vendedores!$C$2:$C$41,"No hay datos")</f>
        <v>Colinas Verdes</v>
      </c>
      <c r="I753" s="2" t="str">
        <f t="array" ref="I753">_xlfn.XLOOKUP(B753,Vendedores!$A$2:$A$41,Vendedores!$D$2:$D$41,"No hay datos")</f>
        <v>Región Central 2</v>
      </c>
      <c r="J753" s="2" t="str">
        <f t="array" ref="J753:N753">_xlfn.XLOOKUP(A753,Productos!$A$2:$A$61,Productos!$B$2:$F$61)</f>
        <v>Playera lisa</v>
      </c>
      <c r="K753" s="2" t="s">
        <v>22</v>
      </c>
      <c r="L753" s="2" t="s">
        <v>10</v>
      </c>
      <c r="M753" s="2" t="s">
        <v>57</v>
      </c>
      <c r="N753" s="2" t="s">
        <v>24</v>
      </c>
    </row>
    <row r="754">
      <c r="A754" s="2" t="str">
        <f>IFERROR(__xludf.DUMMYFUNCTION("""COMPUTED_VALUE"""),"PR047")</f>
        <v>PR047</v>
      </c>
      <c r="B754" s="2" t="str">
        <f>IFERROR(__xludf.DUMMYFUNCTION("""COMPUTED_VALUE"""),"VD019")</f>
        <v>VD019</v>
      </c>
      <c r="C754" s="2">
        <f>IFERROR(__xludf.DUMMYFUNCTION("""COMPUTED_VALUE"""),8.0)</f>
        <v>8</v>
      </c>
      <c r="D754" s="6">
        <f>IFERROR(__xludf.DUMMYFUNCTION("""COMPUTED_VALUE"""),2527.93)</f>
        <v>2527.93</v>
      </c>
      <c r="E754" s="6">
        <f>IFERROR(__xludf.DUMMYFUNCTION("GOOGLEFINANCE(""Currency:BRLMXN"")*D754"),8588.642174999999)</f>
        <v>8588.642175</v>
      </c>
      <c r="F754" s="6">
        <f>IFERROR(__xludf.DUMMYFUNCTION("GOOGLEFINANCE(""Currency:BRLPEN"")*D754"),1657.3109079999997)</f>
        <v>1657.310908</v>
      </c>
      <c r="G754" s="2" t="str">
        <f t="array" ref="G754">_xlfn.XLOOKUP(B754,Vendedores!$A$2:$A$41,Vendedores!$B$2:$B$41,"No hay datos")</f>
        <v>Rafael Sosa</v>
      </c>
      <c r="H754" s="2" t="str">
        <f t="array" ref="H754">_xlfn.XLOOKUP(B754,Vendedores!$A$2:$A$41,Vendedores!$C$2:$C$41,"No hay datos")</f>
        <v>Selva Verde</v>
      </c>
      <c r="I754" s="2" t="str">
        <f t="array" ref="I754">_xlfn.XLOOKUP(B754,Vendedores!$A$2:$A$41,Vendedores!$D$2:$D$41,"No hay datos")</f>
        <v>Región Amazónica</v>
      </c>
      <c r="J754" s="2" t="str">
        <f t="array" ref="J754:N754">_xlfn.XLOOKUP(A754,Productos!$A$2:$A$61,Productos!$B$2:$F$61)</f>
        <v>Chaqueta de cuero</v>
      </c>
      <c r="K754" s="2" t="s">
        <v>17</v>
      </c>
      <c r="L754" s="2" t="s">
        <v>10</v>
      </c>
      <c r="M754" s="2" t="s">
        <v>43</v>
      </c>
      <c r="N754" s="2" t="s">
        <v>44</v>
      </c>
    </row>
    <row r="755">
      <c r="A755" s="2" t="str">
        <f>IFERROR(__xludf.DUMMYFUNCTION("""COMPUTED_VALUE"""),"PR030")</f>
        <v>PR030</v>
      </c>
      <c r="B755" s="2" t="str">
        <f>IFERROR(__xludf.DUMMYFUNCTION("""COMPUTED_VALUE"""),"VD043")</f>
        <v>VD043</v>
      </c>
      <c r="C755" s="2">
        <f>IFERROR(__xludf.DUMMYFUNCTION("""COMPUTED_VALUE"""),16.0)</f>
        <v>16</v>
      </c>
      <c r="D755" s="6">
        <f>IFERROR(__xludf.DUMMYFUNCTION("""COMPUTED_VALUE"""),4366.32)</f>
        <v>4366.32</v>
      </c>
      <c r="E755" s="6">
        <f>IFERROR(__xludf.DUMMYFUNCTION("GOOGLEFINANCE(""Currency:BRLMXN"")*D755"),14834.572199999999)</f>
        <v>14834.5722</v>
      </c>
      <c r="F755" s="6">
        <f>IFERROR(__xludf.DUMMYFUNCTION("GOOGLEFINANCE(""Currency:BRLPEN"")*D755"),2862.5593919999997)</f>
        <v>2862.559392</v>
      </c>
      <c r="G755" s="2" t="str">
        <f t="array" ref="G755">_xlfn.XLOOKUP(B755,Vendedores!$A$2:$A$41,Vendedores!$B$2:$B$41,"No hay datos")</f>
        <v>Carlos Henríquez</v>
      </c>
      <c r="H755" s="2" t="str">
        <f t="array" ref="H755">_xlfn.XLOOKUP(B755,Vendedores!$A$2:$A$41,Vendedores!$C$2:$C$41,"No hay datos")</f>
        <v>Ciudad Aeropuerto</v>
      </c>
      <c r="I755" s="2" t="str">
        <f t="array" ref="I755">_xlfn.XLOOKUP(B755,Vendedores!$A$2:$A$41,Vendedores!$D$2:$D$41,"No hay datos")</f>
        <v>Región Central 2</v>
      </c>
      <c r="J755" s="2" t="str">
        <f t="array" ref="J755:N755">_xlfn.XLOOKUP(A755,Productos!$A$2:$A$61,Productos!$B$2:$F$61)</f>
        <v>Tenis Atitas</v>
      </c>
      <c r="K755" s="2">
        <v>38.0</v>
      </c>
      <c r="L755" s="2" t="s">
        <v>33</v>
      </c>
      <c r="M755" s="2" t="s">
        <v>63</v>
      </c>
      <c r="N755" s="2" t="s">
        <v>64</v>
      </c>
    </row>
    <row r="756">
      <c r="A756" s="2" t="str">
        <f>IFERROR(__xludf.DUMMYFUNCTION("""COMPUTED_VALUE"""),"PR011")</f>
        <v>PR011</v>
      </c>
      <c r="B756" s="2" t="str">
        <f>IFERROR(__xludf.DUMMYFUNCTION("""COMPUTED_VALUE"""),"VD026")</f>
        <v>VD026</v>
      </c>
      <c r="C756" s="2">
        <f>IFERROR(__xludf.DUMMYFUNCTION("""COMPUTED_VALUE"""),14.0)</f>
        <v>14</v>
      </c>
      <c r="D756" s="6">
        <f>IFERROR(__xludf.DUMMYFUNCTION("""COMPUTED_VALUE"""),709.13)</f>
        <v>709.13</v>
      </c>
      <c r="E756" s="6">
        <f>IFERROR(__xludf.DUMMYFUNCTION("GOOGLEFINANCE(""Currency:BRLMXN"")*D756"),2409.269175)</f>
        <v>2409.269175</v>
      </c>
      <c r="F756" s="6">
        <f>IFERROR(__xludf.DUMMYFUNCTION("GOOGLEFINANCE(""Currency:BRLPEN"")*D756"),464.905628)</f>
        <v>464.905628</v>
      </c>
      <c r="G756" s="2" t="str">
        <f t="array" ref="G756">_xlfn.XLOOKUP(B756,Vendedores!$A$2:$A$41,Vendedores!$B$2:$B$41,"No hay datos")</f>
        <v>Daniel Fernández</v>
      </c>
      <c r="H756" s="2" t="str">
        <f t="array" ref="H756">_xlfn.XLOOKUP(B756,Vendedores!$A$2:$A$41,Vendedores!$C$2:$C$41,"No hay datos")</f>
        <v>Puerto Esperanza</v>
      </c>
      <c r="I756" s="2" t="str">
        <f t="array" ref="I756">_xlfn.XLOOKUP(B756,Vendedores!$A$2:$A$41,Vendedores!$D$2:$D$41,"No hay datos")</f>
        <v>Región Sur</v>
      </c>
      <c r="J756" s="2" t="str">
        <f t="array" ref="J756:N756">_xlfn.XLOOKUP(A756,Productos!$A$2:$A$61,Productos!$B$2:$F$61)</f>
        <v>Pantalón legging</v>
      </c>
      <c r="K756" s="2" t="s">
        <v>17</v>
      </c>
      <c r="L756" s="2" t="s">
        <v>10</v>
      </c>
      <c r="M756" s="2" t="s">
        <v>67</v>
      </c>
      <c r="N756" s="2" t="s">
        <v>68</v>
      </c>
    </row>
    <row r="757">
      <c r="A757" s="2" t="str">
        <f>IFERROR(__xludf.DUMMYFUNCTION("""COMPUTED_VALUE"""),"PR049")</f>
        <v>PR049</v>
      </c>
      <c r="B757" s="2" t="str">
        <f>IFERROR(__xludf.DUMMYFUNCTION("""COMPUTED_VALUE"""),"VD042")</f>
        <v>VD042</v>
      </c>
      <c r="C757" s="2">
        <f>IFERROR(__xludf.DUMMYFUNCTION("""COMPUTED_VALUE"""),8.0)</f>
        <v>8</v>
      </c>
      <c r="D757" s="6">
        <f>IFERROR(__xludf.DUMMYFUNCTION("""COMPUTED_VALUE"""),289.52)</f>
        <v>289.52</v>
      </c>
      <c r="E757" s="6">
        <f>IFERROR(__xludf.DUMMYFUNCTION("GOOGLEFINANCE(""Currency:BRLMXN"")*D757"),983.6442)</f>
        <v>983.6442</v>
      </c>
      <c r="F757" s="6">
        <f>IFERROR(__xludf.DUMMYFUNCTION("GOOGLEFINANCE(""Currency:BRLPEN"")*D757"),189.80931199999998)</f>
        <v>189.809312</v>
      </c>
      <c r="G757" s="2" t="str">
        <f t="array" ref="G757">_xlfn.XLOOKUP(B757,Vendedores!$A$2:$A$41,Vendedores!$B$2:$B$41,"No hay datos")</f>
        <v>Priscila Duarte</v>
      </c>
      <c r="H757" s="2" t="str">
        <f t="array" ref="H757">_xlfn.XLOOKUP(B757,Vendedores!$A$2:$A$41,Vendedores!$C$2:$C$41,"No hay datos")</f>
        <v>Villa Comercial</v>
      </c>
      <c r="I757" s="2" t="str">
        <f t="array" ref="I757">_xlfn.XLOOKUP(B757,Vendedores!$A$2:$A$41,Vendedores!$D$2:$D$41,"No hay datos")</f>
        <v>Región Central 2</v>
      </c>
      <c r="J757" s="2" t="str">
        <f t="array" ref="J757:N757">_xlfn.XLOOKUP(A757,Productos!$A$2:$A$61,Productos!$B$2:$F$61)</f>
        <v>Playera a rayas</v>
      </c>
      <c r="K757" s="2" t="s">
        <v>9</v>
      </c>
      <c r="L757" s="2" t="s">
        <v>10</v>
      </c>
      <c r="M757" s="2" t="s">
        <v>47</v>
      </c>
      <c r="N757" s="2" t="s">
        <v>24</v>
      </c>
    </row>
    <row r="758">
      <c r="A758" s="2" t="str">
        <f>IFERROR(__xludf.DUMMYFUNCTION("""COMPUTED_VALUE"""),"PR057")</f>
        <v>PR057</v>
      </c>
      <c r="B758" s="2" t="str">
        <f>IFERROR(__xludf.DUMMYFUNCTION("""COMPUTED_VALUE"""),"VD034")</f>
        <v>VD034</v>
      </c>
      <c r="C758" s="2">
        <f>IFERROR(__xludf.DUMMYFUNCTION("""COMPUTED_VALUE"""),4.0)</f>
        <v>4</v>
      </c>
      <c r="D758" s="6">
        <f>IFERROR(__xludf.DUMMYFUNCTION("""COMPUTED_VALUE"""),366.79)</f>
        <v>366.79</v>
      </c>
      <c r="E758" s="6">
        <f>IFERROR(__xludf.DUMMYFUNCTION("GOOGLEFINANCE(""Currency:BRLMXN"")*D758"),1246.1690250000001)</f>
        <v>1246.169025</v>
      </c>
      <c r="F758" s="6">
        <f>IFERROR(__xludf.DUMMYFUNCTION("GOOGLEFINANCE(""Currency:BRLPEN"")*D758"),240.467524)</f>
        <v>240.467524</v>
      </c>
      <c r="G758" s="2" t="str">
        <f t="array" ref="G758">_xlfn.XLOOKUP(B758,Vendedores!$A$2:$A$41,Vendedores!$B$2:$B$41,"No hay datos")</f>
        <v>Felipe Carvajal</v>
      </c>
      <c r="H758" s="2" t="str">
        <f t="array" ref="H758">_xlfn.XLOOKUP(B758,Vendedores!$A$2:$A$41,Vendedores!$C$2:$C$41,"No hay datos")</f>
        <v>San Pedro del Río</v>
      </c>
      <c r="I758" s="2" t="str">
        <f t="array" ref="I758">_xlfn.XLOOKUP(B758,Vendedores!$A$2:$A$41,Vendedores!$D$2:$D$41,"No hay datos")</f>
        <v>Región Sur 2</v>
      </c>
      <c r="J758" s="2" t="str">
        <f t="array" ref="J758:N758">_xlfn.XLOOKUP(A758,Productos!$A$2:$A$61,Productos!$B$2:$F$61)</f>
        <v>Sandalia plana</v>
      </c>
      <c r="K758" s="2">
        <v>37.0</v>
      </c>
      <c r="L758" s="2" t="s">
        <v>33</v>
      </c>
      <c r="M758" s="2" t="s">
        <v>58</v>
      </c>
      <c r="N758" s="2" t="s">
        <v>35</v>
      </c>
    </row>
    <row r="759">
      <c r="A759" s="2" t="str">
        <f>IFERROR(__xludf.DUMMYFUNCTION("""COMPUTED_VALUE"""),"PR049")</f>
        <v>PR049</v>
      </c>
      <c r="B759" s="2" t="str">
        <f>IFERROR(__xludf.DUMMYFUNCTION("""COMPUTED_VALUE"""),"VD049")</f>
        <v>VD049</v>
      </c>
      <c r="C759" s="2">
        <f>IFERROR(__xludf.DUMMYFUNCTION("""COMPUTED_VALUE"""),10.0)</f>
        <v>10</v>
      </c>
      <c r="D759" s="6">
        <f>IFERROR(__xludf.DUMMYFUNCTION("""COMPUTED_VALUE"""),361.9)</f>
        <v>361.9</v>
      </c>
      <c r="E759" s="6">
        <f>IFERROR(__xludf.DUMMYFUNCTION("GOOGLEFINANCE(""Currency:BRLMXN"")*D759"),1229.55525)</f>
        <v>1229.55525</v>
      </c>
      <c r="F759" s="6">
        <f>IFERROR(__xludf.DUMMYFUNCTION("GOOGLEFINANCE(""Currency:BRLPEN"")*D759"),237.26163999999997)</f>
        <v>237.26164</v>
      </c>
      <c r="G759" s="2" t="str">
        <f t="array" ref="G759">_xlfn.XLOOKUP(B759,Vendedores!$A$2:$A$41,Vendedores!$B$2:$B$41,"No hay datos")</f>
        <v>Fernando Navarro</v>
      </c>
      <c r="H759" s="2" t="str">
        <f t="array" ref="H759">_xlfn.XLOOKUP(B759,Vendedores!$A$2:$A$41,Vendedores!$C$2:$C$41,"No hay datos")</f>
        <v>Colinas Verdes</v>
      </c>
      <c r="I759" s="2" t="str">
        <f t="array" ref="I759">_xlfn.XLOOKUP(B759,Vendedores!$A$2:$A$41,Vendedores!$D$2:$D$41,"No hay datos")</f>
        <v>Región Central 2</v>
      </c>
      <c r="J759" s="2" t="str">
        <f t="array" ref="J759:N759">_xlfn.XLOOKUP(A759,Productos!$A$2:$A$61,Productos!$B$2:$F$61)</f>
        <v>Playera a rayas</v>
      </c>
      <c r="K759" s="2" t="s">
        <v>9</v>
      </c>
      <c r="L759" s="2" t="s">
        <v>10</v>
      </c>
      <c r="M759" s="2" t="s">
        <v>47</v>
      </c>
      <c r="N759" s="2" t="s">
        <v>24</v>
      </c>
    </row>
    <row r="760">
      <c r="A760" s="2" t="str">
        <f>IFERROR(__xludf.DUMMYFUNCTION("""COMPUTED_VALUE"""),"PR037")</f>
        <v>PR037</v>
      </c>
      <c r="B760" s="2" t="str">
        <f>IFERROR(__xludf.DUMMYFUNCTION("""COMPUTED_VALUE"""),"VD029")</f>
        <v>VD029</v>
      </c>
      <c r="C760" s="2">
        <f>IFERROR(__xludf.DUMMYFUNCTION("""COMPUTED_VALUE"""),4.0)</f>
        <v>4</v>
      </c>
      <c r="D760" s="6">
        <f>IFERROR(__xludf.DUMMYFUNCTION("""COMPUTED_VALUE"""),588.0)</f>
        <v>588</v>
      </c>
      <c r="E760" s="6">
        <f>IFERROR(__xludf.DUMMYFUNCTION("GOOGLEFINANCE(""Currency:BRLMXN"")*D760"),1997.73)</f>
        <v>1997.73</v>
      </c>
      <c r="F760" s="6">
        <f>IFERROR(__xludf.DUMMYFUNCTION("GOOGLEFINANCE(""Currency:BRLPEN"")*D760"),385.4928)</f>
        <v>385.4928</v>
      </c>
      <c r="G760" s="2" t="str">
        <f t="array" ref="G760">_xlfn.XLOOKUP(B760,Vendedores!$A$2:$A$41,Vendedores!$B$2:$B$41,"No hay datos")</f>
        <v>Gabriela Sosa</v>
      </c>
      <c r="H760" s="2" t="str">
        <f t="array" ref="H760">_xlfn.XLOOKUP(B760,Vendedores!$A$2:$A$41,Vendedores!$C$2:$C$41,"No hay datos")</f>
        <v>Selva Verde</v>
      </c>
      <c r="I760" s="2" t="str">
        <f t="array" ref="I760">_xlfn.XLOOKUP(B760,Vendedores!$A$2:$A$41,Vendedores!$D$2:$D$41,"No hay datos")</f>
        <v>Región Amazónica</v>
      </c>
      <c r="J760" s="2" t="str">
        <f t="array" ref="J760:N760">_xlfn.XLOOKUP(A760,Productos!$A$2:$A$61,Productos!$B$2:$F$61)</f>
        <v>Vestido largo</v>
      </c>
      <c r="K760" s="2" t="s">
        <v>9</v>
      </c>
      <c r="L760" s="2" t="s">
        <v>10</v>
      </c>
      <c r="M760" s="2" t="s">
        <v>70</v>
      </c>
      <c r="N760" s="2" t="s">
        <v>71</v>
      </c>
    </row>
    <row r="761">
      <c r="A761" s="2" t="str">
        <f>IFERROR(__xludf.DUMMYFUNCTION("""COMPUTED_VALUE"""),"PR029")</f>
        <v>PR029</v>
      </c>
      <c r="B761" s="2" t="str">
        <f>IFERROR(__xludf.DUMMYFUNCTION("""COMPUTED_VALUE"""),"VD017")</f>
        <v>VD017</v>
      </c>
      <c r="C761" s="2">
        <f>IFERROR(__xludf.DUMMYFUNCTION("""COMPUTED_VALUE"""),8.0)</f>
        <v>8</v>
      </c>
      <c r="D761" s="6">
        <f>IFERROR(__xludf.DUMMYFUNCTION("""COMPUTED_VALUE"""),2223.6)</f>
        <v>2223.6</v>
      </c>
      <c r="E761" s="6">
        <f>IFERROR(__xludf.DUMMYFUNCTION("GOOGLEFINANCE(""Currency:BRLMXN"")*D761"),7554.681)</f>
        <v>7554.681</v>
      </c>
      <c r="F761" s="6">
        <f>IFERROR(__xludf.DUMMYFUNCTION("GOOGLEFINANCE(""Currency:BRLPEN"")*D761"),1457.7921599999997)</f>
        <v>1457.79216</v>
      </c>
      <c r="G761" s="2" t="str">
        <f t="array" ref="G761">_xlfn.XLOOKUP(B761,Vendedores!$A$2:$A$41,Vendedores!$B$2:$B$41,"No hay datos")</f>
        <v>Bruno Peralta</v>
      </c>
      <c r="H761" s="2" t="str">
        <f t="array" ref="H761">_xlfn.XLOOKUP(B761,Vendedores!$A$2:$A$41,Vendedores!$C$2:$C$41,"No hay datos")</f>
        <v>Costa Azul</v>
      </c>
      <c r="I761" s="2" t="str">
        <f t="array" ref="I761">_xlfn.XLOOKUP(B761,Vendedores!$A$2:$A$41,Vendedores!$D$2:$D$41,"No hay datos")</f>
        <v>Región Norte</v>
      </c>
      <c r="J761" s="2" t="str">
        <f t="array" ref="J761:N761">_xlfn.XLOOKUP(A761,Productos!$A$2:$A$61,Productos!$B$2:$F$61)</f>
        <v>Tenis Atitas</v>
      </c>
      <c r="K761" s="2">
        <v>37.0</v>
      </c>
      <c r="L761" s="2" t="s">
        <v>33</v>
      </c>
      <c r="M761" s="2" t="s">
        <v>96</v>
      </c>
      <c r="N761" s="2" t="s">
        <v>97</v>
      </c>
    </row>
    <row r="762">
      <c r="A762" s="2" t="str">
        <f>IFERROR(__xludf.DUMMYFUNCTION("""COMPUTED_VALUE"""),"PR007")</f>
        <v>PR007</v>
      </c>
      <c r="B762" s="2" t="str">
        <f>IFERROR(__xludf.DUMMYFUNCTION("""COMPUTED_VALUE"""),"VD027")</f>
        <v>VD027</v>
      </c>
      <c r="C762" s="2">
        <f>IFERROR(__xludf.DUMMYFUNCTION("""COMPUTED_VALUE"""),18.0)</f>
        <v>18</v>
      </c>
      <c r="D762" s="6">
        <f>IFERROR(__xludf.DUMMYFUNCTION("""COMPUTED_VALUE"""),1592.59)</f>
        <v>1592.59</v>
      </c>
      <c r="E762" s="6">
        <f>IFERROR(__xludf.DUMMYFUNCTION("GOOGLEFINANCE(""Currency:BRLMXN"")*D762"),5410.824525)</f>
        <v>5410.824525</v>
      </c>
      <c r="F762" s="6">
        <f>IFERROR(__xludf.DUMMYFUNCTION("GOOGLEFINANCE(""Currency:BRLPEN"")*D762"),1044.1020039999999)</f>
        <v>1044.102004</v>
      </c>
      <c r="G762" s="2" t="str">
        <f t="array" ref="G762">_xlfn.XLOOKUP(B762,Vendedores!$A$2:$A$41,Vendedores!$B$2:$B$41,"No hay datos")</f>
        <v>Patricia Cortés</v>
      </c>
      <c r="H762" s="2" t="str">
        <f t="array" ref="H762">_xlfn.XLOOKUP(B762,Vendedores!$A$2:$A$41,Vendedores!$C$2:$C$41,"No hay datos")</f>
        <v>Costa Azul</v>
      </c>
      <c r="I762" s="2" t="str">
        <f t="array" ref="I762">_xlfn.XLOOKUP(B762,Vendedores!$A$2:$A$41,Vendedores!$D$2:$D$41,"No hay datos")</f>
        <v>Región Norte</v>
      </c>
      <c r="J762" s="2" t="str">
        <f t="array" ref="J762:N762">_xlfn.XLOOKUP(A762,Productos!$A$2:$A$61,Productos!$B$2:$F$61)</f>
        <v>Pantalón de mezclilla</v>
      </c>
      <c r="K762" s="2" t="s">
        <v>9</v>
      </c>
      <c r="L762" s="2" t="s">
        <v>10</v>
      </c>
      <c r="M762" s="2" t="s">
        <v>103</v>
      </c>
      <c r="N762" s="2" t="s">
        <v>104</v>
      </c>
    </row>
    <row r="763">
      <c r="A763" s="2" t="str">
        <f>IFERROR(__xludf.DUMMYFUNCTION("""COMPUTED_VALUE"""),"PR023")</f>
        <v>PR023</v>
      </c>
      <c r="B763" s="2" t="str">
        <f>IFERROR(__xludf.DUMMYFUNCTION("""COMPUTED_VALUE"""),"VD044")</f>
        <v>VD044</v>
      </c>
      <c r="C763" s="2">
        <f>IFERROR(__xludf.DUMMYFUNCTION("""COMPUTED_VALUE"""),7.0)</f>
        <v>7</v>
      </c>
      <c r="D763" s="6">
        <f>IFERROR(__xludf.DUMMYFUNCTION("""COMPUTED_VALUE"""),1784.29)</f>
        <v>1784.29</v>
      </c>
      <c r="E763" s="6">
        <f>IFERROR(__xludf.DUMMYFUNCTION("GOOGLEFINANCE(""Currency:BRLMXN"")*D763"),6062.125274999999)</f>
        <v>6062.125275</v>
      </c>
      <c r="F763" s="6">
        <f>IFERROR(__xludf.DUMMYFUNCTION("GOOGLEFINANCE(""Currency:BRLPEN"")*D763"),1169.780524)</f>
        <v>1169.780524</v>
      </c>
      <c r="G763" s="2" t="str">
        <f t="array" ref="G763">_xlfn.XLOOKUP(B763,Vendedores!$A$2:$A$41,Vendedores!$B$2:$B$41,"No hay datos")</f>
        <v>Silvia Menéndez</v>
      </c>
      <c r="H763" s="2" t="str">
        <f t="array" ref="H763">_xlfn.XLOOKUP(B763,Vendedores!$A$2:$A$41,Vendedores!$C$2:$C$41,"No hay datos")</f>
        <v>San Antonio del Monte</v>
      </c>
      <c r="I763" s="2" t="str">
        <f t="array" ref="I763">_xlfn.XLOOKUP(B763,Vendedores!$A$2:$A$41,Vendedores!$D$2:$D$41,"No hay datos")</f>
        <v>Región Central 2</v>
      </c>
      <c r="J763" s="2" t="str">
        <f t="array" ref="J763:N763">_xlfn.XLOOKUP(A763,Productos!$A$2:$A$61,Productos!$B$2:$F$61)</f>
        <v>Chaqueta de mezclilla</v>
      </c>
      <c r="K763" s="2" t="s">
        <v>9</v>
      </c>
      <c r="L763" s="2" t="s">
        <v>10</v>
      </c>
      <c r="M763" s="2" t="s">
        <v>72</v>
      </c>
      <c r="N763" s="2" t="s">
        <v>56</v>
      </c>
    </row>
    <row r="764">
      <c r="A764" s="2" t="str">
        <f>IFERROR(__xludf.DUMMYFUNCTION("""COMPUTED_VALUE"""),"PR003")</f>
        <v>PR003</v>
      </c>
      <c r="B764" s="2" t="str">
        <f>IFERROR(__xludf.DUMMYFUNCTION("""COMPUTED_VALUE"""),"VD011")</f>
        <v>VD011</v>
      </c>
      <c r="C764" s="2">
        <f>IFERROR(__xludf.DUMMYFUNCTION("""COMPUTED_VALUE"""),2.0)</f>
        <v>2</v>
      </c>
      <c r="D764" s="6">
        <f>IFERROR(__xludf.DUMMYFUNCTION("""COMPUTED_VALUE"""),143.22)</f>
        <v>143.22</v>
      </c>
      <c r="E764" s="6">
        <f>IFERROR(__xludf.DUMMYFUNCTION("GOOGLEFINANCE(""Currency:BRLMXN"")*D764"),486.58995)</f>
        <v>486.58995</v>
      </c>
      <c r="F764" s="6">
        <f>IFERROR(__xludf.DUMMYFUNCTION("GOOGLEFINANCE(""Currency:BRLPEN"")*D764"),93.895032)</f>
        <v>93.895032</v>
      </c>
      <c r="G764" s="2" t="str">
        <f t="array" ref="G764">_xlfn.XLOOKUP(B764,Vendedores!$A$2:$A$41,Vendedores!$B$2:$B$41,"No hay datos")</f>
        <v>Juan Santos</v>
      </c>
      <c r="H764" s="2" t="str">
        <f t="array" ref="H764">_xlfn.XLOOKUP(B764,Vendedores!$A$2:$A$41,Vendedores!$C$2:$C$41,"No hay datos")</f>
        <v>Vista Hermosa</v>
      </c>
      <c r="I764" s="2" t="str">
        <f t="array" ref="I764">_xlfn.XLOOKUP(B764,Vendedores!$A$2:$A$41,Vendedores!$D$2:$D$41,"No hay datos")</f>
        <v>Región Central</v>
      </c>
      <c r="J764" s="2" t="str">
        <f t="array" ref="J764:N764">_xlfn.XLOOKUP(A764,Productos!$A$2:$A$61,Productos!$B$2:$F$61)</f>
        <v>Bermuda</v>
      </c>
      <c r="K764" s="2" t="s">
        <v>22</v>
      </c>
      <c r="L764" s="2" t="s">
        <v>10</v>
      </c>
      <c r="M764" s="2" t="s">
        <v>45</v>
      </c>
      <c r="N764" s="2" t="s">
        <v>46</v>
      </c>
    </row>
    <row r="765">
      <c r="A765" s="2" t="str">
        <f>IFERROR(__xludf.DUMMYFUNCTION("""COMPUTED_VALUE"""),"PR006")</f>
        <v>PR006</v>
      </c>
      <c r="B765" s="2" t="str">
        <f>IFERROR(__xludf.DUMMYFUNCTION("""COMPUTED_VALUE"""),"VD039")</f>
        <v>VD039</v>
      </c>
      <c r="C765" s="2">
        <f>IFERROR(__xludf.DUMMYFUNCTION("""COMPUTED_VALUE"""),10.0)</f>
        <v>10</v>
      </c>
      <c r="D765" s="6">
        <f>IFERROR(__xludf.DUMMYFUNCTION("""COMPUTED_VALUE"""),402.99)</f>
        <v>402.99</v>
      </c>
      <c r="E765" s="6">
        <f>IFERROR(__xludf.DUMMYFUNCTION("GOOGLEFINANCE(""Currency:BRLMXN"")*D765"),1369.158525)</f>
        <v>1369.158525</v>
      </c>
      <c r="F765" s="6">
        <f>IFERROR(__xludf.DUMMYFUNCTION("GOOGLEFINANCE(""Currency:BRLPEN"")*D765"),264.200244)</f>
        <v>264.200244</v>
      </c>
      <c r="G765" s="2" t="str">
        <f t="array" ref="G765">_xlfn.XLOOKUP(B765,Vendedores!$A$2:$A$41,Vendedores!$B$2:$B$41,"No hay datos")</f>
        <v>Daniela Rodríguez</v>
      </c>
      <c r="H765" s="2" t="str">
        <f t="array" ref="H765">_xlfn.XLOOKUP(B765,Vendedores!$A$2:$A$41,Vendedores!$C$2:$C$41,"No hay datos")</f>
        <v>Bahía del Sol</v>
      </c>
      <c r="I765" s="2" t="str">
        <f t="array" ref="I765">_xlfn.XLOOKUP(B765,Vendedores!$A$2:$A$41,Vendedores!$D$2:$D$41,"No hay datos")</f>
        <v>Región Central 2</v>
      </c>
      <c r="J765" s="2" t="str">
        <f t="array" ref="J765:N765">_xlfn.XLOOKUP(A765,Productos!$A$2:$A$61,Productos!$B$2:$F$61)</f>
        <v>Gorra</v>
      </c>
      <c r="K765" s="2" t="s">
        <v>29</v>
      </c>
      <c r="L765" s="2" t="s">
        <v>30</v>
      </c>
      <c r="M765" s="2" t="s">
        <v>48</v>
      </c>
      <c r="N765" s="2" t="s">
        <v>38</v>
      </c>
    </row>
    <row r="766">
      <c r="A766" s="2" t="str">
        <f>IFERROR(__xludf.DUMMYFUNCTION("""COMPUTED_VALUE"""),"PR014")</f>
        <v>PR014</v>
      </c>
      <c r="B766" s="2" t="str">
        <f>IFERROR(__xludf.DUMMYFUNCTION("""COMPUTED_VALUE"""),"VD039")</f>
        <v>VD039</v>
      </c>
      <c r="C766" s="2">
        <f>IFERROR(__xludf.DUMMYFUNCTION("""COMPUTED_VALUE"""),7.0)</f>
        <v>7</v>
      </c>
      <c r="D766" s="6">
        <f>IFERROR(__xludf.DUMMYFUNCTION("""COMPUTED_VALUE"""),304.44)</f>
        <v>304.44</v>
      </c>
      <c r="E766" s="6">
        <f>IFERROR(__xludf.DUMMYFUNCTION("GOOGLEFINANCE(""Currency:BRLMXN"")*D766"),1034.3349)</f>
        <v>1034.3349</v>
      </c>
      <c r="F766" s="6">
        <f>IFERROR(__xludf.DUMMYFUNCTION("GOOGLEFINANCE(""Currency:BRLPEN"")*D766"),199.59086399999998)</f>
        <v>199.590864</v>
      </c>
      <c r="G766" s="2" t="str">
        <f t="array" ref="G766">_xlfn.XLOOKUP(B766,Vendedores!$A$2:$A$41,Vendedores!$B$2:$B$41,"No hay datos")</f>
        <v>Daniela Rodríguez</v>
      </c>
      <c r="H766" s="2" t="str">
        <f t="array" ref="H766">_xlfn.XLOOKUP(B766,Vendedores!$A$2:$A$41,Vendedores!$C$2:$C$41,"No hay datos")</f>
        <v>Bahía del Sol</v>
      </c>
      <c r="I766" s="2" t="str">
        <f t="array" ref="I766">_xlfn.XLOOKUP(B766,Vendedores!$A$2:$A$41,Vendedores!$D$2:$D$41,"No hay datos")</f>
        <v>Región Central 2</v>
      </c>
      <c r="J766" s="2" t="str">
        <f t="array" ref="J766:N766">_xlfn.XLOOKUP(A766,Productos!$A$2:$A$61,Productos!$B$2:$F$61)</f>
        <v>Playera estampada</v>
      </c>
      <c r="K766" s="2" t="s">
        <v>17</v>
      </c>
      <c r="L766" s="2" t="s">
        <v>10</v>
      </c>
      <c r="M766" s="2" t="s">
        <v>37</v>
      </c>
      <c r="N766" s="2" t="s">
        <v>38</v>
      </c>
    </row>
    <row r="767">
      <c r="A767" s="2" t="str">
        <f>IFERROR(__xludf.DUMMYFUNCTION("""COMPUTED_VALUE"""),"PR033")</f>
        <v>PR033</v>
      </c>
      <c r="B767" s="2" t="str">
        <f>IFERROR(__xludf.DUMMYFUNCTION("""COMPUTED_VALUE"""),"VD042")</f>
        <v>VD042</v>
      </c>
      <c r="C767" s="2">
        <f>IFERROR(__xludf.DUMMYFUNCTION("""COMPUTED_VALUE"""),9.0)</f>
        <v>9</v>
      </c>
      <c r="D767" s="6">
        <f>IFERROR(__xludf.DUMMYFUNCTION("""COMPUTED_VALUE"""),2409.27)</f>
        <v>2409.27</v>
      </c>
      <c r="E767" s="6">
        <f>IFERROR(__xludf.DUMMYFUNCTION("GOOGLEFINANCE(""Currency:BRLMXN"")*D767"),8185.494825)</f>
        <v>8185.494825</v>
      </c>
      <c r="F767" s="6">
        <f>IFERROR(__xludf.DUMMYFUNCTION("GOOGLEFINANCE(""Currency:BRLPEN"")*D767"),1579.517412)</f>
        <v>1579.517412</v>
      </c>
      <c r="G767" s="2" t="str">
        <f t="array" ref="G767">_xlfn.XLOOKUP(B767,Vendedores!$A$2:$A$41,Vendedores!$B$2:$B$41,"No hay datos")</f>
        <v>Priscila Duarte</v>
      </c>
      <c r="H767" s="2" t="str">
        <f t="array" ref="H767">_xlfn.XLOOKUP(B767,Vendedores!$A$2:$A$41,Vendedores!$C$2:$C$41,"No hay datos")</f>
        <v>Villa Comercial</v>
      </c>
      <c r="I767" s="2" t="str">
        <f t="array" ref="I767">_xlfn.XLOOKUP(B767,Vendedores!$A$2:$A$41,Vendedores!$D$2:$D$41,"No hay datos")</f>
        <v>Región Central 2</v>
      </c>
      <c r="J767" s="2" t="str">
        <f t="array" ref="J767:N767">_xlfn.XLOOKUP(A767,Productos!$A$2:$A$61,Productos!$B$2:$F$61)</f>
        <v>Tenis Chunky</v>
      </c>
      <c r="K767" s="2">
        <v>38.0</v>
      </c>
      <c r="L767" s="2" t="s">
        <v>33</v>
      </c>
      <c r="M767" s="2" t="s">
        <v>63</v>
      </c>
      <c r="N767" s="2" t="s">
        <v>64</v>
      </c>
    </row>
    <row r="768">
      <c r="A768" s="2" t="str">
        <f>IFERROR(__xludf.DUMMYFUNCTION("""COMPUTED_VALUE"""),"PR017")</f>
        <v>PR017</v>
      </c>
      <c r="B768" s="2" t="str">
        <f>IFERROR(__xludf.DUMMYFUNCTION("""COMPUTED_VALUE"""),"VD022")</f>
        <v>VD022</v>
      </c>
      <c r="C768" s="2">
        <f>IFERROR(__xludf.DUMMYFUNCTION("""COMPUTED_VALUE"""),2.0)</f>
        <v>2</v>
      </c>
      <c r="D768" s="6">
        <f>IFERROR(__xludf.DUMMYFUNCTION("""COMPUTED_VALUE"""),63.39)</f>
        <v>63.39</v>
      </c>
      <c r="E768" s="6">
        <f>IFERROR(__xludf.DUMMYFUNCTION("GOOGLEFINANCE(""Currency:BRLMXN"")*D768"),215.367525)</f>
        <v>215.367525</v>
      </c>
      <c r="F768" s="6">
        <f>IFERROR(__xludf.DUMMYFUNCTION("GOOGLEFINANCE(""Currency:BRLPEN"")*D768"),41.558484)</f>
        <v>41.558484</v>
      </c>
      <c r="G768" s="2" t="str">
        <f t="array" ref="G768">_xlfn.XLOOKUP(B768,Vendedores!$A$2:$A$41,Vendedores!$B$2:$B$41,"No hay datos")</f>
        <v>Santiago Linares</v>
      </c>
      <c r="H768" s="2" t="str">
        <f t="array" ref="H768">_xlfn.XLOOKUP(B768,Vendedores!$A$2:$A$41,Vendedores!$C$2:$C$41,"No hay datos")</f>
        <v>Vista Hermosa</v>
      </c>
      <c r="I768" s="2" t="str">
        <f t="array" ref="I768">_xlfn.XLOOKUP(B768,Vendedores!$A$2:$A$41,Vendedores!$D$2:$D$41,"No hay datos")</f>
        <v>Región Central</v>
      </c>
      <c r="J768" s="2" t="str">
        <f t="array" ref="J768:N768">_xlfn.XLOOKUP(A768,Productos!$A$2:$A$61,Productos!$B$2:$F$61)</f>
        <v>Playera lisa</v>
      </c>
      <c r="K768" s="2" t="s">
        <v>17</v>
      </c>
      <c r="L768" s="2" t="s">
        <v>10</v>
      </c>
      <c r="M768" s="2" t="s">
        <v>98</v>
      </c>
      <c r="N768" s="2" t="s">
        <v>99</v>
      </c>
    </row>
    <row r="769">
      <c r="A769" s="2" t="str">
        <f>IFERROR(__xludf.DUMMYFUNCTION("""COMPUTED_VALUE"""),"PR038")</f>
        <v>PR038</v>
      </c>
      <c r="B769" s="2" t="str">
        <f>IFERROR(__xludf.DUMMYFUNCTION("""COMPUTED_VALUE"""),"VD010")</f>
        <v>VD010</v>
      </c>
      <c r="C769" s="2">
        <f>IFERROR(__xludf.DUMMYFUNCTION("""COMPUTED_VALUE"""),7.0)</f>
        <v>7</v>
      </c>
      <c r="D769" s="6">
        <f>IFERROR(__xludf.DUMMYFUNCTION("""COMPUTED_VALUE"""),1070.32)</f>
        <v>1070.32</v>
      </c>
      <c r="E769" s="6">
        <f>IFERROR(__xludf.DUMMYFUNCTION("GOOGLEFINANCE(""Currency:BRLMXN"")*D769"),3636.4121999999998)</f>
        <v>3636.4122</v>
      </c>
      <c r="F769" s="6">
        <f>IFERROR(__xludf.DUMMYFUNCTION("GOOGLEFINANCE(""Currency:BRLPEN"")*D769"),701.701792)</f>
        <v>701.701792</v>
      </c>
      <c r="G769" s="2" t="str">
        <f t="array" ref="G769">_xlfn.XLOOKUP(B769,Vendedores!$A$2:$A$41,Vendedores!$B$2:$B$41,"No hay datos")</f>
        <v>María Silva</v>
      </c>
      <c r="H769" s="2" t="str">
        <f t="array" ref="H769">_xlfn.XLOOKUP(B769,Vendedores!$A$2:$A$41,Vendedores!$C$2:$C$41,"No hay datos")</f>
        <v>San Juan de la Sierra</v>
      </c>
      <c r="I769" s="2" t="str">
        <f t="array" ref="I769">_xlfn.XLOOKUP(B769,Vendedores!$A$2:$A$41,Vendedores!$D$2:$D$41,"No hay datos")</f>
        <v>Región Central</v>
      </c>
      <c r="J769" s="2" t="str">
        <f t="array" ref="J769:N769">_xlfn.XLOOKUP(A769,Productos!$A$2:$A$61,Productos!$B$2:$F$61)</f>
        <v>Vestido largo</v>
      </c>
      <c r="K769" s="2" t="s">
        <v>17</v>
      </c>
      <c r="L769" s="2" t="s">
        <v>10</v>
      </c>
      <c r="M769" s="2" t="s">
        <v>51</v>
      </c>
      <c r="N769" s="2" t="s">
        <v>52</v>
      </c>
    </row>
    <row r="770">
      <c r="A770" s="2" t="str">
        <f>IFERROR(__xludf.DUMMYFUNCTION("""COMPUTED_VALUE"""),"PR020")</f>
        <v>PR020</v>
      </c>
      <c r="B770" s="2" t="str">
        <f>IFERROR(__xludf.DUMMYFUNCTION("""COMPUTED_VALUE"""),"VD038")</f>
        <v>VD038</v>
      </c>
      <c r="C770" s="2">
        <f>IFERROR(__xludf.DUMMYFUNCTION("""COMPUTED_VALUE"""),5.0)</f>
        <v>5</v>
      </c>
      <c r="D770" s="6">
        <f>IFERROR(__xludf.DUMMYFUNCTION("""COMPUTED_VALUE"""),1589.47)</f>
        <v>1589.47</v>
      </c>
      <c r="E770" s="6">
        <f>IFERROR(__xludf.DUMMYFUNCTION("GOOGLEFINANCE(""Currency:BRLMXN"")*D770"),5400.224325)</f>
        <v>5400.224325</v>
      </c>
      <c r="F770" s="6">
        <f>IFERROR(__xludf.DUMMYFUNCTION("GOOGLEFINANCE(""Currency:BRLPEN"")*D770"),1042.056532)</f>
        <v>1042.056532</v>
      </c>
      <c r="G770" s="2" t="str">
        <f t="array" ref="G770">_xlfn.XLOOKUP(B770,Vendedores!$A$2:$A$41,Vendedores!$B$2:$B$41,"No hay datos")</f>
        <v>Bruno Olmedo</v>
      </c>
      <c r="H770" s="2" t="str">
        <f t="array" ref="H770">_xlfn.XLOOKUP(B770,Vendedores!$A$2:$A$41,Vendedores!$C$2:$C$41,"No hay datos")</f>
        <v>Tierra Fertil</v>
      </c>
      <c r="I770" s="2" t="str">
        <f t="array" ref="I770">_xlfn.XLOOKUP(B770,Vendedores!$A$2:$A$41,Vendedores!$D$2:$D$41,"No hay datos")</f>
        <v>Región Sur 2</v>
      </c>
      <c r="J770" s="2" t="str">
        <f t="array" ref="J770:N770">_xlfn.XLOOKUP(A770,Productos!$A$2:$A$61,Productos!$B$2:$F$61)</f>
        <v>Chaqueta de cuero</v>
      </c>
      <c r="K770" s="2" t="s">
        <v>9</v>
      </c>
      <c r="L770" s="2" t="s">
        <v>10</v>
      </c>
      <c r="M770" s="2" t="s">
        <v>15</v>
      </c>
      <c r="N770" s="2" t="s">
        <v>16</v>
      </c>
    </row>
    <row r="771">
      <c r="A771" s="2" t="str">
        <f>IFERROR(__xludf.DUMMYFUNCTION("""COMPUTED_VALUE"""),"PR005")</f>
        <v>PR005</v>
      </c>
      <c r="B771" s="2" t="str">
        <f>IFERROR(__xludf.DUMMYFUNCTION("""COMPUTED_VALUE"""),"VD047")</f>
        <v>VD047</v>
      </c>
      <c r="C771" s="2">
        <f>IFERROR(__xludf.DUMMYFUNCTION("""COMPUTED_VALUE"""),3.0)</f>
        <v>3</v>
      </c>
      <c r="D771" s="6">
        <f>IFERROR(__xludf.DUMMYFUNCTION("""COMPUTED_VALUE"""),849.87)</f>
        <v>849.87</v>
      </c>
      <c r="E771" s="6">
        <f>IFERROR(__xludf.DUMMYFUNCTION("GOOGLEFINANCE(""Currency:BRLMXN"")*D771"),2887.433325)</f>
        <v>2887.433325</v>
      </c>
      <c r="F771" s="6">
        <f>IFERROR(__xludf.DUMMYFUNCTION("GOOGLEFINANCE(""Currency:BRLPEN"")*D771"),557.174772)</f>
        <v>557.174772</v>
      </c>
      <c r="G771" s="2" t="str">
        <f t="array" ref="G771">_xlfn.XLOOKUP(B771,Vendedores!$A$2:$A$41,Vendedores!$B$2:$B$41,"No hay datos")</f>
        <v>Andrés López</v>
      </c>
      <c r="H771" s="2" t="str">
        <f t="array" ref="H771">_xlfn.XLOOKUP(B771,Vendedores!$A$2:$A$41,Vendedores!$C$2:$C$41,"No hay datos")</f>
        <v>Villa Progreso</v>
      </c>
      <c r="I771" s="2" t="str">
        <f t="array" ref="I771">_xlfn.XLOOKUP(B771,Vendedores!$A$2:$A$41,Vendedores!$D$2:$D$41,"No hay datos")</f>
        <v>Región Central 2</v>
      </c>
      <c r="J771" s="2" t="str">
        <f t="array" ref="J771:N771">_xlfn.XLOOKUP(A771,Productos!$A$2:$A$61,Productos!$B$2:$F$61)</f>
        <v>Bolso de cuero</v>
      </c>
      <c r="K771" s="2" t="s">
        <v>29</v>
      </c>
      <c r="L771" s="2" t="s">
        <v>30</v>
      </c>
      <c r="M771" s="2" t="s">
        <v>100</v>
      </c>
      <c r="N771" s="2" t="s">
        <v>64</v>
      </c>
    </row>
    <row r="772">
      <c r="A772" s="2" t="str">
        <f>IFERROR(__xludf.DUMMYFUNCTION("""COMPUTED_VALUE"""),"PR058")</f>
        <v>PR058</v>
      </c>
      <c r="B772" s="2" t="str">
        <f>IFERROR(__xludf.DUMMYFUNCTION("""COMPUTED_VALUE"""),"VD014")</f>
        <v>VD014</v>
      </c>
      <c r="C772" s="2">
        <f>IFERROR(__xludf.DUMMYFUNCTION("""COMPUTED_VALUE"""),1.0)</f>
        <v>1</v>
      </c>
      <c r="D772" s="6">
        <f>IFERROR(__xludf.DUMMYFUNCTION("""COMPUTED_VALUE"""),190.8)</f>
        <v>190.8</v>
      </c>
      <c r="E772" s="6">
        <f>IFERROR(__xludf.DUMMYFUNCTION("GOOGLEFINANCE(""Currency:BRLMXN"")*D772"),648.243)</f>
        <v>648.243</v>
      </c>
      <c r="F772" s="6">
        <f>IFERROR(__xludf.DUMMYFUNCTION("GOOGLEFINANCE(""Currency:BRLPEN"")*D772"),125.08848)</f>
        <v>125.08848</v>
      </c>
      <c r="G772" s="2" t="str">
        <f t="array" ref="G772">_xlfn.XLOOKUP(B772,Vendedores!$A$2:$A$41,Vendedores!$B$2:$B$41,"No hay datos")</f>
        <v>Carla Flores</v>
      </c>
      <c r="H772" s="2" t="str">
        <f t="array" ref="H772">_xlfn.XLOOKUP(B772,Vendedores!$A$2:$A$41,Vendedores!$C$2:$C$41,"No hay datos")</f>
        <v>Valle Escondido</v>
      </c>
      <c r="I772" s="2" t="str">
        <f t="array" ref="I772">_xlfn.XLOOKUP(B772,Vendedores!$A$2:$A$41,Vendedores!$D$2:$D$41,"No hay datos")</f>
        <v>Región Andina</v>
      </c>
      <c r="J772" s="2" t="str">
        <f t="array" ref="J772:N772">_xlfn.XLOOKUP(A772,Productos!$A$2:$A$61,Productos!$B$2:$F$61)</f>
        <v>Pantalón de sastre</v>
      </c>
      <c r="K772" s="2" t="s">
        <v>9</v>
      </c>
      <c r="L772" s="2" t="s">
        <v>10</v>
      </c>
      <c r="M772" s="2" t="s">
        <v>13</v>
      </c>
      <c r="N772" s="2" t="s">
        <v>14</v>
      </c>
    </row>
    <row r="773">
      <c r="A773" s="2" t="str">
        <f>IFERROR(__xludf.DUMMYFUNCTION("""COMPUTED_VALUE"""),"PR033")</f>
        <v>PR033</v>
      </c>
      <c r="B773" s="2" t="str">
        <f>IFERROR(__xludf.DUMMYFUNCTION("""COMPUTED_VALUE"""),"VD049")</f>
        <v>VD049</v>
      </c>
      <c r="C773" s="2">
        <f>IFERROR(__xludf.DUMMYFUNCTION("""COMPUTED_VALUE"""),2.0)</f>
        <v>2</v>
      </c>
      <c r="D773" s="6">
        <f>IFERROR(__xludf.DUMMYFUNCTION("""COMPUTED_VALUE"""),571.78)</f>
        <v>571.78</v>
      </c>
      <c r="E773" s="6">
        <f>IFERROR(__xludf.DUMMYFUNCTION("GOOGLEFINANCE(""Currency:BRLMXN"")*D773"),1942.6225499999998)</f>
        <v>1942.62255</v>
      </c>
      <c r="F773" s="6">
        <f>IFERROR(__xludf.DUMMYFUNCTION("GOOGLEFINANCE(""Currency:BRLPEN"")*D773"),374.85896799999995)</f>
        <v>374.858968</v>
      </c>
      <c r="G773" s="2" t="str">
        <f t="array" ref="G773">_xlfn.XLOOKUP(B773,Vendedores!$A$2:$A$41,Vendedores!$B$2:$B$41,"No hay datos")</f>
        <v>Fernando Navarro</v>
      </c>
      <c r="H773" s="2" t="str">
        <f t="array" ref="H773">_xlfn.XLOOKUP(B773,Vendedores!$A$2:$A$41,Vendedores!$C$2:$C$41,"No hay datos")</f>
        <v>Colinas Verdes</v>
      </c>
      <c r="I773" s="2" t="str">
        <f t="array" ref="I773">_xlfn.XLOOKUP(B773,Vendedores!$A$2:$A$41,Vendedores!$D$2:$D$41,"No hay datos")</f>
        <v>Región Central 2</v>
      </c>
      <c r="J773" s="2" t="str">
        <f t="array" ref="J773:N773">_xlfn.XLOOKUP(A773,Productos!$A$2:$A$61,Productos!$B$2:$F$61)</f>
        <v>Tenis Chunky</v>
      </c>
      <c r="K773" s="2">
        <v>38.0</v>
      </c>
      <c r="L773" s="2" t="s">
        <v>33</v>
      </c>
      <c r="M773" s="2" t="s">
        <v>63</v>
      </c>
      <c r="N773" s="2" t="s">
        <v>64</v>
      </c>
    </row>
    <row r="774">
      <c r="A774" s="2" t="str">
        <f>IFERROR(__xludf.DUMMYFUNCTION("""COMPUTED_VALUE"""),"PR049")</f>
        <v>PR049</v>
      </c>
      <c r="B774" s="2" t="str">
        <f>IFERROR(__xludf.DUMMYFUNCTION("""COMPUTED_VALUE"""),"VD047")</f>
        <v>VD047</v>
      </c>
      <c r="C774" s="2">
        <f>IFERROR(__xludf.DUMMYFUNCTION("""COMPUTED_VALUE"""),1.0)</f>
        <v>1</v>
      </c>
      <c r="D774" s="6">
        <f>IFERROR(__xludf.DUMMYFUNCTION("""COMPUTED_VALUE"""),34.55)</f>
        <v>34.55</v>
      </c>
      <c r="E774" s="6">
        <f>IFERROR(__xludf.DUMMYFUNCTION("GOOGLEFINANCE(""Currency:BRLMXN"")*D774"),117.383625)</f>
        <v>117.383625</v>
      </c>
      <c r="F774" s="6">
        <f>IFERROR(__xludf.DUMMYFUNCTION("GOOGLEFINANCE(""Currency:BRLPEN"")*D774"),22.650979999999997)</f>
        <v>22.65098</v>
      </c>
      <c r="G774" s="2" t="str">
        <f t="array" ref="G774">_xlfn.XLOOKUP(B774,Vendedores!$A$2:$A$41,Vendedores!$B$2:$B$41,"No hay datos")</f>
        <v>Andrés López</v>
      </c>
      <c r="H774" s="2" t="str">
        <f t="array" ref="H774">_xlfn.XLOOKUP(B774,Vendedores!$A$2:$A$41,Vendedores!$C$2:$C$41,"No hay datos")</f>
        <v>Villa Progreso</v>
      </c>
      <c r="I774" s="2" t="str">
        <f t="array" ref="I774">_xlfn.XLOOKUP(B774,Vendedores!$A$2:$A$41,Vendedores!$D$2:$D$41,"No hay datos")</f>
        <v>Región Central 2</v>
      </c>
      <c r="J774" s="2" t="str">
        <f t="array" ref="J774:N774">_xlfn.XLOOKUP(A774,Productos!$A$2:$A$61,Productos!$B$2:$F$61)</f>
        <v>Playera a rayas</v>
      </c>
      <c r="K774" s="2" t="s">
        <v>9</v>
      </c>
      <c r="L774" s="2" t="s">
        <v>10</v>
      </c>
      <c r="M774" s="2" t="s">
        <v>47</v>
      </c>
      <c r="N774" s="2" t="s">
        <v>24</v>
      </c>
    </row>
    <row r="775">
      <c r="A775" s="2" t="str">
        <f>IFERROR(__xludf.DUMMYFUNCTION("""COMPUTED_VALUE"""),"PR028")</f>
        <v>PR028</v>
      </c>
      <c r="B775" s="2" t="str">
        <f>IFERROR(__xludf.DUMMYFUNCTION("""COMPUTED_VALUE"""),"VD024")</f>
        <v>VD024</v>
      </c>
      <c r="C775" s="2">
        <f>IFERROR(__xludf.DUMMYFUNCTION("""COMPUTED_VALUE"""),9.0)</f>
        <v>9</v>
      </c>
      <c r="D775" s="6">
        <f>IFERROR(__xludf.DUMMYFUNCTION("""COMPUTED_VALUE"""),2474.01)</f>
        <v>2474.01</v>
      </c>
      <c r="E775" s="6">
        <f>IFERROR(__xludf.DUMMYFUNCTION("GOOGLEFINANCE(""Currency:BRLMXN"")*D775"),8405.448975000001)</f>
        <v>8405.448975</v>
      </c>
      <c r="F775" s="6">
        <f>IFERROR(__xludf.DUMMYFUNCTION("GOOGLEFINANCE(""Currency:BRLPEN"")*D775"),1621.9609560000001)</f>
        <v>1621.960956</v>
      </c>
      <c r="G775" s="2" t="str">
        <f t="array" ref="G775">_xlfn.XLOOKUP(B775,Vendedores!$A$2:$A$41,Vendedores!$B$2:$B$41,"No hay datos")</f>
        <v>Marcos Rivera</v>
      </c>
      <c r="H775" s="2" t="str">
        <f t="array" ref="H775">_xlfn.XLOOKUP(B775,Vendedores!$A$2:$A$41,Vendedores!$C$2:$C$41,"No hay datos")</f>
        <v>Santa Rosa del Valle</v>
      </c>
      <c r="I775" s="2" t="str">
        <f t="array" ref="I775">_xlfn.XLOOKUP(B775,Vendedores!$A$2:$A$41,Vendedores!$D$2:$D$41,"No hay datos")</f>
        <v>Región Norte</v>
      </c>
      <c r="J775" s="2" t="str">
        <f t="array" ref="J775:N775">_xlfn.XLOOKUP(A775,Productos!$A$2:$A$61,Productos!$B$2:$F$61)</f>
        <v>Tenis Atitas</v>
      </c>
      <c r="K775" s="2">
        <v>36.0</v>
      </c>
      <c r="L775" s="2" t="s">
        <v>33</v>
      </c>
      <c r="M775" s="2" t="s">
        <v>55</v>
      </c>
      <c r="N775" s="2" t="s">
        <v>56</v>
      </c>
    </row>
    <row r="776">
      <c r="A776" s="2" t="str">
        <f>IFERROR(__xludf.DUMMYFUNCTION("""COMPUTED_VALUE"""),"PR034")</f>
        <v>PR034</v>
      </c>
      <c r="B776" s="2" t="str">
        <f>IFERROR(__xludf.DUMMYFUNCTION("""COMPUTED_VALUE"""),"VD029")</f>
        <v>VD029</v>
      </c>
      <c r="C776" s="2">
        <f>IFERROR(__xludf.DUMMYFUNCTION("""COMPUTED_VALUE"""),8.0)</f>
        <v>8</v>
      </c>
      <c r="D776" s="6">
        <f>IFERROR(__xludf.DUMMYFUNCTION("""COMPUTED_VALUE"""),769.54)</f>
        <v>769.54</v>
      </c>
      <c r="E776" s="6">
        <f>IFERROR(__xludf.DUMMYFUNCTION("GOOGLEFINANCE(""Currency:BRLMXN"")*D776"),2614.51215)</f>
        <v>2614.51215</v>
      </c>
      <c r="F776" s="6">
        <f>IFERROR(__xludf.DUMMYFUNCTION("GOOGLEFINANCE(""Currency:BRLPEN"")*D776"),504.51042399999994)</f>
        <v>504.510424</v>
      </c>
      <c r="G776" s="2" t="str">
        <f t="array" ref="G776">_xlfn.XLOOKUP(B776,Vendedores!$A$2:$A$41,Vendedores!$B$2:$B$41,"No hay datos")</f>
        <v>Gabriela Sosa</v>
      </c>
      <c r="H776" s="2" t="str">
        <f t="array" ref="H776">_xlfn.XLOOKUP(B776,Vendedores!$A$2:$A$41,Vendedores!$C$2:$C$41,"No hay datos")</f>
        <v>Selva Verde</v>
      </c>
      <c r="I776" s="2" t="str">
        <f t="array" ref="I776">_xlfn.XLOOKUP(B776,Vendedores!$A$2:$A$41,Vendedores!$D$2:$D$41,"No hay datos")</f>
        <v>Región Amazónica</v>
      </c>
      <c r="J776" s="2" t="str">
        <f t="array" ref="J776:N776">_xlfn.XLOOKUP(A776,Productos!$A$2:$A$61,Productos!$B$2:$F$61)</f>
        <v>Vestido corto</v>
      </c>
      <c r="K776" s="2" t="s">
        <v>9</v>
      </c>
      <c r="L776" s="2" t="s">
        <v>10</v>
      </c>
      <c r="M776" s="2" t="s">
        <v>93</v>
      </c>
      <c r="N776" s="2" t="s">
        <v>35</v>
      </c>
    </row>
    <row r="777">
      <c r="A777" s="2" t="str">
        <f>IFERROR(__xludf.DUMMYFUNCTION("""COMPUTED_VALUE"""),"PR057")</f>
        <v>PR057</v>
      </c>
      <c r="B777" s="2" t="str">
        <f>IFERROR(__xludf.DUMMYFUNCTION("""COMPUTED_VALUE"""),"VD024")</f>
        <v>VD024</v>
      </c>
      <c r="C777" s="2">
        <f>IFERROR(__xludf.DUMMYFUNCTION("""COMPUTED_VALUE"""),8.0)</f>
        <v>8</v>
      </c>
      <c r="D777" s="6">
        <f>IFERROR(__xludf.DUMMYFUNCTION("""COMPUTED_VALUE"""),726.39)</f>
        <v>726.39</v>
      </c>
      <c r="E777" s="6">
        <f>IFERROR(__xludf.DUMMYFUNCTION("GOOGLEFINANCE(""Currency:BRLMXN"")*D777"),2467.910025)</f>
        <v>2467.910025</v>
      </c>
      <c r="F777" s="6">
        <f>IFERROR(__xludf.DUMMYFUNCTION("GOOGLEFINANCE(""Currency:BRLPEN"")*D777"),476.22128399999997)</f>
        <v>476.221284</v>
      </c>
      <c r="G777" s="2" t="str">
        <f t="array" ref="G777">_xlfn.XLOOKUP(B777,Vendedores!$A$2:$A$41,Vendedores!$B$2:$B$41,"No hay datos")</f>
        <v>Marcos Rivera</v>
      </c>
      <c r="H777" s="2" t="str">
        <f t="array" ref="H777">_xlfn.XLOOKUP(B777,Vendedores!$A$2:$A$41,Vendedores!$C$2:$C$41,"No hay datos")</f>
        <v>Santa Rosa del Valle</v>
      </c>
      <c r="I777" s="2" t="str">
        <f t="array" ref="I777">_xlfn.XLOOKUP(B777,Vendedores!$A$2:$A$41,Vendedores!$D$2:$D$41,"No hay datos")</f>
        <v>Región Norte</v>
      </c>
      <c r="J777" s="2" t="str">
        <f t="array" ref="J777:N777">_xlfn.XLOOKUP(A777,Productos!$A$2:$A$61,Productos!$B$2:$F$61)</f>
        <v>Sandalia plana</v>
      </c>
      <c r="K777" s="2">
        <v>37.0</v>
      </c>
      <c r="L777" s="2" t="s">
        <v>33</v>
      </c>
      <c r="M777" s="2" t="s">
        <v>58</v>
      </c>
      <c r="N777" s="2" t="s">
        <v>35</v>
      </c>
    </row>
    <row r="778">
      <c r="A778" s="2" t="str">
        <f>IFERROR(__xludf.DUMMYFUNCTION("""COMPUTED_VALUE"""),"PR007")</f>
        <v>PR007</v>
      </c>
      <c r="B778" s="2" t="str">
        <f>IFERROR(__xludf.DUMMYFUNCTION("""COMPUTED_VALUE"""),"VD048")</f>
        <v>VD048</v>
      </c>
      <c r="C778" s="2">
        <f>IFERROR(__xludf.DUMMYFUNCTION("""COMPUTED_VALUE"""),14.0)</f>
        <v>14</v>
      </c>
      <c r="D778" s="6">
        <f>IFERROR(__xludf.DUMMYFUNCTION("""COMPUTED_VALUE"""),1322.86)</f>
        <v>1322.86</v>
      </c>
      <c r="E778" s="6">
        <f>IFERROR(__xludf.DUMMYFUNCTION("GOOGLEFINANCE(""Currency:BRLMXN"")*D778"),4494.41685)</f>
        <v>4494.41685</v>
      </c>
      <c r="F778" s="6">
        <f>IFERROR(__xludf.DUMMYFUNCTION("GOOGLEFINANCE(""Currency:BRLPEN"")*D778"),867.2670159999999)</f>
        <v>867.267016</v>
      </c>
      <c r="G778" s="2" t="str">
        <f t="array" ref="G778">_xlfn.XLOOKUP(B778,Vendedores!$A$2:$A$41,Vendedores!$B$2:$B$41,"No hay datos")</f>
        <v>Mariana Castro</v>
      </c>
      <c r="H778" s="2" t="str">
        <f t="array" ref="H778">_xlfn.XLOOKUP(B778,Vendedores!$A$2:$A$41,Vendedores!$C$2:$C$41,"No hay datos")</f>
        <v>San Carlos del Valle</v>
      </c>
      <c r="I778" s="2" t="str">
        <f t="array" ref="I778">_xlfn.XLOOKUP(B778,Vendedores!$A$2:$A$41,Vendedores!$D$2:$D$41,"No hay datos")</f>
        <v>Región Central 2</v>
      </c>
      <c r="J778" s="2" t="str">
        <f t="array" ref="J778:N778">_xlfn.XLOOKUP(A778,Productos!$A$2:$A$61,Productos!$B$2:$F$61)</f>
        <v>Pantalón de mezclilla</v>
      </c>
      <c r="K778" s="2" t="s">
        <v>9</v>
      </c>
      <c r="L778" s="2" t="s">
        <v>10</v>
      </c>
      <c r="M778" s="2" t="s">
        <v>103</v>
      </c>
      <c r="N778" s="2" t="s">
        <v>104</v>
      </c>
    </row>
    <row r="779">
      <c r="A779" s="2" t="str">
        <f>IFERROR(__xludf.DUMMYFUNCTION("""COMPUTED_VALUE"""),"PR054")</f>
        <v>PR054</v>
      </c>
      <c r="B779" s="2" t="str">
        <f>IFERROR(__xludf.DUMMYFUNCTION("""COMPUTED_VALUE"""),"VD036")</f>
        <v>VD036</v>
      </c>
      <c r="C779" s="2">
        <f>IFERROR(__xludf.DUMMYFUNCTION("""COMPUTED_VALUE"""),6.0)</f>
        <v>6</v>
      </c>
      <c r="D779" s="6">
        <f>IFERROR(__xludf.DUMMYFUNCTION("""COMPUTED_VALUE"""),317.36)</f>
        <v>317.36</v>
      </c>
      <c r="E779" s="6">
        <f>IFERROR(__xludf.DUMMYFUNCTION("GOOGLEFINANCE(""Currency:BRLMXN"")*D779"),1078.2306)</f>
        <v>1078.2306</v>
      </c>
      <c r="F779" s="6">
        <f>IFERROR(__xludf.DUMMYFUNCTION("GOOGLEFINANCE(""Currency:BRLPEN"")*D779"),208.061216)</f>
        <v>208.061216</v>
      </c>
      <c r="G779" s="2" t="str">
        <f t="array" ref="G779">_xlfn.XLOOKUP(B779,Vendedores!$A$2:$A$41,Vendedores!$B$2:$B$41,"No hay datos")</f>
        <v>Ricardo Sosa</v>
      </c>
      <c r="H779" s="2" t="str">
        <f t="array" ref="H779">_xlfn.XLOOKUP(B779,Vendedores!$A$2:$A$41,Vendedores!$C$2:$C$41,"No hay datos")</f>
        <v>Puerto Nuevo</v>
      </c>
      <c r="I779" s="2" t="str">
        <f t="array" ref="I779">_xlfn.XLOOKUP(B779,Vendedores!$A$2:$A$41,Vendedores!$D$2:$D$41,"No hay datos")</f>
        <v>Región Central 2</v>
      </c>
      <c r="J779" s="2" t="str">
        <f t="array" ref="J779:N779">_xlfn.XLOOKUP(A779,Productos!$A$2:$A$61,Productos!$B$2:$F$61)</f>
        <v>Falda plisada</v>
      </c>
      <c r="K779" s="2" t="s">
        <v>22</v>
      </c>
      <c r="L779" s="2" t="s">
        <v>10</v>
      </c>
      <c r="M779" s="2" t="s">
        <v>42</v>
      </c>
      <c r="N779" s="2" t="s">
        <v>32</v>
      </c>
    </row>
    <row r="780">
      <c r="A780" s="2" t="str">
        <f>IFERROR(__xludf.DUMMYFUNCTION("""COMPUTED_VALUE"""),"PR026")</f>
        <v>PR026</v>
      </c>
      <c r="B780" s="2" t="str">
        <f>IFERROR(__xludf.DUMMYFUNCTION("""COMPUTED_VALUE"""),"VD016")</f>
        <v>VD016</v>
      </c>
      <c r="C780" s="2">
        <f>IFERROR(__xludf.DUMMYFUNCTION("""COMPUTED_VALUE"""),6.0)</f>
        <v>6</v>
      </c>
      <c r="D780" s="6">
        <f>IFERROR(__xludf.DUMMYFUNCTION("""COMPUTED_VALUE"""),2183.38)</f>
        <v>2183.38</v>
      </c>
      <c r="E780" s="6">
        <f>IFERROR(__xludf.DUMMYFUNCTION("GOOGLEFINANCE(""Currency:BRLMXN"")*D780"),7418.03355)</f>
        <v>7418.03355</v>
      </c>
      <c r="F780" s="6">
        <f>IFERROR(__xludf.DUMMYFUNCTION("GOOGLEFINANCE(""Currency:BRLPEN"")*D780"),1431.423928)</f>
        <v>1431.423928</v>
      </c>
      <c r="G780" s="2" t="str">
        <f t="array" ref="G780">_xlfn.XLOOKUP(B780,Vendedores!$A$2:$A$41,Vendedores!$B$2:$B$41,"No hay datos")</f>
        <v>Beatriz Linares</v>
      </c>
      <c r="H780" s="2" t="str">
        <f t="array" ref="H780">_xlfn.XLOOKUP(B780,Vendedores!$A$2:$A$41,Vendedores!$C$2:$C$41,"No hay datos")</f>
        <v>Puerto Esperanza</v>
      </c>
      <c r="I780" s="2" t="str">
        <f t="array" ref="I780">_xlfn.XLOOKUP(B780,Vendedores!$A$2:$A$41,Vendedores!$D$2:$D$41,"No hay datos")</f>
        <v>Región Sur</v>
      </c>
      <c r="J780" s="2" t="str">
        <f t="array" ref="J780:N780">_xlfn.XLOOKUP(A780,Productos!$A$2:$A$61,Productos!$B$2:$F$61)</f>
        <v>Gafas cuadradas</v>
      </c>
      <c r="K780" s="2" t="s">
        <v>29</v>
      </c>
      <c r="L780" s="2" t="s">
        <v>30</v>
      </c>
      <c r="M780" s="2" t="s">
        <v>90</v>
      </c>
      <c r="N780" s="2" t="s">
        <v>91</v>
      </c>
    </row>
    <row r="781">
      <c r="A781" s="2" t="str">
        <f>IFERROR(__xludf.DUMMYFUNCTION("""COMPUTED_VALUE"""),"PR024")</f>
        <v>PR024</v>
      </c>
      <c r="B781" s="2" t="str">
        <f>IFERROR(__xludf.DUMMYFUNCTION("""COMPUTED_VALUE"""),"VD037")</f>
        <v>VD037</v>
      </c>
      <c r="C781" s="2">
        <f>IFERROR(__xludf.DUMMYFUNCTION("""COMPUTED_VALUE"""),5.0)</f>
        <v>5</v>
      </c>
      <c r="D781" s="6">
        <f>IFERROR(__xludf.DUMMYFUNCTION("""COMPUTED_VALUE"""),1429.45)</f>
        <v>1429.45</v>
      </c>
      <c r="E781" s="6">
        <f>IFERROR(__xludf.DUMMYFUNCTION("GOOGLEFINANCE(""Currency:BRLMXN"")*D781"),4856.556375)</f>
        <v>4856.556375</v>
      </c>
      <c r="F781" s="6">
        <f>IFERROR(__xludf.DUMMYFUNCTION("GOOGLEFINANCE(""Currency:BRLPEN"")*D781"),937.14742)</f>
        <v>937.14742</v>
      </c>
      <c r="G781" s="2" t="str">
        <f t="array" ref="G781">_xlfn.XLOOKUP(B781,Vendedores!$A$2:$A$41,Vendedores!$B$2:$B$41,"No hay datos")</f>
        <v>Amanda Silva</v>
      </c>
      <c r="H781" s="2" t="str">
        <f t="array" ref="H781">_xlfn.XLOOKUP(B781,Vendedores!$A$2:$A$41,Vendedores!$C$2:$C$41,"No hay datos")</f>
        <v>Villa Esperanza</v>
      </c>
      <c r="I781" s="2" t="str">
        <f t="array" ref="I781">_xlfn.XLOOKUP(B781,Vendedores!$A$2:$A$41,Vendedores!$D$2:$D$41,"No hay datos")</f>
        <v>Región Sur 2</v>
      </c>
      <c r="J781" s="2" t="str">
        <f t="array" ref="J781:N781">_xlfn.XLOOKUP(A781,Productos!$A$2:$A$61,Productos!$B$2:$F$61)</f>
        <v>Chaqueta de mezclilla</v>
      </c>
      <c r="K781" s="2" t="s">
        <v>17</v>
      </c>
      <c r="L781" s="2" t="s">
        <v>10</v>
      </c>
      <c r="M781" s="2" t="s">
        <v>92</v>
      </c>
      <c r="N781" s="2" t="s">
        <v>64</v>
      </c>
    </row>
    <row r="782">
      <c r="A782" s="2" t="str">
        <f>IFERROR(__xludf.DUMMYFUNCTION("""COMPUTED_VALUE"""),"PR044")</f>
        <v>PR044</v>
      </c>
      <c r="B782" s="2" t="str">
        <f>IFERROR(__xludf.DUMMYFUNCTION("""COMPUTED_VALUE"""),"VD045")</f>
        <v>VD045</v>
      </c>
      <c r="C782" s="2">
        <f>IFERROR(__xludf.DUMMYFUNCTION("""COMPUTED_VALUE"""),8.0)</f>
        <v>8</v>
      </c>
      <c r="D782" s="6">
        <f>IFERROR(__xludf.DUMMYFUNCTION("""COMPUTED_VALUE"""),620.6)</f>
        <v>620.6</v>
      </c>
      <c r="E782" s="6">
        <f>IFERROR(__xludf.DUMMYFUNCTION("GOOGLEFINANCE(""Currency:BRLMXN"")*D782"),2108.4885)</f>
        <v>2108.4885</v>
      </c>
      <c r="F782" s="6">
        <f>IFERROR(__xludf.DUMMYFUNCTION("GOOGLEFINANCE(""Currency:BRLPEN"")*D782"),406.86536)</f>
        <v>406.86536</v>
      </c>
      <c r="G782" s="2" t="str">
        <f t="array" ref="G782">_xlfn.XLOOKUP(B782,Vendedores!$A$2:$A$41,Vendedores!$B$2:$B$41,"No hay datos")</f>
        <v>Rafael Morales</v>
      </c>
      <c r="H782" s="2" t="str">
        <f t="array" ref="H782">_xlfn.XLOOKUP(B782,Vendedores!$A$2:$A$41,Vendedores!$C$2:$C$41,"No hay datos")</f>
        <v>Valle Dorado</v>
      </c>
      <c r="I782" s="2" t="str">
        <f t="array" ref="I782">_xlfn.XLOOKUP(B782,Vendedores!$A$2:$A$41,Vendedores!$D$2:$D$41,"No hay datos")</f>
        <v>Región Central 2</v>
      </c>
      <c r="J782" s="2" t="str">
        <f t="array" ref="J782:N782">_xlfn.XLOOKUP(A782,Productos!$A$2:$A$61,Productos!$B$2:$F$61)</f>
        <v>Vestido floral</v>
      </c>
      <c r="K782" s="2" t="s">
        <v>17</v>
      </c>
      <c r="L782" s="2" t="s">
        <v>10</v>
      </c>
      <c r="M782" s="2" t="s">
        <v>105</v>
      </c>
      <c r="N782" s="2" t="s">
        <v>40</v>
      </c>
    </row>
    <row r="783">
      <c r="A783" s="2" t="str">
        <f>IFERROR(__xludf.DUMMYFUNCTION("""COMPUTED_VALUE"""),"PR045")</f>
        <v>PR045</v>
      </c>
      <c r="B783" s="2" t="str">
        <f>IFERROR(__xludf.DUMMYFUNCTION("""COMPUTED_VALUE"""),"VD011")</f>
        <v>VD011</v>
      </c>
      <c r="C783" s="2">
        <f>IFERROR(__xludf.DUMMYFUNCTION("""COMPUTED_VALUE"""),12.0)</f>
        <v>12</v>
      </c>
      <c r="D783" s="6">
        <f>IFERROR(__xludf.DUMMYFUNCTION("""COMPUTED_VALUE"""),887.4)</f>
        <v>887.4</v>
      </c>
      <c r="E783" s="6">
        <f>IFERROR(__xludf.DUMMYFUNCTION("GOOGLEFINANCE(""Currency:BRLMXN"")*D783"),3014.9415)</f>
        <v>3014.9415</v>
      </c>
      <c r="F783" s="6">
        <f>IFERROR(__xludf.DUMMYFUNCTION("GOOGLEFINANCE(""Currency:BRLPEN"")*D783"),581.7794399999999)</f>
        <v>581.77944</v>
      </c>
      <c r="G783" s="2" t="str">
        <f t="array" ref="G783">_xlfn.XLOOKUP(B783,Vendedores!$A$2:$A$41,Vendedores!$B$2:$B$41,"No hay datos")</f>
        <v>Juan Santos</v>
      </c>
      <c r="H783" s="2" t="str">
        <f t="array" ref="H783">_xlfn.XLOOKUP(B783,Vendedores!$A$2:$A$41,Vendedores!$C$2:$C$41,"No hay datos")</f>
        <v>Vista Hermosa</v>
      </c>
      <c r="I783" s="2" t="str">
        <f t="array" ref="I783">_xlfn.XLOOKUP(B783,Vendedores!$A$2:$A$41,Vendedores!$D$2:$D$41,"No hay datos")</f>
        <v>Región Central</v>
      </c>
      <c r="J783" s="2" t="str">
        <f t="array" ref="J783:N783">_xlfn.XLOOKUP(A783,Productos!$A$2:$A$61,Productos!$B$2:$F$61)</f>
        <v>Vestido floral</v>
      </c>
      <c r="K783" s="2" t="s">
        <v>22</v>
      </c>
      <c r="L783" s="2" t="s">
        <v>10</v>
      </c>
      <c r="M783" s="2" t="s">
        <v>39</v>
      </c>
      <c r="N783" s="2" t="s">
        <v>40</v>
      </c>
    </row>
    <row r="784">
      <c r="A784" s="2" t="str">
        <f>IFERROR(__xludf.DUMMYFUNCTION("""COMPUTED_VALUE"""),"PR060")</f>
        <v>PR060</v>
      </c>
      <c r="B784" s="2" t="str">
        <f>IFERROR(__xludf.DUMMYFUNCTION("""COMPUTED_VALUE"""),"VD037")</f>
        <v>VD037</v>
      </c>
      <c r="C784" s="2">
        <f>IFERROR(__xludf.DUMMYFUNCTION("""COMPUTED_VALUE"""),8.0)</f>
        <v>8</v>
      </c>
      <c r="D784" s="6">
        <f>IFERROR(__xludf.DUMMYFUNCTION("""COMPUTED_VALUE"""),1483.2)</f>
        <v>1483.2</v>
      </c>
      <c r="E784" s="6">
        <f>IFERROR(__xludf.DUMMYFUNCTION("GOOGLEFINANCE(""Currency:BRLMXN"")*D784"),5039.1720000000005)</f>
        <v>5039.172</v>
      </c>
      <c r="F784" s="6">
        <f>IFERROR(__xludf.DUMMYFUNCTION("GOOGLEFINANCE(""Currency:BRLPEN"")*D784"),972.3859199999999)</f>
        <v>972.38592</v>
      </c>
      <c r="G784" s="2" t="str">
        <f t="array" ref="G784">_xlfn.XLOOKUP(B784,Vendedores!$A$2:$A$41,Vendedores!$B$2:$B$41,"No hay datos")</f>
        <v>Amanda Silva</v>
      </c>
      <c r="H784" s="2" t="str">
        <f t="array" ref="H784">_xlfn.XLOOKUP(B784,Vendedores!$A$2:$A$41,Vendedores!$C$2:$C$41,"No hay datos")</f>
        <v>Villa Esperanza</v>
      </c>
      <c r="I784" s="2" t="str">
        <f t="array" ref="I784">_xlfn.XLOOKUP(B784,Vendedores!$A$2:$A$41,Vendedores!$D$2:$D$41,"No hay datos")</f>
        <v>Región Sur 2</v>
      </c>
      <c r="J784" s="2" t="str">
        <f t="array" ref="J784:N784">_xlfn.XLOOKUP(A784,Productos!$A$2:$A$61,Productos!$B$2:$F$61)</f>
        <v>Pantalón de sastre</v>
      </c>
      <c r="K784" s="2" t="s">
        <v>22</v>
      </c>
      <c r="L784" s="2" t="s">
        <v>10</v>
      </c>
      <c r="M784" s="2" t="s">
        <v>75</v>
      </c>
      <c r="N784" s="2" t="s">
        <v>14</v>
      </c>
    </row>
    <row r="785">
      <c r="A785" s="2" t="str">
        <f>IFERROR(__xludf.DUMMYFUNCTION("""COMPUTED_VALUE"""),"PR024")</f>
        <v>PR024</v>
      </c>
      <c r="B785" s="2" t="str">
        <f>IFERROR(__xludf.DUMMYFUNCTION("""COMPUTED_VALUE"""),"VD048")</f>
        <v>VD048</v>
      </c>
      <c r="C785" s="2">
        <f>IFERROR(__xludf.DUMMYFUNCTION("""COMPUTED_VALUE"""),2.0)</f>
        <v>2</v>
      </c>
      <c r="D785" s="6">
        <f>IFERROR(__xludf.DUMMYFUNCTION("""COMPUTED_VALUE"""),525.0)</f>
        <v>525</v>
      </c>
      <c r="E785" s="6">
        <f>IFERROR(__xludf.DUMMYFUNCTION("GOOGLEFINANCE(""Currency:BRLMXN"")*D785"),1783.6875)</f>
        <v>1783.6875</v>
      </c>
      <c r="F785" s="6">
        <f>IFERROR(__xludf.DUMMYFUNCTION("GOOGLEFINANCE(""Currency:BRLPEN"")*D785"),344.19)</f>
        <v>344.19</v>
      </c>
      <c r="G785" s="2" t="str">
        <f t="array" ref="G785">_xlfn.XLOOKUP(B785,Vendedores!$A$2:$A$41,Vendedores!$B$2:$B$41,"No hay datos")</f>
        <v>Mariana Castro</v>
      </c>
      <c r="H785" s="2" t="str">
        <f t="array" ref="H785">_xlfn.XLOOKUP(B785,Vendedores!$A$2:$A$41,Vendedores!$C$2:$C$41,"No hay datos")</f>
        <v>San Carlos del Valle</v>
      </c>
      <c r="I785" s="2" t="str">
        <f t="array" ref="I785">_xlfn.XLOOKUP(B785,Vendedores!$A$2:$A$41,Vendedores!$D$2:$D$41,"No hay datos")</f>
        <v>Región Central 2</v>
      </c>
      <c r="J785" s="2" t="str">
        <f t="array" ref="J785:N785">_xlfn.XLOOKUP(A785,Productos!$A$2:$A$61,Productos!$B$2:$F$61)</f>
        <v>Chaqueta de mezclilla</v>
      </c>
      <c r="K785" s="2" t="s">
        <v>17</v>
      </c>
      <c r="L785" s="2" t="s">
        <v>10</v>
      </c>
      <c r="M785" s="2" t="s">
        <v>92</v>
      </c>
      <c r="N785" s="2" t="s">
        <v>64</v>
      </c>
    </row>
    <row r="786">
      <c r="A786" s="2" t="str">
        <f>IFERROR(__xludf.DUMMYFUNCTION("""COMPUTED_VALUE"""),"PR056")</f>
        <v>PR056</v>
      </c>
      <c r="B786" s="2" t="str">
        <f>IFERROR(__xludf.DUMMYFUNCTION("""COMPUTED_VALUE"""),"VD038")</f>
        <v>VD038</v>
      </c>
      <c r="C786" s="2">
        <f>IFERROR(__xludf.DUMMYFUNCTION("""COMPUTED_VALUE"""),9.0)</f>
        <v>9</v>
      </c>
      <c r="D786" s="6">
        <f>IFERROR(__xludf.DUMMYFUNCTION("""COMPUTED_VALUE"""),825.28)</f>
        <v>825.28</v>
      </c>
      <c r="E786" s="6">
        <f>IFERROR(__xludf.DUMMYFUNCTION("GOOGLEFINANCE(""Currency:BRLMXN"")*D786"),2803.8887999999997)</f>
        <v>2803.8888</v>
      </c>
      <c r="F786" s="6">
        <f>IFERROR(__xludf.DUMMYFUNCTION("GOOGLEFINANCE(""Currency:BRLPEN"")*D786"),541.0535679999999)</f>
        <v>541.053568</v>
      </c>
      <c r="G786" s="2" t="str">
        <f t="array" ref="G786">_xlfn.XLOOKUP(B786,Vendedores!$A$2:$A$41,Vendedores!$B$2:$B$41,"No hay datos")</f>
        <v>Bruno Olmedo</v>
      </c>
      <c r="H786" s="2" t="str">
        <f t="array" ref="H786">_xlfn.XLOOKUP(B786,Vendedores!$A$2:$A$41,Vendedores!$C$2:$C$41,"No hay datos")</f>
        <v>Tierra Fertil</v>
      </c>
      <c r="I786" s="2" t="str">
        <f t="array" ref="I786">_xlfn.XLOOKUP(B786,Vendedores!$A$2:$A$41,Vendedores!$D$2:$D$41,"No hay datos")</f>
        <v>Región Sur 2</v>
      </c>
      <c r="J786" s="2" t="str">
        <f t="array" ref="J786:N786">_xlfn.XLOOKUP(A786,Productos!$A$2:$A$61,Productos!$B$2:$F$61)</f>
        <v>Sandalia plana</v>
      </c>
      <c r="K786" s="2">
        <v>36.0</v>
      </c>
      <c r="L786" s="2" t="s">
        <v>33</v>
      </c>
      <c r="M786" s="2" t="s">
        <v>106</v>
      </c>
      <c r="N786" s="2" t="s">
        <v>35</v>
      </c>
    </row>
    <row r="787">
      <c r="A787" s="2" t="str">
        <f>IFERROR(__xludf.DUMMYFUNCTION("""COMPUTED_VALUE"""),"PR005")</f>
        <v>PR005</v>
      </c>
      <c r="B787" s="2" t="str">
        <f>IFERROR(__xludf.DUMMYFUNCTION("""COMPUTED_VALUE"""),"VD029")</f>
        <v>VD029</v>
      </c>
      <c r="C787" s="2">
        <f>IFERROR(__xludf.DUMMYFUNCTION("""COMPUTED_VALUE"""),2.0)</f>
        <v>2</v>
      </c>
      <c r="D787" s="6">
        <f>IFERROR(__xludf.DUMMYFUNCTION("""COMPUTED_VALUE"""),525.0)</f>
        <v>525</v>
      </c>
      <c r="E787" s="6">
        <f>IFERROR(__xludf.DUMMYFUNCTION("GOOGLEFINANCE(""Currency:BRLMXN"")*D787"),1783.6875)</f>
        <v>1783.6875</v>
      </c>
      <c r="F787" s="6">
        <f>IFERROR(__xludf.DUMMYFUNCTION("GOOGLEFINANCE(""Currency:BRLPEN"")*D787"),344.19)</f>
        <v>344.19</v>
      </c>
      <c r="G787" s="2" t="str">
        <f t="array" ref="G787">_xlfn.XLOOKUP(B787,Vendedores!$A$2:$A$41,Vendedores!$B$2:$B$41,"No hay datos")</f>
        <v>Gabriela Sosa</v>
      </c>
      <c r="H787" s="2" t="str">
        <f t="array" ref="H787">_xlfn.XLOOKUP(B787,Vendedores!$A$2:$A$41,Vendedores!$C$2:$C$41,"No hay datos")</f>
        <v>Selva Verde</v>
      </c>
      <c r="I787" s="2" t="str">
        <f t="array" ref="I787">_xlfn.XLOOKUP(B787,Vendedores!$A$2:$A$41,Vendedores!$D$2:$D$41,"No hay datos")</f>
        <v>Región Amazónica</v>
      </c>
      <c r="J787" s="2" t="str">
        <f t="array" ref="J787:N787">_xlfn.XLOOKUP(A787,Productos!$A$2:$A$61,Productos!$B$2:$F$61)</f>
        <v>Bolso de cuero</v>
      </c>
      <c r="K787" s="2" t="s">
        <v>29</v>
      </c>
      <c r="L787" s="2" t="s">
        <v>30</v>
      </c>
      <c r="M787" s="2" t="s">
        <v>100</v>
      </c>
      <c r="N787" s="2" t="s">
        <v>64</v>
      </c>
    </row>
    <row r="788">
      <c r="A788" s="2" t="str">
        <f>IFERROR(__xludf.DUMMYFUNCTION("""COMPUTED_VALUE"""),"PR042")</f>
        <v>PR042</v>
      </c>
      <c r="B788" s="2" t="str">
        <f>IFERROR(__xludf.DUMMYFUNCTION("""COMPUTED_VALUE"""),"VD036")</f>
        <v>VD036</v>
      </c>
      <c r="C788" s="2">
        <f>IFERROR(__xludf.DUMMYFUNCTION("""COMPUTED_VALUE"""),9.0)</f>
        <v>9</v>
      </c>
      <c r="D788" s="6">
        <f>IFERROR(__xludf.DUMMYFUNCTION("""COMPUTED_VALUE"""),533.63)</f>
        <v>533.63</v>
      </c>
      <c r="E788" s="6">
        <f>IFERROR(__xludf.DUMMYFUNCTION("GOOGLEFINANCE(""Currency:BRLMXN"")*D788"),1813.007925)</f>
        <v>1813.007925</v>
      </c>
      <c r="F788" s="6">
        <f>IFERROR(__xludf.DUMMYFUNCTION("GOOGLEFINANCE(""Currency:BRLPEN"")*D788"),349.847828)</f>
        <v>349.847828</v>
      </c>
      <c r="G788" s="2" t="str">
        <f t="array" ref="G788">_xlfn.XLOOKUP(B788,Vendedores!$A$2:$A$41,Vendedores!$B$2:$B$41,"No hay datos")</f>
        <v>Ricardo Sosa</v>
      </c>
      <c r="H788" s="2" t="str">
        <f t="array" ref="H788">_xlfn.XLOOKUP(B788,Vendedores!$A$2:$A$41,Vendedores!$C$2:$C$41,"No hay datos")</f>
        <v>Puerto Nuevo</v>
      </c>
      <c r="I788" s="2" t="str">
        <f t="array" ref="I788">_xlfn.XLOOKUP(B788,Vendedores!$A$2:$A$41,Vendedores!$D$2:$D$41,"No hay datos")</f>
        <v>Región Central 2</v>
      </c>
      <c r="J788" s="2" t="str">
        <f t="array" ref="J788:N788">_xlfn.XLOOKUP(A788,Productos!$A$2:$A$61,Productos!$B$2:$F$61)</f>
        <v>Playera confort</v>
      </c>
      <c r="K788" s="2" t="s">
        <v>22</v>
      </c>
      <c r="L788" s="2" t="s">
        <v>10</v>
      </c>
      <c r="M788" s="2" t="s">
        <v>25</v>
      </c>
      <c r="N788" s="2" t="s">
        <v>26</v>
      </c>
    </row>
    <row r="789">
      <c r="A789" s="2" t="str">
        <f>IFERROR(__xludf.DUMMYFUNCTION("""COMPUTED_VALUE"""),"PR039")</f>
        <v>PR039</v>
      </c>
      <c r="B789" s="2" t="str">
        <f>IFERROR(__xludf.DUMMYFUNCTION("""COMPUTED_VALUE"""),"VD013")</f>
        <v>VD013</v>
      </c>
      <c r="C789" s="2">
        <f>IFERROR(__xludf.DUMMYFUNCTION("""COMPUTED_VALUE"""),9.0)</f>
        <v>9</v>
      </c>
      <c r="D789" s="6">
        <f>IFERROR(__xludf.DUMMYFUNCTION("""COMPUTED_VALUE"""),1379.7)</f>
        <v>1379.7</v>
      </c>
      <c r="E789" s="6">
        <f>IFERROR(__xludf.DUMMYFUNCTION("GOOGLEFINANCE(""Currency:BRLMXN"")*D789"),4687.53075)</f>
        <v>4687.53075</v>
      </c>
      <c r="F789" s="6">
        <f>IFERROR(__xludf.DUMMYFUNCTION("GOOGLEFINANCE(""Currency:BRLPEN"")*D789"),904.5313199999999)</f>
        <v>904.53132</v>
      </c>
      <c r="G789" s="2" t="str">
        <f t="array" ref="G789">_xlfn.XLOOKUP(B789,Vendedores!$A$2:$A$41,Vendedores!$B$2:$B$41,"No hay datos")</f>
        <v>Pedro Almonte</v>
      </c>
      <c r="H789" s="2" t="str">
        <f t="array" ref="H789">_xlfn.XLOOKUP(B789,Vendedores!$A$2:$A$41,Vendedores!$C$2:$C$41,"No hay datos")</f>
        <v>Santa Rosa del Valle</v>
      </c>
      <c r="I789" s="2" t="str">
        <f t="array" ref="I789">_xlfn.XLOOKUP(B789,Vendedores!$A$2:$A$41,Vendedores!$D$2:$D$41,"No hay datos")</f>
        <v>Región Norte</v>
      </c>
      <c r="J789" s="2" t="str">
        <f t="array" ref="J789:N789">_xlfn.XLOOKUP(A789,Productos!$A$2:$A$61,Productos!$B$2:$F$61)</f>
        <v>Vestido largo</v>
      </c>
      <c r="K789" s="2" t="s">
        <v>22</v>
      </c>
      <c r="L789" s="2" t="s">
        <v>10</v>
      </c>
      <c r="M789" s="2" t="s">
        <v>73</v>
      </c>
      <c r="N789" s="2" t="s">
        <v>74</v>
      </c>
    </row>
    <row r="790">
      <c r="A790" s="2" t="str">
        <f>IFERROR(__xludf.DUMMYFUNCTION("""COMPUTED_VALUE"""),"PR021")</f>
        <v>PR021</v>
      </c>
      <c r="B790" s="2" t="str">
        <f>IFERROR(__xludf.DUMMYFUNCTION("""COMPUTED_VALUE"""),"VD027")</f>
        <v>VD027</v>
      </c>
      <c r="C790" s="2">
        <f>IFERROR(__xludf.DUMMYFUNCTION("""COMPUTED_VALUE"""),4.0)</f>
        <v>4</v>
      </c>
      <c r="D790" s="6">
        <f>IFERROR(__xludf.DUMMYFUNCTION("""COMPUTED_VALUE"""),1260.06)</f>
        <v>1260.06</v>
      </c>
      <c r="E790" s="6">
        <f>IFERROR(__xludf.DUMMYFUNCTION("GOOGLEFINANCE(""Currency:BRLMXN"")*D790"),4281.053849999999)</f>
        <v>4281.05385</v>
      </c>
      <c r="F790" s="6">
        <f>IFERROR(__xludf.DUMMYFUNCTION("GOOGLEFINANCE(""Currency:BRLPEN"")*D790"),826.0953359999999)</f>
        <v>826.095336</v>
      </c>
      <c r="G790" s="2" t="str">
        <f t="array" ref="G790">_xlfn.XLOOKUP(B790,Vendedores!$A$2:$A$41,Vendedores!$B$2:$B$41,"No hay datos")</f>
        <v>Patricia Cortés</v>
      </c>
      <c r="H790" s="2" t="str">
        <f t="array" ref="H790">_xlfn.XLOOKUP(B790,Vendedores!$A$2:$A$41,Vendedores!$C$2:$C$41,"No hay datos")</f>
        <v>Costa Azul</v>
      </c>
      <c r="I790" s="2" t="str">
        <f t="array" ref="I790">_xlfn.XLOOKUP(B790,Vendedores!$A$2:$A$41,Vendedores!$D$2:$D$41,"No hay datos")</f>
        <v>Región Norte</v>
      </c>
      <c r="J790" s="2" t="str">
        <f t="array" ref="J790:N790">_xlfn.XLOOKUP(A790,Productos!$A$2:$A$61,Productos!$B$2:$F$61)</f>
        <v>Chaqueta de cuero</v>
      </c>
      <c r="K790" s="2" t="s">
        <v>17</v>
      </c>
      <c r="L790" s="2" t="s">
        <v>10</v>
      </c>
      <c r="M790" s="2" t="s">
        <v>80</v>
      </c>
      <c r="N790" s="2" t="s">
        <v>81</v>
      </c>
    </row>
    <row r="791">
      <c r="A791" s="2" t="str">
        <f>IFERROR(__xludf.DUMMYFUNCTION("""COMPUTED_VALUE"""),"PR047")</f>
        <v>PR047</v>
      </c>
      <c r="B791" s="2" t="str">
        <f>IFERROR(__xludf.DUMMYFUNCTION("""COMPUTED_VALUE"""),"VD030")</f>
        <v>VD030</v>
      </c>
      <c r="C791" s="2">
        <f>IFERROR(__xludf.DUMMYFUNCTION("""COMPUTED_VALUE"""),10.0)</f>
        <v>10</v>
      </c>
      <c r="D791" s="6">
        <f>IFERROR(__xludf.DUMMYFUNCTION("""COMPUTED_VALUE"""),3043.95)</f>
        <v>3043.95</v>
      </c>
      <c r="E791" s="6">
        <f>IFERROR(__xludf.DUMMYFUNCTION("GOOGLEFINANCE(""Currency:BRLMXN"")*D791"),10341.820124999998)</f>
        <v>10341.82013</v>
      </c>
      <c r="F791" s="6">
        <f>IFERROR(__xludf.DUMMYFUNCTION("GOOGLEFINANCE(""Currency:BRLPEN"")*D791"),1995.6136199999999)</f>
        <v>1995.61362</v>
      </c>
      <c r="G791" s="2" t="str">
        <f t="array" ref="G791">_xlfn.XLOOKUP(B791,Vendedores!$A$2:$A$41,Vendedores!$B$2:$B$41,"No hay datos")</f>
        <v>Leonardo Rojas</v>
      </c>
      <c r="H791" s="2" t="str">
        <f t="array" ref="H791">_xlfn.XLOOKUP(B791,Vendedores!$A$2:$A$41,Vendedores!$C$2:$C$41,"No hay datos")</f>
        <v>Villa del Sol</v>
      </c>
      <c r="I791" s="2" t="str">
        <f t="array" ref="I791">_xlfn.XLOOKUP(B791,Vendedores!$A$2:$A$41,Vendedores!$D$2:$D$41,"No hay datos")</f>
        <v>Región Central 2</v>
      </c>
      <c r="J791" s="2" t="str">
        <f t="array" ref="J791:N791">_xlfn.XLOOKUP(A791,Productos!$A$2:$A$61,Productos!$B$2:$F$61)</f>
        <v>Chaqueta de cuero</v>
      </c>
      <c r="K791" s="2" t="s">
        <v>17</v>
      </c>
      <c r="L791" s="2" t="s">
        <v>10</v>
      </c>
      <c r="M791" s="2" t="s">
        <v>43</v>
      </c>
      <c r="N791" s="2" t="s">
        <v>44</v>
      </c>
    </row>
    <row r="792">
      <c r="A792" s="2" t="str">
        <f>IFERROR(__xludf.DUMMYFUNCTION("""COMPUTED_VALUE"""),"PR056")</f>
        <v>PR056</v>
      </c>
      <c r="B792" s="2" t="str">
        <f>IFERROR(__xludf.DUMMYFUNCTION("""COMPUTED_VALUE"""),"VD015")</f>
        <v>VD015</v>
      </c>
      <c r="C792" s="2">
        <f>IFERROR(__xludf.DUMMYFUNCTION("""COMPUTED_VALUE"""),7.0)</f>
        <v>7</v>
      </c>
      <c r="D792" s="6">
        <f>IFERROR(__xludf.DUMMYFUNCTION("""COMPUTED_VALUE"""),635.59)</f>
        <v>635.59</v>
      </c>
      <c r="E792" s="6">
        <f>IFERROR(__xludf.DUMMYFUNCTION("GOOGLEFINANCE(""Currency:BRLMXN"")*D792"),2159.417025)</f>
        <v>2159.417025</v>
      </c>
      <c r="F792" s="6">
        <f>IFERROR(__xludf.DUMMYFUNCTION("GOOGLEFINANCE(""Currency:BRLPEN"")*D792"),416.692804)</f>
        <v>416.692804</v>
      </c>
      <c r="G792" s="2" t="str">
        <f t="array" ref="G792">_xlfn.XLOOKUP(B792,Vendedores!$A$2:$A$41,Vendedores!$B$2:$B$41,"No hay datos")</f>
        <v>Lucas Castillo</v>
      </c>
      <c r="H792" s="2" t="str">
        <f t="array" ref="H792">_xlfn.XLOOKUP(B792,Vendedores!$A$2:$A$41,Vendedores!$C$2:$C$41,"No hay datos")</f>
        <v>San Miguel de los Pinos</v>
      </c>
      <c r="I792" s="2" t="str">
        <f t="array" ref="I792">_xlfn.XLOOKUP(B792,Vendedores!$A$2:$A$41,Vendedores!$D$2:$D$41,"No hay datos")</f>
        <v>Región Sur</v>
      </c>
      <c r="J792" s="2" t="str">
        <f t="array" ref="J792:N792">_xlfn.XLOOKUP(A792,Productos!$A$2:$A$61,Productos!$B$2:$F$61)</f>
        <v>Sandalia plana</v>
      </c>
      <c r="K792" s="2">
        <v>36.0</v>
      </c>
      <c r="L792" s="2" t="s">
        <v>33</v>
      </c>
      <c r="M792" s="2" t="s">
        <v>106</v>
      </c>
      <c r="N792" s="2" t="s">
        <v>35</v>
      </c>
    </row>
    <row r="793">
      <c r="A793" s="2" t="str">
        <f>IFERROR(__xludf.DUMMYFUNCTION("""COMPUTED_VALUE"""),"PR057")</f>
        <v>PR057</v>
      </c>
      <c r="B793" s="2" t="str">
        <f>IFERROR(__xludf.DUMMYFUNCTION("""COMPUTED_VALUE"""),"VD010")</f>
        <v>VD010</v>
      </c>
      <c r="C793" s="2">
        <f>IFERROR(__xludf.DUMMYFUNCTION("""COMPUTED_VALUE"""),4.0)</f>
        <v>4</v>
      </c>
      <c r="D793" s="6">
        <f>IFERROR(__xludf.DUMMYFUNCTION("""COMPUTED_VALUE"""),381.18)</f>
        <v>381.18</v>
      </c>
      <c r="E793" s="6">
        <f>IFERROR(__xludf.DUMMYFUNCTION("GOOGLEFINANCE(""Currency:BRLMXN"")*D793"),1295.05905)</f>
        <v>1295.05905</v>
      </c>
      <c r="F793" s="6">
        <f>IFERROR(__xludf.DUMMYFUNCTION("GOOGLEFINANCE(""Currency:BRLPEN"")*D793"),249.90160799999998)</f>
        <v>249.901608</v>
      </c>
      <c r="G793" s="2" t="str">
        <f t="array" ref="G793">_xlfn.XLOOKUP(B793,Vendedores!$A$2:$A$41,Vendedores!$B$2:$B$41,"No hay datos")</f>
        <v>María Silva</v>
      </c>
      <c r="H793" s="2" t="str">
        <f t="array" ref="H793">_xlfn.XLOOKUP(B793,Vendedores!$A$2:$A$41,Vendedores!$C$2:$C$41,"No hay datos")</f>
        <v>San Juan de la Sierra</v>
      </c>
      <c r="I793" s="2" t="str">
        <f t="array" ref="I793">_xlfn.XLOOKUP(B793,Vendedores!$A$2:$A$41,Vendedores!$D$2:$D$41,"No hay datos")</f>
        <v>Región Central</v>
      </c>
      <c r="J793" s="2" t="str">
        <f t="array" ref="J793:N793">_xlfn.XLOOKUP(A793,Productos!$A$2:$A$61,Productos!$B$2:$F$61)</f>
        <v>Sandalia plana</v>
      </c>
      <c r="K793" s="2">
        <v>37.0</v>
      </c>
      <c r="L793" s="2" t="s">
        <v>33</v>
      </c>
      <c r="M793" s="2" t="s">
        <v>58</v>
      </c>
      <c r="N793" s="2" t="s">
        <v>35</v>
      </c>
    </row>
    <row r="794">
      <c r="A794" s="2" t="str">
        <f>IFERROR(__xludf.DUMMYFUNCTION("""COMPUTED_VALUE"""),"PR023")</f>
        <v>PR023</v>
      </c>
      <c r="B794" s="2" t="str">
        <f>IFERROR(__xludf.DUMMYFUNCTION("""COMPUTED_VALUE"""),"VD021")</f>
        <v>VD021</v>
      </c>
      <c r="C794" s="2">
        <f>IFERROR(__xludf.DUMMYFUNCTION("""COMPUTED_VALUE"""),6.0)</f>
        <v>6</v>
      </c>
      <c r="D794" s="6">
        <f>IFERROR(__xludf.DUMMYFUNCTION("""COMPUTED_VALUE"""),1604.36)</f>
        <v>1604.36</v>
      </c>
      <c r="E794" s="6">
        <f>IFERROR(__xludf.DUMMYFUNCTION("GOOGLEFINANCE(""Currency:BRLMXN"")*D794"),5450.813099999999)</f>
        <v>5450.8131</v>
      </c>
      <c r="F794" s="6">
        <f>IFERROR(__xludf.DUMMYFUNCTION("GOOGLEFINANCE(""Currency:BRLPEN"")*D794"),1051.8184159999998)</f>
        <v>1051.818416</v>
      </c>
      <c r="G794" s="2" t="str">
        <f t="array" ref="G794">_xlfn.XLOOKUP(B794,Vendedores!$A$2:$A$41,Vendedores!$B$2:$B$41,"No hay datos")</f>
        <v>Fernanda Méndez</v>
      </c>
      <c r="H794" s="2" t="str">
        <f t="array" ref="H794">_xlfn.XLOOKUP(B794,Vendedores!$A$2:$A$41,Vendedores!$C$2:$C$41,"No hay datos")</f>
        <v>San Juan de la Sierra</v>
      </c>
      <c r="I794" s="2" t="str">
        <f t="array" ref="I794">_xlfn.XLOOKUP(B794,Vendedores!$A$2:$A$41,Vendedores!$D$2:$D$41,"No hay datos")</f>
        <v>Región Central</v>
      </c>
      <c r="J794" s="2" t="str">
        <f t="array" ref="J794:N794">_xlfn.XLOOKUP(A794,Productos!$A$2:$A$61,Productos!$B$2:$F$61)</f>
        <v>Chaqueta de mezclilla</v>
      </c>
      <c r="K794" s="2" t="s">
        <v>9</v>
      </c>
      <c r="L794" s="2" t="s">
        <v>10</v>
      </c>
      <c r="M794" s="2" t="s">
        <v>72</v>
      </c>
      <c r="N794" s="2" t="s">
        <v>56</v>
      </c>
    </row>
    <row r="795">
      <c r="A795" s="2" t="str">
        <f>IFERROR(__xludf.DUMMYFUNCTION("""COMPUTED_VALUE"""),"PR001")</f>
        <v>PR001</v>
      </c>
      <c r="B795" s="2" t="str">
        <f>IFERROR(__xludf.DUMMYFUNCTION("""COMPUTED_VALUE"""),"VD036")</f>
        <v>VD036</v>
      </c>
      <c r="C795" s="2">
        <f>IFERROR(__xludf.DUMMYFUNCTION("""COMPUTED_VALUE"""),8.0)</f>
        <v>8</v>
      </c>
      <c r="D795" s="6">
        <f>IFERROR(__xludf.DUMMYFUNCTION("""COMPUTED_VALUE"""),574.65)</f>
        <v>574.65</v>
      </c>
      <c r="E795" s="6">
        <f>IFERROR(__xludf.DUMMYFUNCTION("GOOGLEFINANCE(""Currency:BRLMXN"")*D795"),1952.373375)</f>
        <v>1952.373375</v>
      </c>
      <c r="F795" s="6">
        <f>IFERROR(__xludf.DUMMYFUNCTION("GOOGLEFINANCE(""Currency:BRLPEN"")*D795"),376.74053999999995)</f>
        <v>376.74054</v>
      </c>
      <c r="G795" s="2" t="str">
        <f t="array" ref="G795">_xlfn.XLOOKUP(B795,Vendedores!$A$2:$A$41,Vendedores!$B$2:$B$41,"No hay datos")</f>
        <v>Ricardo Sosa</v>
      </c>
      <c r="H795" s="2" t="str">
        <f t="array" ref="H795">_xlfn.XLOOKUP(B795,Vendedores!$A$2:$A$41,Vendedores!$C$2:$C$41,"No hay datos")</f>
        <v>Puerto Nuevo</v>
      </c>
      <c r="I795" s="2" t="str">
        <f t="array" ref="I795">_xlfn.XLOOKUP(B795,Vendedores!$A$2:$A$41,Vendedores!$D$2:$D$41,"No hay datos")</f>
        <v>Región Central 2</v>
      </c>
      <c r="J795" s="2" t="str">
        <f t="array" ref="J795:N795">_xlfn.XLOOKUP(A795,Productos!$A$2:$A$61,Productos!$B$2:$F$61)</f>
        <v>Bermuda</v>
      </c>
      <c r="K795" s="2" t="s">
        <v>9</v>
      </c>
      <c r="L795" s="2" t="s">
        <v>10</v>
      </c>
      <c r="M795" s="2" t="s">
        <v>11</v>
      </c>
      <c r="N795" s="2" t="s">
        <v>12</v>
      </c>
    </row>
    <row r="796">
      <c r="A796" s="2" t="str">
        <f>IFERROR(__xludf.DUMMYFUNCTION("""COMPUTED_VALUE"""),"PR043")</f>
        <v>PR043</v>
      </c>
      <c r="B796" s="2" t="str">
        <f>IFERROR(__xludf.DUMMYFUNCTION("""COMPUTED_VALUE"""),"VD040")</f>
        <v>VD040</v>
      </c>
      <c r="C796" s="2">
        <f>IFERROR(__xludf.DUMMYFUNCTION("""COMPUTED_VALUE"""),2.0)</f>
        <v>2</v>
      </c>
      <c r="D796" s="6">
        <f>IFERROR(__xludf.DUMMYFUNCTION("""COMPUTED_VALUE"""),155.15)</f>
        <v>155.15</v>
      </c>
      <c r="E796" s="6">
        <f>IFERROR(__xludf.DUMMYFUNCTION("GOOGLEFINANCE(""Currency:BRLMXN"")*D796"),527.122125)</f>
        <v>527.122125</v>
      </c>
      <c r="F796" s="6">
        <f>IFERROR(__xludf.DUMMYFUNCTION("GOOGLEFINANCE(""Currency:BRLPEN"")*D796"),101.71634)</f>
        <v>101.71634</v>
      </c>
      <c r="G796" s="2" t="str">
        <f t="array" ref="G796">_xlfn.XLOOKUP(B796,Vendedores!$A$2:$A$41,Vendedores!$B$2:$B$41,"No hay datos")</f>
        <v>Tatiana Montero</v>
      </c>
      <c r="H796" s="2" t="str">
        <f t="array" ref="H796">_xlfn.XLOOKUP(B796,Vendedores!$A$2:$A$41,Vendedores!$C$2:$C$41,"No hay datos")</f>
        <v>Ciudad Industrial</v>
      </c>
      <c r="I796" s="2" t="str">
        <f t="array" ref="I796">_xlfn.XLOOKUP(B796,Vendedores!$A$2:$A$41,Vendedores!$D$2:$D$41,"No hay datos")</f>
        <v>Región Central 2</v>
      </c>
      <c r="J796" s="2" t="str">
        <f t="array" ref="J796:N796">_xlfn.XLOOKUP(A796,Productos!$A$2:$A$61,Productos!$B$2:$F$61)</f>
        <v>Vestido floral</v>
      </c>
      <c r="K796" s="2" t="s">
        <v>9</v>
      </c>
      <c r="L796" s="2" t="s">
        <v>10</v>
      </c>
      <c r="M796" s="2" t="s">
        <v>69</v>
      </c>
      <c r="N796" s="2" t="s">
        <v>40</v>
      </c>
    </row>
    <row r="797">
      <c r="A797" s="2" t="str">
        <f>IFERROR(__xludf.DUMMYFUNCTION("""COMPUTED_VALUE"""),"PR058")</f>
        <v>PR058</v>
      </c>
      <c r="B797" s="2" t="str">
        <f>IFERROR(__xludf.DUMMYFUNCTION("""COMPUTED_VALUE"""),"VD030")</f>
        <v>VD030</v>
      </c>
      <c r="C797" s="2">
        <f>IFERROR(__xludf.DUMMYFUNCTION("""COMPUTED_VALUE"""),4.0)</f>
        <v>4</v>
      </c>
      <c r="D797" s="6">
        <f>IFERROR(__xludf.DUMMYFUNCTION("""COMPUTED_VALUE"""),720.0)</f>
        <v>720</v>
      </c>
      <c r="E797" s="6">
        <f>IFERROR(__xludf.DUMMYFUNCTION("GOOGLEFINANCE(""Currency:BRLMXN"")*D797"),2446.2)</f>
        <v>2446.2</v>
      </c>
      <c r="F797" s="6">
        <f>IFERROR(__xludf.DUMMYFUNCTION("GOOGLEFINANCE(""Currency:BRLPEN"")*D797"),472.032)</f>
        <v>472.032</v>
      </c>
      <c r="G797" s="2" t="str">
        <f t="array" ref="G797">_xlfn.XLOOKUP(B797,Vendedores!$A$2:$A$41,Vendedores!$B$2:$B$41,"No hay datos")</f>
        <v>Leonardo Rojas</v>
      </c>
      <c r="H797" s="2" t="str">
        <f t="array" ref="H797">_xlfn.XLOOKUP(B797,Vendedores!$A$2:$A$41,Vendedores!$C$2:$C$41,"No hay datos")</f>
        <v>Villa del Sol</v>
      </c>
      <c r="I797" s="2" t="str">
        <f t="array" ref="I797">_xlfn.XLOOKUP(B797,Vendedores!$A$2:$A$41,Vendedores!$D$2:$D$41,"No hay datos")</f>
        <v>Región Central 2</v>
      </c>
      <c r="J797" s="2" t="str">
        <f t="array" ref="J797:N797">_xlfn.XLOOKUP(A797,Productos!$A$2:$A$61,Productos!$B$2:$F$61)</f>
        <v>Pantalón de sastre</v>
      </c>
      <c r="K797" s="2" t="s">
        <v>9</v>
      </c>
      <c r="L797" s="2" t="s">
        <v>10</v>
      </c>
      <c r="M797" s="2" t="s">
        <v>13</v>
      </c>
      <c r="N797" s="2" t="s">
        <v>14</v>
      </c>
    </row>
    <row r="798">
      <c r="A798" s="2" t="str">
        <f>IFERROR(__xludf.DUMMYFUNCTION("""COMPUTED_VALUE"""),"PR023")</f>
        <v>PR023</v>
      </c>
      <c r="B798" s="2" t="str">
        <f>IFERROR(__xludf.DUMMYFUNCTION("""COMPUTED_VALUE"""),"VD039")</f>
        <v>VD039</v>
      </c>
      <c r="C798" s="2">
        <f>IFERROR(__xludf.DUMMYFUNCTION("""COMPUTED_VALUE"""),9.0)</f>
        <v>9</v>
      </c>
      <c r="D798" s="6">
        <f>IFERROR(__xludf.DUMMYFUNCTION("""COMPUTED_VALUE"""),2474.01)</f>
        <v>2474.01</v>
      </c>
      <c r="E798" s="6">
        <f>IFERROR(__xludf.DUMMYFUNCTION("GOOGLEFINANCE(""Currency:BRLMXN"")*D798"),8405.448975000001)</f>
        <v>8405.448975</v>
      </c>
      <c r="F798" s="6">
        <f>IFERROR(__xludf.DUMMYFUNCTION("GOOGLEFINANCE(""Currency:BRLPEN"")*D798"),1621.9609560000001)</f>
        <v>1621.960956</v>
      </c>
      <c r="G798" s="2" t="str">
        <f t="array" ref="G798">_xlfn.XLOOKUP(B798,Vendedores!$A$2:$A$41,Vendedores!$B$2:$B$41,"No hay datos")</f>
        <v>Daniela Rodríguez</v>
      </c>
      <c r="H798" s="2" t="str">
        <f t="array" ref="H798">_xlfn.XLOOKUP(B798,Vendedores!$A$2:$A$41,Vendedores!$C$2:$C$41,"No hay datos")</f>
        <v>Bahía del Sol</v>
      </c>
      <c r="I798" s="2" t="str">
        <f t="array" ref="I798">_xlfn.XLOOKUP(B798,Vendedores!$A$2:$A$41,Vendedores!$D$2:$D$41,"No hay datos")</f>
        <v>Región Central 2</v>
      </c>
      <c r="J798" s="2" t="str">
        <f t="array" ref="J798:N798">_xlfn.XLOOKUP(A798,Productos!$A$2:$A$61,Productos!$B$2:$F$61)</f>
        <v>Chaqueta de mezclilla</v>
      </c>
      <c r="K798" s="2" t="s">
        <v>9</v>
      </c>
      <c r="L798" s="2" t="s">
        <v>10</v>
      </c>
      <c r="M798" s="2" t="s">
        <v>72</v>
      </c>
      <c r="N798" s="2" t="s">
        <v>56</v>
      </c>
    </row>
    <row r="799">
      <c r="A799" s="2" t="str">
        <f>IFERROR(__xludf.DUMMYFUNCTION("""COMPUTED_VALUE"""),"PR012")</f>
        <v>PR012</v>
      </c>
      <c r="B799" s="2" t="str">
        <f>IFERROR(__xludf.DUMMYFUNCTION("""COMPUTED_VALUE"""),"VD032")</f>
        <v>VD032</v>
      </c>
      <c r="C799" s="2">
        <f>IFERROR(__xludf.DUMMYFUNCTION("""COMPUTED_VALUE"""),12.0)</f>
        <v>12</v>
      </c>
      <c r="D799" s="6">
        <f>IFERROR(__xludf.DUMMYFUNCTION("""COMPUTED_VALUE"""),610.27)</f>
        <v>610.27</v>
      </c>
      <c r="E799" s="6">
        <f>IFERROR(__xludf.DUMMYFUNCTION("GOOGLEFINANCE(""Currency:BRLMXN"")*D799"),2073.392325)</f>
        <v>2073.392325</v>
      </c>
      <c r="F799" s="6">
        <f>IFERROR(__xludf.DUMMYFUNCTION("GOOGLEFINANCE(""Currency:BRLPEN"")*D799"),400.093012)</f>
        <v>400.093012</v>
      </c>
      <c r="G799" s="2" t="str">
        <f t="array" ref="G799">_xlfn.XLOOKUP(B799,Vendedores!$A$2:$A$41,Vendedores!$B$2:$B$41,"No hay datos")</f>
        <v>Eduardo Almonte</v>
      </c>
      <c r="H799" s="2" t="str">
        <f t="array" ref="H799">_xlfn.XLOOKUP(B799,Vendedores!$A$2:$A$41,Vendedores!$C$2:$C$41,"No hay datos")</f>
        <v>Tierra Colorada</v>
      </c>
      <c r="I799" s="2" t="str">
        <f t="array" ref="I799">_xlfn.XLOOKUP(B799,Vendedores!$A$2:$A$41,Vendedores!$D$2:$D$41,"No hay datos")</f>
        <v>Región Central 2</v>
      </c>
      <c r="J799" s="2" t="str">
        <f t="array" ref="J799:N799">_xlfn.XLOOKUP(A799,Productos!$A$2:$A$61,Productos!$B$2:$F$61)</f>
        <v>Pantalón legging</v>
      </c>
      <c r="K799" s="2" t="s">
        <v>22</v>
      </c>
      <c r="L799" s="2" t="s">
        <v>10</v>
      </c>
      <c r="M799" s="2" t="s">
        <v>88</v>
      </c>
      <c r="N799" s="2" t="s">
        <v>89</v>
      </c>
    </row>
    <row r="800">
      <c r="A800" s="2" t="str">
        <f>IFERROR(__xludf.DUMMYFUNCTION("""COMPUTED_VALUE"""),"PR026")</f>
        <v>PR026</v>
      </c>
      <c r="B800" s="2" t="str">
        <f>IFERROR(__xludf.DUMMYFUNCTION("""COMPUTED_VALUE"""),"VD043")</f>
        <v>VD043</v>
      </c>
      <c r="C800" s="2">
        <f>IFERROR(__xludf.DUMMYFUNCTION("""COMPUTED_VALUE"""),2.0)</f>
        <v>2</v>
      </c>
      <c r="D800" s="6">
        <f>IFERROR(__xludf.DUMMYFUNCTION("""COMPUTED_VALUE"""),769.78)</f>
        <v>769.78</v>
      </c>
      <c r="E800" s="6">
        <f>IFERROR(__xludf.DUMMYFUNCTION("GOOGLEFINANCE(""Currency:BRLMXN"")*D800"),2615.32755)</f>
        <v>2615.32755</v>
      </c>
      <c r="F800" s="6">
        <f>IFERROR(__xludf.DUMMYFUNCTION("GOOGLEFINANCE(""Currency:BRLPEN"")*D800"),504.66776799999997)</f>
        <v>504.667768</v>
      </c>
      <c r="G800" s="2" t="str">
        <f t="array" ref="G800">_xlfn.XLOOKUP(B800,Vendedores!$A$2:$A$41,Vendedores!$B$2:$B$41,"No hay datos")</f>
        <v>Carlos Henríquez</v>
      </c>
      <c r="H800" s="2" t="str">
        <f t="array" ref="H800">_xlfn.XLOOKUP(B800,Vendedores!$A$2:$A$41,Vendedores!$C$2:$C$41,"No hay datos")</f>
        <v>Ciudad Aeropuerto</v>
      </c>
      <c r="I800" s="2" t="str">
        <f t="array" ref="I800">_xlfn.XLOOKUP(B800,Vendedores!$A$2:$A$41,Vendedores!$D$2:$D$41,"No hay datos")</f>
        <v>Región Central 2</v>
      </c>
      <c r="J800" s="2" t="str">
        <f t="array" ref="J800:N800">_xlfn.XLOOKUP(A800,Productos!$A$2:$A$61,Productos!$B$2:$F$61)</f>
        <v>Gafas cuadradas</v>
      </c>
      <c r="K800" s="2" t="s">
        <v>29</v>
      </c>
      <c r="L800" s="2" t="s">
        <v>30</v>
      </c>
      <c r="M800" s="2" t="s">
        <v>90</v>
      </c>
      <c r="N800" s="2" t="s">
        <v>91</v>
      </c>
    </row>
    <row r="801">
      <c r="A801" s="2" t="str">
        <f>IFERROR(__xludf.DUMMYFUNCTION("""COMPUTED_VALUE"""),"PR002")</f>
        <v>PR002</v>
      </c>
      <c r="B801" s="2" t="str">
        <f>IFERROR(__xludf.DUMMYFUNCTION("""COMPUTED_VALUE"""),"VD036")</f>
        <v>VD036</v>
      </c>
      <c r="C801" s="2">
        <f>IFERROR(__xludf.DUMMYFUNCTION("""COMPUTED_VALUE"""),8.0)</f>
        <v>8</v>
      </c>
      <c r="D801" s="6">
        <f>IFERROR(__xludf.DUMMYFUNCTION("""COMPUTED_VALUE"""),587.16)</f>
        <v>587.16</v>
      </c>
      <c r="E801" s="6">
        <f>IFERROR(__xludf.DUMMYFUNCTION("GOOGLEFINANCE(""Currency:BRLMXN"")*D801"),1994.8761)</f>
        <v>1994.8761</v>
      </c>
      <c r="F801" s="6">
        <f>IFERROR(__xludf.DUMMYFUNCTION("GOOGLEFINANCE(""Currency:BRLPEN"")*D801"),384.94209599999994)</f>
        <v>384.942096</v>
      </c>
      <c r="G801" s="2" t="str">
        <f t="array" ref="G801">_xlfn.XLOOKUP(B801,Vendedores!$A$2:$A$41,Vendedores!$B$2:$B$41,"No hay datos")</f>
        <v>Ricardo Sosa</v>
      </c>
      <c r="H801" s="2" t="str">
        <f t="array" ref="H801">_xlfn.XLOOKUP(B801,Vendedores!$A$2:$A$41,Vendedores!$C$2:$C$41,"No hay datos")</f>
        <v>Puerto Nuevo</v>
      </c>
      <c r="I801" s="2" t="str">
        <f t="array" ref="I801">_xlfn.XLOOKUP(B801,Vendedores!$A$2:$A$41,Vendedores!$D$2:$D$41,"No hay datos")</f>
        <v>Región Central 2</v>
      </c>
      <c r="J801" s="2" t="str">
        <f t="array" ref="J801:N801">_xlfn.XLOOKUP(A801,Productos!$A$2:$A$61,Productos!$B$2:$F$61)</f>
        <v>Bermuda</v>
      </c>
      <c r="K801" s="2" t="s">
        <v>17</v>
      </c>
      <c r="L801" s="2" t="s">
        <v>10</v>
      </c>
      <c r="M801" s="2" t="s">
        <v>49</v>
      </c>
      <c r="N801" s="2" t="s">
        <v>50</v>
      </c>
    </row>
    <row r="802">
      <c r="A802" s="2" t="str">
        <f>IFERROR(__xludf.DUMMYFUNCTION("""COMPUTED_VALUE"""),"PR028")</f>
        <v>PR028</v>
      </c>
      <c r="B802" s="2" t="str">
        <f>IFERROR(__xludf.DUMMYFUNCTION("""COMPUTED_VALUE"""),"VD043")</f>
        <v>VD043</v>
      </c>
      <c r="C802" s="2">
        <f>IFERROR(__xludf.DUMMYFUNCTION("""COMPUTED_VALUE"""),4.0)</f>
        <v>4</v>
      </c>
      <c r="D802" s="6">
        <f>IFERROR(__xludf.DUMMYFUNCTION("""COMPUTED_VALUE"""),1049.58)</f>
        <v>1049.58</v>
      </c>
      <c r="E802" s="6">
        <f>IFERROR(__xludf.DUMMYFUNCTION("GOOGLEFINANCE(""Currency:BRLMXN"")*D802"),3565.9480499999995)</f>
        <v>3565.94805</v>
      </c>
      <c r="F802" s="6">
        <f>IFERROR(__xludf.DUMMYFUNCTION("GOOGLEFINANCE(""Currency:BRLPEN"")*D802"),688.1046479999999)</f>
        <v>688.104648</v>
      </c>
      <c r="G802" s="2" t="str">
        <f t="array" ref="G802">_xlfn.XLOOKUP(B802,Vendedores!$A$2:$A$41,Vendedores!$B$2:$B$41,"No hay datos")</f>
        <v>Carlos Henríquez</v>
      </c>
      <c r="H802" s="2" t="str">
        <f t="array" ref="H802">_xlfn.XLOOKUP(B802,Vendedores!$A$2:$A$41,Vendedores!$C$2:$C$41,"No hay datos")</f>
        <v>Ciudad Aeropuerto</v>
      </c>
      <c r="I802" s="2" t="str">
        <f t="array" ref="I802">_xlfn.XLOOKUP(B802,Vendedores!$A$2:$A$41,Vendedores!$D$2:$D$41,"No hay datos")</f>
        <v>Región Central 2</v>
      </c>
      <c r="J802" s="2" t="str">
        <f t="array" ref="J802:N802">_xlfn.XLOOKUP(A802,Productos!$A$2:$A$61,Productos!$B$2:$F$61)</f>
        <v>Tenis Atitas</v>
      </c>
      <c r="K802" s="2">
        <v>36.0</v>
      </c>
      <c r="L802" s="2" t="s">
        <v>33</v>
      </c>
      <c r="M802" s="2" t="s">
        <v>55</v>
      </c>
      <c r="N802" s="2" t="s">
        <v>56</v>
      </c>
    </row>
    <row r="803">
      <c r="A803" s="2" t="str">
        <f>IFERROR(__xludf.DUMMYFUNCTION("""COMPUTED_VALUE"""),"PR044")</f>
        <v>PR044</v>
      </c>
      <c r="B803" s="2" t="str">
        <f>IFERROR(__xludf.DUMMYFUNCTION("""COMPUTED_VALUE"""),"VD021")</f>
        <v>VD021</v>
      </c>
      <c r="C803" s="2">
        <f>IFERROR(__xludf.DUMMYFUNCTION("""COMPUTED_VALUE"""),6.0)</f>
        <v>6</v>
      </c>
      <c r="D803" s="6">
        <f>IFERROR(__xludf.DUMMYFUNCTION("""COMPUTED_VALUE"""),439.35)</f>
        <v>439.35</v>
      </c>
      <c r="E803" s="6">
        <f>IFERROR(__xludf.DUMMYFUNCTION("GOOGLEFINANCE(""Currency:BRLMXN"")*D803"),1492.6916250000002)</f>
        <v>1492.691625</v>
      </c>
      <c r="F803" s="6">
        <f>IFERROR(__xludf.DUMMYFUNCTION("GOOGLEFINANCE(""Currency:BRLPEN"")*D803"),288.03786)</f>
        <v>288.03786</v>
      </c>
      <c r="G803" s="2" t="str">
        <f t="array" ref="G803">_xlfn.XLOOKUP(B803,Vendedores!$A$2:$A$41,Vendedores!$B$2:$B$41,"No hay datos")</f>
        <v>Fernanda Méndez</v>
      </c>
      <c r="H803" s="2" t="str">
        <f t="array" ref="H803">_xlfn.XLOOKUP(B803,Vendedores!$A$2:$A$41,Vendedores!$C$2:$C$41,"No hay datos")</f>
        <v>San Juan de la Sierra</v>
      </c>
      <c r="I803" s="2" t="str">
        <f t="array" ref="I803">_xlfn.XLOOKUP(B803,Vendedores!$A$2:$A$41,Vendedores!$D$2:$D$41,"No hay datos")</f>
        <v>Región Central</v>
      </c>
      <c r="J803" s="2" t="str">
        <f t="array" ref="J803:N803">_xlfn.XLOOKUP(A803,Productos!$A$2:$A$61,Productos!$B$2:$F$61)</f>
        <v>Vestido floral</v>
      </c>
      <c r="K803" s="2" t="s">
        <v>17</v>
      </c>
      <c r="L803" s="2" t="s">
        <v>10</v>
      </c>
      <c r="M803" s="2" t="s">
        <v>105</v>
      </c>
      <c r="N803" s="2" t="s">
        <v>40</v>
      </c>
    </row>
    <row r="804">
      <c r="A804" s="2" t="str">
        <f>IFERROR(__xludf.DUMMYFUNCTION("""COMPUTED_VALUE"""),"PR017")</f>
        <v>PR017</v>
      </c>
      <c r="B804" s="2" t="str">
        <f>IFERROR(__xludf.DUMMYFUNCTION("""COMPUTED_VALUE"""),"VD026")</f>
        <v>VD026</v>
      </c>
      <c r="C804" s="2">
        <f>IFERROR(__xludf.DUMMYFUNCTION("""COMPUTED_VALUE"""),2.0)</f>
        <v>2</v>
      </c>
      <c r="D804" s="6">
        <f>IFERROR(__xludf.DUMMYFUNCTION("""COMPUTED_VALUE"""),65.18)</f>
        <v>65.18</v>
      </c>
      <c r="E804" s="6">
        <f>IFERROR(__xludf.DUMMYFUNCTION("GOOGLEFINANCE(""Currency:BRLMXN"")*D804"),221.44905000000003)</f>
        <v>221.44905</v>
      </c>
      <c r="F804" s="6">
        <f>IFERROR(__xludf.DUMMYFUNCTION("GOOGLEFINANCE(""Currency:BRLPEN"")*D804"),42.732008)</f>
        <v>42.732008</v>
      </c>
      <c r="G804" s="2" t="str">
        <f t="array" ref="G804">_xlfn.XLOOKUP(B804,Vendedores!$A$2:$A$41,Vendedores!$B$2:$B$41,"No hay datos")</f>
        <v>Daniel Fernández</v>
      </c>
      <c r="H804" s="2" t="str">
        <f t="array" ref="H804">_xlfn.XLOOKUP(B804,Vendedores!$A$2:$A$41,Vendedores!$C$2:$C$41,"No hay datos")</f>
        <v>Puerto Esperanza</v>
      </c>
      <c r="I804" s="2" t="str">
        <f t="array" ref="I804">_xlfn.XLOOKUP(B804,Vendedores!$A$2:$A$41,Vendedores!$D$2:$D$41,"No hay datos")</f>
        <v>Región Sur</v>
      </c>
      <c r="J804" s="2" t="str">
        <f t="array" ref="J804:N804">_xlfn.XLOOKUP(A804,Productos!$A$2:$A$61,Productos!$B$2:$F$61)</f>
        <v>Playera lisa</v>
      </c>
      <c r="K804" s="2" t="s">
        <v>17</v>
      </c>
      <c r="L804" s="2" t="s">
        <v>10</v>
      </c>
      <c r="M804" s="2" t="s">
        <v>98</v>
      </c>
      <c r="N804" s="2" t="s">
        <v>99</v>
      </c>
    </row>
    <row r="805">
      <c r="A805" s="2" t="str">
        <f>IFERROR(__xludf.DUMMYFUNCTION("""COMPUTED_VALUE"""),"PR008")</f>
        <v>PR008</v>
      </c>
      <c r="B805" s="2" t="str">
        <f>IFERROR(__xludf.DUMMYFUNCTION("""COMPUTED_VALUE"""),"VD027")</f>
        <v>VD027</v>
      </c>
      <c r="C805" s="2">
        <f>IFERROR(__xludf.DUMMYFUNCTION("""COMPUTED_VALUE"""),6.0)</f>
        <v>6</v>
      </c>
      <c r="D805" s="6">
        <f>IFERROR(__xludf.DUMMYFUNCTION("""COMPUTED_VALUE"""),593.34)</f>
        <v>593.34</v>
      </c>
      <c r="E805" s="6">
        <f>IFERROR(__xludf.DUMMYFUNCTION("GOOGLEFINANCE(""Currency:BRLMXN"")*D805"),2015.87265)</f>
        <v>2015.87265</v>
      </c>
      <c r="F805" s="6">
        <f>IFERROR(__xludf.DUMMYFUNCTION("GOOGLEFINANCE(""Currency:BRLPEN"")*D805"),388.993704)</f>
        <v>388.993704</v>
      </c>
      <c r="G805" s="2" t="str">
        <f t="array" ref="G805">_xlfn.XLOOKUP(B805,Vendedores!$A$2:$A$41,Vendedores!$B$2:$B$41,"No hay datos")</f>
        <v>Patricia Cortés</v>
      </c>
      <c r="H805" s="2" t="str">
        <f t="array" ref="H805">_xlfn.XLOOKUP(B805,Vendedores!$A$2:$A$41,Vendedores!$C$2:$C$41,"No hay datos")</f>
        <v>Costa Azul</v>
      </c>
      <c r="I805" s="2" t="str">
        <f t="array" ref="I805">_xlfn.XLOOKUP(B805,Vendedores!$A$2:$A$41,Vendedores!$D$2:$D$41,"No hay datos")</f>
        <v>Región Norte</v>
      </c>
      <c r="J805" s="2" t="str">
        <f t="array" ref="J805:N805">_xlfn.XLOOKUP(A805,Productos!$A$2:$A$61,Productos!$B$2:$F$61)</f>
        <v>Pantalón de mezclilla</v>
      </c>
      <c r="K805" s="2" t="s">
        <v>17</v>
      </c>
      <c r="L805" s="2" t="s">
        <v>10</v>
      </c>
      <c r="M805" s="2" t="s">
        <v>65</v>
      </c>
      <c r="N805" s="2" t="s">
        <v>35</v>
      </c>
    </row>
    <row r="806">
      <c r="A806" s="2" t="str">
        <f>IFERROR(__xludf.DUMMYFUNCTION("""COMPUTED_VALUE"""),"PR041")</f>
        <v>PR041</v>
      </c>
      <c r="B806" s="2" t="str">
        <f>IFERROR(__xludf.DUMMYFUNCTION("""COMPUTED_VALUE"""),"VD018")</f>
        <v>VD018</v>
      </c>
      <c r="C806" s="2">
        <f>IFERROR(__xludf.DUMMYFUNCTION("""COMPUTED_VALUE"""),3.0)</f>
        <v>3</v>
      </c>
      <c r="D806" s="6">
        <f>IFERROR(__xludf.DUMMYFUNCTION("""COMPUTED_VALUE"""),176.23)</f>
        <v>176.23</v>
      </c>
      <c r="E806" s="6">
        <f>IFERROR(__xludf.DUMMYFUNCTION("GOOGLEFINANCE(""Currency:BRLMXN"")*D806"),598.7414249999999)</f>
        <v>598.741425</v>
      </c>
      <c r="F806" s="6">
        <f>IFERROR(__xludf.DUMMYFUNCTION("GOOGLEFINANCE(""Currency:BRLPEN"")*D806"),115.53638799999999)</f>
        <v>115.536388</v>
      </c>
      <c r="G806" s="2" t="str">
        <f t="array" ref="G806">_xlfn.XLOOKUP(B806,Vendedores!$A$2:$A$41,Vendedores!$B$2:$B$41,"No hay datos")</f>
        <v>Leticia Rodríguez</v>
      </c>
      <c r="H806" s="2" t="str">
        <f t="array" ref="H806">_xlfn.XLOOKUP(B806,Vendedores!$A$2:$A$41,Vendedores!$C$2:$C$41,"No hay datos")</f>
        <v>Playa Blanca</v>
      </c>
      <c r="I806" s="2" t="str">
        <f t="array" ref="I806">_xlfn.XLOOKUP(B806,Vendedores!$A$2:$A$41,Vendedores!$D$2:$D$41,"No hay datos")</f>
        <v>Región Norte</v>
      </c>
      <c r="J806" s="2" t="str">
        <f t="array" ref="J806:N806">_xlfn.XLOOKUP(A806,Productos!$A$2:$A$61,Productos!$B$2:$F$61)</f>
        <v>Playera confort</v>
      </c>
      <c r="K806" s="2" t="s">
        <v>17</v>
      </c>
      <c r="L806" s="2" t="s">
        <v>10</v>
      </c>
      <c r="M806" s="2" t="s">
        <v>95</v>
      </c>
      <c r="N806" s="2" t="s">
        <v>26</v>
      </c>
    </row>
    <row r="807">
      <c r="A807" s="2" t="str">
        <f>IFERROR(__xludf.DUMMYFUNCTION("""COMPUTED_VALUE"""),"PR012")</f>
        <v>PR012</v>
      </c>
      <c r="B807" s="2" t="str">
        <f>IFERROR(__xludf.DUMMYFUNCTION("""COMPUTED_VALUE"""),"VD013")</f>
        <v>VD013</v>
      </c>
      <c r="C807" s="2">
        <f>IFERROR(__xludf.DUMMYFUNCTION("""COMPUTED_VALUE"""),8.0)</f>
        <v>8</v>
      </c>
      <c r="D807" s="6">
        <f>IFERROR(__xludf.DUMMYFUNCTION("""COMPUTED_VALUE"""),402.94)</f>
        <v>402.94</v>
      </c>
      <c r="E807" s="6">
        <f>IFERROR(__xludf.DUMMYFUNCTION("GOOGLEFINANCE(""Currency:BRLMXN"")*D807"),1368.98865)</f>
        <v>1368.98865</v>
      </c>
      <c r="F807" s="6">
        <f>IFERROR(__xludf.DUMMYFUNCTION("GOOGLEFINANCE(""Currency:BRLPEN"")*D807"),264.167464)</f>
        <v>264.167464</v>
      </c>
      <c r="G807" s="2" t="str">
        <f t="array" ref="G807">_xlfn.XLOOKUP(B807,Vendedores!$A$2:$A$41,Vendedores!$B$2:$B$41,"No hay datos")</f>
        <v>Pedro Almonte</v>
      </c>
      <c r="H807" s="2" t="str">
        <f t="array" ref="H807">_xlfn.XLOOKUP(B807,Vendedores!$A$2:$A$41,Vendedores!$C$2:$C$41,"No hay datos")</f>
        <v>Santa Rosa del Valle</v>
      </c>
      <c r="I807" s="2" t="str">
        <f t="array" ref="I807">_xlfn.XLOOKUP(B807,Vendedores!$A$2:$A$41,Vendedores!$D$2:$D$41,"No hay datos")</f>
        <v>Región Norte</v>
      </c>
      <c r="J807" s="2" t="str">
        <f t="array" ref="J807:N807">_xlfn.XLOOKUP(A807,Productos!$A$2:$A$61,Productos!$B$2:$F$61)</f>
        <v>Pantalón legging</v>
      </c>
      <c r="K807" s="2" t="s">
        <v>22</v>
      </c>
      <c r="L807" s="2" t="s">
        <v>10</v>
      </c>
      <c r="M807" s="2" t="s">
        <v>88</v>
      </c>
      <c r="N807" s="2" t="s">
        <v>89</v>
      </c>
    </row>
    <row r="808">
      <c r="A808" s="2" t="str">
        <f>IFERROR(__xludf.DUMMYFUNCTION("""COMPUTED_VALUE"""),"PR039")</f>
        <v>PR039</v>
      </c>
      <c r="B808" s="2" t="str">
        <f>IFERROR(__xludf.DUMMYFUNCTION("""COMPUTED_VALUE"""),"VD027")</f>
        <v>VD027</v>
      </c>
      <c r="C808" s="2">
        <f>IFERROR(__xludf.DUMMYFUNCTION("""COMPUTED_VALUE"""),2.0)</f>
        <v>2</v>
      </c>
      <c r="D808" s="6">
        <f>IFERROR(__xludf.DUMMYFUNCTION("""COMPUTED_VALUE"""),312.44)</f>
        <v>312.44</v>
      </c>
      <c r="E808" s="6">
        <f>IFERROR(__xludf.DUMMYFUNCTION("GOOGLEFINANCE(""Currency:BRLMXN"")*D808"),1061.5149)</f>
        <v>1061.5149</v>
      </c>
      <c r="F808" s="6">
        <f>IFERROR(__xludf.DUMMYFUNCTION("GOOGLEFINANCE(""Currency:BRLPEN"")*D808"),204.83566399999998)</f>
        <v>204.835664</v>
      </c>
      <c r="G808" s="2" t="str">
        <f t="array" ref="G808">_xlfn.XLOOKUP(B808,Vendedores!$A$2:$A$41,Vendedores!$B$2:$B$41,"No hay datos")</f>
        <v>Patricia Cortés</v>
      </c>
      <c r="H808" s="2" t="str">
        <f t="array" ref="H808">_xlfn.XLOOKUP(B808,Vendedores!$A$2:$A$41,Vendedores!$C$2:$C$41,"No hay datos")</f>
        <v>Costa Azul</v>
      </c>
      <c r="I808" s="2" t="str">
        <f t="array" ref="I808">_xlfn.XLOOKUP(B808,Vendedores!$A$2:$A$41,Vendedores!$D$2:$D$41,"No hay datos")</f>
        <v>Región Norte</v>
      </c>
      <c r="J808" s="2" t="str">
        <f t="array" ref="J808:N808">_xlfn.XLOOKUP(A808,Productos!$A$2:$A$61,Productos!$B$2:$F$61)</f>
        <v>Vestido largo</v>
      </c>
      <c r="K808" s="2" t="s">
        <v>22</v>
      </c>
      <c r="L808" s="2" t="s">
        <v>10</v>
      </c>
      <c r="M808" s="2" t="s">
        <v>73</v>
      </c>
      <c r="N808" s="2" t="s">
        <v>74</v>
      </c>
    </row>
    <row r="809">
      <c r="A809" s="2" t="str">
        <f>IFERROR(__xludf.DUMMYFUNCTION("""COMPUTED_VALUE"""),"PR054")</f>
        <v>PR054</v>
      </c>
      <c r="B809" s="2" t="str">
        <f>IFERROR(__xludf.DUMMYFUNCTION("""COMPUTED_VALUE"""),"VD036")</f>
        <v>VD036</v>
      </c>
      <c r="C809" s="2">
        <f>IFERROR(__xludf.DUMMYFUNCTION("""COMPUTED_VALUE"""),4.0)</f>
        <v>4</v>
      </c>
      <c r="D809" s="6">
        <f>IFERROR(__xludf.DUMMYFUNCTION("""COMPUTED_VALUE"""),205.59)</f>
        <v>205.59</v>
      </c>
      <c r="E809" s="6">
        <f>IFERROR(__xludf.DUMMYFUNCTION("GOOGLEFINANCE(""Currency:BRLMXN"")*D809"),698.492025)</f>
        <v>698.492025</v>
      </c>
      <c r="F809" s="6">
        <f>IFERROR(__xludf.DUMMYFUNCTION("GOOGLEFINANCE(""Currency:BRLPEN"")*D809"),134.784804)</f>
        <v>134.784804</v>
      </c>
      <c r="G809" s="2" t="str">
        <f t="array" ref="G809">_xlfn.XLOOKUP(B809,Vendedores!$A$2:$A$41,Vendedores!$B$2:$B$41,"No hay datos")</f>
        <v>Ricardo Sosa</v>
      </c>
      <c r="H809" s="2" t="str">
        <f t="array" ref="H809">_xlfn.XLOOKUP(B809,Vendedores!$A$2:$A$41,Vendedores!$C$2:$C$41,"No hay datos")</f>
        <v>Puerto Nuevo</v>
      </c>
      <c r="I809" s="2" t="str">
        <f t="array" ref="I809">_xlfn.XLOOKUP(B809,Vendedores!$A$2:$A$41,Vendedores!$D$2:$D$41,"No hay datos")</f>
        <v>Región Central 2</v>
      </c>
      <c r="J809" s="2" t="str">
        <f t="array" ref="J809:N809">_xlfn.XLOOKUP(A809,Productos!$A$2:$A$61,Productos!$B$2:$F$61)</f>
        <v>Falda plisada</v>
      </c>
      <c r="K809" s="2" t="s">
        <v>22</v>
      </c>
      <c r="L809" s="2" t="s">
        <v>10</v>
      </c>
      <c r="M809" s="2" t="s">
        <v>42</v>
      </c>
      <c r="N809" s="2" t="s">
        <v>32</v>
      </c>
    </row>
    <row r="810">
      <c r="A810" s="2" t="str">
        <f>IFERROR(__xludf.DUMMYFUNCTION("""COMPUTED_VALUE"""),"PR057")</f>
        <v>PR057</v>
      </c>
      <c r="B810" s="2" t="str">
        <f>IFERROR(__xludf.DUMMYFUNCTION("""COMPUTED_VALUE"""),"VD021")</f>
        <v>VD021</v>
      </c>
      <c r="C810" s="2">
        <f>IFERROR(__xludf.DUMMYFUNCTION("""COMPUTED_VALUE"""),6.0)</f>
        <v>6</v>
      </c>
      <c r="D810" s="6">
        <f>IFERROR(__xludf.DUMMYFUNCTION("""COMPUTED_VALUE"""),539.4)</f>
        <v>539.4</v>
      </c>
      <c r="E810" s="6">
        <f>IFERROR(__xludf.DUMMYFUNCTION("GOOGLEFINANCE(""Currency:BRLMXN"")*D810"),1832.6115)</f>
        <v>1832.6115</v>
      </c>
      <c r="F810" s="6">
        <f>IFERROR(__xludf.DUMMYFUNCTION("GOOGLEFINANCE(""Currency:BRLPEN"")*D810"),353.63063999999997)</f>
        <v>353.63064</v>
      </c>
      <c r="G810" s="2" t="str">
        <f t="array" ref="G810">_xlfn.XLOOKUP(B810,Vendedores!$A$2:$A$41,Vendedores!$B$2:$B$41,"No hay datos")</f>
        <v>Fernanda Méndez</v>
      </c>
      <c r="H810" s="2" t="str">
        <f t="array" ref="H810">_xlfn.XLOOKUP(B810,Vendedores!$A$2:$A$41,Vendedores!$C$2:$C$41,"No hay datos")</f>
        <v>San Juan de la Sierra</v>
      </c>
      <c r="I810" s="2" t="str">
        <f t="array" ref="I810">_xlfn.XLOOKUP(B810,Vendedores!$A$2:$A$41,Vendedores!$D$2:$D$41,"No hay datos")</f>
        <v>Región Central</v>
      </c>
      <c r="J810" s="2" t="str">
        <f t="array" ref="J810:N810">_xlfn.XLOOKUP(A810,Productos!$A$2:$A$61,Productos!$B$2:$F$61)</f>
        <v>Sandalia plana</v>
      </c>
      <c r="K810" s="2">
        <v>37.0</v>
      </c>
      <c r="L810" s="2" t="s">
        <v>33</v>
      </c>
      <c r="M810" s="2" t="s">
        <v>58</v>
      </c>
      <c r="N810" s="2" t="s">
        <v>35</v>
      </c>
    </row>
    <row r="811">
      <c r="A811" s="2" t="str">
        <f>IFERROR(__xludf.DUMMYFUNCTION("""COMPUTED_VALUE"""),"PR013")</f>
        <v>PR013</v>
      </c>
      <c r="B811" s="2" t="str">
        <f>IFERROR(__xludf.DUMMYFUNCTION("""COMPUTED_VALUE"""),"VD010")</f>
        <v>VD010</v>
      </c>
      <c r="C811" s="2">
        <f>IFERROR(__xludf.DUMMYFUNCTION("""COMPUTED_VALUE"""),14.0)</f>
        <v>14</v>
      </c>
      <c r="D811" s="6">
        <f>IFERROR(__xludf.DUMMYFUNCTION("""COMPUTED_VALUE"""),558.6)</f>
        <v>558.6</v>
      </c>
      <c r="E811" s="6">
        <f>IFERROR(__xludf.DUMMYFUNCTION("GOOGLEFINANCE(""Currency:BRLMXN"")*D811"),1897.8435)</f>
        <v>1897.8435</v>
      </c>
      <c r="F811" s="6">
        <f>IFERROR(__xludf.DUMMYFUNCTION("GOOGLEFINANCE(""Currency:BRLPEN"")*D811"),366.21816)</f>
        <v>366.21816</v>
      </c>
      <c r="G811" s="2" t="str">
        <f t="array" ref="G811">_xlfn.XLOOKUP(B811,Vendedores!$A$2:$A$41,Vendedores!$B$2:$B$41,"No hay datos")</f>
        <v>María Silva</v>
      </c>
      <c r="H811" s="2" t="str">
        <f t="array" ref="H811">_xlfn.XLOOKUP(B811,Vendedores!$A$2:$A$41,Vendedores!$C$2:$C$41,"No hay datos")</f>
        <v>San Juan de la Sierra</v>
      </c>
      <c r="I811" s="2" t="str">
        <f t="array" ref="I811">_xlfn.XLOOKUP(B811,Vendedores!$A$2:$A$41,Vendedores!$D$2:$D$41,"No hay datos")</f>
        <v>Región Central</v>
      </c>
      <c r="J811" s="2" t="str">
        <f t="array" ref="J811:N811">_xlfn.XLOOKUP(A811,Productos!$A$2:$A$61,Productos!$B$2:$F$61)</f>
        <v>Playera estampada</v>
      </c>
      <c r="K811" s="2" t="s">
        <v>9</v>
      </c>
      <c r="L811" s="2" t="s">
        <v>10</v>
      </c>
      <c r="M811" s="2" t="s">
        <v>66</v>
      </c>
      <c r="N811" s="2" t="s">
        <v>38</v>
      </c>
    </row>
    <row r="812">
      <c r="A812" s="2" t="str">
        <f>IFERROR(__xludf.DUMMYFUNCTION("""COMPUTED_VALUE"""),"PR033")</f>
        <v>PR033</v>
      </c>
      <c r="B812" s="2" t="str">
        <f>IFERROR(__xludf.DUMMYFUNCTION("""COMPUTED_VALUE"""),"VD038")</f>
        <v>VD038</v>
      </c>
      <c r="C812" s="2">
        <f>IFERROR(__xludf.DUMMYFUNCTION("""COMPUTED_VALUE"""),4.0)</f>
        <v>4</v>
      </c>
      <c r="D812" s="6">
        <f>IFERROR(__xludf.DUMMYFUNCTION("""COMPUTED_VALUE"""),1050.0)</f>
        <v>1050</v>
      </c>
      <c r="E812" s="6">
        <f>IFERROR(__xludf.DUMMYFUNCTION("GOOGLEFINANCE(""Currency:BRLMXN"")*D812"),3567.375)</f>
        <v>3567.375</v>
      </c>
      <c r="F812" s="6">
        <f>IFERROR(__xludf.DUMMYFUNCTION("GOOGLEFINANCE(""Currency:BRLPEN"")*D812"),688.38)</f>
        <v>688.38</v>
      </c>
      <c r="G812" s="2" t="str">
        <f t="array" ref="G812">_xlfn.XLOOKUP(B812,Vendedores!$A$2:$A$41,Vendedores!$B$2:$B$41,"No hay datos")</f>
        <v>Bruno Olmedo</v>
      </c>
      <c r="H812" s="2" t="str">
        <f t="array" ref="H812">_xlfn.XLOOKUP(B812,Vendedores!$A$2:$A$41,Vendedores!$C$2:$C$41,"No hay datos")</f>
        <v>Tierra Fertil</v>
      </c>
      <c r="I812" s="2" t="str">
        <f t="array" ref="I812">_xlfn.XLOOKUP(B812,Vendedores!$A$2:$A$41,Vendedores!$D$2:$D$41,"No hay datos")</f>
        <v>Región Sur 2</v>
      </c>
      <c r="J812" s="2" t="str">
        <f t="array" ref="J812:N812">_xlfn.XLOOKUP(A812,Productos!$A$2:$A$61,Productos!$B$2:$F$61)</f>
        <v>Tenis Chunky</v>
      </c>
      <c r="K812" s="2">
        <v>38.0</v>
      </c>
      <c r="L812" s="2" t="s">
        <v>33</v>
      </c>
      <c r="M812" s="2" t="s">
        <v>63</v>
      </c>
      <c r="N812" s="2" t="s">
        <v>64</v>
      </c>
    </row>
    <row r="813">
      <c r="A813" s="2" t="str">
        <f>IFERROR(__xludf.DUMMYFUNCTION("""COMPUTED_VALUE"""),"PR009")</f>
        <v>PR009</v>
      </c>
      <c r="B813" s="2" t="str">
        <f>IFERROR(__xludf.DUMMYFUNCTION("""COMPUTED_VALUE"""),"VD012")</f>
        <v>VD012</v>
      </c>
      <c r="C813" s="2">
        <f>IFERROR(__xludf.DUMMYFUNCTION("""COMPUTED_VALUE"""),2.0)</f>
        <v>2</v>
      </c>
      <c r="D813" s="6">
        <f>IFERROR(__xludf.DUMMYFUNCTION("""COMPUTED_VALUE"""),187.66)</f>
        <v>187.66</v>
      </c>
      <c r="E813" s="6">
        <f>IFERROR(__xludf.DUMMYFUNCTION("GOOGLEFINANCE(""Currency:BRLMXN"")*D813"),637.57485)</f>
        <v>637.57485</v>
      </c>
      <c r="F813" s="6">
        <f>IFERROR(__xludf.DUMMYFUNCTION("GOOGLEFINANCE(""Currency:BRLPEN"")*D813"),123.029896)</f>
        <v>123.029896</v>
      </c>
      <c r="G813" s="2" t="str">
        <f t="array" ref="G813">_xlfn.XLOOKUP(B813,Vendedores!$A$2:$A$41,Vendedores!$B$2:$B$41,"No hay datos")</f>
        <v>Ana Olmedo</v>
      </c>
      <c r="H813" s="2" t="str">
        <f t="array" ref="H813">_xlfn.XLOOKUP(B813,Vendedores!$A$2:$A$41,Vendedores!$C$2:$C$41,"No hay datos")</f>
        <v>Río Claro</v>
      </c>
      <c r="I813" s="2" t="str">
        <f t="array" ref="I813">_xlfn.XLOOKUP(B813,Vendedores!$A$2:$A$41,Vendedores!$D$2:$D$41,"No hay datos")</f>
        <v>Región Central</v>
      </c>
      <c r="J813" s="2" t="str">
        <f t="array" ref="J813:N813">_xlfn.XLOOKUP(A813,Productos!$A$2:$A$61,Productos!$B$2:$F$61)</f>
        <v>Pantalón de mezclilla</v>
      </c>
      <c r="K813" s="2" t="s">
        <v>22</v>
      </c>
      <c r="L813" s="2" t="s">
        <v>10</v>
      </c>
      <c r="M813" s="2" t="s">
        <v>76</v>
      </c>
      <c r="N813" s="2" t="s">
        <v>77</v>
      </c>
    </row>
    <row r="814">
      <c r="A814" s="2" t="str">
        <f>IFERROR(__xludf.DUMMYFUNCTION("""COMPUTED_VALUE"""),"PR016")</f>
        <v>PR016</v>
      </c>
      <c r="B814" s="2" t="str">
        <f>IFERROR(__xludf.DUMMYFUNCTION("""COMPUTED_VALUE"""),"VD010")</f>
        <v>VD010</v>
      </c>
      <c r="C814" s="2">
        <f>IFERROR(__xludf.DUMMYFUNCTION("""COMPUTED_VALUE"""),4.0)</f>
        <v>4</v>
      </c>
      <c r="D814" s="6">
        <f>IFERROR(__xludf.DUMMYFUNCTION("""COMPUTED_VALUE"""),106.71)</f>
        <v>106.71</v>
      </c>
      <c r="E814" s="6">
        <f>IFERROR(__xludf.DUMMYFUNCTION("GOOGLEFINANCE(""Currency:BRLMXN"")*D814"),362.54722499999997)</f>
        <v>362.547225</v>
      </c>
      <c r="F814" s="6">
        <f>IFERROR(__xludf.DUMMYFUNCTION("GOOGLEFINANCE(""Currency:BRLPEN"")*D814"),69.959076)</f>
        <v>69.959076</v>
      </c>
      <c r="G814" s="2" t="str">
        <f t="array" ref="G814">_xlfn.XLOOKUP(B814,Vendedores!$A$2:$A$41,Vendedores!$B$2:$B$41,"No hay datos")</f>
        <v>María Silva</v>
      </c>
      <c r="H814" s="2" t="str">
        <f t="array" ref="H814">_xlfn.XLOOKUP(B814,Vendedores!$A$2:$A$41,Vendedores!$C$2:$C$41,"No hay datos")</f>
        <v>San Juan de la Sierra</v>
      </c>
      <c r="I814" s="2" t="str">
        <f t="array" ref="I814">_xlfn.XLOOKUP(B814,Vendedores!$A$2:$A$41,Vendedores!$D$2:$D$41,"No hay datos")</f>
        <v>Región Central</v>
      </c>
      <c r="J814" s="2" t="str">
        <f t="array" ref="J814:N814">_xlfn.XLOOKUP(A814,Productos!$A$2:$A$61,Productos!$B$2:$F$61)</f>
        <v>Playera lisa</v>
      </c>
      <c r="K814" s="2" t="s">
        <v>9</v>
      </c>
      <c r="L814" s="2" t="s">
        <v>10</v>
      </c>
      <c r="M814" s="2" t="s">
        <v>20</v>
      </c>
      <c r="N814" s="2" t="s">
        <v>21</v>
      </c>
    </row>
    <row r="815">
      <c r="A815" s="2" t="str">
        <f>IFERROR(__xludf.DUMMYFUNCTION("""COMPUTED_VALUE"""),"PR023")</f>
        <v>PR023</v>
      </c>
      <c r="B815" s="2" t="str">
        <f>IFERROR(__xludf.DUMMYFUNCTION("""COMPUTED_VALUE"""),"VD018")</f>
        <v>VD018</v>
      </c>
      <c r="C815" s="2">
        <f>IFERROR(__xludf.DUMMYFUNCTION("""COMPUTED_VALUE"""),10.0)</f>
        <v>10</v>
      </c>
      <c r="D815" s="6">
        <f>IFERROR(__xludf.DUMMYFUNCTION("""COMPUTED_VALUE"""),2623.95)</f>
        <v>2623.95</v>
      </c>
      <c r="E815" s="6">
        <f>IFERROR(__xludf.DUMMYFUNCTION("GOOGLEFINANCE(""Currency:BRLMXN"")*D815"),8914.870125)</f>
        <v>8914.870125</v>
      </c>
      <c r="F815" s="6">
        <f>IFERROR(__xludf.DUMMYFUNCTION("GOOGLEFINANCE(""Currency:BRLPEN"")*D815"),1720.2616199999998)</f>
        <v>1720.26162</v>
      </c>
      <c r="G815" s="2" t="str">
        <f t="array" ref="G815">_xlfn.XLOOKUP(B815,Vendedores!$A$2:$A$41,Vendedores!$B$2:$B$41,"No hay datos")</f>
        <v>Leticia Rodríguez</v>
      </c>
      <c r="H815" s="2" t="str">
        <f t="array" ref="H815">_xlfn.XLOOKUP(B815,Vendedores!$A$2:$A$41,Vendedores!$C$2:$C$41,"No hay datos")</f>
        <v>Playa Blanca</v>
      </c>
      <c r="I815" s="2" t="str">
        <f t="array" ref="I815">_xlfn.XLOOKUP(B815,Vendedores!$A$2:$A$41,Vendedores!$D$2:$D$41,"No hay datos")</f>
        <v>Región Norte</v>
      </c>
      <c r="J815" s="2" t="str">
        <f t="array" ref="J815:N815">_xlfn.XLOOKUP(A815,Productos!$A$2:$A$61,Productos!$B$2:$F$61)</f>
        <v>Chaqueta de mezclilla</v>
      </c>
      <c r="K815" s="2" t="s">
        <v>9</v>
      </c>
      <c r="L815" s="2" t="s">
        <v>10</v>
      </c>
      <c r="M815" s="2" t="s">
        <v>72</v>
      </c>
      <c r="N815" s="2" t="s">
        <v>56</v>
      </c>
    </row>
    <row r="816">
      <c r="A816" s="2" t="str">
        <f>IFERROR(__xludf.DUMMYFUNCTION("""COMPUTED_VALUE"""),"PR031")</f>
        <v>PR031</v>
      </c>
      <c r="B816" s="2" t="str">
        <f>IFERROR(__xludf.DUMMYFUNCTION("""COMPUTED_VALUE"""),"VD035")</f>
        <v>VD035</v>
      </c>
      <c r="C816" s="2">
        <f>IFERROR(__xludf.DUMMYFUNCTION("""COMPUTED_VALUE"""),10.0)</f>
        <v>10</v>
      </c>
      <c r="D816" s="6">
        <f>IFERROR(__xludf.DUMMYFUNCTION("""COMPUTED_VALUE"""),2646.0)</f>
        <v>2646</v>
      </c>
      <c r="E816" s="6">
        <f>IFERROR(__xludf.DUMMYFUNCTION("GOOGLEFINANCE(""Currency:BRLMXN"")*D816"),8989.785)</f>
        <v>8989.785</v>
      </c>
      <c r="F816" s="6">
        <f>IFERROR(__xludf.DUMMYFUNCTION("GOOGLEFINANCE(""Currency:BRLPEN"")*D816"),1734.7176)</f>
        <v>1734.7176</v>
      </c>
      <c r="G816" s="2" t="str">
        <f t="array" ref="G816">_xlfn.XLOOKUP(B816,Vendedores!$A$2:$A$41,Vendedores!$B$2:$B$41,"No hay datos")</f>
        <v>Carolina Méndez</v>
      </c>
      <c r="H816" s="2" t="str">
        <f t="array" ref="H816">_xlfn.XLOOKUP(B816,Vendedores!$A$2:$A$41,Vendedores!$C$2:$C$41,"No hay datos")</f>
        <v>Valle de los Robles</v>
      </c>
      <c r="I816" s="2" t="str">
        <f t="array" ref="I816">_xlfn.XLOOKUP(B816,Vendedores!$A$2:$A$41,Vendedores!$D$2:$D$41,"No hay datos")</f>
        <v>Región Central 2</v>
      </c>
      <c r="J816" s="2" t="str">
        <f t="array" ref="J816:N816">_xlfn.XLOOKUP(A816,Productos!$A$2:$A$61,Productos!$B$2:$F$61)</f>
        <v>Tenis Chunky</v>
      </c>
      <c r="K816" s="2">
        <v>36.0</v>
      </c>
      <c r="L816" s="2" t="s">
        <v>33</v>
      </c>
      <c r="M816" s="2" t="s">
        <v>84</v>
      </c>
      <c r="N816" s="2" t="s">
        <v>85</v>
      </c>
    </row>
    <row r="817">
      <c r="A817" s="2" t="str">
        <f>IFERROR(__xludf.DUMMYFUNCTION("""COMPUTED_VALUE"""),"PR024")</f>
        <v>PR024</v>
      </c>
      <c r="B817" s="2" t="str">
        <f>IFERROR(__xludf.DUMMYFUNCTION("""COMPUTED_VALUE"""),"VD031")</f>
        <v>VD031</v>
      </c>
      <c r="C817" s="2">
        <f>IFERROR(__xludf.DUMMYFUNCTION("""COMPUTED_VALUE"""),4.0)</f>
        <v>4</v>
      </c>
      <c r="D817" s="6">
        <f>IFERROR(__xludf.DUMMYFUNCTION("""COMPUTED_VALUE"""),1060.39)</f>
        <v>1060.39</v>
      </c>
      <c r="E817" s="6">
        <f>IFERROR(__xludf.DUMMYFUNCTION("GOOGLEFINANCE(""Currency:BRLMXN"")*D817"),3602.6750250000005)</f>
        <v>3602.675025</v>
      </c>
      <c r="F817" s="6">
        <f>IFERROR(__xludf.DUMMYFUNCTION("GOOGLEFINANCE(""Currency:BRLPEN"")*D817"),695.191684)</f>
        <v>695.191684</v>
      </c>
      <c r="G817" s="2" t="str">
        <f t="array" ref="G817">_xlfn.XLOOKUP(B817,Vendedores!$A$2:$A$41,Vendedores!$B$2:$B$41,"No hay datos")</f>
        <v>Vanessa Martínez</v>
      </c>
      <c r="H817" s="2" t="str">
        <f t="array" ref="H817">_xlfn.XLOOKUP(B817,Vendedores!$A$2:$A$41,Vendedores!$C$2:$C$41,"No hay datos")</f>
        <v>Monte Verde</v>
      </c>
      <c r="I817" s="2" t="str">
        <f t="array" ref="I817">_xlfn.XLOOKUP(B817,Vendedores!$A$2:$A$41,Vendedores!$D$2:$D$41,"No hay datos")</f>
        <v>Región Central 2</v>
      </c>
      <c r="J817" s="2" t="str">
        <f t="array" ref="J817:N817">_xlfn.XLOOKUP(A817,Productos!$A$2:$A$61,Productos!$B$2:$F$61)</f>
        <v>Chaqueta de mezclilla</v>
      </c>
      <c r="K817" s="2" t="s">
        <v>17</v>
      </c>
      <c r="L817" s="2" t="s">
        <v>10</v>
      </c>
      <c r="M817" s="2" t="s">
        <v>92</v>
      </c>
      <c r="N817" s="2" t="s">
        <v>64</v>
      </c>
    </row>
    <row r="818">
      <c r="A818" s="2" t="str">
        <f>IFERROR(__xludf.DUMMYFUNCTION("""COMPUTED_VALUE"""),"PR014")</f>
        <v>PR014</v>
      </c>
      <c r="B818" s="2" t="str">
        <f>IFERROR(__xludf.DUMMYFUNCTION("""COMPUTED_VALUE"""),"VD023")</f>
        <v>VD023</v>
      </c>
      <c r="C818" s="2">
        <f>IFERROR(__xludf.DUMMYFUNCTION("""COMPUTED_VALUE"""),4.0)</f>
        <v>4</v>
      </c>
      <c r="D818" s="6">
        <f>IFERROR(__xludf.DUMMYFUNCTION("""COMPUTED_VALUE"""),172.37)</f>
        <v>172.37</v>
      </c>
      <c r="E818" s="6">
        <f>IFERROR(__xludf.DUMMYFUNCTION("GOOGLEFINANCE(""Currency:BRLMXN"")*D818"),585.627075)</f>
        <v>585.627075</v>
      </c>
      <c r="F818" s="6">
        <f>IFERROR(__xludf.DUMMYFUNCTION("GOOGLEFINANCE(""Currency:BRLPEN"")*D818"),113.005772)</f>
        <v>113.005772</v>
      </c>
      <c r="G818" s="2" t="str">
        <f t="array" ref="G818">_xlfn.XLOOKUP(B818,Vendedores!$A$2:$A$41,Vendedores!$B$2:$B$41,"No hay datos")</f>
        <v>Juliana Castro</v>
      </c>
      <c r="H818" s="2" t="str">
        <f t="array" ref="H818">_xlfn.XLOOKUP(B818,Vendedores!$A$2:$A$41,Vendedores!$C$2:$C$41,"No hay datos")</f>
        <v>San Miguel de los Pinos</v>
      </c>
      <c r="I818" s="2" t="str">
        <f t="array" ref="I818">_xlfn.XLOOKUP(B818,Vendedores!$A$2:$A$41,Vendedores!$D$2:$D$41,"No hay datos")</f>
        <v>Región Sur</v>
      </c>
      <c r="J818" s="2" t="str">
        <f t="array" ref="J818:N818">_xlfn.XLOOKUP(A818,Productos!$A$2:$A$61,Productos!$B$2:$F$61)</f>
        <v>Playera estampada</v>
      </c>
      <c r="K818" s="2" t="s">
        <v>17</v>
      </c>
      <c r="L818" s="2" t="s">
        <v>10</v>
      </c>
      <c r="M818" s="2" t="s">
        <v>37</v>
      </c>
      <c r="N818" s="2" t="s">
        <v>38</v>
      </c>
    </row>
    <row r="819">
      <c r="A819" s="2" t="str">
        <f>IFERROR(__xludf.DUMMYFUNCTION("""COMPUTED_VALUE"""),"PR055")</f>
        <v>PR055</v>
      </c>
      <c r="B819" s="2" t="str">
        <f>IFERROR(__xludf.DUMMYFUNCTION("""COMPUTED_VALUE"""),"VD018")</f>
        <v>VD018</v>
      </c>
      <c r="C819" s="2">
        <f>IFERROR(__xludf.DUMMYFUNCTION("""COMPUTED_VALUE"""),4.0)</f>
        <v>4</v>
      </c>
      <c r="D819" s="6">
        <f>IFERROR(__xludf.DUMMYFUNCTION("""COMPUTED_VALUE"""),366.79)</f>
        <v>366.79</v>
      </c>
      <c r="E819" s="6">
        <f>IFERROR(__xludf.DUMMYFUNCTION("GOOGLEFINANCE(""Currency:BRLMXN"")*D819"),1246.1690250000001)</f>
        <v>1246.169025</v>
      </c>
      <c r="F819" s="6">
        <f>IFERROR(__xludf.DUMMYFUNCTION("GOOGLEFINANCE(""Currency:BRLPEN"")*D819"),240.467524)</f>
        <v>240.467524</v>
      </c>
      <c r="G819" s="2" t="str">
        <f t="array" ref="G819">_xlfn.XLOOKUP(B819,Vendedores!$A$2:$A$41,Vendedores!$B$2:$B$41,"No hay datos")</f>
        <v>Leticia Rodríguez</v>
      </c>
      <c r="H819" s="2" t="str">
        <f t="array" ref="H819">_xlfn.XLOOKUP(B819,Vendedores!$A$2:$A$41,Vendedores!$C$2:$C$41,"No hay datos")</f>
        <v>Playa Blanca</v>
      </c>
      <c r="I819" s="2" t="str">
        <f t="array" ref="I819">_xlfn.XLOOKUP(B819,Vendedores!$A$2:$A$41,Vendedores!$D$2:$D$41,"No hay datos")</f>
        <v>Región Norte</v>
      </c>
      <c r="J819" s="2" t="str">
        <f t="array" ref="J819:N819">_xlfn.XLOOKUP(A819,Productos!$A$2:$A$61,Productos!$B$2:$F$61)</f>
        <v>Sandalia plana</v>
      </c>
      <c r="K819" s="2">
        <v>35.0</v>
      </c>
      <c r="L819" s="2" t="s">
        <v>33</v>
      </c>
      <c r="M819" s="2" t="s">
        <v>34</v>
      </c>
      <c r="N819" s="2" t="s">
        <v>35</v>
      </c>
    </row>
    <row r="820">
      <c r="A820" s="2" t="str">
        <f>IFERROR(__xludf.DUMMYFUNCTION("""COMPUTED_VALUE"""),"PR007")</f>
        <v>PR007</v>
      </c>
      <c r="B820" s="2" t="str">
        <f>IFERROR(__xludf.DUMMYFUNCTION("""COMPUTED_VALUE"""),"VD010")</f>
        <v>VD010</v>
      </c>
      <c r="C820" s="2">
        <f>IFERROR(__xludf.DUMMYFUNCTION("""COMPUTED_VALUE"""),10.0)</f>
        <v>10</v>
      </c>
      <c r="D820" s="6">
        <f>IFERROR(__xludf.DUMMYFUNCTION("""COMPUTED_VALUE"""),910.54)</f>
        <v>910.54</v>
      </c>
      <c r="E820" s="6">
        <f>IFERROR(__xludf.DUMMYFUNCTION("GOOGLEFINANCE(""Currency:BRLMXN"")*D820"),3093.5596499999997)</f>
        <v>3093.55965</v>
      </c>
      <c r="F820" s="6">
        <f>IFERROR(__xludf.DUMMYFUNCTION("GOOGLEFINANCE(""Currency:BRLPEN"")*D820"),596.950024)</f>
        <v>596.950024</v>
      </c>
      <c r="G820" s="2" t="str">
        <f t="array" ref="G820">_xlfn.XLOOKUP(B820,Vendedores!$A$2:$A$41,Vendedores!$B$2:$B$41,"No hay datos")</f>
        <v>María Silva</v>
      </c>
      <c r="H820" s="2" t="str">
        <f t="array" ref="H820">_xlfn.XLOOKUP(B820,Vendedores!$A$2:$A$41,Vendedores!$C$2:$C$41,"No hay datos")</f>
        <v>San Juan de la Sierra</v>
      </c>
      <c r="I820" s="2" t="str">
        <f t="array" ref="I820">_xlfn.XLOOKUP(B820,Vendedores!$A$2:$A$41,Vendedores!$D$2:$D$41,"No hay datos")</f>
        <v>Región Central</v>
      </c>
      <c r="J820" s="2" t="str">
        <f t="array" ref="J820:N820">_xlfn.XLOOKUP(A820,Productos!$A$2:$A$61,Productos!$B$2:$F$61)</f>
        <v>Pantalón de mezclilla</v>
      </c>
      <c r="K820" s="2" t="s">
        <v>9</v>
      </c>
      <c r="L820" s="2" t="s">
        <v>10</v>
      </c>
      <c r="M820" s="2" t="s">
        <v>103</v>
      </c>
      <c r="N820" s="2" t="s">
        <v>104</v>
      </c>
    </row>
    <row r="821">
      <c r="A821" s="2" t="str">
        <f>IFERROR(__xludf.DUMMYFUNCTION("""COMPUTED_VALUE"""),"PR043")</f>
        <v>PR043</v>
      </c>
      <c r="B821" s="2" t="str">
        <f>IFERROR(__xludf.DUMMYFUNCTION("""COMPUTED_VALUE"""),"VD035")</f>
        <v>VD035</v>
      </c>
      <c r="C821" s="2">
        <f>IFERROR(__xludf.DUMMYFUNCTION("""COMPUTED_VALUE"""),2.0)</f>
        <v>2</v>
      </c>
      <c r="D821" s="6">
        <f>IFERROR(__xludf.DUMMYFUNCTION("""COMPUTED_VALUE"""),150.8)</f>
        <v>150.8</v>
      </c>
      <c r="E821" s="6">
        <f>IFERROR(__xludf.DUMMYFUNCTION("GOOGLEFINANCE(""Currency:BRLMXN"")*D821"),512.3430000000001)</f>
        <v>512.343</v>
      </c>
      <c r="F821" s="6">
        <f>IFERROR(__xludf.DUMMYFUNCTION("GOOGLEFINANCE(""Currency:BRLPEN"")*D821"),98.86448)</f>
        <v>98.86448</v>
      </c>
      <c r="G821" s="2" t="str">
        <f t="array" ref="G821">_xlfn.XLOOKUP(B821,Vendedores!$A$2:$A$41,Vendedores!$B$2:$B$41,"No hay datos")</f>
        <v>Carolina Méndez</v>
      </c>
      <c r="H821" s="2" t="str">
        <f t="array" ref="H821">_xlfn.XLOOKUP(B821,Vendedores!$A$2:$A$41,Vendedores!$C$2:$C$41,"No hay datos")</f>
        <v>Valle de los Robles</v>
      </c>
      <c r="I821" s="2" t="str">
        <f t="array" ref="I821">_xlfn.XLOOKUP(B821,Vendedores!$A$2:$A$41,Vendedores!$D$2:$D$41,"No hay datos")</f>
        <v>Región Central 2</v>
      </c>
      <c r="J821" s="2" t="str">
        <f t="array" ref="J821:N821">_xlfn.XLOOKUP(A821,Productos!$A$2:$A$61,Productos!$B$2:$F$61)</f>
        <v>Vestido floral</v>
      </c>
      <c r="K821" s="2" t="s">
        <v>9</v>
      </c>
      <c r="L821" s="2" t="s">
        <v>10</v>
      </c>
      <c r="M821" s="2" t="s">
        <v>69</v>
      </c>
      <c r="N821" s="2" t="s">
        <v>40</v>
      </c>
    </row>
    <row r="822">
      <c r="A822" s="2" t="str">
        <f>IFERROR(__xludf.DUMMYFUNCTION("""COMPUTED_VALUE"""),"PR005")</f>
        <v>PR005</v>
      </c>
      <c r="B822" s="2" t="str">
        <f>IFERROR(__xludf.DUMMYFUNCTION("""COMPUTED_VALUE"""),"VD049")</f>
        <v>VD049</v>
      </c>
      <c r="C822" s="2">
        <f>IFERROR(__xludf.DUMMYFUNCTION("""COMPUTED_VALUE"""),8.0)</f>
        <v>8</v>
      </c>
      <c r="D822" s="6">
        <f>IFERROR(__xludf.DUMMYFUNCTION("""COMPUTED_VALUE"""),2287.12)</f>
        <v>2287.12</v>
      </c>
      <c r="E822" s="6">
        <f>IFERROR(__xludf.DUMMYFUNCTION("GOOGLEFINANCE(""Currency:BRLMXN"")*D822"),7770.490199999999)</f>
        <v>7770.4902</v>
      </c>
      <c r="F822" s="6">
        <f>IFERROR(__xludf.DUMMYFUNCTION("GOOGLEFINANCE(""Currency:BRLPEN"")*D822"),1499.4358719999998)</f>
        <v>1499.435872</v>
      </c>
      <c r="G822" s="2" t="str">
        <f t="array" ref="G822">_xlfn.XLOOKUP(B822,Vendedores!$A$2:$A$41,Vendedores!$B$2:$B$41,"No hay datos")</f>
        <v>Fernando Navarro</v>
      </c>
      <c r="H822" s="2" t="str">
        <f t="array" ref="H822">_xlfn.XLOOKUP(B822,Vendedores!$A$2:$A$41,Vendedores!$C$2:$C$41,"No hay datos")</f>
        <v>Colinas Verdes</v>
      </c>
      <c r="I822" s="2" t="str">
        <f t="array" ref="I822">_xlfn.XLOOKUP(B822,Vendedores!$A$2:$A$41,Vendedores!$D$2:$D$41,"No hay datos")</f>
        <v>Región Central 2</v>
      </c>
      <c r="J822" s="2" t="str">
        <f t="array" ref="J822:N822">_xlfn.XLOOKUP(A822,Productos!$A$2:$A$61,Productos!$B$2:$F$61)</f>
        <v>Bolso de cuero</v>
      </c>
      <c r="K822" s="2" t="s">
        <v>29</v>
      </c>
      <c r="L822" s="2" t="s">
        <v>30</v>
      </c>
      <c r="M822" s="2" t="s">
        <v>100</v>
      </c>
      <c r="N822" s="2" t="s">
        <v>64</v>
      </c>
    </row>
    <row r="823">
      <c r="A823" s="2" t="str">
        <f>IFERROR(__xludf.DUMMYFUNCTION("""COMPUTED_VALUE"""),"PR006")</f>
        <v>PR006</v>
      </c>
      <c r="B823" s="2" t="str">
        <f>IFERROR(__xludf.DUMMYFUNCTION("""COMPUTED_VALUE"""),"VD011")</f>
        <v>VD011</v>
      </c>
      <c r="C823" s="2">
        <f>IFERROR(__xludf.DUMMYFUNCTION("""COMPUTED_VALUE"""),2.0)</f>
        <v>2</v>
      </c>
      <c r="D823" s="6">
        <f>IFERROR(__xludf.DUMMYFUNCTION("""COMPUTED_VALUE"""),87.78)</f>
        <v>87.78</v>
      </c>
      <c r="E823" s="6">
        <f>IFERROR(__xludf.DUMMYFUNCTION("GOOGLEFINANCE(""Currency:BRLMXN"")*D823"),298.23255)</f>
        <v>298.23255</v>
      </c>
      <c r="F823" s="6">
        <f>IFERROR(__xludf.DUMMYFUNCTION("GOOGLEFINANCE(""Currency:BRLPEN"")*D823"),57.548567999999996)</f>
        <v>57.548568</v>
      </c>
      <c r="G823" s="2" t="str">
        <f t="array" ref="G823">_xlfn.XLOOKUP(B823,Vendedores!$A$2:$A$41,Vendedores!$B$2:$B$41,"No hay datos")</f>
        <v>Juan Santos</v>
      </c>
      <c r="H823" s="2" t="str">
        <f t="array" ref="H823">_xlfn.XLOOKUP(B823,Vendedores!$A$2:$A$41,Vendedores!$C$2:$C$41,"No hay datos")</f>
        <v>Vista Hermosa</v>
      </c>
      <c r="I823" s="2" t="str">
        <f t="array" ref="I823">_xlfn.XLOOKUP(B823,Vendedores!$A$2:$A$41,Vendedores!$D$2:$D$41,"No hay datos")</f>
        <v>Región Central</v>
      </c>
      <c r="J823" s="2" t="str">
        <f t="array" ref="J823:N823">_xlfn.XLOOKUP(A823,Productos!$A$2:$A$61,Productos!$B$2:$F$61)</f>
        <v>Gorra</v>
      </c>
      <c r="K823" s="2" t="s">
        <v>29</v>
      </c>
      <c r="L823" s="2" t="s">
        <v>30</v>
      </c>
      <c r="M823" s="2" t="s">
        <v>48</v>
      </c>
      <c r="N823" s="2" t="s">
        <v>38</v>
      </c>
    </row>
    <row r="824">
      <c r="A824" s="2" t="str">
        <f>IFERROR(__xludf.DUMMYFUNCTION("""COMPUTED_VALUE"""),"PR053")</f>
        <v>PR053</v>
      </c>
      <c r="B824" s="2" t="str">
        <f>IFERROR(__xludf.DUMMYFUNCTION("""COMPUTED_VALUE"""),"VD012")</f>
        <v>VD012</v>
      </c>
      <c r="C824" s="2">
        <f>IFERROR(__xludf.DUMMYFUNCTION("""COMPUTED_VALUE"""),2.0)</f>
        <v>2</v>
      </c>
      <c r="D824" s="6">
        <f>IFERROR(__xludf.DUMMYFUNCTION("""COMPUTED_VALUE"""),99.8)</f>
        <v>99.8</v>
      </c>
      <c r="E824" s="6">
        <f>IFERROR(__xludf.DUMMYFUNCTION("GOOGLEFINANCE(""Currency:BRLMXN"")*D824"),339.0705)</f>
        <v>339.0705</v>
      </c>
      <c r="F824" s="6">
        <f>IFERROR(__xludf.DUMMYFUNCTION("GOOGLEFINANCE(""Currency:BRLPEN"")*D824"),65.42887999999999)</f>
        <v>65.42888</v>
      </c>
      <c r="G824" s="2" t="str">
        <f t="array" ref="G824">_xlfn.XLOOKUP(B824,Vendedores!$A$2:$A$41,Vendedores!$B$2:$B$41,"No hay datos")</f>
        <v>Ana Olmedo</v>
      </c>
      <c r="H824" s="2" t="str">
        <f t="array" ref="H824">_xlfn.XLOOKUP(B824,Vendedores!$A$2:$A$41,Vendedores!$C$2:$C$41,"No hay datos")</f>
        <v>Río Claro</v>
      </c>
      <c r="I824" s="2" t="str">
        <f t="array" ref="I824">_xlfn.XLOOKUP(B824,Vendedores!$A$2:$A$41,Vendedores!$D$2:$D$41,"No hay datos")</f>
        <v>Región Central</v>
      </c>
      <c r="J824" s="2" t="str">
        <f t="array" ref="J824:N824">_xlfn.XLOOKUP(A824,Productos!$A$2:$A$61,Productos!$B$2:$F$61)</f>
        <v>Falda plisada</v>
      </c>
      <c r="K824" s="2" t="s">
        <v>17</v>
      </c>
      <c r="L824" s="2" t="s">
        <v>10</v>
      </c>
      <c r="M824" s="2" t="s">
        <v>41</v>
      </c>
      <c r="N824" s="2" t="s">
        <v>32</v>
      </c>
    </row>
    <row r="825">
      <c r="A825" s="2" t="str">
        <f>IFERROR(__xludf.DUMMYFUNCTION("""COMPUTED_VALUE"""),"PR042")</f>
        <v>PR042</v>
      </c>
      <c r="B825" s="2" t="str">
        <f>IFERROR(__xludf.DUMMYFUNCTION("""COMPUTED_VALUE"""),"VD018")</f>
        <v>VD018</v>
      </c>
      <c r="C825" s="2">
        <f>IFERROR(__xludf.DUMMYFUNCTION("""COMPUTED_VALUE"""),10.0)</f>
        <v>10</v>
      </c>
      <c r="D825" s="6">
        <f>IFERROR(__xludf.DUMMYFUNCTION("""COMPUTED_VALUE"""),587.43)</f>
        <v>587.43</v>
      </c>
      <c r="E825" s="6">
        <f>IFERROR(__xludf.DUMMYFUNCTION("GOOGLEFINANCE(""Currency:BRLMXN"")*D825"),1995.7934249999998)</f>
        <v>1995.793425</v>
      </c>
      <c r="F825" s="6">
        <f>IFERROR(__xludf.DUMMYFUNCTION("GOOGLEFINANCE(""Currency:BRLPEN"")*D825"),385.1191079999999)</f>
        <v>385.119108</v>
      </c>
      <c r="G825" s="2" t="str">
        <f t="array" ref="G825">_xlfn.XLOOKUP(B825,Vendedores!$A$2:$A$41,Vendedores!$B$2:$B$41,"No hay datos")</f>
        <v>Leticia Rodríguez</v>
      </c>
      <c r="H825" s="2" t="str">
        <f t="array" ref="H825">_xlfn.XLOOKUP(B825,Vendedores!$A$2:$A$41,Vendedores!$C$2:$C$41,"No hay datos")</f>
        <v>Playa Blanca</v>
      </c>
      <c r="I825" s="2" t="str">
        <f t="array" ref="I825">_xlfn.XLOOKUP(B825,Vendedores!$A$2:$A$41,Vendedores!$D$2:$D$41,"No hay datos")</f>
        <v>Región Norte</v>
      </c>
      <c r="J825" s="2" t="str">
        <f t="array" ref="J825:N825">_xlfn.XLOOKUP(A825,Productos!$A$2:$A$61,Productos!$B$2:$F$61)</f>
        <v>Playera confort</v>
      </c>
      <c r="K825" s="2" t="s">
        <v>22</v>
      </c>
      <c r="L825" s="2" t="s">
        <v>10</v>
      </c>
      <c r="M825" s="2" t="s">
        <v>25</v>
      </c>
      <c r="N825" s="2" t="s">
        <v>26</v>
      </c>
    </row>
    <row r="826">
      <c r="A826" s="2" t="str">
        <f>IFERROR(__xludf.DUMMYFUNCTION("""COMPUTED_VALUE"""),"PR060")</f>
        <v>PR060</v>
      </c>
      <c r="B826" s="2" t="str">
        <f>IFERROR(__xludf.DUMMYFUNCTION("""COMPUTED_VALUE"""),"VD047")</f>
        <v>VD047</v>
      </c>
      <c r="C826" s="2">
        <f>IFERROR(__xludf.DUMMYFUNCTION("""COMPUTED_VALUE"""),16.0)</f>
        <v>16</v>
      </c>
      <c r="D826" s="6">
        <f>IFERROR(__xludf.DUMMYFUNCTION("""COMPUTED_VALUE"""),2937.6)</f>
        <v>2937.6</v>
      </c>
      <c r="E826" s="6">
        <f>IFERROR(__xludf.DUMMYFUNCTION("GOOGLEFINANCE(""Currency:BRLMXN"")*D826"),9980.496)</f>
        <v>9980.496</v>
      </c>
      <c r="F826" s="6">
        <f>IFERROR(__xludf.DUMMYFUNCTION("GOOGLEFINANCE(""Currency:BRLPEN"")*D826"),1925.8905599999998)</f>
        <v>1925.89056</v>
      </c>
      <c r="G826" s="2" t="str">
        <f t="array" ref="G826">_xlfn.XLOOKUP(B826,Vendedores!$A$2:$A$41,Vendedores!$B$2:$B$41,"No hay datos")</f>
        <v>Andrés López</v>
      </c>
      <c r="H826" s="2" t="str">
        <f t="array" ref="H826">_xlfn.XLOOKUP(B826,Vendedores!$A$2:$A$41,Vendedores!$C$2:$C$41,"No hay datos")</f>
        <v>Villa Progreso</v>
      </c>
      <c r="I826" s="2" t="str">
        <f t="array" ref="I826">_xlfn.XLOOKUP(B826,Vendedores!$A$2:$A$41,Vendedores!$D$2:$D$41,"No hay datos")</f>
        <v>Región Central 2</v>
      </c>
      <c r="J826" s="2" t="str">
        <f t="array" ref="J826:N826">_xlfn.XLOOKUP(A826,Productos!$A$2:$A$61,Productos!$B$2:$F$61)</f>
        <v>Pantalón de sastre</v>
      </c>
      <c r="K826" s="2" t="s">
        <v>22</v>
      </c>
      <c r="L826" s="2" t="s">
        <v>10</v>
      </c>
      <c r="M826" s="2" t="s">
        <v>75</v>
      </c>
      <c r="N826" s="2" t="s">
        <v>14</v>
      </c>
    </row>
    <row r="827">
      <c r="A827" s="2" t="str">
        <f>IFERROR(__xludf.DUMMYFUNCTION("""COMPUTED_VALUE"""),"PR054")</f>
        <v>PR054</v>
      </c>
      <c r="B827" s="2" t="str">
        <f>IFERROR(__xludf.DUMMYFUNCTION("""COMPUTED_VALUE"""),"VD019")</f>
        <v>VD019</v>
      </c>
      <c r="C827" s="2">
        <f>IFERROR(__xludf.DUMMYFUNCTION("""COMPUTED_VALUE"""),3.0)</f>
        <v>3</v>
      </c>
      <c r="D827" s="6">
        <f>IFERROR(__xludf.DUMMYFUNCTION("""COMPUTED_VALUE"""),157.19)</f>
        <v>157.19</v>
      </c>
      <c r="E827" s="6">
        <f>IFERROR(__xludf.DUMMYFUNCTION("GOOGLEFINANCE(""Currency:BRLMXN"")*D827"),534.0530249999999)</f>
        <v>534.053025</v>
      </c>
      <c r="F827" s="6">
        <f>IFERROR(__xludf.DUMMYFUNCTION("GOOGLEFINANCE(""Currency:BRLPEN"")*D827"),103.05376399999999)</f>
        <v>103.053764</v>
      </c>
      <c r="G827" s="2" t="str">
        <f t="array" ref="G827">_xlfn.XLOOKUP(B827,Vendedores!$A$2:$A$41,Vendedores!$B$2:$B$41,"No hay datos")</f>
        <v>Rafael Sosa</v>
      </c>
      <c r="H827" s="2" t="str">
        <f t="array" ref="H827">_xlfn.XLOOKUP(B827,Vendedores!$A$2:$A$41,Vendedores!$C$2:$C$41,"No hay datos")</f>
        <v>Selva Verde</v>
      </c>
      <c r="I827" s="2" t="str">
        <f t="array" ref="I827">_xlfn.XLOOKUP(B827,Vendedores!$A$2:$A$41,Vendedores!$D$2:$D$41,"No hay datos")</f>
        <v>Región Amazónica</v>
      </c>
      <c r="J827" s="2" t="str">
        <f t="array" ref="J827:N827">_xlfn.XLOOKUP(A827,Productos!$A$2:$A$61,Productos!$B$2:$F$61)</f>
        <v>Falda plisada</v>
      </c>
      <c r="K827" s="2" t="s">
        <v>22</v>
      </c>
      <c r="L827" s="2" t="s">
        <v>10</v>
      </c>
      <c r="M827" s="2" t="s">
        <v>42</v>
      </c>
      <c r="N827" s="2" t="s">
        <v>32</v>
      </c>
    </row>
    <row r="828">
      <c r="A828" s="2" t="str">
        <f>IFERROR(__xludf.DUMMYFUNCTION("""COMPUTED_VALUE"""),"PR026")</f>
        <v>PR026</v>
      </c>
      <c r="B828" s="2" t="str">
        <f>IFERROR(__xludf.DUMMYFUNCTION("""COMPUTED_VALUE"""),"VD036")</f>
        <v>VD036</v>
      </c>
      <c r="C828" s="2">
        <f>IFERROR(__xludf.DUMMYFUNCTION("""COMPUTED_VALUE"""),7.0)</f>
        <v>7</v>
      </c>
      <c r="D828" s="6">
        <f>IFERROR(__xludf.DUMMYFUNCTION("""COMPUTED_VALUE"""),2694.23)</f>
        <v>2694.23</v>
      </c>
      <c r="E828" s="6">
        <f>IFERROR(__xludf.DUMMYFUNCTION("GOOGLEFINANCE(""Currency:BRLMXN"")*D828"),9153.646425)</f>
        <v>9153.646425</v>
      </c>
      <c r="F828" s="6">
        <f>IFERROR(__xludf.DUMMYFUNCTION("GOOGLEFINANCE(""Currency:BRLPEN"")*D828"),1766.337188)</f>
        <v>1766.337188</v>
      </c>
      <c r="G828" s="2" t="str">
        <f t="array" ref="G828">_xlfn.XLOOKUP(B828,Vendedores!$A$2:$A$41,Vendedores!$B$2:$B$41,"No hay datos")</f>
        <v>Ricardo Sosa</v>
      </c>
      <c r="H828" s="2" t="str">
        <f t="array" ref="H828">_xlfn.XLOOKUP(B828,Vendedores!$A$2:$A$41,Vendedores!$C$2:$C$41,"No hay datos")</f>
        <v>Puerto Nuevo</v>
      </c>
      <c r="I828" s="2" t="str">
        <f t="array" ref="I828">_xlfn.XLOOKUP(B828,Vendedores!$A$2:$A$41,Vendedores!$D$2:$D$41,"No hay datos")</f>
        <v>Región Central 2</v>
      </c>
      <c r="J828" s="2" t="str">
        <f t="array" ref="J828:N828">_xlfn.XLOOKUP(A828,Productos!$A$2:$A$61,Productos!$B$2:$F$61)</f>
        <v>Gafas cuadradas</v>
      </c>
      <c r="K828" s="2" t="s">
        <v>29</v>
      </c>
      <c r="L828" s="2" t="s">
        <v>30</v>
      </c>
      <c r="M828" s="2" t="s">
        <v>90</v>
      </c>
      <c r="N828" s="2" t="s">
        <v>91</v>
      </c>
    </row>
    <row r="829">
      <c r="A829" s="2" t="str">
        <f>IFERROR(__xludf.DUMMYFUNCTION("""COMPUTED_VALUE"""),"PR002")</f>
        <v>PR002</v>
      </c>
      <c r="B829" s="2" t="str">
        <f>IFERROR(__xludf.DUMMYFUNCTION("""COMPUTED_VALUE"""),"VD046")</f>
        <v>VD046</v>
      </c>
      <c r="C829" s="2">
        <f>IFERROR(__xludf.DUMMYFUNCTION("""COMPUTED_VALUE"""),5.0)</f>
        <v>5</v>
      </c>
      <c r="D829" s="6">
        <f>IFERROR(__xludf.DUMMYFUNCTION("""COMPUTED_VALUE"""),356.49)</f>
        <v>356.49</v>
      </c>
      <c r="E829" s="6">
        <f>IFERROR(__xludf.DUMMYFUNCTION("GOOGLEFINANCE(""Currency:BRLMXN"")*D829"),1211.174775)</f>
        <v>1211.174775</v>
      </c>
      <c r="F829" s="6">
        <f>IFERROR(__xludf.DUMMYFUNCTION("GOOGLEFINANCE(""Currency:BRLPEN"")*D829"),233.714844)</f>
        <v>233.714844</v>
      </c>
      <c r="G829" s="2" t="str">
        <f t="array" ref="G829">_xlfn.XLOOKUP(B829,Vendedores!$A$2:$A$41,Vendedores!$B$2:$B$41,"No hay datos")</f>
        <v>Juliana Pérez</v>
      </c>
      <c r="H829" s="2" t="str">
        <f t="array" ref="H829">_xlfn.XLOOKUP(B829,Vendedores!$A$2:$A$41,Vendedores!$C$2:$C$41,"No hay datos")</f>
        <v>Santa Cruz de la Sierra</v>
      </c>
      <c r="I829" s="2" t="str">
        <f t="array" ref="I829">_xlfn.XLOOKUP(B829,Vendedores!$A$2:$A$41,Vendedores!$D$2:$D$41,"No hay datos")</f>
        <v>Región Central 2</v>
      </c>
      <c r="J829" s="2" t="str">
        <f t="array" ref="J829:N829">_xlfn.XLOOKUP(A829,Productos!$A$2:$A$61,Productos!$B$2:$F$61)</f>
        <v>Bermuda</v>
      </c>
      <c r="K829" s="2" t="s">
        <v>17</v>
      </c>
      <c r="L829" s="2" t="s">
        <v>10</v>
      </c>
      <c r="M829" s="2" t="s">
        <v>49</v>
      </c>
      <c r="N829" s="2" t="s">
        <v>50</v>
      </c>
    </row>
    <row r="830">
      <c r="A830" s="2" t="str">
        <f>IFERROR(__xludf.DUMMYFUNCTION("""COMPUTED_VALUE"""),"PR001")</f>
        <v>PR001</v>
      </c>
      <c r="B830" s="2" t="str">
        <f>IFERROR(__xludf.DUMMYFUNCTION("""COMPUTED_VALUE"""),"VD021")</f>
        <v>VD021</v>
      </c>
      <c r="C830" s="2">
        <f>IFERROR(__xludf.DUMMYFUNCTION("""COMPUTED_VALUE"""),3.0)</f>
        <v>3</v>
      </c>
      <c r="D830" s="6">
        <f>IFERROR(__xludf.DUMMYFUNCTION("""COMPUTED_VALUE"""),213.52)</f>
        <v>213.52</v>
      </c>
      <c r="E830" s="6">
        <f>IFERROR(__xludf.DUMMYFUNCTION("GOOGLEFINANCE(""Currency:BRLMXN"")*D830"),725.4342)</f>
        <v>725.4342</v>
      </c>
      <c r="F830" s="6">
        <f>IFERROR(__xludf.DUMMYFUNCTION("GOOGLEFINANCE(""Currency:BRLPEN"")*D830"),139.983712)</f>
        <v>139.983712</v>
      </c>
      <c r="G830" s="2" t="str">
        <f t="array" ref="G830">_xlfn.XLOOKUP(B830,Vendedores!$A$2:$A$41,Vendedores!$B$2:$B$41,"No hay datos")</f>
        <v>Fernanda Méndez</v>
      </c>
      <c r="H830" s="2" t="str">
        <f t="array" ref="H830">_xlfn.XLOOKUP(B830,Vendedores!$A$2:$A$41,Vendedores!$C$2:$C$41,"No hay datos")</f>
        <v>San Juan de la Sierra</v>
      </c>
      <c r="I830" s="2" t="str">
        <f t="array" ref="I830">_xlfn.XLOOKUP(B830,Vendedores!$A$2:$A$41,Vendedores!$D$2:$D$41,"No hay datos")</f>
        <v>Región Central</v>
      </c>
      <c r="J830" s="2" t="str">
        <f t="array" ref="J830:N830">_xlfn.XLOOKUP(A830,Productos!$A$2:$A$61,Productos!$B$2:$F$61)</f>
        <v>Bermuda</v>
      </c>
      <c r="K830" s="2" t="s">
        <v>9</v>
      </c>
      <c r="L830" s="2" t="s">
        <v>10</v>
      </c>
      <c r="M830" s="2" t="s">
        <v>11</v>
      </c>
      <c r="N830" s="2" t="s">
        <v>12</v>
      </c>
    </row>
    <row r="831">
      <c r="A831" s="2" t="str">
        <f>IFERROR(__xludf.DUMMYFUNCTION("""COMPUTED_VALUE"""),"PR044")</f>
        <v>PR044</v>
      </c>
      <c r="B831" s="2" t="str">
        <f>IFERROR(__xludf.DUMMYFUNCTION("""COMPUTED_VALUE"""),"VD030")</f>
        <v>VD030</v>
      </c>
      <c r="C831" s="2">
        <f>IFERROR(__xludf.DUMMYFUNCTION("""COMPUTED_VALUE"""),3.0)</f>
        <v>3</v>
      </c>
      <c r="D831" s="6">
        <f>IFERROR(__xludf.DUMMYFUNCTION("""COMPUTED_VALUE"""),232.73)</f>
        <v>232.73</v>
      </c>
      <c r="E831" s="6">
        <f>IFERROR(__xludf.DUMMYFUNCTION("GOOGLEFINANCE(""Currency:BRLMXN"")*D831"),790.700175)</f>
        <v>790.700175</v>
      </c>
      <c r="F831" s="6">
        <f>IFERROR(__xludf.DUMMYFUNCTION("GOOGLEFINANCE(""Currency:BRLPEN"")*D831"),152.577788)</f>
        <v>152.577788</v>
      </c>
      <c r="G831" s="2" t="str">
        <f t="array" ref="G831">_xlfn.XLOOKUP(B831,Vendedores!$A$2:$A$41,Vendedores!$B$2:$B$41,"No hay datos")</f>
        <v>Leonardo Rojas</v>
      </c>
      <c r="H831" s="2" t="str">
        <f t="array" ref="H831">_xlfn.XLOOKUP(B831,Vendedores!$A$2:$A$41,Vendedores!$C$2:$C$41,"No hay datos")</f>
        <v>Villa del Sol</v>
      </c>
      <c r="I831" s="2" t="str">
        <f t="array" ref="I831">_xlfn.XLOOKUP(B831,Vendedores!$A$2:$A$41,Vendedores!$D$2:$D$41,"No hay datos")</f>
        <v>Región Central 2</v>
      </c>
      <c r="J831" s="2" t="str">
        <f t="array" ref="J831:N831">_xlfn.XLOOKUP(A831,Productos!$A$2:$A$61,Productos!$B$2:$F$61)</f>
        <v>Vestido floral</v>
      </c>
      <c r="K831" s="2" t="s">
        <v>17</v>
      </c>
      <c r="L831" s="2" t="s">
        <v>10</v>
      </c>
      <c r="M831" s="2" t="s">
        <v>105</v>
      </c>
      <c r="N831" s="2" t="s">
        <v>40</v>
      </c>
    </row>
    <row r="832">
      <c r="A832" s="2" t="str">
        <f>IFERROR(__xludf.DUMMYFUNCTION("""COMPUTED_VALUE"""),"PR028")</f>
        <v>PR028</v>
      </c>
      <c r="B832" s="2" t="str">
        <f>IFERROR(__xludf.DUMMYFUNCTION("""COMPUTED_VALUE"""),"VD021")</f>
        <v>VD021</v>
      </c>
      <c r="C832" s="2">
        <f>IFERROR(__xludf.DUMMYFUNCTION("""COMPUTED_VALUE"""),2.0)</f>
        <v>2</v>
      </c>
      <c r="D832" s="6">
        <f>IFERROR(__xludf.DUMMYFUNCTION("""COMPUTED_VALUE"""),529.79)</f>
        <v>529.79</v>
      </c>
      <c r="E832" s="6">
        <f>IFERROR(__xludf.DUMMYFUNCTION("GOOGLEFINANCE(""Currency:BRLMXN"")*D832"),1799.961525)</f>
        <v>1799.961525</v>
      </c>
      <c r="F832" s="6">
        <f>IFERROR(__xludf.DUMMYFUNCTION("GOOGLEFINANCE(""Currency:BRLPEN"")*D832"),347.33032399999996)</f>
        <v>347.330324</v>
      </c>
      <c r="G832" s="2" t="str">
        <f t="array" ref="G832">_xlfn.XLOOKUP(B832,Vendedores!$A$2:$A$41,Vendedores!$B$2:$B$41,"No hay datos")</f>
        <v>Fernanda Méndez</v>
      </c>
      <c r="H832" s="2" t="str">
        <f t="array" ref="H832">_xlfn.XLOOKUP(B832,Vendedores!$A$2:$A$41,Vendedores!$C$2:$C$41,"No hay datos")</f>
        <v>San Juan de la Sierra</v>
      </c>
      <c r="I832" s="2" t="str">
        <f t="array" ref="I832">_xlfn.XLOOKUP(B832,Vendedores!$A$2:$A$41,Vendedores!$D$2:$D$41,"No hay datos")</f>
        <v>Región Central</v>
      </c>
      <c r="J832" s="2" t="str">
        <f t="array" ref="J832:N832">_xlfn.XLOOKUP(A832,Productos!$A$2:$A$61,Productos!$B$2:$F$61)</f>
        <v>Tenis Atitas</v>
      </c>
      <c r="K832" s="2">
        <v>36.0</v>
      </c>
      <c r="L832" s="2" t="s">
        <v>33</v>
      </c>
      <c r="M832" s="2" t="s">
        <v>55</v>
      </c>
      <c r="N832" s="2" t="s">
        <v>56</v>
      </c>
    </row>
    <row r="833">
      <c r="A833" s="2" t="str">
        <f>IFERROR(__xludf.DUMMYFUNCTION("""COMPUTED_VALUE"""),"PR045")</f>
        <v>PR045</v>
      </c>
      <c r="B833" s="2" t="str">
        <f>IFERROR(__xludf.DUMMYFUNCTION("""COMPUTED_VALUE"""),"VD024")</f>
        <v>VD024</v>
      </c>
      <c r="C833" s="2">
        <f>IFERROR(__xludf.DUMMYFUNCTION("""COMPUTED_VALUE"""),18.0)</f>
        <v>18</v>
      </c>
      <c r="D833" s="6">
        <f>IFERROR(__xludf.DUMMYFUNCTION("""COMPUTED_VALUE"""),1435.5)</f>
        <v>1435.5</v>
      </c>
      <c r="E833" s="6">
        <f>IFERROR(__xludf.DUMMYFUNCTION("GOOGLEFINANCE(""Currency:BRLMXN"")*D833"),4877.11125)</f>
        <v>4877.11125</v>
      </c>
      <c r="F833" s="6">
        <f>IFERROR(__xludf.DUMMYFUNCTION("GOOGLEFINANCE(""Currency:BRLPEN"")*D833"),941.1138)</f>
        <v>941.1138</v>
      </c>
      <c r="G833" s="2" t="str">
        <f t="array" ref="G833">_xlfn.XLOOKUP(B833,Vendedores!$A$2:$A$41,Vendedores!$B$2:$B$41,"No hay datos")</f>
        <v>Marcos Rivera</v>
      </c>
      <c r="H833" s="2" t="str">
        <f t="array" ref="H833">_xlfn.XLOOKUP(B833,Vendedores!$A$2:$A$41,Vendedores!$C$2:$C$41,"No hay datos")</f>
        <v>Santa Rosa del Valle</v>
      </c>
      <c r="I833" s="2" t="str">
        <f t="array" ref="I833">_xlfn.XLOOKUP(B833,Vendedores!$A$2:$A$41,Vendedores!$D$2:$D$41,"No hay datos")</f>
        <v>Región Norte</v>
      </c>
      <c r="J833" s="2" t="str">
        <f t="array" ref="J833:N833">_xlfn.XLOOKUP(A833,Productos!$A$2:$A$61,Productos!$B$2:$F$61)</f>
        <v>Vestido floral</v>
      </c>
      <c r="K833" s="2" t="s">
        <v>22</v>
      </c>
      <c r="L833" s="2" t="s">
        <v>10</v>
      </c>
      <c r="M833" s="2" t="s">
        <v>39</v>
      </c>
      <c r="N833" s="2" t="s">
        <v>40</v>
      </c>
    </row>
    <row r="834">
      <c r="A834" s="2" t="str">
        <f>IFERROR(__xludf.DUMMYFUNCTION("""COMPUTED_VALUE"""),"PR052")</f>
        <v>PR052</v>
      </c>
      <c r="B834" s="2" t="str">
        <f>IFERROR(__xludf.DUMMYFUNCTION("""COMPUTED_VALUE"""),"VD038")</f>
        <v>VD038</v>
      </c>
      <c r="C834" s="2">
        <f>IFERROR(__xludf.DUMMYFUNCTION("""COMPUTED_VALUE"""),8.0)</f>
        <v>8</v>
      </c>
      <c r="D834" s="6">
        <f>IFERROR(__xludf.DUMMYFUNCTION("""COMPUTED_VALUE"""),415.17)</f>
        <v>415.17</v>
      </c>
      <c r="E834" s="6">
        <f>IFERROR(__xludf.DUMMYFUNCTION("GOOGLEFINANCE(""Currency:BRLMXN"")*D834"),1410.5400750000001)</f>
        <v>1410.540075</v>
      </c>
      <c r="F834" s="6">
        <f>IFERROR(__xludf.DUMMYFUNCTION("GOOGLEFINANCE(""Currency:BRLPEN"")*D834"),272.185452)</f>
        <v>272.185452</v>
      </c>
      <c r="G834" s="2" t="str">
        <f t="array" ref="G834">_xlfn.XLOOKUP(B834,Vendedores!$A$2:$A$41,Vendedores!$B$2:$B$41,"No hay datos")</f>
        <v>Bruno Olmedo</v>
      </c>
      <c r="H834" s="2" t="str">
        <f t="array" ref="H834">_xlfn.XLOOKUP(B834,Vendedores!$A$2:$A$41,Vendedores!$C$2:$C$41,"No hay datos")</f>
        <v>Tierra Fertil</v>
      </c>
      <c r="I834" s="2" t="str">
        <f t="array" ref="I834">_xlfn.XLOOKUP(B834,Vendedores!$A$2:$A$41,Vendedores!$D$2:$D$41,"No hay datos")</f>
        <v>Región Sur 2</v>
      </c>
      <c r="J834" s="2" t="str">
        <f t="array" ref="J834:N834">_xlfn.XLOOKUP(A834,Productos!$A$2:$A$61,Productos!$B$2:$F$61)</f>
        <v>Falda plisada</v>
      </c>
      <c r="K834" s="2" t="s">
        <v>9</v>
      </c>
      <c r="L834" s="2" t="s">
        <v>10</v>
      </c>
      <c r="M834" s="2" t="s">
        <v>36</v>
      </c>
      <c r="N834" s="2" t="s">
        <v>32</v>
      </c>
    </row>
    <row r="835">
      <c r="A835" s="2" t="str">
        <f>IFERROR(__xludf.DUMMYFUNCTION("""COMPUTED_VALUE"""),"PR024")</f>
        <v>PR024</v>
      </c>
      <c r="B835" s="2" t="str">
        <f>IFERROR(__xludf.DUMMYFUNCTION("""COMPUTED_VALUE"""),"VD026")</f>
        <v>VD026</v>
      </c>
      <c r="C835" s="2">
        <f>IFERROR(__xludf.DUMMYFUNCTION("""COMPUTED_VALUE"""),4.0)</f>
        <v>4</v>
      </c>
      <c r="D835" s="6">
        <f>IFERROR(__xludf.DUMMYFUNCTION("""COMPUTED_VALUE"""),1122.77)</f>
        <v>1122.77</v>
      </c>
      <c r="E835" s="6">
        <f>IFERROR(__xludf.DUMMYFUNCTION("GOOGLEFINANCE(""Currency:BRLMXN"")*D835"),3814.611075)</f>
        <v>3814.611075</v>
      </c>
      <c r="F835" s="6">
        <f>IFERROR(__xludf.DUMMYFUNCTION("GOOGLEFINANCE(""Currency:BRLPEN"")*D835"),736.0880119999999)</f>
        <v>736.088012</v>
      </c>
      <c r="G835" s="2" t="str">
        <f t="array" ref="G835">_xlfn.XLOOKUP(B835,Vendedores!$A$2:$A$41,Vendedores!$B$2:$B$41,"No hay datos")</f>
        <v>Daniel Fernández</v>
      </c>
      <c r="H835" s="2" t="str">
        <f t="array" ref="H835">_xlfn.XLOOKUP(B835,Vendedores!$A$2:$A$41,Vendedores!$C$2:$C$41,"No hay datos")</f>
        <v>Puerto Esperanza</v>
      </c>
      <c r="I835" s="2" t="str">
        <f t="array" ref="I835">_xlfn.XLOOKUP(B835,Vendedores!$A$2:$A$41,Vendedores!$D$2:$D$41,"No hay datos")</f>
        <v>Región Sur</v>
      </c>
      <c r="J835" s="2" t="str">
        <f t="array" ref="J835:N835">_xlfn.XLOOKUP(A835,Productos!$A$2:$A$61,Productos!$B$2:$F$61)</f>
        <v>Chaqueta de mezclilla</v>
      </c>
      <c r="K835" s="2" t="s">
        <v>17</v>
      </c>
      <c r="L835" s="2" t="s">
        <v>10</v>
      </c>
      <c r="M835" s="2" t="s">
        <v>92</v>
      </c>
      <c r="N835" s="2" t="s">
        <v>64</v>
      </c>
    </row>
    <row r="836">
      <c r="A836" s="2" t="str">
        <f>IFERROR(__xludf.DUMMYFUNCTION("""COMPUTED_VALUE"""),"PR013")</f>
        <v>PR013</v>
      </c>
      <c r="B836" s="2" t="str">
        <f>IFERROR(__xludf.DUMMYFUNCTION("""COMPUTED_VALUE"""),"VD028")</f>
        <v>VD028</v>
      </c>
      <c r="C836" s="2">
        <f>IFERROR(__xludf.DUMMYFUNCTION("""COMPUTED_VALUE"""),20.0)</f>
        <v>20</v>
      </c>
      <c r="D836" s="6">
        <f>IFERROR(__xludf.DUMMYFUNCTION("""COMPUTED_VALUE"""),821.94)</f>
        <v>821.94</v>
      </c>
      <c r="E836" s="6">
        <f>IFERROR(__xludf.DUMMYFUNCTION("GOOGLEFINANCE(""Currency:BRLMXN"")*D836"),2792.54115)</f>
        <v>2792.54115</v>
      </c>
      <c r="F836" s="6">
        <f>IFERROR(__xludf.DUMMYFUNCTION("GOOGLEFINANCE(""Currency:BRLPEN"")*D836"),538.863864)</f>
        <v>538.863864</v>
      </c>
      <c r="G836" s="2" t="str">
        <f t="array" ref="G836">_xlfn.XLOOKUP(B836,Vendedores!$A$2:$A$41,Vendedores!$B$2:$B$41,"No hay datos")</f>
        <v>Rodrigo Almonte</v>
      </c>
      <c r="H836" s="2" t="str">
        <f t="array" ref="H836">_xlfn.XLOOKUP(B836,Vendedores!$A$2:$A$41,Vendedores!$C$2:$C$41,"No hay datos")</f>
        <v>Valle Escondido</v>
      </c>
      <c r="I836" s="2" t="str">
        <f t="array" ref="I836">_xlfn.XLOOKUP(B836,Vendedores!$A$2:$A$41,Vendedores!$D$2:$D$41,"No hay datos")</f>
        <v>Región Andina</v>
      </c>
      <c r="J836" s="2" t="str">
        <f t="array" ref="J836:N836">_xlfn.XLOOKUP(A836,Productos!$A$2:$A$61,Productos!$B$2:$F$61)</f>
        <v>Playera estampada</v>
      </c>
      <c r="K836" s="2" t="s">
        <v>9</v>
      </c>
      <c r="L836" s="2" t="s">
        <v>10</v>
      </c>
      <c r="M836" s="2" t="s">
        <v>66</v>
      </c>
      <c r="N836" s="2" t="s">
        <v>38</v>
      </c>
    </row>
    <row r="837">
      <c r="A837" s="2" t="str">
        <f>IFERROR(__xludf.DUMMYFUNCTION("""COMPUTED_VALUE"""),"PR053")</f>
        <v>PR053</v>
      </c>
      <c r="B837" s="2" t="str">
        <f>IFERROR(__xludf.DUMMYFUNCTION("""COMPUTED_VALUE"""),"VD049")</f>
        <v>VD049</v>
      </c>
      <c r="C837" s="2">
        <f>IFERROR(__xludf.DUMMYFUNCTION("""COMPUTED_VALUE"""),6.0)</f>
        <v>6</v>
      </c>
      <c r="D837" s="6">
        <f>IFERROR(__xludf.DUMMYFUNCTION("""COMPUTED_VALUE"""),302.39)</f>
        <v>302.39</v>
      </c>
      <c r="E837" s="6">
        <f>IFERROR(__xludf.DUMMYFUNCTION("GOOGLEFINANCE(""Currency:BRLMXN"")*D837"),1027.370025)</f>
        <v>1027.370025</v>
      </c>
      <c r="F837" s="6">
        <f>IFERROR(__xludf.DUMMYFUNCTION("GOOGLEFINANCE(""Currency:BRLPEN"")*D837"),198.24688399999997)</f>
        <v>198.246884</v>
      </c>
      <c r="G837" s="2" t="str">
        <f t="array" ref="G837">_xlfn.XLOOKUP(B837,Vendedores!$A$2:$A$41,Vendedores!$B$2:$B$41,"No hay datos")</f>
        <v>Fernando Navarro</v>
      </c>
      <c r="H837" s="2" t="str">
        <f t="array" ref="H837">_xlfn.XLOOKUP(B837,Vendedores!$A$2:$A$41,Vendedores!$C$2:$C$41,"No hay datos")</f>
        <v>Colinas Verdes</v>
      </c>
      <c r="I837" s="2" t="str">
        <f t="array" ref="I837">_xlfn.XLOOKUP(B837,Vendedores!$A$2:$A$41,Vendedores!$D$2:$D$41,"No hay datos")</f>
        <v>Región Central 2</v>
      </c>
      <c r="J837" s="2" t="str">
        <f t="array" ref="J837:N837">_xlfn.XLOOKUP(A837,Productos!$A$2:$A$61,Productos!$B$2:$F$61)</f>
        <v>Falda plisada</v>
      </c>
      <c r="K837" s="2" t="s">
        <v>17</v>
      </c>
      <c r="L837" s="2" t="s">
        <v>10</v>
      </c>
      <c r="M837" s="2" t="s">
        <v>41</v>
      </c>
      <c r="N837" s="2" t="s">
        <v>32</v>
      </c>
    </row>
    <row r="838">
      <c r="A838" s="2" t="str">
        <f>IFERROR(__xludf.DUMMYFUNCTION("""COMPUTED_VALUE"""),"PR029")</f>
        <v>PR029</v>
      </c>
      <c r="B838" s="2" t="str">
        <f>IFERROR(__xludf.DUMMYFUNCTION("""COMPUTED_VALUE"""),"VD029")</f>
        <v>VD029</v>
      </c>
      <c r="C838" s="2">
        <f>IFERROR(__xludf.DUMMYFUNCTION("""COMPUTED_VALUE"""),8.0)</f>
        <v>8</v>
      </c>
      <c r="D838" s="6">
        <f>IFERROR(__xludf.DUMMYFUNCTION("""COMPUTED_VALUE"""),2182.8)</f>
        <v>2182.8</v>
      </c>
      <c r="E838" s="6">
        <f>IFERROR(__xludf.DUMMYFUNCTION("GOOGLEFINANCE(""Currency:BRLMXN"")*D838"),7416.063)</f>
        <v>7416.063</v>
      </c>
      <c r="F838" s="6">
        <f>IFERROR(__xludf.DUMMYFUNCTION("GOOGLEFINANCE(""Currency:BRLPEN"")*D838"),1431.04368)</f>
        <v>1431.04368</v>
      </c>
      <c r="G838" s="2" t="str">
        <f t="array" ref="G838">_xlfn.XLOOKUP(B838,Vendedores!$A$2:$A$41,Vendedores!$B$2:$B$41,"No hay datos")</f>
        <v>Gabriela Sosa</v>
      </c>
      <c r="H838" s="2" t="str">
        <f t="array" ref="H838">_xlfn.XLOOKUP(B838,Vendedores!$A$2:$A$41,Vendedores!$C$2:$C$41,"No hay datos")</f>
        <v>Selva Verde</v>
      </c>
      <c r="I838" s="2" t="str">
        <f t="array" ref="I838">_xlfn.XLOOKUP(B838,Vendedores!$A$2:$A$41,Vendedores!$D$2:$D$41,"No hay datos")</f>
        <v>Región Amazónica</v>
      </c>
      <c r="J838" s="2" t="str">
        <f t="array" ref="J838:N838">_xlfn.XLOOKUP(A838,Productos!$A$2:$A$61,Productos!$B$2:$F$61)</f>
        <v>Tenis Atitas</v>
      </c>
      <c r="K838" s="2">
        <v>37.0</v>
      </c>
      <c r="L838" s="2" t="s">
        <v>33</v>
      </c>
      <c r="M838" s="2" t="s">
        <v>96</v>
      </c>
      <c r="N838" s="2" t="s">
        <v>97</v>
      </c>
    </row>
    <row r="839">
      <c r="A839" s="2" t="str">
        <f>IFERROR(__xludf.DUMMYFUNCTION("""COMPUTED_VALUE"""),"PR001")</f>
        <v>PR001</v>
      </c>
      <c r="B839" s="2" t="str">
        <f>IFERROR(__xludf.DUMMYFUNCTION("""COMPUTED_VALUE"""),"VD014")</f>
        <v>VD014</v>
      </c>
      <c r="C839" s="2">
        <f>IFERROR(__xludf.DUMMYFUNCTION("""COMPUTED_VALUE"""),6.0)</f>
        <v>6</v>
      </c>
      <c r="D839" s="6">
        <f>IFERROR(__xludf.DUMMYFUNCTION("""COMPUTED_VALUE"""),423.08)</f>
        <v>423.08</v>
      </c>
      <c r="E839" s="6">
        <f>IFERROR(__xludf.DUMMYFUNCTION("GOOGLEFINANCE(""Currency:BRLMXN"")*D839"),1437.4143)</f>
        <v>1437.4143</v>
      </c>
      <c r="F839" s="6">
        <f>IFERROR(__xludf.DUMMYFUNCTION("GOOGLEFINANCE(""Currency:BRLPEN"")*D839"),277.371248)</f>
        <v>277.371248</v>
      </c>
      <c r="G839" s="2" t="str">
        <f t="array" ref="G839">_xlfn.XLOOKUP(B839,Vendedores!$A$2:$A$41,Vendedores!$B$2:$B$41,"No hay datos")</f>
        <v>Carla Flores</v>
      </c>
      <c r="H839" s="2" t="str">
        <f t="array" ref="H839">_xlfn.XLOOKUP(B839,Vendedores!$A$2:$A$41,Vendedores!$C$2:$C$41,"No hay datos")</f>
        <v>Valle Escondido</v>
      </c>
      <c r="I839" s="2" t="str">
        <f t="array" ref="I839">_xlfn.XLOOKUP(B839,Vendedores!$A$2:$A$41,Vendedores!$D$2:$D$41,"No hay datos")</f>
        <v>Región Andina</v>
      </c>
      <c r="J839" s="2" t="str">
        <f t="array" ref="J839:N839">_xlfn.XLOOKUP(A839,Productos!$A$2:$A$61,Productos!$B$2:$F$61)</f>
        <v>Bermuda</v>
      </c>
      <c r="K839" s="2" t="s">
        <v>9</v>
      </c>
      <c r="L839" s="2" t="s">
        <v>10</v>
      </c>
      <c r="M839" s="2" t="s">
        <v>11</v>
      </c>
      <c r="N839" s="2" t="s">
        <v>12</v>
      </c>
    </row>
    <row r="840">
      <c r="A840" s="2" t="str">
        <f>IFERROR(__xludf.DUMMYFUNCTION("""COMPUTED_VALUE"""),"PR059")</f>
        <v>PR059</v>
      </c>
      <c r="B840" s="2" t="str">
        <f>IFERROR(__xludf.DUMMYFUNCTION("""COMPUTED_VALUE"""),"VD025")</f>
        <v>VD025</v>
      </c>
      <c r="C840" s="2">
        <f>IFERROR(__xludf.DUMMYFUNCTION("""COMPUTED_VALUE"""),12.0)</f>
        <v>12</v>
      </c>
      <c r="D840" s="6">
        <f>IFERROR(__xludf.DUMMYFUNCTION("""COMPUTED_VALUE"""),2289.6)</f>
        <v>2289.6</v>
      </c>
      <c r="E840" s="6">
        <f>IFERROR(__xludf.DUMMYFUNCTION("GOOGLEFINANCE(""Currency:BRLMXN"")*D840"),7778.915999999999)</f>
        <v>7778.916</v>
      </c>
      <c r="F840" s="6">
        <f>IFERROR(__xludf.DUMMYFUNCTION("GOOGLEFINANCE(""Currency:BRLPEN"")*D840"),1501.0617599999998)</f>
        <v>1501.06176</v>
      </c>
      <c r="G840" s="2" t="str">
        <f t="array" ref="G840">_xlfn.XLOOKUP(B840,Vendedores!$A$2:$A$41,Vendedores!$B$2:$B$41,"No hay datos")</f>
        <v>Alina Santana</v>
      </c>
      <c r="H840" s="2" t="str">
        <f t="array" ref="H840">_xlfn.XLOOKUP(B840,Vendedores!$A$2:$A$41,Vendedores!$C$2:$C$41,"No hay datos")</f>
        <v>Playa Blanca</v>
      </c>
      <c r="I840" s="2" t="str">
        <f t="array" ref="I840">_xlfn.XLOOKUP(B840,Vendedores!$A$2:$A$41,Vendedores!$D$2:$D$41,"No hay datos")</f>
        <v>Región Norte</v>
      </c>
      <c r="J840" s="2" t="str">
        <f t="array" ref="J840:N840">_xlfn.XLOOKUP(A840,Productos!$A$2:$A$61,Productos!$B$2:$F$61)</f>
        <v>Pantalón de sastre</v>
      </c>
      <c r="K840" s="2" t="s">
        <v>17</v>
      </c>
      <c r="L840" s="2" t="s">
        <v>10</v>
      </c>
      <c r="M840" s="2" t="s">
        <v>28</v>
      </c>
      <c r="N840" s="2" t="s">
        <v>14</v>
      </c>
    </row>
    <row r="841">
      <c r="A841" s="2" t="str">
        <f>IFERROR(__xludf.DUMMYFUNCTION("""COMPUTED_VALUE"""),"PR039")</f>
        <v>PR039</v>
      </c>
      <c r="B841" s="2" t="str">
        <f>IFERROR(__xludf.DUMMYFUNCTION("""COMPUTED_VALUE"""),"VD036")</f>
        <v>VD036</v>
      </c>
      <c r="C841" s="2">
        <f>IFERROR(__xludf.DUMMYFUNCTION("""COMPUTED_VALUE"""),8.0)</f>
        <v>8</v>
      </c>
      <c r="D841" s="6">
        <f>IFERROR(__xludf.DUMMYFUNCTION("""COMPUTED_VALUE"""),1203.04)</f>
        <v>1203.04</v>
      </c>
      <c r="E841" s="6">
        <f>IFERROR(__xludf.DUMMYFUNCTION("GOOGLEFINANCE(""Currency:BRLMXN"")*D841"),4087.3284)</f>
        <v>4087.3284</v>
      </c>
      <c r="F841" s="6">
        <f>IFERROR(__xludf.DUMMYFUNCTION("GOOGLEFINANCE(""Currency:BRLPEN"")*D841"),788.7130239999999)</f>
        <v>788.713024</v>
      </c>
      <c r="G841" s="2" t="str">
        <f t="array" ref="G841">_xlfn.XLOOKUP(B841,Vendedores!$A$2:$A$41,Vendedores!$B$2:$B$41,"No hay datos")</f>
        <v>Ricardo Sosa</v>
      </c>
      <c r="H841" s="2" t="str">
        <f t="array" ref="H841">_xlfn.XLOOKUP(B841,Vendedores!$A$2:$A$41,Vendedores!$C$2:$C$41,"No hay datos")</f>
        <v>Puerto Nuevo</v>
      </c>
      <c r="I841" s="2" t="str">
        <f t="array" ref="I841">_xlfn.XLOOKUP(B841,Vendedores!$A$2:$A$41,Vendedores!$D$2:$D$41,"No hay datos")</f>
        <v>Región Central 2</v>
      </c>
      <c r="J841" s="2" t="str">
        <f t="array" ref="J841:N841">_xlfn.XLOOKUP(A841,Productos!$A$2:$A$61,Productos!$B$2:$F$61)</f>
        <v>Vestido largo</v>
      </c>
      <c r="K841" s="2" t="s">
        <v>22</v>
      </c>
      <c r="L841" s="2" t="s">
        <v>10</v>
      </c>
      <c r="M841" s="2" t="s">
        <v>73</v>
      </c>
      <c r="N841" s="2" t="s">
        <v>74</v>
      </c>
    </row>
    <row r="842">
      <c r="A842" s="2" t="str">
        <f>IFERROR(__xludf.DUMMYFUNCTION("""COMPUTED_VALUE"""),"PR026")</f>
        <v>PR026</v>
      </c>
      <c r="B842" s="2" t="str">
        <f>IFERROR(__xludf.DUMMYFUNCTION("""COMPUTED_VALUE"""),"VD026")</f>
        <v>VD026</v>
      </c>
      <c r="C842" s="2">
        <f>IFERROR(__xludf.DUMMYFUNCTION("""COMPUTED_VALUE"""),9.0)</f>
        <v>9</v>
      </c>
      <c r="D842" s="6">
        <f>IFERROR(__xludf.DUMMYFUNCTION("""COMPUTED_VALUE"""),3212.08)</f>
        <v>3212.08</v>
      </c>
      <c r="E842" s="6">
        <f>IFERROR(__xludf.DUMMYFUNCTION("GOOGLEFINANCE(""Currency:BRLMXN"")*D842"),10913.041799999999)</f>
        <v>10913.0418</v>
      </c>
      <c r="F842" s="6">
        <f>IFERROR(__xludf.DUMMYFUNCTION("GOOGLEFINANCE(""Currency:BRLPEN"")*D842"),2105.8396479999997)</f>
        <v>2105.839648</v>
      </c>
      <c r="G842" s="2" t="str">
        <f t="array" ref="G842">_xlfn.XLOOKUP(B842,Vendedores!$A$2:$A$41,Vendedores!$B$2:$B$41,"No hay datos")</f>
        <v>Daniel Fernández</v>
      </c>
      <c r="H842" s="2" t="str">
        <f t="array" ref="H842">_xlfn.XLOOKUP(B842,Vendedores!$A$2:$A$41,Vendedores!$C$2:$C$41,"No hay datos")</f>
        <v>Puerto Esperanza</v>
      </c>
      <c r="I842" s="2" t="str">
        <f t="array" ref="I842">_xlfn.XLOOKUP(B842,Vendedores!$A$2:$A$41,Vendedores!$D$2:$D$41,"No hay datos")</f>
        <v>Región Sur</v>
      </c>
      <c r="J842" s="2" t="str">
        <f t="array" ref="J842:N842">_xlfn.XLOOKUP(A842,Productos!$A$2:$A$61,Productos!$B$2:$F$61)</f>
        <v>Gafas cuadradas</v>
      </c>
      <c r="K842" s="2" t="s">
        <v>29</v>
      </c>
      <c r="L842" s="2" t="s">
        <v>30</v>
      </c>
      <c r="M842" s="2" t="s">
        <v>90</v>
      </c>
      <c r="N842" s="2" t="s">
        <v>91</v>
      </c>
    </row>
    <row r="843">
      <c r="A843" s="2" t="str">
        <f>IFERROR(__xludf.DUMMYFUNCTION("""COMPUTED_VALUE"""),"PR057")</f>
        <v>PR057</v>
      </c>
      <c r="B843" s="2" t="str">
        <f>IFERROR(__xludf.DUMMYFUNCTION("""COMPUTED_VALUE"""),"VD032")</f>
        <v>VD032</v>
      </c>
      <c r="C843" s="2">
        <f>IFERROR(__xludf.DUMMYFUNCTION("""COMPUTED_VALUE"""),8.0)</f>
        <v>8</v>
      </c>
      <c r="D843" s="6">
        <f>IFERROR(__xludf.DUMMYFUNCTION("""COMPUTED_VALUE"""),726.39)</f>
        <v>726.39</v>
      </c>
      <c r="E843" s="6">
        <f>IFERROR(__xludf.DUMMYFUNCTION("GOOGLEFINANCE(""Currency:BRLMXN"")*D843"),2467.910025)</f>
        <v>2467.910025</v>
      </c>
      <c r="F843" s="6">
        <f>IFERROR(__xludf.DUMMYFUNCTION("GOOGLEFINANCE(""Currency:BRLPEN"")*D843"),476.22128399999997)</f>
        <v>476.221284</v>
      </c>
      <c r="G843" s="2" t="str">
        <f t="array" ref="G843">_xlfn.XLOOKUP(B843,Vendedores!$A$2:$A$41,Vendedores!$B$2:$B$41,"No hay datos")</f>
        <v>Eduardo Almonte</v>
      </c>
      <c r="H843" s="2" t="str">
        <f t="array" ref="H843">_xlfn.XLOOKUP(B843,Vendedores!$A$2:$A$41,Vendedores!$C$2:$C$41,"No hay datos")</f>
        <v>Tierra Colorada</v>
      </c>
      <c r="I843" s="2" t="str">
        <f t="array" ref="I843">_xlfn.XLOOKUP(B843,Vendedores!$A$2:$A$41,Vendedores!$D$2:$D$41,"No hay datos")</f>
        <v>Región Central 2</v>
      </c>
      <c r="J843" s="2" t="str">
        <f t="array" ref="J843:N843">_xlfn.XLOOKUP(A843,Productos!$A$2:$A$61,Productos!$B$2:$F$61)</f>
        <v>Sandalia plana</v>
      </c>
      <c r="K843" s="2">
        <v>37.0</v>
      </c>
      <c r="L843" s="2" t="s">
        <v>33</v>
      </c>
      <c r="M843" s="2" t="s">
        <v>58</v>
      </c>
      <c r="N843" s="2" t="s">
        <v>35</v>
      </c>
    </row>
    <row r="844">
      <c r="A844" s="2" t="str">
        <f>IFERROR(__xludf.DUMMYFUNCTION("""COMPUTED_VALUE"""),"PR003")</f>
        <v>PR003</v>
      </c>
      <c r="B844" s="2" t="str">
        <f>IFERROR(__xludf.DUMMYFUNCTION("""COMPUTED_VALUE"""),"VD037")</f>
        <v>VD037</v>
      </c>
      <c r="C844" s="2">
        <f>IFERROR(__xludf.DUMMYFUNCTION("""COMPUTED_VALUE"""),20.0)</f>
        <v>20</v>
      </c>
      <c r="D844" s="6">
        <f>IFERROR(__xludf.DUMMYFUNCTION("""COMPUTED_VALUE"""),1418.0)</f>
        <v>1418</v>
      </c>
      <c r="E844" s="6">
        <f>IFERROR(__xludf.DUMMYFUNCTION("GOOGLEFINANCE(""Currency:BRLMXN"")*D844"),4817.655)</f>
        <v>4817.655</v>
      </c>
      <c r="F844" s="6">
        <f>IFERROR(__xludf.DUMMYFUNCTION("GOOGLEFINANCE(""Currency:BRLPEN"")*D844"),929.6407999999999)</f>
        <v>929.6408</v>
      </c>
      <c r="G844" s="2" t="str">
        <f t="array" ref="G844">_xlfn.XLOOKUP(B844,Vendedores!$A$2:$A$41,Vendedores!$B$2:$B$41,"No hay datos")</f>
        <v>Amanda Silva</v>
      </c>
      <c r="H844" s="2" t="str">
        <f t="array" ref="H844">_xlfn.XLOOKUP(B844,Vendedores!$A$2:$A$41,Vendedores!$C$2:$C$41,"No hay datos")</f>
        <v>Villa Esperanza</v>
      </c>
      <c r="I844" s="2" t="str">
        <f t="array" ref="I844">_xlfn.XLOOKUP(B844,Vendedores!$A$2:$A$41,Vendedores!$D$2:$D$41,"No hay datos")</f>
        <v>Región Sur 2</v>
      </c>
      <c r="J844" s="2" t="str">
        <f t="array" ref="J844:N844">_xlfn.XLOOKUP(A844,Productos!$A$2:$A$61,Productos!$B$2:$F$61)</f>
        <v>Bermuda</v>
      </c>
      <c r="K844" s="2" t="s">
        <v>22</v>
      </c>
      <c r="L844" s="2" t="s">
        <v>10</v>
      </c>
      <c r="M844" s="2" t="s">
        <v>45</v>
      </c>
      <c r="N844" s="2" t="s">
        <v>46</v>
      </c>
    </row>
    <row r="845">
      <c r="A845" s="2" t="str">
        <f>IFERROR(__xludf.DUMMYFUNCTION("""COMPUTED_VALUE"""),"PR050")</f>
        <v>PR050</v>
      </c>
      <c r="B845" s="2" t="str">
        <f>IFERROR(__xludf.DUMMYFUNCTION("""COMPUTED_VALUE"""),"VD032")</f>
        <v>VD032</v>
      </c>
      <c r="C845" s="2">
        <f>IFERROR(__xludf.DUMMYFUNCTION("""COMPUTED_VALUE"""),2.0)</f>
        <v>2</v>
      </c>
      <c r="D845" s="6">
        <f>IFERROR(__xludf.DUMMYFUNCTION("""COMPUTED_VALUE"""),71.06)</f>
        <v>71.06</v>
      </c>
      <c r="E845" s="6">
        <f>IFERROR(__xludf.DUMMYFUNCTION("GOOGLEFINANCE(""Currency:BRLMXN"")*D845"),241.42635)</f>
        <v>241.42635</v>
      </c>
      <c r="F845" s="6">
        <f>IFERROR(__xludf.DUMMYFUNCTION("GOOGLEFINANCE(""Currency:BRLPEN"")*D845"),46.586936)</f>
        <v>46.586936</v>
      </c>
      <c r="G845" s="2" t="str">
        <f t="array" ref="G845">_xlfn.XLOOKUP(B845,Vendedores!$A$2:$A$41,Vendedores!$B$2:$B$41,"No hay datos")</f>
        <v>Eduardo Almonte</v>
      </c>
      <c r="H845" s="2" t="str">
        <f t="array" ref="H845">_xlfn.XLOOKUP(B845,Vendedores!$A$2:$A$41,Vendedores!$C$2:$C$41,"No hay datos")</f>
        <v>Tierra Colorada</v>
      </c>
      <c r="I845" s="2" t="str">
        <f t="array" ref="I845">_xlfn.XLOOKUP(B845,Vendedores!$A$2:$A$41,Vendedores!$D$2:$D$41,"No hay datos")</f>
        <v>Región Central 2</v>
      </c>
      <c r="J845" s="2" t="str">
        <f t="array" ref="J845:N845">_xlfn.XLOOKUP(A845,Productos!$A$2:$A$61,Productos!$B$2:$F$61)</f>
        <v>Playera a rayas</v>
      </c>
      <c r="K845" s="2" t="s">
        <v>17</v>
      </c>
      <c r="L845" s="2" t="s">
        <v>10</v>
      </c>
      <c r="M845" s="2" t="s">
        <v>27</v>
      </c>
      <c r="N845" s="2" t="s">
        <v>24</v>
      </c>
    </row>
    <row r="846">
      <c r="A846" s="2" t="str">
        <f>IFERROR(__xludf.DUMMYFUNCTION("""COMPUTED_VALUE"""),"PR027")</f>
        <v>PR027</v>
      </c>
      <c r="B846" s="2" t="str">
        <f>IFERROR(__xludf.DUMMYFUNCTION("""COMPUTED_VALUE"""),"VD022")</f>
        <v>VD022</v>
      </c>
      <c r="C846" s="2">
        <f>IFERROR(__xludf.DUMMYFUNCTION("""COMPUTED_VALUE"""),6.0)</f>
        <v>6</v>
      </c>
      <c r="D846" s="6">
        <f>IFERROR(__xludf.DUMMYFUNCTION("""COMPUTED_VALUE"""),727.2)</f>
        <v>727.2</v>
      </c>
      <c r="E846" s="6">
        <f>IFERROR(__xludf.DUMMYFUNCTION("GOOGLEFINANCE(""Currency:BRLMXN"")*D846"),2470.6620000000003)</f>
        <v>2470.662</v>
      </c>
      <c r="F846" s="6">
        <f>IFERROR(__xludf.DUMMYFUNCTION("GOOGLEFINANCE(""Currency:BRLPEN"")*D846"),476.75232)</f>
        <v>476.75232</v>
      </c>
      <c r="G846" s="2" t="str">
        <f t="array" ref="G846">_xlfn.XLOOKUP(B846,Vendedores!$A$2:$A$41,Vendedores!$B$2:$B$41,"No hay datos")</f>
        <v>Santiago Linares</v>
      </c>
      <c r="H846" s="2" t="str">
        <f t="array" ref="H846">_xlfn.XLOOKUP(B846,Vendedores!$A$2:$A$41,Vendedores!$C$2:$C$41,"No hay datos")</f>
        <v>Vista Hermosa</v>
      </c>
      <c r="I846" s="2" t="str">
        <f t="array" ref="I846">_xlfn.XLOOKUP(B846,Vendedores!$A$2:$A$41,Vendedores!$D$2:$D$41,"No hay datos")</f>
        <v>Región Central</v>
      </c>
      <c r="J846" s="2" t="str">
        <f t="array" ref="J846:N846">_xlfn.XLOOKUP(A846,Productos!$A$2:$A$61,Productos!$B$2:$F$61)</f>
        <v>Gafas redondas</v>
      </c>
      <c r="K846" s="2" t="s">
        <v>29</v>
      </c>
      <c r="L846" s="2" t="s">
        <v>30</v>
      </c>
      <c r="M846" s="2" t="s">
        <v>53</v>
      </c>
      <c r="N846" s="2" t="s">
        <v>54</v>
      </c>
    </row>
    <row r="847">
      <c r="A847" s="2" t="str">
        <f>IFERROR(__xludf.DUMMYFUNCTION("""COMPUTED_VALUE"""),"PR018")</f>
        <v>PR018</v>
      </c>
      <c r="B847" s="2" t="str">
        <f>IFERROR(__xludf.DUMMYFUNCTION("""COMPUTED_VALUE"""),"VD018")</f>
        <v>VD018</v>
      </c>
      <c r="C847" s="2">
        <f>IFERROR(__xludf.DUMMYFUNCTION("""COMPUTED_VALUE"""),8.0)</f>
        <v>8</v>
      </c>
      <c r="D847" s="6">
        <f>IFERROR(__xludf.DUMMYFUNCTION("""COMPUTED_VALUE"""),271.1)</f>
        <v>271.1</v>
      </c>
      <c r="E847" s="6">
        <f>IFERROR(__xludf.DUMMYFUNCTION("GOOGLEFINANCE(""Currency:BRLMXN"")*D847"),921.0622500000001)</f>
        <v>921.06225</v>
      </c>
      <c r="F847" s="6">
        <f>IFERROR(__xludf.DUMMYFUNCTION("GOOGLEFINANCE(""Currency:BRLPEN"")*D847"),177.73316)</f>
        <v>177.73316</v>
      </c>
      <c r="G847" s="2" t="str">
        <f t="array" ref="G847">_xlfn.XLOOKUP(B847,Vendedores!$A$2:$A$41,Vendedores!$B$2:$B$41,"No hay datos")</f>
        <v>Leticia Rodríguez</v>
      </c>
      <c r="H847" s="2" t="str">
        <f t="array" ref="H847">_xlfn.XLOOKUP(B847,Vendedores!$A$2:$A$41,Vendedores!$C$2:$C$41,"No hay datos")</f>
        <v>Playa Blanca</v>
      </c>
      <c r="I847" s="2" t="str">
        <f t="array" ref="I847">_xlfn.XLOOKUP(B847,Vendedores!$A$2:$A$41,Vendedores!$D$2:$D$41,"No hay datos")</f>
        <v>Región Norte</v>
      </c>
      <c r="J847" s="2" t="str">
        <f t="array" ref="J847:N847">_xlfn.XLOOKUP(A847,Productos!$A$2:$A$61,Productos!$B$2:$F$61)</f>
        <v>Playera lisa</v>
      </c>
      <c r="K847" s="2" t="s">
        <v>22</v>
      </c>
      <c r="L847" s="2" t="s">
        <v>10</v>
      </c>
      <c r="M847" s="2" t="s">
        <v>57</v>
      </c>
      <c r="N847" s="2" t="s">
        <v>24</v>
      </c>
    </row>
    <row r="848">
      <c r="A848" s="2" t="str">
        <f>IFERROR(__xludf.DUMMYFUNCTION("""COMPUTED_VALUE"""),"PR038")</f>
        <v>PR038</v>
      </c>
      <c r="B848" s="2" t="str">
        <f>IFERROR(__xludf.DUMMYFUNCTION("""COMPUTED_VALUE"""),"VD024")</f>
        <v>VD024</v>
      </c>
      <c r="C848" s="2">
        <f>IFERROR(__xludf.DUMMYFUNCTION("""COMPUTED_VALUE"""),3.0)</f>
        <v>3</v>
      </c>
      <c r="D848" s="6">
        <f>IFERROR(__xludf.DUMMYFUNCTION("""COMPUTED_VALUE"""),437.27)</f>
        <v>437.27</v>
      </c>
      <c r="E848" s="6">
        <f>IFERROR(__xludf.DUMMYFUNCTION("GOOGLEFINANCE(""Currency:BRLMXN"")*D848"),1485.6248249999999)</f>
        <v>1485.624825</v>
      </c>
      <c r="F848" s="6">
        <f>IFERROR(__xludf.DUMMYFUNCTION("GOOGLEFINANCE(""Currency:BRLPEN"")*D848"),286.67421199999995)</f>
        <v>286.674212</v>
      </c>
      <c r="G848" s="2" t="str">
        <f t="array" ref="G848">_xlfn.XLOOKUP(B848,Vendedores!$A$2:$A$41,Vendedores!$B$2:$B$41,"No hay datos")</f>
        <v>Marcos Rivera</v>
      </c>
      <c r="H848" s="2" t="str">
        <f t="array" ref="H848">_xlfn.XLOOKUP(B848,Vendedores!$A$2:$A$41,Vendedores!$C$2:$C$41,"No hay datos")</f>
        <v>Santa Rosa del Valle</v>
      </c>
      <c r="I848" s="2" t="str">
        <f t="array" ref="I848">_xlfn.XLOOKUP(B848,Vendedores!$A$2:$A$41,Vendedores!$D$2:$D$41,"No hay datos")</f>
        <v>Región Norte</v>
      </c>
      <c r="J848" s="2" t="str">
        <f t="array" ref="J848:N848">_xlfn.XLOOKUP(A848,Productos!$A$2:$A$61,Productos!$B$2:$F$61)</f>
        <v>Vestido largo</v>
      </c>
      <c r="K848" s="2" t="s">
        <v>17</v>
      </c>
      <c r="L848" s="2" t="s">
        <v>10</v>
      </c>
      <c r="M848" s="2" t="s">
        <v>51</v>
      </c>
      <c r="N848" s="2" t="s">
        <v>52</v>
      </c>
    </row>
    <row r="849">
      <c r="A849" s="2" t="str">
        <f>IFERROR(__xludf.DUMMYFUNCTION("""COMPUTED_VALUE"""),"PR046")</f>
        <v>PR046</v>
      </c>
      <c r="B849" s="2" t="str">
        <f>IFERROR(__xludf.DUMMYFUNCTION("""COMPUTED_VALUE"""),"VD012")</f>
        <v>VD012</v>
      </c>
      <c r="C849" s="2">
        <f>IFERROR(__xludf.DUMMYFUNCTION("""COMPUTED_VALUE"""),12.0)</f>
        <v>12</v>
      </c>
      <c r="D849" s="6">
        <f>IFERROR(__xludf.DUMMYFUNCTION("""COMPUTED_VALUE"""),3617.95)</f>
        <v>3617.95</v>
      </c>
      <c r="E849" s="6">
        <f>IFERROR(__xludf.DUMMYFUNCTION("GOOGLEFINANCE(""Currency:BRLMXN"")*D849"),12291.985125)</f>
        <v>12291.98513</v>
      </c>
      <c r="F849" s="6">
        <f>IFERROR(__xludf.DUMMYFUNCTION("GOOGLEFINANCE(""Currency:BRLPEN"")*D849"),2371.92802)</f>
        <v>2371.92802</v>
      </c>
      <c r="G849" s="2" t="str">
        <f t="array" ref="G849">_xlfn.XLOOKUP(B849,Vendedores!$A$2:$A$41,Vendedores!$B$2:$B$41,"No hay datos")</f>
        <v>Ana Olmedo</v>
      </c>
      <c r="H849" s="2" t="str">
        <f t="array" ref="H849">_xlfn.XLOOKUP(B849,Vendedores!$A$2:$A$41,Vendedores!$C$2:$C$41,"No hay datos")</f>
        <v>Río Claro</v>
      </c>
      <c r="I849" s="2" t="str">
        <f t="array" ref="I849">_xlfn.XLOOKUP(B849,Vendedores!$A$2:$A$41,Vendedores!$D$2:$D$41,"No hay datos")</f>
        <v>Región Central</v>
      </c>
      <c r="J849" s="2" t="str">
        <f t="array" ref="J849:N849">_xlfn.XLOOKUP(A849,Productos!$A$2:$A$61,Productos!$B$2:$F$61)</f>
        <v>Chaqueta de cuero</v>
      </c>
      <c r="K849" s="2" t="s">
        <v>9</v>
      </c>
      <c r="L849" s="2" t="s">
        <v>10</v>
      </c>
      <c r="M849" s="2" t="s">
        <v>94</v>
      </c>
      <c r="N849" s="2" t="s">
        <v>44</v>
      </c>
    </row>
    <row r="850">
      <c r="A850" s="2" t="str">
        <f>IFERROR(__xludf.DUMMYFUNCTION("""COMPUTED_VALUE"""),"PR008")</f>
        <v>PR008</v>
      </c>
      <c r="B850" s="2" t="str">
        <f>IFERROR(__xludf.DUMMYFUNCTION("""COMPUTED_VALUE"""),"VD023")</f>
        <v>VD023</v>
      </c>
      <c r="C850" s="2">
        <f>IFERROR(__xludf.DUMMYFUNCTION("""COMPUTED_VALUE"""),4.0)</f>
        <v>4</v>
      </c>
      <c r="D850" s="6">
        <f>IFERROR(__xludf.DUMMYFUNCTION("""COMPUTED_VALUE"""),391.96)</f>
        <v>391.96</v>
      </c>
      <c r="E850" s="6">
        <f>IFERROR(__xludf.DUMMYFUNCTION("GOOGLEFINANCE(""Currency:BRLMXN"")*D850"),1331.6841)</f>
        <v>1331.6841</v>
      </c>
      <c r="F850" s="6">
        <f>IFERROR(__xludf.DUMMYFUNCTION("GOOGLEFINANCE(""Currency:BRLPEN"")*D850"),256.968976)</f>
        <v>256.968976</v>
      </c>
      <c r="G850" s="2" t="str">
        <f t="array" ref="G850">_xlfn.XLOOKUP(B850,Vendedores!$A$2:$A$41,Vendedores!$B$2:$B$41,"No hay datos")</f>
        <v>Juliana Castro</v>
      </c>
      <c r="H850" s="2" t="str">
        <f t="array" ref="H850">_xlfn.XLOOKUP(B850,Vendedores!$A$2:$A$41,Vendedores!$C$2:$C$41,"No hay datos")</f>
        <v>San Miguel de los Pinos</v>
      </c>
      <c r="I850" s="2" t="str">
        <f t="array" ref="I850">_xlfn.XLOOKUP(B850,Vendedores!$A$2:$A$41,Vendedores!$D$2:$D$41,"No hay datos")</f>
        <v>Región Sur</v>
      </c>
      <c r="J850" s="2" t="str">
        <f t="array" ref="J850:N850">_xlfn.XLOOKUP(A850,Productos!$A$2:$A$61,Productos!$B$2:$F$61)</f>
        <v>Pantalón de mezclilla</v>
      </c>
      <c r="K850" s="2" t="s">
        <v>17</v>
      </c>
      <c r="L850" s="2" t="s">
        <v>10</v>
      </c>
      <c r="M850" s="2" t="s">
        <v>65</v>
      </c>
      <c r="N850" s="2" t="s">
        <v>35</v>
      </c>
    </row>
    <row r="851">
      <c r="A851" s="2" t="str">
        <f>IFERROR(__xludf.DUMMYFUNCTION("""COMPUTED_VALUE"""),"PR022")</f>
        <v>PR022</v>
      </c>
      <c r="B851" s="2" t="str">
        <f>IFERROR(__xludf.DUMMYFUNCTION("""COMPUTED_VALUE"""),"VD018")</f>
        <v>VD018</v>
      </c>
      <c r="C851" s="2">
        <f>IFERROR(__xludf.DUMMYFUNCTION("""COMPUTED_VALUE"""),18.0)</f>
        <v>18</v>
      </c>
      <c r="D851" s="6">
        <f>IFERROR(__xludf.DUMMYFUNCTION("""COMPUTED_VALUE"""),5778.0)</f>
        <v>5778</v>
      </c>
      <c r="E851" s="6">
        <f>IFERROR(__xludf.DUMMYFUNCTION("GOOGLEFINANCE(""Currency:BRLMXN"")*D851"),19630.755)</f>
        <v>19630.755</v>
      </c>
      <c r="F851" s="6">
        <f>IFERROR(__xludf.DUMMYFUNCTION("GOOGLEFINANCE(""Currency:BRLPEN"")*D851"),3788.0568)</f>
        <v>3788.0568</v>
      </c>
      <c r="G851" s="2" t="str">
        <f t="array" ref="G851">_xlfn.XLOOKUP(B851,Vendedores!$A$2:$A$41,Vendedores!$B$2:$B$41,"No hay datos")</f>
        <v>Leticia Rodríguez</v>
      </c>
      <c r="H851" s="2" t="str">
        <f t="array" ref="H851">_xlfn.XLOOKUP(B851,Vendedores!$A$2:$A$41,Vendedores!$C$2:$C$41,"No hay datos")</f>
        <v>Playa Blanca</v>
      </c>
      <c r="I851" s="2" t="str">
        <f t="array" ref="I851">_xlfn.XLOOKUP(B851,Vendedores!$A$2:$A$41,Vendedores!$D$2:$D$41,"No hay datos")</f>
        <v>Región Norte</v>
      </c>
      <c r="J851" s="2" t="str">
        <f t="array" ref="J851:N851">_xlfn.XLOOKUP(A851,Productos!$A$2:$A$61,Productos!$B$2:$F$61)</f>
        <v>Chaqueta de cuero</v>
      </c>
      <c r="K851" s="2" t="s">
        <v>22</v>
      </c>
      <c r="L851" s="2" t="s">
        <v>10</v>
      </c>
      <c r="M851" s="2" t="s">
        <v>78</v>
      </c>
      <c r="N851" s="2" t="s">
        <v>79</v>
      </c>
    </row>
    <row r="852">
      <c r="A852" s="2" t="str">
        <f>IFERROR(__xludf.DUMMYFUNCTION("""COMPUTED_VALUE"""),"PR038")</f>
        <v>PR038</v>
      </c>
      <c r="B852" s="2" t="str">
        <f>IFERROR(__xludf.DUMMYFUNCTION("""COMPUTED_VALUE"""),"VD020")</f>
        <v>VD020</v>
      </c>
      <c r="C852" s="2">
        <f>IFERROR(__xludf.DUMMYFUNCTION("""COMPUTED_VALUE"""),18.0)</f>
        <v>18</v>
      </c>
      <c r="D852" s="6">
        <f>IFERROR(__xludf.DUMMYFUNCTION("""COMPUTED_VALUE"""),2726.53)</f>
        <v>2726.53</v>
      </c>
      <c r="E852" s="6">
        <f>IFERROR(__xludf.DUMMYFUNCTION("GOOGLEFINANCE(""Currency:BRLMXN"")*D852"),9263.385675000001)</f>
        <v>9263.385675</v>
      </c>
      <c r="F852" s="6">
        <f>IFERROR(__xludf.DUMMYFUNCTION("GOOGLEFINANCE(""Currency:BRLPEN"")*D852"),1787.513068)</f>
        <v>1787.513068</v>
      </c>
      <c r="G852" s="2" t="str">
        <f t="array" ref="G852">_xlfn.XLOOKUP(B852,Vendedores!$A$2:$A$41,Vendedores!$B$2:$B$41,"No hay datos")</f>
        <v>Gustavo Morales</v>
      </c>
      <c r="H852" s="2" t="str">
        <f t="array" ref="H852">_xlfn.XLOOKUP(B852,Vendedores!$A$2:$A$41,Vendedores!$C$2:$C$41,"No hay datos")</f>
        <v>Villa del Sol</v>
      </c>
      <c r="I852" s="2" t="str">
        <f t="array" ref="I852">_xlfn.XLOOKUP(B852,Vendedores!$A$2:$A$41,Vendedores!$D$2:$D$41,"No hay datos")</f>
        <v>Región Central 2</v>
      </c>
      <c r="J852" s="2" t="str">
        <f t="array" ref="J852:N852">_xlfn.XLOOKUP(A852,Productos!$A$2:$A$61,Productos!$B$2:$F$61)</f>
        <v>Vestido largo</v>
      </c>
      <c r="K852" s="2" t="s">
        <v>17</v>
      </c>
      <c r="L852" s="2" t="s">
        <v>10</v>
      </c>
      <c r="M852" s="2" t="s">
        <v>51</v>
      </c>
      <c r="N852" s="2" t="s">
        <v>52</v>
      </c>
    </row>
    <row r="853">
      <c r="A853" s="2" t="str">
        <f>IFERROR(__xludf.DUMMYFUNCTION("""COMPUTED_VALUE"""),"PR045")</f>
        <v>PR045</v>
      </c>
      <c r="B853" s="2" t="str">
        <f>IFERROR(__xludf.DUMMYFUNCTION("""COMPUTED_VALUE"""),"VD039")</f>
        <v>VD039</v>
      </c>
      <c r="C853" s="2">
        <f>IFERROR(__xludf.DUMMYFUNCTION("""COMPUTED_VALUE"""),6.0)</f>
        <v>6</v>
      </c>
      <c r="D853" s="6">
        <f>IFERROR(__xludf.DUMMYFUNCTION("""COMPUTED_VALUE"""),465.45)</f>
        <v>465.45</v>
      </c>
      <c r="E853" s="6">
        <f>IFERROR(__xludf.DUMMYFUNCTION("GOOGLEFINANCE(""Currency:BRLMXN"")*D853"),1581.3663749999998)</f>
        <v>1581.366375</v>
      </c>
      <c r="F853" s="6">
        <f>IFERROR(__xludf.DUMMYFUNCTION("GOOGLEFINANCE(""Currency:BRLPEN"")*D853"),305.14901999999995)</f>
        <v>305.14902</v>
      </c>
      <c r="G853" s="2" t="str">
        <f t="array" ref="G853">_xlfn.XLOOKUP(B853,Vendedores!$A$2:$A$41,Vendedores!$B$2:$B$41,"No hay datos")</f>
        <v>Daniela Rodríguez</v>
      </c>
      <c r="H853" s="2" t="str">
        <f t="array" ref="H853">_xlfn.XLOOKUP(B853,Vendedores!$A$2:$A$41,Vendedores!$C$2:$C$41,"No hay datos")</f>
        <v>Bahía del Sol</v>
      </c>
      <c r="I853" s="2" t="str">
        <f t="array" ref="I853">_xlfn.XLOOKUP(B853,Vendedores!$A$2:$A$41,Vendedores!$D$2:$D$41,"No hay datos")</f>
        <v>Región Central 2</v>
      </c>
      <c r="J853" s="2" t="str">
        <f t="array" ref="J853:N853">_xlfn.XLOOKUP(A853,Productos!$A$2:$A$61,Productos!$B$2:$F$61)</f>
        <v>Vestido floral</v>
      </c>
      <c r="K853" s="2" t="s">
        <v>22</v>
      </c>
      <c r="L853" s="2" t="s">
        <v>10</v>
      </c>
      <c r="M853" s="2" t="s">
        <v>39</v>
      </c>
      <c r="N853" s="2" t="s">
        <v>40</v>
      </c>
    </row>
    <row r="854">
      <c r="A854" s="2" t="str">
        <f>IFERROR(__xludf.DUMMYFUNCTION("""COMPUTED_VALUE"""),"PR005")</f>
        <v>PR005</v>
      </c>
      <c r="B854" s="2" t="str">
        <f>IFERROR(__xludf.DUMMYFUNCTION("""COMPUTED_VALUE"""),"VD048")</f>
        <v>VD048</v>
      </c>
      <c r="C854" s="2">
        <f>IFERROR(__xludf.DUMMYFUNCTION("""COMPUTED_VALUE"""),9.0)</f>
        <v>9</v>
      </c>
      <c r="D854" s="6">
        <f>IFERROR(__xludf.DUMMYFUNCTION("""COMPUTED_VALUE"""),2456.06)</f>
        <v>2456.06</v>
      </c>
      <c r="E854" s="6">
        <f>IFERROR(__xludf.DUMMYFUNCTION("GOOGLEFINANCE(""Currency:BRLMXN"")*D854"),8344.46385)</f>
        <v>8344.46385</v>
      </c>
      <c r="F854" s="6">
        <f>IFERROR(__xludf.DUMMYFUNCTION("GOOGLEFINANCE(""Currency:BRLPEN"")*D854"),1610.192936)</f>
        <v>1610.192936</v>
      </c>
      <c r="G854" s="2" t="str">
        <f t="array" ref="G854">_xlfn.XLOOKUP(B854,Vendedores!$A$2:$A$41,Vendedores!$B$2:$B$41,"No hay datos")</f>
        <v>Mariana Castro</v>
      </c>
      <c r="H854" s="2" t="str">
        <f t="array" ref="H854">_xlfn.XLOOKUP(B854,Vendedores!$A$2:$A$41,Vendedores!$C$2:$C$41,"No hay datos")</f>
        <v>San Carlos del Valle</v>
      </c>
      <c r="I854" s="2" t="str">
        <f t="array" ref="I854">_xlfn.XLOOKUP(B854,Vendedores!$A$2:$A$41,Vendedores!$D$2:$D$41,"No hay datos")</f>
        <v>Región Central 2</v>
      </c>
      <c r="J854" s="2" t="str">
        <f t="array" ref="J854:N854">_xlfn.XLOOKUP(A854,Productos!$A$2:$A$61,Productos!$B$2:$F$61)</f>
        <v>Bolso de cuero</v>
      </c>
      <c r="K854" s="2" t="s">
        <v>29</v>
      </c>
      <c r="L854" s="2" t="s">
        <v>30</v>
      </c>
      <c r="M854" s="2" t="s">
        <v>100</v>
      </c>
      <c r="N854" s="2" t="s">
        <v>64</v>
      </c>
    </row>
    <row r="855">
      <c r="A855" s="2" t="str">
        <f>IFERROR(__xludf.DUMMYFUNCTION("""COMPUTED_VALUE"""),"PR009")</f>
        <v>PR009</v>
      </c>
      <c r="B855" s="2" t="str">
        <f>IFERROR(__xludf.DUMMYFUNCTION("""COMPUTED_VALUE"""),"VD048")</f>
        <v>VD048</v>
      </c>
      <c r="C855" s="2">
        <f>IFERROR(__xludf.DUMMYFUNCTION("""COMPUTED_VALUE"""),5.0)</f>
        <v>5</v>
      </c>
      <c r="D855" s="6">
        <f>IFERROR(__xludf.DUMMYFUNCTION("""COMPUTED_VALUE"""),469.15)</f>
        <v>469.15</v>
      </c>
      <c r="E855" s="6">
        <f>IFERROR(__xludf.DUMMYFUNCTION("GOOGLEFINANCE(""Currency:BRLMXN"")*D855"),1593.937125)</f>
        <v>1593.937125</v>
      </c>
      <c r="F855" s="6">
        <f>IFERROR(__xludf.DUMMYFUNCTION("GOOGLEFINANCE(""Currency:BRLPEN"")*D855"),307.57473999999996)</f>
        <v>307.57474</v>
      </c>
      <c r="G855" s="2" t="str">
        <f t="array" ref="G855">_xlfn.XLOOKUP(B855,Vendedores!$A$2:$A$41,Vendedores!$B$2:$B$41,"No hay datos")</f>
        <v>Mariana Castro</v>
      </c>
      <c r="H855" s="2" t="str">
        <f t="array" ref="H855">_xlfn.XLOOKUP(B855,Vendedores!$A$2:$A$41,Vendedores!$C$2:$C$41,"No hay datos")</f>
        <v>San Carlos del Valle</v>
      </c>
      <c r="I855" s="2" t="str">
        <f t="array" ref="I855">_xlfn.XLOOKUP(B855,Vendedores!$A$2:$A$41,Vendedores!$D$2:$D$41,"No hay datos")</f>
        <v>Región Central 2</v>
      </c>
      <c r="J855" s="2" t="str">
        <f t="array" ref="J855:N855">_xlfn.XLOOKUP(A855,Productos!$A$2:$A$61,Productos!$B$2:$F$61)</f>
        <v>Pantalón de mezclilla</v>
      </c>
      <c r="K855" s="2" t="s">
        <v>22</v>
      </c>
      <c r="L855" s="2" t="s">
        <v>10</v>
      </c>
      <c r="M855" s="2" t="s">
        <v>76</v>
      </c>
      <c r="N855" s="2" t="s">
        <v>77</v>
      </c>
    </row>
    <row r="856">
      <c r="A856" s="2" t="str">
        <f>IFERROR(__xludf.DUMMYFUNCTION("""COMPUTED_VALUE"""),"PR025")</f>
        <v>PR025</v>
      </c>
      <c r="B856" s="2" t="str">
        <f>IFERROR(__xludf.DUMMYFUNCTION("""COMPUTED_VALUE"""),"VD016")</f>
        <v>VD016</v>
      </c>
      <c r="C856" s="2">
        <f>IFERROR(__xludf.DUMMYFUNCTION("""COMPUTED_VALUE"""),1.0)</f>
        <v>1</v>
      </c>
      <c r="D856" s="6">
        <f>IFERROR(__xludf.DUMMYFUNCTION("""COMPUTED_VALUE"""),311.9)</f>
        <v>311.9</v>
      </c>
      <c r="E856" s="6">
        <f>IFERROR(__xludf.DUMMYFUNCTION("GOOGLEFINANCE(""Currency:BRLMXN"")*D856"),1059.68025)</f>
        <v>1059.68025</v>
      </c>
      <c r="F856" s="6">
        <f>IFERROR(__xludf.DUMMYFUNCTION("GOOGLEFINANCE(""Currency:BRLPEN"")*D856"),204.48163999999997)</f>
        <v>204.48164</v>
      </c>
      <c r="G856" s="2" t="str">
        <f t="array" ref="G856">_xlfn.XLOOKUP(B856,Vendedores!$A$2:$A$41,Vendedores!$B$2:$B$41,"No hay datos")</f>
        <v>Beatriz Linares</v>
      </c>
      <c r="H856" s="2" t="str">
        <f t="array" ref="H856">_xlfn.XLOOKUP(B856,Vendedores!$A$2:$A$41,Vendedores!$C$2:$C$41,"No hay datos")</f>
        <v>Puerto Esperanza</v>
      </c>
      <c r="I856" s="2" t="str">
        <f t="array" ref="I856">_xlfn.XLOOKUP(B856,Vendedores!$A$2:$A$41,Vendedores!$D$2:$D$41,"No hay datos")</f>
        <v>Región Sur</v>
      </c>
      <c r="J856" s="2" t="str">
        <f t="array" ref="J856:N856">_xlfn.XLOOKUP(A856,Productos!$A$2:$A$61,Productos!$B$2:$F$61)</f>
        <v>Chaqueta de mezclilla</v>
      </c>
      <c r="K856" s="2" t="s">
        <v>22</v>
      </c>
      <c r="L856" s="2" t="s">
        <v>10</v>
      </c>
      <c r="M856" s="2" t="s">
        <v>107</v>
      </c>
      <c r="N856" s="2" t="s">
        <v>16</v>
      </c>
    </row>
    <row r="857">
      <c r="A857" s="2" t="str">
        <f>IFERROR(__xludf.DUMMYFUNCTION("""COMPUTED_VALUE"""),"PR037")</f>
        <v>PR037</v>
      </c>
      <c r="B857" s="2" t="str">
        <f>IFERROR(__xludf.DUMMYFUNCTION("""COMPUTED_VALUE"""),"VD045")</f>
        <v>VD045</v>
      </c>
      <c r="C857" s="2">
        <f>IFERROR(__xludf.DUMMYFUNCTION("""COMPUTED_VALUE"""),7.0)</f>
        <v>7</v>
      </c>
      <c r="D857" s="6">
        <f>IFERROR(__xludf.DUMMYFUNCTION("""COMPUTED_VALUE"""),1078.0)</f>
        <v>1078</v>
      </c>
      <c r="E857" s="6">
        <f>IFERROR(__xludf.DUMMYFUNCTION("GOOGLEFINANCE(""Currency:BRLMXN"")*D857"),3662.505)</f>
        <v>3662.505</v>
      </c>
      <c r="F857" s="6">
        <f>IFERROR(__xludf.DUMMYFUNCTION("GOOGLEFINANCE(""Currency:BRLPEN"")*D857"),706.7367999999999)</f>
        <v>706.7368</v>
      </c>
      <c r="G857" s="2" t="str">
        <f t="array" ref="G857">_xlfn.XLOOKUP(B857,Vendedores!$A$2:$A$41,Vendedores!$B$2:$B$41,"No hay datos")</f>
        <v>Rafael Morales</v>
      </c>
      <c r="H857" s="2" t="str">
        <f t="array" ref="H857">_xlfn.XLOOKUP(B857,Vendedores!$A$2:$A$41,Vendedores!$C$2:$C$41,"No hay datos")</f>
        <v>Valle Dorado</v>
      </c>
      <c r="I857" s="2" t="str">
        <f t="array" ref="I857">_xlfn.XLOOKUP(B857,Vendedores!$A$2:$A$41,Vendedores!$D$2:$D$41,"No hay datos")</f>
        <v>Región Central 2</v>
      </c>
      <c r="J857" s="2" t="str">
        <f t="array" ref="J857:N857">_xlfn.XLOOKUP(A857,Productos!$A$2:$A$61,Productos!$B$2:$F$61)</f>
        <v>Vestido largo</v>
      </c>
      <c r="K857" s="2" t="s">
        <v>9</v>
      </c>
      <c r="L857" s="2" t="s">
        <v>10</v>
      </c>
      <c r="M857" s="2" t="s">
        <v>70</v>
      </c>
      <c r="N857" s="2" t="s">
        <v>71</v>
      </c>
    </row>
    <row r="858">
      <c r="A858" s="2" t="str">
        <f>IFERROR(__xludf.DUMMYFUNCTION("""COMPUTED_VALUE"""),"PR035")</f>
        <v>PR035</v>
      </c>
      <c r="B858" s="2" t="str">
        <f>IFERROR(__xludf.DUMMYFUNCTION("""COMPUTED_VALUE"""),"VD040")</f>
        <v>VD040</v>
      </c>
      <c r="C858" s="2">
        <f>IFERROR(__xludf.DUMMYFUNCTION("""COMPUTED_VALUE"""),6.0)</f>
        <v>6</v>
      </c>
      <c r="D858" s="6">
        <f>IFERROR(__xludf.DUMMYFUNCTION("""COMPUTED_VALUE"""),559.37)</f>
        <v>559.37</v>
      </c>
      <c r="E858" s="6">
        <f>IFERROR(__xludf.DUMMYFUNCTION("GOOGLEFINANCE(""Currency:BRLMXN"")*D858"),1900.459575)</f>
        <v>1900.459575</v>
      </c>
      <c r="F858" s="6">
        <f>IFERROR(__xludf.DUMMYFUNCTION("GOOGLEFINANCE(""Currency:BRLPEN"")*D858"),366.72297199999997)</f>
        <v>366.722972</v>
      </c>
      <c r="G858" s="2" t="str">
        <f t="array" ref="G858">_xlfn.XLOOKUP(B858,Vendedores!$A$2:$A$41,Vendedores!$B$2:$B$41,"No hay datos")</f>
        <v>Tatiana Montero</v>
      </c>
      <c r="H858" s="2" t="str">
        <f t="array" ref="H858">_xlfn.XLOOKUP(B858,Vendedores!$A$2:$A$41,Vendedores!$C$2:$C$41,"No hay datos")</f>
        <v>Ciudad Industrial</v>
      </c>
      <c r="I858" s="2" t="str">
        <f t="array" ref="I858">_xlfn.XLOOKUP(B858,Vendedores!$A$2:$A$41,Vendedores!$D$2:$D$41,"No hay datos")</f>
        <v>Región Central 2</v>
      </c>
      <c r="J858" s="2" t="str">
        <f t="array" ref="J858:N858">_xlfn.XLOOKUP(A858,Productos!$A$2:$A$61,Productos!$B$2:$F$61)</f>
        <v>Vestido corto</v>
      </c>
      <c r="K858" s="2" t="s">
        <v>17</v>
      </c>
      <c r="L858" s="2" t="s">
        <v>10</v>
      </c>
      <c r="M858" s="2" t="s">
        <v>18</v>
      </c>
      <c r="N858" s="2" t="s">
        <v>19</v>
      </c>
    </row>
    <row r="859">
      <c r="A859" s="2" t="str">
        <f>IFERROR(__xludf.DUMMYFUNCTION("""COMPUTED_VALUE"""),"PR047")</f>
        <v>PR047</v>
      </c>
      <c r="B859" s="2" t="str">
        <f>IFERROR(__xludf.DUMMYFUNCTION("""COMPUTED_VALUE"""),"VD035")</f>
        <v>VD035</v>
      </c>
      <c r="C859" s="2">
        <f>IFERROR(__xludf.DUMMYFUNCTION("""COMPUTED_VALUE"""),6.0)</f>
        <v>6</v>
      </c>
      <c r="D859" s="6">
        <f>IFERROR(__xludf.DUMMYFUNCTION("""COMPUTED_VALUE"""),1913.34)</f>
        <v>1913.34</v>
      </c>
      <c r="E859" s="6">
        <f>IFERROR(__xludf.DUMMYFUNCTION("GOOGLEFINANCE(""Currency:BRLMXN"")*D859"),6500.57265)</f>
        <v>6500.57265</v>
      </c>
      <c r="F859" s="6">
        <f>IFERROR(__xludf.DUMMYFUNCTION("GOOGLEFINANCE(""Currency:BRLPEN"")*D859"),1254.3857039999998)</f>
        <v>1254.385704</v>
      </c>
      <c r="G859" s="2" t="str">
        <f t="array" ref="G859">_xlfn.XLOOKUP(B859,Vendedores!$A$2:$A$41,Vendedores!$B$2:$B$41,"No hay datos")</f>
        <v>Carolina Méndez</v>
      </c>
      <c r="H859" s="2" t="str">
        <f t="array" ref="H859">_xlfn.XLOOKUP(B859,Vendedores!$A$2:$A$41,Vendedores!$C$2:$C$41,"No hay datos")</f>
        <v>Valle de los Robles</v>
      </c>
      <c r="I859" s="2" t="str">
        <f t="array" ref="I859">_xlfn.XLOOKUP(B859,Vendedores!$A$2:$A$41,Vendedores!$D$2:$D$41,"No hay datos")</f>
        <v>Región Central 2</v>
      </c>
      <c r="J859" s="2" t="str">
        <f t="array" ref="J859:N859">_xlfn.XLOOKUP(A859,Productos!$A$2:$A$61,Productos!$B$2:$F$61)</f>
        <v>Chaqueta de cuero</v>
      </c>
      <c r="K859" s="2" t="s">
        <v>17</v>
      </c>
      <c r="L859" s="2" t="s">
        <v>10</v>
      </c>
      <c r="M859" s="2" t="s">
        <v>43</v>
      </c>
      <c r="N859" s="2" t="s">
        <v>44</v>
      </c>
    </row>
    <row r="860">
      <c r="A860" s="2" t="str">
        <f>IFERROR(__xludf.DUMMYFUNCTION("""COMPUTED_VALUE"""),"PR021")</f>
        <v>PR021</v>
      </c>
      <c r="B860" s="2" t="str">
        <f>IFERROR(__xludf.DUMMYFUNCTION("""COMPUTED_VALUE"""),"VD046")</f>
        <v>VD046</v>
      </c>
      <c r="C860" s="2">
        <f>IFERROR(__xludf.DUMMYFUNCTION("""COMPUTED_VALUE"""),1.0)</f>
        <v>1</v>
      </c>
      <c r="D860" s="6">
        <f>IFERROR(__xludf.DUMMYFUNCTION("""COMPUTED_VALUE"""),318.05)</f>
        <v>318.05</v>
      </c>
      <c r="E860" s="6">
        <f>IFERROR(__xludf.DUMMYFUNCTION("GOOGLEFINANCE(""Currency:BRLMXN"")*D860"),1080.574875)</f>
        <v>1080.574875</v>
      </c>
      <c r="F860" s="6">
        <f>IFERROR(__xludf.DUMMYFUNCTION("GOOGLEFINANCE(""Currency:BRLPEN"")*D860"),208.51358)</f>
        <v>208.51358</v>
      </c>
      <c r="G860" s="2" t="str">
        <f t="array" ref="G860">_xlfn.XLOOKUP(B860,Vendedores!$A$2:$A$41,Vendedores!$B$2:$B$41,"No hay datos")</f>
        <v>Juliana Pérez</v>
      </c>
      <c r="H860" s="2" t="str">
        <f t="array" ref="H860">_xlfn.XLOOKUP(B860,Vendedores!$A$2:$A$41,Vendedores!$C$2:$C$41,"No hay datos")</f>
        <v>Santa Cruz de la Sierra</v>
      </c>
      <c r="I860" s="2" t="str">
        <f t="array" ref="I860">_xlfn.XLOOKUP(B860,Vendedores!$A$2:$A$41,Vendedores!$D$2:$D$41,"No hay datos")</f>
        <v>Región Central 2</v>
      </c>
      <c r="J860" s="2" t="str">
        <f t="array" ref="J860:N860">_xlfn.XLOOKUP(A860,Productos!$A$2:$A$61,Productos!$B$2:$F$61)</f>
        <v>Chaqueta de cuero</v>
      </c>
      <c r="K860" s="2" t="s">
        <v>17</v>
      </c>
      <c r="L860" s="2" t="s">
        <v>10</v>
      </c>
      <c r="M860" s="2" t="s">
        <v>80</v>
      </c>
      <c r="N860" s="2" t="s">
        <v>81</v>
      </c>
    </row>
    <row r="861">
      <c r="A861" s="2" t="str">
        <f>IFERROR(__xludf.DUMMYFUNCTION("""COMPUTED_VALUE"""),"PR019")</f>
        <v>PR019</v>
      </c>
      <c r="B861" s="2" t="str">
        <f>IFERROR(__xludf.DUMMYFUNCTION("""COMPUTED_VALUE"""),"VD019")</f>
        <v>VD019</v>
      </c>
      <c r="C861" s="2">
        <f>IFERROR(__xludf.DUMMYFUNCTION("""COMPUTED_VALUE"""),12.0)</f>
        <v>12</v>
      </c>
      <c r="D861" s="6">
        <f>IFERROR(__xludf.DUMMYFUNCTION("""COMPUTED_VALUE"""),652.69)</f>
        <v>652.69</v>
      </c>
      <c r="E861" s="6">
        <f>IFERROR(__xludf.DUMMYFUNCTION("GOOGLEFINANCE(""Currency:BRLMXN"")*D861"),2217.514275)</f>
        <v>2217.514275</v>
      </c>
      <c r="F861" s="6">
        <f>IFERROR(__xludf.DUMMYFUNCTION("GOOGLEFINANCE(""Currency:BRLPEN"")*D861"),427.903564)</f>
        <v>427.903564</v>
      </c>
      <c r="G861" s="2" t="str">
        <f t="array" ref="G861">_xlfn.XLOOKUP(B861,Vendedores!$A$2:$A$41,Vendedores!$B$2:$B$41,"No hay datos")</f>
        <v>Rafael Sosa</v>
      </c>
      <c r="H861" s="2" t="str">
        <f t="array" ref="H861">_xlfn.XLOOKUP(B861,Vendedores!$A$2:$A$41,Vendedores!$C$2:$C$41,"No hay datos")</f>
        <v>Selva Verde</v>
      </c>
      <c r="I861" s="2" t="str">
        <f t="array" ref="I861">_xlfn.XLOOKUP(B861,Vendedores!$A$2:$A$41,Vendedores!$D$2:$D$41,"No hay datos")</f>
        <v>Región Amazónica</v>
      </c>
      <c r="J861" s="2" t="str">
        <f t="array" ref="J861:N861">_xlfn.XLOOKUP(A861,Productos!$A$2:$A$61,Productos!$B$2:$F$61)</f>
        <v>Cinturón</v>
      </c>
      <c r="K861" s="2" t="s">
        <v>29</v>
      </c>
      <c r="L861" s="2" t="s">
        <v>30</v>
      </c>
      <c r="M861" s="2" t="s">
        <v>31</v>
      </c>
      <c r="N861" s="2" t="s">
        <v>32</v>
      </c>
    </row>
    <row r="862">
      <c r="A862" s="2" t="str">
        <f>IFERROR(__xludf.DUMMYFUNCTION("""COMPUTED_VALUE"""),"PR053")</f>
        <v>PR053</v>
      </c>
      <c r="B862" s="2" t="str">
        <f>IFERROR(__xludf.DUMMYFUNCTION("""COMPUTED_VALUE"""),"VD041")</f>
        <v>VD041</v>
      </c>
      <c r="C862" s="2">
        <f>IFERROR(__xludf.DUMMYFUNCTION("""COMPUTED_VALUE"""),8.0)</f>
        <v>8</v>
      </c>
      <c r="D862" s="6">
        <f>IFERROR(__xludf.DUMMYFUNCTION("""COMPUTED_VALUE"""),411.18)</f>
        <v>411.18</v>
      </c>
      <c r="E862" s="6">
        <f>IFERROR(__xludf.DUMMYFUNCTION("GOOGLEFINANCE(""Currency:BRLMXN"")*D862"),1396.98405)</f>
        <v>1396.98405</v>
      </c>
      <c r="F862" s="6">
        <f>IFERROR(__xludf.DUMMYFUNCTION("GOOGLEFINANCE(""Currency:BRLPEN"")*D862"),269.569608)</f>
        <v>269.569608</v>
      </c>
      <c r="G862" s="2" t="str">
        <f t="array" ref="G862">_xlfn.XLOOKUP(B862,Vendedores!$A$2:$A$41,Vendedores!$B$2:$B$41,"No hay datos")</f>
        <v>Alejandro Ramos</v>
      </c>
      <c r="H862" s="2" t="str">
        <f t="array" ref="H862">_xlfn.XLOOKUP(B862,Vendedores!$A$2:$A$41,Vendedores!$C$2:$C$41,"No hay datos")</f>
        <v>San Martín de las Rosas</v>
      </c>
      <c r="I862" s="2" t="str">
        <f t="array" ref="I862">_xlfn.XLOOKUP(B862,Vendedores!$A$2:$A$41,Vendedores!$D$2:$D$41,"No hay datos")</f>
        <v>Región Central 2</v>
      </c>
      <c r="J862" s="2" t="str">
        <f t="array" ref="J862:N862">_xlfn.XLOOKUP(A862,Productos!$A$2:$A$61,Productos!$B$2:$F$61)</f>
        <v>Falda plisada</v>
      </c>
      <c r="K862" s="2" t="s">
        <v>17</v>
      </c>
      <c r="L862" s="2" t="s">
        <v>10</v>
      </c>
      <c r="M862" s="2" t="s">
        <v>41</v>
      </c>
      <c r="N862" s="2" t="s">
        <v>32</v>
      </c>
    </row>
    <row r="863">
      <c r="A863" s="2" t="str">
        <f>IFERROR(__xludf.DUMMYFUNCTION("""COMPUTED_VALUE"""),"PR051")</f>
        <v>PR051</v>
      </c>
      <c r="B863" s="2" t="str">
        <f>IFERROR(__xludf.DUMMYFUNCTION("""COMPUTED_VALUE"""),"VD023")</f>
        <v>VD023</v>
      </c>
      <c r="C863" s="2">
        <f>IFERROR(__xludf.DUMMYFUNCTION("""COMPUTED_VALUE"""),7.0)</f>
        <v>7</v>
      </c>
      <c r="D863" s="6">
        <f>IFERROR(__xludf.DUMMYFUNCTION("""COMPUTED_VALUE"""),244.12)</f>
        <v>244.12</v>
      </c>
      <c r="E863" s="6">
        <f>IFERROR(__xludf.DUMMYFUNCTION("GOOGLEFINANCE(""Currency:BRLMXN"")*D863"),829.3977)</f>
        <v>829.3977</v>
      </c>
      <c r="F863" s="6">
        <f>IFERROR(__xludf.DUMMYFUNCTION("GOOGLEFINANCE(""Currency:BRLPEN"")*D863"),160.045072)</f>
        <v>160.045072</v>
      </c>
      <c r="G863" s="2" t="str">
        <f t="array" ref="G863">_xlfn.XLOOKUP(B863,Vendedores!$A$2:$A$41,Vendedores!$B$2:$B$41,"No hay datos")</f>
        <v>Juliana Castro</v>
      </c>
      <c r="H863" s="2" t="str">
        <f t="array" ref="H863">_xlfn.XLOOKUP(B863,Vendedores!$A$2:$A$41,Vendedores!$C$2:$C$41,"No hay datos")</f>
        <v>San Miguel de los Pinos</v>
      </c>
      <c r="I863" s="2" t="str">
        <f t="array" ref="I863">_xlfn.XLOOKUP(B863,Vendedores!$A$2:$A$41,Vendedores!$D$2:$D$41,"No hay datos")</f>
        <v>Región Sur</v>
      </c>
      <c r="J863" s="2" t="str">
        <f t="array" ref="J863:N863">_xlfn.XLOOKUP(A863,Productos!$A$2:$A$61,Productos!$B$2:$F$61)</f>
        <v>Playera a rayas</v>
      </c>
      <c r="K863" s="2" t="s">
        <v>22</v>
      </c>
      <c r="L863" s="2" t="s">
        <v>10</v>
      </c>
      <c r="M863" s="2" t="s">
        <v>23</v>
      </c>
      <c r="N863" s="2" t="s">
        <v>24</v>
      </c>
    </row>
    <row r="864">
      <c r="A864" s="2" t="str">
        <f>IFERROR(__xludf.DUMMYFUNCTION("""COMPUTED_VALUE"""),"PR047")</f>
        <v>PR047</v>
      </c>
      <c r="B864" s="2" t="str">
        <f>IFERROR(__xludf.DUMMYFUNCTION("""COMPUTED_VALUE"""),"VD021")</f>
        <v>VD021</v>
      </c>
      <c r="C864" s="2">
        <f>IFERROR(__xludf.DUMMYFUNCTION("""COMPUTED_VALUE"""),2.0)</f>
        <v>2</v>
      </c>
      <c r="D864" s="6">
        <f>IFERROR(__xludf.DUMMYFUNCTION("""COMPUTED_VALUE"""),597.19)</f>
        <v>597.19</v>
      </c>
      <c r="E864" s="6">
        <f>IFERROR(__xludf.DUMMYFUNCTION("GOOGLEFINANCE(""Currency:BRLMXN"")*D864"),2028.9530250000003)</f>
        <v>2028.953025</v>
      </c>
      <c r="F864" s="6">
        <f>IFERROR(__xludf.DUMMYFUNCTION("GOOGLEFINANCE(""Currency:BRLPEN"")*D864"),391.517764)</f>
        <v>391.517764</v>
      </c>
      <c r="G864" s="2" t="str">
        <f t="array" ref="G864">_xlfn.XLOOKUP(B864,Vendedores!$A$2:$A$41,Vendedores!$B$2:$B$41,"No hay datos")</f>
        <v>Fernanda Méndez</v>
      </c>
      <c r="H864" s="2" t="str">
        <f t="array" ref="H864">_xlfn.XLOOKUP(B864,Vendedores!$A$2:$A$41,Vendedores!$C$2:$C$41,"No hay datos")</f>
        <v>San Juan de la Sierra</v>
      </c>
      <c r="I864" s="2" t="str">
        <f t="array" ref="I864">_xlfn.XLOOKUP(B864,Vendedores!$A$2:$A$41,Vendedores!$D$2:$D$41,"No hay datos")</f>
        <v>Región Central</v>
      </c>
      <c r="J864" s="2" t="str">
        <f t="array" ref="J864:N864">_xlfn.XLOOKUP(A864,Productos!$A$2:$A$61,Productos!$B$2:$F$61)</f>
        <v>Chaqueta de cuero</v>
      </c>
      <c r="K864" s="2" t="s">
        <v>17</v>
      </c>
      <c r="L864" s="2" t="s">
        <v>10</v>
      </c>
      <c r="M864" s="2" t="s">
        <v>43</v>
      </c>
      <c r="N864" s="2" t="s">
        <v>44</v>
      </c>
    </row>
    <row r="865">
      <c r="A865" s="2" t="str">
        <f>IFERROR(__xludf.DUMMYFUNCTION("""COMPUTED_VALUE"""),"PR048")</f>
        <v>PR048</v>
      </c>
      <c r="B865" s="2" t="str">
        <f>IFERROR(__xludf.DUMMYFUNCTION("""COMPUTED_VALUE"""),"VD045")</f>
        <v>VD045</v>
      </c>
      <c r="C865" s="2">
        <f>IFERROR(__xludf.DUMMYFUNCTION("""COMPUTED_VALUE"""),4.0)</f>
        <v>4</v>
      </c>
      <c r="D865" s="6">
        <f>IFERROR(__xludf.DUMMYFUNCTION("""COMPUTED_VALUE"""),1275.56)</f>
        <v>1275.56</v>
      </c>
      <c r="E865" s="6">
        <f>IFERROR(__xludf.DUMMYFUNCTION("GOOGLEFINANCE(""Currency:BRLMXN"")*D865"),4333.715099999999)</f>
        <v>4333.7151</v>
      </c>
      <c r="F865" s="6">
        <f>IFERROR(__xludf.DUMMYFUNCTION("GOOGLEFINANCE(""Currency:BRLPEN"")*D865"),836.257136)</f>
        <v>836.257136</v>
      </c>
      <c r="G865" s="2" t="str">
        <f t="array" ref="G865">_xlfn.XLOOKUP(B865,Vendedores!$A$2:$A$41,Vendedores!$B$2:$B$41,"No hay datos")</f>
        <v>Rafael Morales</v>
      </c>
      <c r="H865" s="2" t="str">
        <f t="array" ref="H865">_xlfn.XLOOKUP(B865,Vendedores!$A$2:$A$41,Vendedores!$C$2:$C$41,"No hay datos")</f>
        <v>Valle Dorado</v>
      </c>
      <c r="I865" s="2" t="str">
        <f t="array" ref="I865">_xlfn.XLOOKUP(B865,Vendedores!$A$2:$A$41,Vendedores!$D$2:$D$41,"No hay datos")</f>
        <v>Región Central 2</v>
      </c>
      <c r="J865" s="2" t="str">
        <f t="array" ref="J865:N865">_xlfn.XLOOKUP(A865,Productos!$A$2:$A$61,Productos!$B$2:$F$61)</f>
        <v>Chaqueta de cuero</v>
      </c>
      <c r="K865" s="2" t="s">
        <v>22</v>
      </c>
      <c r="L865" s="2" t="s">
        <v>10</v>
      </c>
      <c r="M865" s="2" t="s">
        <v>94</v>
      </c>
      <c r="N865" s="2" t="s">
        <v>44</v>
      </c>
    </row>
    <row r="866">
      <c r="A866" s="2" t="str">
        <f>IFERROR(__xludf.DUMMYFUNCTION("""COMPUTED_VALUE"""),"PR014")</f>
        <v>PR014</v>
      </c>
      <c r="B866" s="2" t="str">
        <f>IFERROR(__xludf.DUMMYFUNCTION("""COMPUTED_VALUE"""),"VD049")</f>
        <v>VD049</v>
      </c>
      <c r="C866" s="2">
        <f>IFERROR(__xludf.DUMMYFUNCTION("""COMPUTED_VALUE"""),6.0)</f>
        <v>6</v>
      </c>
      <c r="D866" s="6">
        <f>IFERROR(__xludf.DUMMYFUNCTION("""COMPUTED_VALUE"""),246.58)</f>
        <v>246.58</v>
      </c>
      <c r="E866" s="6">
        <f>IFERROR(__xludf.DUMMYFUNCTION("GOOGLEFINANCE(""Currency:BRLMXN"")*D866"),837.7555500000001)</f>
        <v>837.75555</v>
      </c>
      <c r="F866" s="6">
        <f>IFERROR(__xludf.DUMMYFUNCTION("GOOGLEFINANCE(""Currency:BRLPEN"")*D866"),161.657848)</f>
        <v>161.657848</v>
      </c>
      <c r="G866" s="2" t="str">
        <f t="array" ref="G866">_xlfn.XLOOKUP(B866,Vendedores!$A$2:$A$41,Vendedores!$B$2:$B$41,"No hay datos")</f>
        <v>Fernando Navarro</v>
      </c>
      <c r="H866" s="2" t="str">
        <f t="array" ref="H866">_xlfn.XLOOKUP(B866,Vendedores!$A$2:$A$41,Vendedores!$C$2:$C$41,"No hay datos")</f>
        <v>Colinas Verdes</v>
      </c>
      <c r="I866" s="2" t="str">
        <f t="array" ref="I866">_xlfn.XLOOKUP(B866,Vendedores!$A$2:$A$41,Vendedores!$D$2:$D$41,"No hay datos")</f>
        <v>Región Central 2</v>
      </c>
      <c r="J866" s="2" t="str">
        <f t="array" ref="J866:N866">_xlfn.XLOOKUP(A866,Productos!$A$2:$A$61,Productos!$B$2:$F$61)</f>
        <v>Playera estampada</v>
      </c>
      <c r="K866" s="2" t="s">
        <v>17</v>
      </c>
      <c r="L866" s="2" t="s">
        <v>10</v>
      </c>
      <c r="M866" s="2" t="s">
        <v>37</v>
      </c>
      <c r="N866" s="2" t="s">
        <v>38</v>
      </c>
    </row>
    <row r="867">
      <c r="A867" s="2" t="str">
        <f>IFERROR(__xludf.DUMMYFUNCTION("""COMPUTED_VALUE"""),"PR050")</f>
        <v>PR050</v>
      </c>
      <c r="B867" s="2" t="str">
        <f>IFERROR(__xludf.DUMMYFUNCTION("""COMPUTED_VALUE"""),"VD019")</f>
        <v>VD019</v>
      </c>
      <c r="C867" s="2">
        <f>IFERROR(__xludf.DUMMYFUNCTION("""COMPUTED_VALUE"""),2.0)</f>
        <v>2</v>
      </c>
      <c r="D867" s="6">
        <f>IFERROR(__xludf.DUMMYFUNCTION("""COMPUTED_VALUE"""),68.43)</f>
        <v>68.43</v>
      </c>
      <c r="E867" s="6">
        <f>IFERROR(__xludf.DUMMYFUNCTION("GOOGLEFINANCE(""Currency:BRLMXN"")*D867"),232.49092500000003)</f>
        <v>232.490925</v>
      </c>
      <c r="F867" s="6">
        <f>IFERROR(__xludf.DUMMYFUNCTION("GOOGLEFINANCE(""Currency:BRLPEN"")*D867"),44.862708000000005)</f>
        <v>44.862708</v>
      </c>
      <c r="G867" s="2" t="str">
        <f t="array" ref="G867">_xlfn.XLOOKUP(B867,Vendedores!$A$2:$A$41,Vendedores!$B$2:$B$41,"No hay datos")</f>
        <v>Rafael Sosa</v>
      </c>
      <c r="H867" s="2" t="str">
        <f t="array" ref="H867">_xlfn.XLOOKUP(B867,Vendedores!$A$2:$A$41,Vendedores!$C$2:$C$41,"No hay datos")</f>
        <v>Selva Verde</v>
      </c>
      <c r="I867" s="2" t="str">
        <f t="array" ref="I867">_xlfn.XLOOKUP(B867,Vendedores!$A$2:$A$41,Vendedores!$D$2:$D$41,"No hay datos")</f>
        <v>Región Amazónica</v>
      </c>
      <c r="J867" s="2" t="str">
        <f t="array" ref="J867:N867">_xlfn.XLOOKUP(A867,Productos!$A$2:$A$61,Productos!$B$2:$F$61)</f>
        <v>Playera a rayas</v>
      </c>
      <c r="K867" s="2" t="s">
        <v>17</v>
      </c>
      <c r="L867" s="2" t="s">
        <v>10</v>
      </c>
      <c r="M867" s="2" t="s">
        <v>27</v>
      </c>
      <c r="N867" s="2" t="s">
        <v>24</v>
      </c>
    </row>
    <row r="868">
      <c r="A868" s="2" t="str">
        <f>IFERROR(__xludf.DUMMYFUNCTION("""COMPUTED_VALUE"""),"PR008")</f>
        <v>PR008</v>
      </c>
      <c r="B868" s="2" t="str">
        <f>IFERROR(__xludf.DUMMYFUNCTION("""COMPUTED_VALUE"""),"VD038")</f>
        <v>VD038</v>
      </c>
      <c r="C868" s="2">
        <f>IFERROR(__xludf.DUMMYFUNCTION("""COMPUTED_VALUE"""),8.0)</f>
        <v>8</v>
      </c>
      <c r="D868" s="6">
        <f>IFERROR(__xludf.DUMMYFUNCTION("""COMPUTED_VALUE"""),733.58)</f>
        <v>733.58</v>
      </c>
      <c r="E868" s="6">
        <f>IFERROR(__xludf.DUMMYFUNCTION("GOOGLEFINANCE(""Currency:BRLMXN"")*D868"),2492.3380500000003)</f>
        <v>2492.33805</v>
      </c>
      <c r="F868" s="6">
        <f>IFERROR(__xludf.DUMMYFUNCTION("GOOGLEFINANCE(""Currency:BRLPEN"")*D868"),480.935048)</f>
        <v>480.935048</v>
      </c>
      <c r="G868" s="2" t="str">
        <f t="array" ref="G868">_xlfn.XLOOKUP(B868,Vendedores!$A$2:$A$41,Vendedores!$B$2:$B$41,"No hay datos")</f>
        <v>Bruno Olmedo</v>
      </c>
      <c r="H868" s="2" t="str">
        <f t="array" ref="H868">_xlfn.XLOOKUP(B868,Vendedores!$A$2:$A$41,Vendedores!$C$2:$C$41,"No hay datos")</f>
        <v>Tierra Fertil</v>
      </c>
      <c r="I868" s="2" t="str">
        <f t="array" ref="I868">_xlfn.XLOOKUP(B868,Vendedores!$A$2:$A$41,Vendedores!$D$2:$D$41,"No hay datos")</f>
        <v>Región Sur 2</v>
      </c>
      <c r="J868" s="2" t="str">
        <f t="array" ref="J868:N868">_xlfn.XLOOKUP(A868,Productos!$A$2:$A$61,Productos!$B$2:$F$61)</f>
        <v>Pantalón de mezclilla</v>
      </c>
      <c r="K868" s="2" t="s">
        <v>17</v>
      </c>
      <c r="L868" s="2" t="s">
        <v>10</v>
      </c>
      <c r="M868" s="2" t="s">
        <v>65</v>
      </c>
      <c r="N868" s="2" t="s">
        <v>35</v>
      </c>
    </row>
    <row r="869">
      <c r="A869" s="2" t="str">
        <f>IFERROR(__xludf.DUMMYFUNCTION("""COMPUTED_VALUE"""),"PR018")</f>
        <v>PR018</v>
      </c>
      <c r="B869" s="2" t="str">
        <f>IFERROR(__xludf.DUMMYFUNCTION("""COMPUTED_VALUE"""),"VD022")</f>
        <v>VD022</v>
      </c>
      <c r="C869" s="2">
        <f>IFERROR(__xludf.DUMMYFUNCTION("""COMPUTED_VALUE"""),20.0)</f>
        <v>20</v>
      </c>
      <c r="D869" s="6">
        <f>IFERROR(__xludf.DUMMYFUNCTION("""COMPUTED_VALUE"""),677.74)</f>
        <v>677.74</v>
      </c>
      <c r="E869" s="6">
        <f>IFERROR(__xludf.DUMMYFUNCTION("GOOGLEFINANCE(""Currency:BRLMXN"")*D869"),2302.62165)</f>
        <v>2302.62165</v>
      </c>
      <c r="F869" s="6">
        <f>IFERROR(__xludf.DUMMYFUNCTION("GOOGLEFINANCE(""Currency:BRLPEN"")*D869"),444.326344)</f>
        <v>444.326344</v>
      </c>
      <c r="G869" s="2" t="str">
        <f t="array" ref="G869">_xlfn.XLOOKUP(B869,Vendedores!$A$2:$A$41,Vendedores!$B$2:$B$41,"No hay datos")</f>
        <v>Santiago Linares</v>
      </c>
      <c r="H869" s="2" t="str">
        <f t="array" ref="H869">_xlfn.XLOOKUP(B869,Vendedores!$A$2:$A$41,Vendedores!$C$2:$C$41,"No hay datos")</f>
        <v>Vista Hermosa</v>
      </c>
      <c r="I869" s="2" t="str">
        <f t="array" ref="I869">_xlfn.XLOOKUP(B869,Vendedores!$A$2:$A$41,Vendedores!$D$2:$D$41,"No hay datos")</f>
        <v>Región Central</v>
      </c>
      <c r="J869" s="2" t="str">
        <f t="array" ref="J869:N869">_xlfn.XLOOKUP(A869,Productos!$A$2:$A$61,Productos!$B$2:$F$61)</f>
        <v>Playera lisa</v>
      </c>
      <c r="K869" s="2" t="s">
        <v>22</v>
      </c>
      <c r="L869" s="2" t="s">
        <v>10</v>
      </c>
      <c r="M869" s="2" t="s">
        <v>57</v>
      </c>
      <c r="N869" s="2" t="s">
        <v>24</v>
      </c>
    </row>
    <row r="870">
      <c r="A870" s="2" t="str">
        <f>IFERROR(__xludf.DUMMYFUNCTION("""COMPUTED_VALUE"""),"PR043")</f>
        <v>PR043</v>
      </c>
      <c r="B870" s="2" t="str">
        <f>IFERROR(__xludf.DUMMYFUNCTION("""COMPUTED_VALUE"""),"VD025")</f>
        <v>VD025</v>
      </c>
      <c r="C870" s="2">
        <f>IFERROR(__xludf.DUMMYFUNCTION("""COMPUTED_VALUE"""),4.0)</f>
        <v>4</v>
      </c>
      <c r="D870" s="6">
        <f>IFERROR(__xludf.DUMMYFUNCTION("""COMPUTED_VALUE"""),307.4)</f>
        <v>307.4</v>
      </c>
      <c r="E870" s="6">
        <f>IFERROR(__xludf.DUMMYFUNCTION("GOOGLEFINANCE(""Currency:BRLMXN"")*D870"),1044.3915)</f>
        <v>1044.3915</v>
      </c>
      <c r="F870" s="6">
        <f>IFERROR(__xludf.DUMMYFUNCTION("GOOGLEFINANCE(""Currency:BRLPEN"")*D870"),201.53143999999998)</f>
        <v>201.53144</v>
      </c>
      <c r="G870" s="2" t="str">
        <f t="array" ref="G870">_xlfn.XLOOKUP(B870,Vendedores!$A$2:$A$41,Vendedores!$B$2:$B$41,"No hay datos")</f>
        <v>Alina Santana</v>
      </c>
      <c r="H870" s="2" t="str">
        <f t="array" ref="H870">_xlfn.XLOOKUP(B870,Vendedores!$A$2:$A$41,Vendedores!$C$2:$C$41,"No hay datos")</f>
        <v>Playa Blanca</v>
      </c>
      <c r="I870" s="2" t="str">
        <f t="array" ref="I870">_xlfn.XLOOKUP(B870,Vendedores!$A$2:$A$41,Vendedores!$D$2:$D$41,"No hay datos")</f>
        <v>Región Norte</v>
      </c>
      <c r="J870" s="2" t="str">
        <f t="array" ref="J870:N870">_xlfn.XLOOKUP(A870,Productos!$A$2:$A$61,Productos!$B$2:$F$61)</f>
        <v>Vestido floral</v>
      </c>
      <c r="K870" s="2" t="s">
        <v>9</v>
      </c>
      <c r="L870" s="2" t="s">
        <v>10</v>
      </c>
      <c r="M870" s="2" t="s">
        <v>69</v>
      </c>
      <c r="N870" s="2" t="s">
        <v>40</v>
      </c>
    </row>
    <row r="871">
      <c r="A871" s="2" t="str">
        <f>IFERROR(__xludf.DUMMYFUNCTION("""COMPUTED_VALUE"""),"PR010")</f>
        <v>PR010</v>
      </c>
      <c r="B871" s="2" t="str">
        <f>IFERROR(__xludf.DUMMYFUNCTION("""COMPUTED_VALUE"""),"VD026")</f>
        <v>VD026</v>
      </c>
      <c r="C871" s="2">
        <f>IFERROR(__xludf.DUMMYFUNCTION("""COMPUTED_VALUE"""),5.0)</f>
        <v>5</v>
      </c>
      <c r="D871" s="6">
        <f>IFERROR(__xludf.DUMMYFUNCTION("""COMPUTED_VALUE"""),244.71)</f>
        <v>244.71</v>
      </c>
      <c r="E871" s="6">
        <f>IFERROR(__xludf.DUMMYFUNCTION("GOOGLEFINANCE(""Currency:BRLMXN"")*D871"),831.402225)</f>
        <v>831.402225</v>
      </c>
      <c r="F871" s="6">
        <f>IFERROR(__xludf.DUMMYFUNCTION("GOOGLEFINANCE(""Currency:BRLPEN"")*D871"),160.431876)</f>
        <v>160.431876</v>
      </c>
      <c r="G871" s="2" t="str">
        <f t="array" ref="G871">_xlfn.XLOOKUP(B871,Vendedores!$A$2:$A$41,Vendedores!$B$2:$B$41,"No hay datos")</f>
        <v>Daniel Fernández</v>
      </c>
      <c r="H871" s="2" t="str">
        <f t="array" ref="H871">_xlfn.XLOOKUP(B871,Vendedores!$A$2:$A$41,Vendedores!$C$2:$C$41,"No hay datos")</f>
        <v>Puerto Esperanza</v>
      </c>
      <c r="I871" s="2" t="str">
        <f t="array" ref="I871">_xlfn.XLOOKUP(B871,Vendedores!$A$2:$A$41,Vendedores!$D$2:$D$41,"No hay datos")</f>
        <v>Región Sur</v>
      </c>
      <c r="J871" s="2" t="str">
        <f t="array" ref="J871:N871">_xlfn.XLOOKUP(A871,Productos!$A$2:$A$61,Productos!$B$2:$F$61)</f>
        <v>Pantalón legging</v>
      </c>
      <c r="K871" s="2" t="s">
        <v>9</v>
      </c>
      <c r="L871" s="2" t="s">
        <v>10</v>
      </c>
      <c r="M871" s="2" t="s">
        <v>86</v>
      </c>
      <c r="N871" s="2" t="s">
        <v>87</v>
      </c>
    </row>
    <row r="872">
      <c r="A872" s="2" t="str">
        <f>IFERROR(__xludf.DUMMYFUNCTION("""COMPUTED_VALUE"""),"PR032")</f>
        <v>PR032</v>
      </c>
      <c r="B872" s="2" t="str">
        <f>IFERROR(__xludf.DUMMYFUNCTION("""COMPUTED_VALUE"""),"VD015")</f>
        <v>VD015</v>
      </c>
      <c r="C872" s="2">
        <f>IFERROR(__xludf.DUMMYFUNCTION("""COMPUTED_VALUE"""),20.0)</f>
        <v>20</v>
      </c>
      <c r="D872" s="6">
        <f>IFERROR(__xludf.DUMMYFUNCTION("""COMPUTED_VALUE"""),5300.0)</f>
        <v>5300</v>
      </c>
      <c r="E872" s="6">
        <f>IFERROR(__xludf.DUMMYFUNCTION("GOOGLEFINANCE(""Currency:BRLMXN"")*D872"),18006.75)</f>
        <v>18006.75</v>
      </c>
      <c r="F872" s="6">
        <f>IFERROR(__xludf.DUMMYFUNCTION("GOOGLEFINANCE(""Currency:BRLPEN"")*D872"),3474.68)</f>
        <v>3474.68</v>
      </c>
      <c r="G872" s="2" t="str">
        <f t="array" ref="G872">_xlfn.XLOOKUP(B872,Vendedores!$A$2:$A$41,Vendedores!$B$2:$B$41,"No hay datos")</f>
        <v>Lucas Castillo</v>
      </c>
      <c r="H872" s="2" t="str">
        <f t="array" ref="H872">_xlfn.XLOOKUP(B872,Vendedores!$A$2:$A$41,Vendedores!$C$2:$C$41,"No hay datos")</f>
        <v>San Miguel de los Pinos</v>
      </c>
      <c r="I872" s="2" t="str">
        <f t="array" ref="I872">_xlfn.XLOOKUP(B872,Vendedores!$A$2:$A$41,Vendedores!$D$2:$D$41,"No hay datos")</f>
        <v>Región Sur</v>
      </c>
      <c r="J872" s="2" t="str">
        <f t="array" ref="J872:N872">_xlfn.XLOOKUP(A872,Productos!$A$2:$A$61,Productos!$B$2:$F$61)</f>
        <v>Tenis Chunky</v>
      </c>
      <c r="K872" s="2">
        <v>37.0</v>
      </c>
      <c r="L872" s="2" t="s">
        <v>33</v>
      </c>
      <c r="M872" s="2" t="s">
        <v>61</v>
      </c>
      <c r="N872" s="2" t="s">
        <v>62</v>
      </c>
    </row>
    <row r="873">
      <c r="A873" s="2" t="str">
        <f>IFERROR(__xludf.DUMMYFUNCTION("""COMPUTED_VALUE"""),"PR003")</f>
        <v>PR003</v>
      </c>
      <c r="B873" s="2" t="str">
        <f>IFERROR(__xludf.DUMMYFUNCTION("""COMPUTED_VALUE"""),"VD049")</f>
        <v>VD049</v>
      </c>
      <c r="C873" s="2">
        <f>IFERROR(__xludf.DUMMYFUNCTION("""COMPUTED_VALUE"""),3.0)</f>
        <v>3</v>
      </c>
      <c r="D873" s="6">
        <f>IFERROR(__xludf.DUMMYFUNCTION("""COMPUTED_VALUE"""),223.34)</f>
        <v>223.34</v>
      </c>
      <c r="E873" s="6">
        <f>IFERROR(__xludf.DUMMYFUNCTION("GOOGLEFINANCE(""Currency:BRLMXN"")*D873"),758.79765)</f>
        <v>758.79765</v>
      </c>
      <c r="F873" s="6">
        <f>IFERROR(__xludf.DUMMYFUNCTION("GOOGLEFINANCE(""Currency:BRLPEN"")*D873"),146.421704)</f>
        <v>146.421704</v>
      </c>
      <c r="G873" s="2" t="str">
        <f t="array" ref="G873">_xlfn.XLOOKUP(B873,Vendedores!$A$2:$A$41,Vendedores!$B$2:$B$41,"No hay datos")</f>
        <v>Fernando Navarro</v>
      </c>
      <c r="H873" s="2" t="str">
        <f t="array" ref="H873">_xlfn.XLOOKUP(B873,Vendedores!$A$2:$A$41,Vendedores!$C$2:$C$41,"No hay datos")</f>
        <v>Colinas Verdes</v>
      </c>
      <c r="I873" s="2" t="str">
        <f t="array" ref="I873">_xlfn.XLOOKUP(B873,Vendedores!$A$2:$A$41,Vendedores!$D$2:$D$41,"No hay datos")</f>
        <v>Región Central 2</v>
      </c>
      <c r="J873" s="2" t="str">
        <f t="array" ref="J873:N873">_xlfn.XLOOKUP(A873,Productos!$A$2:$A$61,Productos!$B$2:$F$61)</f>
        <v>Bermuda</v>
      </c>
      <c r="K873" s="2" t="s">
        <v>22</v>
      </c>
      <c r="L873" s="2" t="s">
        <v>10</v>
      </c>
      <c r="M873" s="2" t="s">
        <v>45</v>
      </c>
      <c r="N873" s="2" t="s">
        <v>46</v>
      </c>
    </row>
    <row r="874">
      <c r="A874" s="2" t="str">
        <f>IFERROR(__xludf.DUMMYFUNCTION("""COMPUTED_VALUE"""),"PR019")</f>
        <v>PR019</v>
      </c>
      <c r="B874" s="2" t="str">
        <f>IFERROR(__xludf.DUMMYFUNCTION("""COMPUTED_VALUE"""),"VD022")</f>
        <v>VD022</v>
      </c>
      <c r="C874" s="2">
        <f>IFERROR(__xludf.DUMMYFUNCTION("""COMPUTED_VALUE"""),14.0)</f>
        <v>14</v>
      </c>
      <c r="D874" s="6">
        <f>IFERROR(__xludf.DUMMYFUNCTION("""COMPUTED_VALUE"""),705.59)</f>
        <v>705.59</v>
      </c>
      <c r="E874" s="6">
        <f>IFERROR(__xludf.DUMMYFUNCTION("GOOGLEFINANCE(""Currency:BRLMXN"")*D874"),2397.242025)</f>
        <v>2397.242025</v>
      </c>
      <c r="F874" s="6">
        <f>IFERROR(__xludf.DUMMYFUNCTION("GOOGLEFINANCE(""Currency:BRLPEN"")*D874"),462.584804)</f>
        <v>462.584804</v>
      </c>
      <c r="G874" s="2" t="str">
        <f t="array" ref="G874">_xlfn.XLOOKUP(B874,Vendedores!$A$2:$A$41,Vendedores!$B$2:$B$41,"No hay datos")</f>
        <v>Santiago Linares</v>
      </c>
      <c r="H874" s="2" t="str">
        <f t="array" ref="H874">_xlfn.XLOOKUP(B874,Vendedores!$A$2:$A$41,Vendedores!$C$2:$C$41,"No hay datos")</f>
        <v>Vista Hermosa</v>
      </c>
      <c r="I874" s="2" t="str">
        <f t="array" ref="I874">_xlfn.XLOOKUP(B874,Vendedores!$A$2:$A$41,Vendedores!$D$2:$D$41,"No hay datos")</f>
        <v>Región Central</v>
      </c>
      <c r="J874" s="2" t="str">
        <f t="array" ref="J874:N874">_xlfn.XLOOKUP(A874,Productos!$A$2:$A$61,Productos!$B$2:$F$61)</f>
        <v>Cinturón</v>
      </c>
      <c r="K874" s="2" t="s">
        <v>29</v>
      </c>
      <c r="L874" s="2" t="s">
        <v>30</v>
      </c>
      <c r="M874" s="2" t="s">
        <v>31</v>
      </c>
      <c r="N874" s="2" t="s">
        <v>32</v>
      </c>
    </row>
    <row r="875">
      <c r="A875" s="2" t="str">
        <f>IFERROR(__xludf.DUMMYFUNCTION("""COMPUTED_VALUE"""),"PR048")</f>
        <v>PR048</v>
      </c>
      <c r="B875" s="2" t="str">
        <f>IFERROR(__xludf.DUMMYFUNCTION("""COMPUTED_VALUE"""),"VD026")</f>
        <v>VD026</v>
      </c>
      <c r="C875" s="2">
        <f>IFERROR(__xludf.DUMMYFUNCTION("""COMPUTED_VALUE"""),8.0)</f>
        <v>8</v>
      </c>
      <c r="D875" s="6">
        <f>IFERROR(__xludf.DUMMYFUNCTION("""COMPUTED_VALUE"""),2342.39)</f>
        <v>2342.39</v>
      </c>
      <c r="E875" s="6">
        <f>IFERROR(__xludf.DUMMYFUNCTION("GOOGLEFINANCE(""Currency:BRLMXN"")*D875"),7958.270025)</f>
        <v>7958.270025</v>
      </c>
      <c r="F875" s="6">
        <f>IFERROR(__xludf.DUMMYFUNCTION("GOOGLEFINANCE(""Currency:BRLPEN"")*D875"),1535.670884)</f>
        <v>1535.670884</v>
      </c>
      <c r="G875" s="2" t="str">
        <f t="array" ref="G875">_xlfn.XLOOKUP(B875,Vendedores!$A$2:$A$41,Vendedores!$B$2:$B$41,"No hay datos")</f>
        <v>Daniel Fernández</v>
      </c>
      <c r="H875" s="2" t="str">
        <f t="array" ref="H875">_xlfn.XLOOKUP(B875,Vendedores!$A$2:$A$41,Vendedores!$C$2:$C$41,"No hay datos")</f>
        <v>Puerto Esperanza</v>
      </c>
      <c r="I875" s="2" t="str">
        <f t="array" ref="I875">_xlfn.XLOOKUP(B875,Vendedores!$A$2:$A$41,Vendedores!$D$2:$D$41,"No hay datos")</f>
        <v>Región Sur</v>
      </c>
      <c r="J875" s="2" t="str">
        <f t="array" ref="J875:N875">_xlfn.XLOOKUP(A875,Productos!$A$2:$A$61,Productos!$B$2:$F$61)</f>
        <v>Chaqueta de cuero</v>
      </c>
      <c r="K875" s="2" t="s">
        <v>22</v>
      </c>
      <c r="L875" s="2" t="s">
        <v>10</v>
      </c>
      <c r="M875" s="2" t="s">
        <v>94</v>
      </c>
      <c r="N875" s="2" t="s">
        <v>44</v>
      </c>
    </row>
    <row r="876">
      <c r="A876" s="2" t="str">
        <f>IFERROR(__xludf.DUMMYFUNCTION("""COMPUTED_VALUE"""),"PR032")</f>
        <v>PR032</v>
      </c>
      <c r="B876" s="2" t="str">
        <f>IFERROR(__xludf.DUMMYFUNCTION("""COMPUTED_VALUE"""),"VD013")</f>
        <v>VD013</v>
      </c>
      <c r="C876" s="2">
        <f>IFERROR(__xludf.DUMMYFUNCTION("""COMPUTED_VALUE"""),10.0)</f>
        <v>10</v>
      </c>
      <c r="D876" s="6">
        <f>IFERROR(__xludf.DUMMYFUNCTION("""COMPUTED_VALUE"""),2575.0)</f>
        <v>2575</v>
      </c>
      <c r="E876" s="6">
        <f>IFERROR(__xludf.DUMMYFUNCTION("GOOGLEFINANCE(""Currency:BRLMXN"")*D876"),8748.5625)</f>
        <v>8748.5625</v>
      </c>
      <c r="F876" s="6">
        <f>IFERROR(__xludf.DUMMYFUNCTION("GOOGLEFINANCE(""Currency:BRLPEN"")*D876"),1688.1699999999998)</f>
        <v>1688.17</v>
      </c>
      <c r="G876" s="2" t="str">
        <f t="array" ref="G876">_xlfn.XLOOKUP(B876,Vendedores!$A$2:$A$41,Vendedores!$B$2:$B$41,"No hay datos")</f>
        <v>Pedro Almonte</v>
      </c>
      <c r="H876" s="2" t="str">
        <f t="array" ref="H876">_xlfn.XLOOKUP(B876,Vendedores!$A$2:$A$41,Vendedores!$C$2:$C$41,"No hay datos")</f>
        <v>Santa Rosa del Valle</v>
      </c>
      <c r="I876" s="2" t="str">
        <f t="array" ref="I876">_xlfn.XLOOKUP(B876,Vendedores!$A$2:$A$41,Vendedores!$D$2:$D$41,"No hay datos")</f>
        <v>Región Norte</v>
      </c>
      <c r="J876" s="2" t="str">
        <f t="array" ref="J876:N876">_xlfn.XLOOKUP(A876,Productos!$A$2:$A$61,Productos!$B$2:$F$61)</f>
        <v>Tenis Chunky</v>
      </c>
      <c r="K876" s="2">
        <v>37.0</v>
      </c>
      <c r="L876" s="2" t="s">
        <v>33</v>
      </c>
      <c r="M876" s="2" t="s">
        <v>61</v>
      </c>
      <c r="N876" s="2" t="s">
        <v>62</v>
      </c>
    </row>
    <row r="877">
      <c r="A877" s="2" t="str">
        <f>IFERROR(__xludf.DUMMYFUNCTION("""COMPUTED_VALUE"""),"PR058")</f>
        <v>PR058</v>
      </c>
      <c r="B877" s="2" t="str">
        <f>IFERROR(__xludf.DUMMYFUNCTION("""COMPUTED_VALUE"""),"VD041")</f>
        <v>VD041</v>
      </c>
      <c r="C877" s="2">
        <f>IFERROR(__xludf.DUMMYFUNCTION("""COMPUTED_VALUE"""),10.0)</f>
        <v>10</v>
      </c>
      <c r="D877" s="6">
        <f>IFERROR(__xludf.DUMMYFUNCTION("""COMPUTED_VALUE"""),1926.0)</f>
        <v>1926</v>
      </c>
      <c r="E877" s="6">
        <f>IFERROR(__xludf.DUMMYFUNCTION("GOOGLEFINANCE(""Currency:BRLMXN"")*D877"),6543.585)</f>
        <v>6543.585</v>
      </c>
      <c r="F877" s="6">
        <f>IFERROR(__xludf.DUMMYFUNCTION("GOOGLEFINANCE(""Currency:BRLPEN"")*D877"),1262.6856)</f>
        <v>1262.6856</v>
      </c>
      <c r="G877" s="2" t="str">
        <f t="array" ref="G877">_xlfn.XLOOKUP(B877,Vendedores!$A$2:$A$41,Vendedores!$B$2:$B$41,"No hay datos")</f>
        <v>Alejandro Ramos</v>
      </c>
      <c r="H877" s="2" t="str">
        <f t="array" ref="H877">_xlfn.XLOOKUP(B877,Vendedores!$A$2:$A$41,Vendedores!$C$2:$C$41,"No hay datos")</f>
        <v>San Martín de las Rosas</v>
      </c>
      <c r="I877" s="2" t="str">
        <f t="array" ref="I877">_xlfn.XLOOKUP(B877,Vendedores!$A$2:$A$41,Vendedores!$D$2:$D$41,"No hay datos")</f>
        <v>Región Central 2</v>
      </c>
      <c r="J877" s="2" t="str">
        <f t="array" ref="J877:N877">_xlfn.XLOOKUP(A877,Productos!$A$2:$A$61,Productos!$B$2:$F$61)</f>
        <v>Pantalón de sastre</v>
      </c>
      <c r="K877" s="2" t="s">
        <v>9</v>
      </c>
      <c r="L877" s="2" t="s">
        <v>10</v>
      </c>
      <c r="M877" s="2" t="s">
        <v>13</v>
      </c>
      <c r="N877" s="2" t="s">
        <v>14</v>
      </c>
    </row>
    <row r="878">
      <c r="A878" s="2" t="str">
        <f>IFERROR(__xludf.DUMMYFUNCTION("""COMPUTED_VALUE"""),"PR019")</f>
        <v>PR019</v>
      </c>
      <c r="B878" s="2" t="str">
        <f>IFERROR(__xludf.DUMMYFUNCTION("""COMPUTED_VALUE"""),"VD027")</f>
        <v>VD027</v>
      </c>
      <c r="C878" s="2">
        <f>IFERROR(__xludf.DUMMYFUNCTION("""COMPUTED_VALUE"""),8.0)</f>
        <v>8</v>
      </c>
      <c r="D878" s="6">
        <f>IFERROR(__xludf.DUMMYFUNCTION("""COMPUTED_VALUE"""),411.18)</f>
        <v>411.18</v>
      </c>
      <c r="E878" s="6">
        <f>IFERROR(__xludf.DUMMYFUNCTION("GOOGLEFINANCE(""Currency:BRLMXN"")*D878"),1396.98405)</f>
        <v>1396.98405</v>
      </c>
      <c r="F878" s="6">
        <f>IFERROR(__xludf.DUMMYFUNCTION("GOOGLEFINANCE(""Currency:BRLPEN"")*D878"),269.569608)</f>
        <v>269.569608</v>
      </c>
      <c r="G878" s="2" t="str">
        <f t="array" ref="G878">_xlfn.XLOOKUP(B878,Vendedores!$A$2:$A$41,Vendedores!$B$2:$B$41,"No hay datos")</f>
        <v>Patricia Cortés</v>
      </c>
      <c r="H878" s="2" t="str">
        <f t="array" ref="H878">_xlfn.XLOOKUP(B878,Vendedores!$A$2:$A$41,Vendedores!$C$2:$C$41,"No hay datos")</f>
        <v>Costa Azul</v>
      </c>
      <c r="I878" s="2" t="str">
        <f t="array" ref="I878">_xlfn.XLOOKUP(B878,Vendedores!$A$2:$A$41,Vendedores!$D$2:$D$41,"No hay datos")</f>
        <v>Región Norte</v>
      </c>
      <c r="J878" s="2" t="str">
        <f t="array" ref="J878:N878">_xlfn.XLOOKUP(A878,Productos!$A$2:$A$61,Productos!$B$2:$F$61)</f>
        <v>Cinturón</v>
      </c>
      <c r="K878" s="2" t="s">
        <v>29</v>
      </c>
      <c r="L878" s="2" t="s">
        <v>30</v>
      </c>
      <c r="M878" s="2" t="s">
        <v>31</v>
      </c>
      <c r="N878" s="2" t="s">
        <v>32</v>
      </c>
    </row>
    <row r="879">
      <c r="A879" s="2" t="str">
        <f>IFERROR(__xludf.DUMMYFUNCTION("""COMPUTED_VALUE"""),"PR004")</f>
        <v>PR004</v>
      </c>
      <c r="B879" s="2" t="str">
        <f>IFERROR(__xludf.DUMMYFUNCTION("""COMPUTED_VALUE"""),"VD020")</f>
        <v>VD020</v>
      </c>
      <c r="C879" s="2">
        <f>IFERROR(__xludf.DUMMYFUNCTION("""COMPUTED_VALUE"""),10.0)</f>
        <v>10</v>
      </c>
      <c r="D879" s="6">
        <f>IFERROR(__xludf.DUMMYFUNCTION("""COMPUTED_VALUE"""),1479.0)</f>
        <v>1479</v>
      </c>
      <c r="E879" s="6">
        <f>IFERROR(__xludf.DUMMYFUNCTION("GOOGLEFINANCE(""Currency:BRLMXN"")*D879"),5024.9025)</f>
        <v>5024.9025</v>
      </c>
      <c r="F879" s="6">
        <f>IFERROR(__xludf.DUMMYFUNCTION("GOOGLEFINANCE(""Currency:BRLPEN"")*D879"),969.6324)</f>
        <v>969.6324</v>
      </c>
      <c r="G879" s="2" t="str">
        <f t="array" ref="G879">_xlfn.XLOOKUP(B879,Vendedores!$A$2:$A$41,Vendedores!$B$2:$B$41,"No hay datos")</f>
        <v>Gustavo Morales</v>
      </c>
      <c r="H879" s="2" t="str">
        <f t="array" ref="H879">_xlfn.XLOOKUP(B879,Vendedores!$A$2:$A$41,Vendedores!$C$2:$C$41,"No hay datos")</f>
        <v>Villa del Sol</v>
      </c>
      <c r="I879" s="2" t="str">
        <f t="array" ref="I879">_xlfn.XLOOKUP(B879,Vendedores!$A$2:$A$41,Vendedores!$D$2:$D$41,"No hay datos")</f>
        <v>Región Central 2</v>
      </c>
      <c r="J879" s="2" t="str">
        <f t="array" ref="J879:N879">_xlfn.XLOOKUP(A879,Productos!$A$2:$A$61,Productos!$B$2:$F$61)</f>
        <v>Bolso versátil</v>
      </c>
      <c r="K879" s="2" t="s">
        <v>29</v>
      </c>
      <c r="L879" s="2" t="s">
        <v>30</v>
      </c>
      <c r="M879" s="2" t="s">
        <v>59</v>
      </c>
      <c r="N879" s="2" t="s">
        <v>60</v>
      </c>
    </row>
    <row r="880">
      <c r="A880" s="2" t="str">
        <f>IFERROR(__xludf.DUMMYFUNCTION("""COMPUTED_VALUE"""),"PR043")</f>
        <v>PR043</v>
      </c>
      <c r="B880" s="2" t="str">
        <f>IFERROR(__xludf.DUMMYFUNCTION("""COMPUTED_VALUE"""),"VD030")</f>
        <v>VD030</v>
      </c>
      <c r="C880" s="2">
        <f>IFERROR(__xludf.DUMMYFUNCTION("""COMPUTED_VALUE"""),4.0)</f>
        <v>4</v>
      </c>
      <c r="D880" s="6">
        <f>IFERROR(__xludf.DUMMYFUNCTION("""COMPUTED_VALUE"""),310.3)</f>
        <v>310.3</v>
      </c>
      <c r="E880" s="6">
        <f>IFERROR(__xludf.DUMMYFUNCTION("GOOGLEFINANCE(""Currency:BRLMXN"")*D880"),1054.24425)</f>
        <v>1054.24425</v>
      </c>
      <c r="F880" s="6">
        <f>IFERROR(__xludf.DUMMYFUNCTION("GOOGLEFINANCE(""Currency:BRLPEN"")*D880"),203.43268)</f>
        <v>203.43268</v>
      </c>
      <c r="G880" s="2" t="str">
        <f t="array" ref="G880">_xlfn.XLOOKUP(B880,Vendedores!$A$2:$A$41,Vendedores!$B$2:$B$41,"No hay datos")</f>
        <v>Leonardo Rojas</v>
      </c>
      <c r="H880" s="2" t="str">
        <f t="array" ref="H880">_xlfn.XLOOKUP(B880,Vendedores!$A$2:$A$41,Vendedores!$C$2:$C$41,"No hay datos")</f>
        <v>Villa del Sol</v>
      </c>
      <c r="I880" s="2" t="str">
        <f t="array" ref="I880">_xlfn.XLOOKUP(B880,Vendedores!$A$2:$A$41,Vendedores!$D$2:$D$41,"No hay datos")</f>
        <v>Región Central 2</v>
      </c>
      <c r="J880" s="2" t="str">
        <f t="array" ref="J880:N880">_xlfn.XLOOKUP(A880,Productos!$A$2:$A$61,Productos!$B$2:$F$61)</f>
        <v>Vestido floral</v>
      </c>
      <c r="K880" s="2" t="s">
        <v>9</v>
      </c>
      <c r="L880" s="2" t="s">
        <v>10</v>
      </c>
      <c r="M880" s="2" t="s">
        <v>69</v>
      </c>
      <c r="N880" s="2" t="s">
        <v>40</v>
      </c>
    </row>
    <row r="881">
      <c r="A881" s="2" t="str">
        <f>IFERROR(__xludf.DUMMYFUNCTION("""COMPUTED_VALUE"""),"PR031")</f>
        <v>PR031</v>
      </c>
      <c r="B881" s="2" t="str">
        <f>IFERROR(__xludf.DUMMYFUNCTION("""COMPUTED_VALUE"""),"VD020")</f>
        <v>VD020</v>
      </c>
      <c r="C881" s="2">
        <f>IFERROR(__xludf.DUMMYFUNCTION("""COMPUTED_VALUE"""),10.0)</f>
        <v>10</v>
      </c>
      <c r="D881" s="6">
        <f>IFERROR(__xludf.DUMMYFUNCTION("""COMPUTED_VALUE"""),2548.0)</f>
        <v>2548</v>
      </c>
      <c r="E881" s="6">
        <f>IFERROR(__xludf.DUMMYFUNCTION("GOOGLEFINANCE(""Currency:BRLMXN"")*D881"),8656.83)</f>
        <v>8656.83</v>
      </c>
      <c r="F881" s="6">
        <f>IFERROR(__xludf.DUMMYFUNCTION("GOOGLEFINANCE(""Currency:BRLPEN"")*D881"),1670.4687999999999)</f>
        <v>1670.4688</v>
      </c>
      <c r="G881" s="2" t="str">
        <f t="array" ref="G881">_xlfn.XLOOKUP(B881,Vendedores!$A$2:$A$41,Vendedores!$B$2:$B$41,"No hay datos")</f>
        <v>Gustavo Morales</v>
      </c>
      <c r="H881" s="2" t="str">
        <f t="array" ref="H881">_xlfn.XLOOKUP(B881,Vendedores!$A$2:$A$41,Vendedores!$C$2:$C$41,"No hay datos")</f>
        <v>Villa del Sol</v>
      </c>
      <c r="I881" s="2" t="str">
        <f t="array" ref="I881">_xlfn.XLOOKUP(B881,Vendedores!$A$2:$A$41,Vendedores!$D$2:$D$41,"No hay datos")</f>
        <v>Región Central 2</v>
      </c>
      <c r="J881" s="2" t="str">
        <f t="array" ref="J881:N881">_xlfn.XLOOKUP(A881,Productos!$A$2:$A$61,Productos!$B$2:$F$61)</f>
        <v>Tenis Chunky</v>
      </c>
      <c r="K881" s="2">
        <v>36.0</v>
      </c>
      <c r="L881" s="2" t="s">
        <v>33</v>
      </c>
      <c r="M881" s="2" t="s">
        <v>84</v>
      </c>
      <c r="N881" s="2" t="s">
        <v>85</v>
      </c>
    </row>
    <row r="882">
      <c r="A882" s="2" t="str">
        <f>IFERROR(__xludf.DUMMYFUNCTION("""COMPUTED_VALUE"""),"PR026")</f>
        <v>PR026</v>
      </c>
      <c r="B882" s="2" t="str">
        <f>IFERROR(__xludf.DUMMYFUNCTION("""COMPUTED_VALUE"""),"VD023")</f>
        <v>VD023</v>
      </c>
      <c r="C882" s="2">
        <f>IFERROR(__xludf.DUMMYFUNCTION("""COMPUTED_VALUE"""),2.0)</f>
        <v>2</v>
      </c>
      <c r="D882" s="6">
        <f>IFERROR(__xludf.DUMMYFUNCTION("""COMPUTED_VALUE"""),741.79)</f>
        <v>741.79</v>
      </c>
      <c r="E882" s="6">
        <f>IFERROR(__xludf.DUMMYFUNCTION("GOOGLEFINANCE(""Currency:BRLMXN"")*D882"),2520.2315249999997)</f>
        <v>2520.231525</v>
      </c>
      <c r="F882" s="6">
        <f>IFERROR(__xludf.DUMMYFUNCTION("GOOGLEFINANCE(""Currency:BRLPEN"")*D882"),486.31752399999993)</f>
        <v>486.317524</v>
      </c>
      <c r="G882" s="2" t="str">
        <f t="array" ref="G882">_xlfn.XLOOKUP(B882,Vendedores!$A$2:$A$41,Vendedores!$B$2:$B$41,"No hay datos")</f>
        <v>Juliana Castro</v>
      </c>
      <c r="H882" s="2" t="str">
        <f t="array" ref="H882">_xlfn.XLOOKUP(B882,Vendedores!$A$2:$A$41,Vendedores!$C$2:$C$41,"No hay datos")</f>
        <v>San Miguel de los Pinos</v>
      </c>
      <c r="I882" s="2" t="str">
        <f t="array" ref="I882">_xlfn.XLOOKUP(B882,Vendedores!$A$2:$A$41,Vendedores!$D$2:$D$41,"No hay datos")</f>
        <v>Región Sur</v>
      </c>
      <c r="J882" s="2" t="str">
        <f t="array" ref="J882:N882">_xlfn.XLOOKUP(A882,Productos!$A$2:$A$61,Productos!$B$2:$F$61)</f>
        <v>Gafas cuadradas</v>
      </c>
      <c r="K882" s="2" t="s">
        <v>29</v>
      </c>
      <c r="L882" s="2" t="s">
        <v>30</v>
      </c>
      <c r="M882" s="2" t="s">
        <v>90</v>
      </c>
      <c r="N882" s="2" t="s">
        <v>91</v>
      </c>
    </row>
    <row r="883">
      <c r="A883" s="2" t="str">
        <f>IFERROR(__xludf.DUMMYFUNCTION("""COMPUTED_VALUE"""),"PR041")</f>
        <v>PR041</v>
      </c>
      <c r="B883" s="2" t="str">
        <f>IFERROR(__xludf.DUMMYFUNCTION("""COMPUTED_VALUE"""),"VD032")</f>
        <v>VD032</v>
      </c>
      <c r="C883" s="2">
        <f>IFERROR(__xludf.DUMMYFUNCTION("""COMPUTED_VALUE"""),18.0)</f>
        <v>18</v>
      </c>
      <c r="D883" s="6">
        <f>IFERROR(__xludf.DUMMYFUNCTION("""COMPUTED_VALUE"""),1067.26)</f>
        <v>1067.26</v>
      </c>
      <c r="E883" s="6">
        <f>IFERROR(__xludf.DUMMYFUNCTION("GOOGLEFINANCE(""Currency:BRLMXN"")*D883"),3626.01585)</f>
        <v>3626.01585</v>
      </c>
      <c r="F883" s="6">
        <f>IFERROR(__xludf.DUMMYFUNCTION("GOOGLEFINANCE(""Currency:BRLPEN"")*D883"),699.695656)</f>
        <v>699.695656</v>
      </c>
      <c r="G883" s="2" t="str">
        <f t="array" ref="G883">_xlfn.XLOOKUP(B883,Vendedores!$A$2:$A$41,Vendedores!$B$2:$B$41,"No hay datos")</f>
        <v>Eduardo Almonte</v>
      </c>
      <c r="H883" s="2" t="str">
        <f t="array" ref="H883">_xlfn.XLOOKUP(B883,Vendedores!$A$2:$A$41,Vendedores!$C$2:$C$41,"No hay datos")</f>
        <v>Tierra Colorada</v>
      </c>
      <c r="I883" s="2" t="str">
        <f t="array" ref="I883">_xlfn.XLOOKUP(B883,Vendedores!$A$2:$A$41,Vendedores!$D$2:$D$41,"No hay datos")</f>
        <v>Región Central 2</v>
      </c>
      <c r="J883" s="2" t="str">
        <f t="array" ref="J883:N883">_xlfn.XLOOKUP(A883,Productos!$A$2:$A$61,Productos!$B$2:$F$61)</f>
        <v>Playera confort</v>
      </c>
      <c r="K883" s="2" t="s">
        <v>17</v>
      </c>
      <c r="L883" s="2" t="s">
        <v>10</v>
      </c>
      <c r="M883" s="2" t="s">
        <v>95</v>
      </c>
      <c r="N883" s="2" t="s">
        <v>26</v>
      </c>
    </row>
    <row r="884">
      <c r="A884" s="2" t="str">
        <f>IFERROR(__xludf.DUMMYFUNCTION("""COMPUTED_VALUE"""),"PR047")</f>
        <v>PR047</v>
      </c>
      <c r="B884" s="2" t="str">
        <f>IFERROR(__xludf.DUMMYFUNCTION("""COMPUTED_VALUE"""),"VD026")</f>
        <v>VD026</v>
      </c>
      <c r="C884" s="2">
        <f>IFERROR(__xludf.DUMMYFUNCTION("""COMPUTED_VALUE"""),6.0)</f>
        <v>6</v>
      </c>
      <c r="D884" s="6">
        <f>IFERROR(__xludf.DUMMYFUNCTION("""COMPUTED_VALUE"""),1843.76)</f>
        <v>1843.76</v>
      </c>
      <c r="E884" s="6">
        <f>IFERROR(__xludf.DUMMYFUNCTION("GOOGLEFINANCE(""Currency:BRLMXN"")*D884"),6264.1746)</f>
        <v>6264.1746</v>
      </c>
      <c r="F884" s="6">
        <f>IFERROR(__xludf.DUMMYFUNCTION("GOOGLEFINANCE(""Currency:BRLPEN"")*D884"),1208.7690559999999)</f>
        <v>1208.769056</v>
      </c>
      <c r="G884" s="2" t="str">
        <f t="array" ref="G884">_xlfn.XLOOKUP(B884,Vendedores!$A$2:$A$41,Vendedores!$B$2:$B$41,"No hay datos")</f>
        <v>Daniel Fernández</v>
      </c>
      <c r="H884" s="2" t="str">
        <f t="array" ref="H884">_xlfn.XLOOKUP(B884,Vendedores!$A$2:$A$41,Vendedores!$C$2:$C$41,"No hay datos")</f>
        <v>Puerto Esperanza</v>
      </c>
      <c r="I884" s="2" t="str">
        <f t="array" ref="I884">_xlfn.XLOOKUP(B884,Vendedores!$A$2:$A$41,Vendedores!$D$2:$D$41,"No hay datos")</f>
        <v>Región Sur</v>
      </c>
      <c r="J884" s="2" t="str">
        <f t="array" ref="J884:N884">_xlfn.XLOOKUP(A884,Productos!$A$2:$A$61,Productos!$B$2:$F$61)</f>
        <v>Chaqueta de cuero</v>
      </c>
      <c r="K884" s="2" t="s">
        <v>17</v>
      </c>
      <c r="L884" s="2" t="s">
        <v>10</v>
      </c>
      <c r="M884" s="2" t="s">
        <v>43</v>
      </c>
      <c r="N884" s="2" t="s">
        <v>44</v>
      </c>
    </row>
    <row r="885">
      <c r="A885" s="2" t="str">
        <f>IFERROR(__xludf.DUMMYFUNCTION("""COMPUTED_VALUE"""),"PR029")</f>
        <v>PR029</v>
      </c>
      <c r="B885" s="2" t="str">
        <f>IFERROR(__xludf.DUMMYFUNCTION("""COMPUTED_VALUE"""),"VD023")</f>
        <v>VD023</v>
      </c>
      <c r="C885" s="2">
        <f>IFERROR(__xludf.DUMMYFUNCTION("""COMPUTED_VALUE"""),2.0)</f>
        <v>2</v>
      </c>
      <c r="D885" s="6">
        <f>IFERROR(__xludf.DUMMYFUNCTION("""COMPUTED_VALUE"""),545.7)</f>
        <v>545.7</v>
      </c>
      <c r="E885" s="6">
        <f>IFERROR(__xludf.DUMMYFUNCTION("GOOGLEFINANCE(""Currency:BRLMXN"")*D885"),1854.01575)</f>
        <v>1854.01575</v>
      </c>
      <c r="F885" s="6">
        <f>IFERROR(__xludf.DUMMYFUNCTION("GOOGLEFINANCE(""Currency:BRLPEN"")*D885"),357.76092)</f>
        <v>357.76092</v>
      </c>
      <c r="G885" s="2" t="str">
        <f t="array" ref="G885">_xlfn.XLOOKUP(B885,Vendedores!$A$2:$A$41,Vendedores!$B$2:$B$41,"No hay datos")</f>
        <v>Juliana Castro</v>
      </c>
      <c r="H885" s="2" t="str">
        <f t="array" ref="H885">_xlfn.XLOOKUP(B885,Vendedores!$A$2:$A$41,Vendedores!$C$2:$C$41,"No hay datos")</f>
        <v>San Miguel de los Pinos</v>
      </c>
      <c r="I885" s="2" t="str">
        <f t="array" ref="I885">_xlfn.XLOOKUP(B885,Vendedores!$A$2:$A$41,Vendedores!$D$2:$D$41,"No hay datos")</f>
        <v>Región Sur</v>
      </c>
      <c r="J885" s="2" t="str">
        <f t="array" ref="J885:N885">_xlfn.XLOOKUP(A885,Productos!$A$2:$A$61,Productos!$B$2:$F$61)</f>
        <v>Tenis Atitas</v>
      </c>
      <c r="K885" s="2">
        <v>37.0</v>
      </c>
      <c r="L885" s="2" t="s">
        <v>33</v>
      </c>
      <c r="M885" s="2" t="s">
        <v>96</v>
      </c>
      <c r="N885" s="2" t="s">
        <v>97</v>
      </c>
    </row>
    <row r="886">
      <c r="A886" s="2" t="str">
        <f>IFERROR(__xludf.DUMMYFUNCTION("""COMPUTED_VALUE"""),"PR018")</f>
        <v>PR018</v>
      </c>
      <c r="B886" s="2" t="str">
        <f>IFERROR(__xludf.DUMMYFUNCTION("""COMPUTED_VALUE"""),"VD040")</f>
        <v>VD040</v>
      </c>
      <c r="C886" s="2">
        <f>IFERROR(__xludf.DUMMYFUNCTION("""COMPUTED_VALUE"""),18.0)</f>
        <v>18</v>
      </c>
      <c r="D886" s="6">
        <f>IFERROR(__xludf.DUMMYFUNCTION("""COMPUTED_VALUE"""),639.58)</f>
        <v>639.58</v>
      </c>
      <c r="E886" s="6">
        <f>IFERROR(__xludf.DUMMYFUNCTION("GOOGLEFINANCE(""Currency:BRLMXN"")*D886"),2172.97305)</f>
        <v>2172.97305</v>
      </c>
      <c r="F886" s="6">
        <f>IFERROR(__xludf.DUMMYFUNCTION("GOOGLEFINANCE(""Currency:BRLPEN"")*D886"),419.308648)</f>
        <v>419.308648</v>
      </c>
      <c r="G886" s="2" t="str">
        <f t="array" ref="G886">_xlfn.XLOOKUP(B886,Vendedores!$A$2:$A$41,Vendedores!$B$2:$B$41,"No hay datos")</f>
        <v>Tatiana Montero</v>
      </c>
      <c r="H886" s="2" t="str">
        <f t="array" ref="H886">_xlfn.XLOOKUP(B886,Vendedores!$A$2:$A$41,Vendedores!$C$2:$C$41,"No hay datos")</f>
        <v>Ciudad Industrial</v>
      </c>
      <c r="I886" s="2" t="str">
        <f t="array" ref="I886">_xlfn.XLOOKUP(B886,Vendedores!$A$2:$A$41,Vendedores!$D$2:$D$41,"No hay datos")</f>
        <v>Región Central 2</v>
      </c>
      <c r="J886" s="2" t="str">
        <f t="array" ref="J886:N886">_xlfn.XLOOKUP(A886,Productos!$A$2:$A$61,Productos!$B$2:$F$61)</f>
        <v>Playera lisa</v>
      </c>
      <c r="K886" s="2" t="s">
        <v>22</v>
      </c>
      <c r="L886" s="2" t="s">
        <v>10</v>
      </c>
      <c r="M886" s="2" t="s">
        <v>57</v>
      </c>
      <c r="N886" s="2" t="s">
        <v>24</v>
      </c>
    </row>
    <row r="887">
      <c r="A887" s="2" t="str">
        <f>IFERROR(__xludf.DUMMYFUNCTION("""COMPUTED_VALUE"""),"PR025")</f>
        <v>PR025</v>
      </c>
      <c r="B887" s="2" t="str">
        <f>IFERROR(__xludf.DUMMYFUNCTION("""COMPUTED_VALUE"""),"VD038")</f>
        <v>VD038</v>
      </c>
      <c r="C887" s="2">
        <f>IFERROR(__xludf.DUMMYFUNCTION("""COMPUTED_VALUE"""),8.0)</f>
        <v>8</v>
      </c>
      <c r="D887" s="6">
        <f>IFERROR(__xludf.DUMMYFUNCTION("""COMPUTED_VALUE"""),2399.2)</f>
        <v>2399.2</v>
      </c>
      <c r="E887" s="6">
        <f>IFERROR(__xludf.DUMMYFUNCTION("GOOGLEFINANCE(""Currency:BRLMXN"")*D887"),8151.281999999999)</f>
        <v>8151.282</v>
      </c>
      <c r="F887" s="6">
        <f>IFERROR(__xludf.DUMMYFUNCTION("GOOGLEFINANCE(""Currency:BRLPEN"")*D887"),1572.9155199999998)</f>
        <v>1572.91552</v>
      </c>
      <c r="G887" s="2" t="str">
        <f t="array" ref="G887">_xlfn.XLOOKUP(B887,Vendedores!$A$2:$A$41,Vendedores!$B$2:$B$41,"No hay datos")</f>
        <v>Bruno Olmedo</v>
      </c>
      <c r="H887" s="2" t="str">
        <f t="array" ref="H887">_xlfn.XLOOKUP(B887,Vendedores!$A$2:$A$41,Vendedores!$C$2:$C$41,"No hay datos")</f>
        <v>Tierra Fertil</v>
      </c>
      <c r="I887" s="2" t="str">
        <f t="array" ref="I887">_xlfn.XLOOKUP(B887,Vendedores!$A$2:$A$41,Vendedores!$D$2:$D$41,"No hay datos")</f>
        <v>Región Sur 2</v>
      </c>
      <c r="J887" s="2" t="str">
        <f t="array" ref="J887:N887">_xlfn.XLOOKUP(A887,Productos!$A$2:$A$61,Productos!$B$2:$F$61)</f>
        <v>Chaqueta de mezclilla</v>
      </c>
      <c r="K887" s="2" t="s">
        <v>22</v>
      </c>
      <c r="L887" s="2" t="s">
        <v>10</v>
      </c>
      <c r="M887" s="2" t="s">
        <v>107</v>
      </c>
      <c r="N887" s="2" t="s">
        <v>16</v>
      </c>
    </row>
    <row r="888">
      <c r="A888" s="2" t="str">
        <f>IFERROR(__xludf.DUMMYFUNCTION("""COMPUTED_VALUE"""),"PR012")</f>
        <v>PR012</v>
      </c>
      <c r="B888" s="2" t="str">
        <f>IFERROR(__xludf.DUMMYFUNCTION("""COMPUTED_VALUE"""),"VD035")</f>
        <v>VD035</v>
      </c>
      <c r="C888" s="2">
        <f>IFERROR(__xludf.DUMMYFUNCTION("""COMPUTED_VALUE"""),9.0)</f>
        <v>9</v>
      </c>
      <c r="D888" s="6">
        <f>IFERROR(__xludf.DUMMYFUNCTION("""COMPUTED_VALUE"""),479.71)</f>
        <v>479.71</v>
      </c>
      <c r="E888" s="6">
        <f>IFERROR(__xludf.DUMMYFUNCTION("GOOGLEFINANCE(""Currency:BRLMXN"")*D888"),1629.814725)</f>
        <v>1629.814725</v>
      </c>
      <c r="F888" s="6">
        <f>IFERROR(__xludf.DUMMYFUNCTION("GOOGLEFINANCE(""Currency:BRLPEN"")*D888"),314.49787599999996)</f>
        <v>314.497876</v>
      </c>
      <c r="G888" s="2" t="str">
        <f t="array" ref="G888">_xlfn.XLOOKUP(B888,Vendedores!$A$2:$A$41,Vendedores!$B$2:$B$41,"No hay datos")</f>
        <v>Carolina Méndez</v>
      </c>
      <c r="H888" s="2" t="str">
        <f t="array" ref="H888">_xlfn.XLOOKUP(B888,Vendedores!$A$2:$A$41,Vendedores!$C$2:$C$41,"No hay datos")</f>
        <v>Valle de los Robles</v>
      </c>
      <c r="I888" s="2" t="str">
        <f t="array" ref="I888">_xlfn.XLOOKUP(B888,Vendedores!$A$2:$A$41,Vendedores!$D$2:$D$41,"No hay datos")</f>
        <v>Región Central 2</v>
      </c>
      <c r="J888" s="2" t="str">
        <f t="array" ref="J888:N888">_xlfn.XLOOKUP(A888,Productos!$A$2:$A$61,Productos!$B$2:$F$61)</f>
        <v>Pantalón legging</v>
      </c>
      <c r="K888" s="2" t="s">
        <v>22</v>
      </c>
      <c r="L888" s="2" t="s">
        <v>10</v>
      </c>
      <c r="M888" s="2" t="s">
        <v>88</v>
      </c>
      <c r="N888" s="2" t="s">
        <v>89</v>
      </c>
    </row>
    <row r="889">
      <c r="A889" s="2" t="str">
        <f>IFERROR(__xludf.DUMMYFUNCTION("""COMPUTED_VALUE"""),"PR059")</f>
        <v>PR059</v>
      </c>
      <c r="B889" s="2" t="str">
        <f>IFERROR(__xludf.DUMMYFUNCTION("""COMPUTED_VALUE"""),"VD019")</f>
        <v>VD019</v>
      </c>
      <c r="C889" s="2">
        <f>IFERROR(__xludf.DUMMYFUNCTION("""COMPUTED_VALUE"""),3.0)</f>
        <v>3</v>
      </c>
      <c r="D889" s="6">
        <f>IFERROR(__xludf.DUMMYFUNCTION("""COMPUTED_VALUE"""),561.6)</f>
        <v>561.6</v>
      </c>
      <c r="E889" s="6">
        <f>IFERROR(__xludf.DUMMYFUNCTION("GOOGLEFINANCE(""Currency:BRLMXN"")*D889"),1908.036)</f>
        <v>1908.036</v>
      </c>
      <c r="F889" s="6">
        <f>IFERROR(__xludf.DUMMYFUNCTION("GOOGLEFINANCE(""Currency:BRLPEN"")*D889"),368.18496)</f>
        <v>368.18496</v>
      </c>
      <c r="G889" s="2" t="str">
        <f t="array" ref="G889">_xlfn.XLOOKUP(B889,Vendedores!$A$2:$A$41,Vendedores!$B$2:$B$41,"No hay datos")</f>
        <v>Rafael Sosa</v>
      </c>
      <c r="H889" s="2" t="str">
        <f t="array" ref="H889">_xlfn.XLOOKUP(B889,Vendedores!$A$2:$A$41,Vendedores!$C$2:$C$41,"No hay datos")</f>
        <v>Selva Verde</v>
      </c>
      <c r="I889" s="2" t="str">
        <f t="array" ref="I889">_xlfn.XLOOKUP(B889,Vendedores!$A$2:$A$41,Vendedores!$D$2:$D$41,"No hay datos")</f>
        <v>Región Amazónica</v>
      </c>
      <c r="J889" s="2" t="str">
        <f t="array" ref="J889:N889">_xlfn.XLOOKUP(A889,Productos!$A$2:$A$61,Productos!$B$2:$F$61)</f>
        <v>Pantalón de sastre</v>
      </c>
      <c r="K889" s="2" t="s">
        <v>17</v>
      </c>
      <c r="L889" s="2" t="s">
        <v>10</v>
      </c>
      <c r="M889" s="2" t="s">
        <v>28</v>
      </c>
      <c r="N889" s="2" t="s">
        <v>14</v>
      </c>
    </row>
    <row r="890">
      <c r="A890" s="2" t="str">
        <f>IFERROR(__xludf.DUMMYFUNCTION("""COMPUTED_VALUE"""),"PR021")</f>
        <v>PR021</v>
      </c>
      <c r="B890" s="2" t="str">
        <f>IFERROR(__xludf.DUMMYFUNCTION("""COMPUTED_VALUE"""),"VD014")</f>
        <v>VD014</v>
      </c>
      <c r="C890" s="2">
        <f>IFERROR(__xludf.DUMMYFUNCTION("""COMPUTED_VALUE"""),1.0)</f>
        <v>1</v>
      </c>
      <c r="D890" s="6">
        <f>IFERROR(__xludf.DUMMYFUNCTION("""COMPUTED_VALUE"""),330.16)</f>
        <v>330.16</v>
      </c>
      <c r="E890" s="6">
        <f>IFERROR(__xludf.DUMMYFUNCTION("GOOGLEFINANCE(""Currency:BRLMXN"")*D890"),1121.7186000000002)</f>
        <v>1121.7186</v>
      </c>
      <c r="F890" s="6">
        <f>IFERROR(__xludf.DUMMYFUNCTION("GOOGLEFINANCE(""Currency:BRLPEN"")*D890"),216.452896)</f>
        <v>216.452896</v>
      </c>
      <c r="G890" s="2" t="str">
        <f t="array" ref="G890">_xlfn.XLOOKUP(B890,Vendedores!$A$2:$A$41,Vendedores!$B$2:$B$41,"No hay datos")</f>
        <v>Carla Flores</v>
      </c>
      <c r="H890" s="2" t="str">
        <f t="array" ref="H890">_xlfn.XLOOKUP(B890,Vendedores!$A$2:$A$41,Vendedores!$C$2:$C$41,"No hay datos")</f>
        <v>Valle Escondido</v>
      </c>
      <c r="I890" s="2" t="str">
        <f t="array" ref="I890">_xlfn.XLOOKUP(B890,Vendedores!$A$2:$A$41,Vendedores!$D$2:$D$41,"No hay datos")</f>
        <v>Región Andina</v>
      </c>
      <c r="J890" s="2" t="str">
        <f t="array" ref="J890:N890">_xlfn.XLOOKUP(A890,Productos!$A$2:$A$61,Productos!$B$2:$F$61)</f>
        <v>Chaqueta de cuero</v>
      </c>
      <c r="K890" s="2" t="s">
        <v>17</v>
      </c>
      <c r="L890" s="2" t="s">
        <v>10</v>
      </c>
      <c r="M890" s="2" t="s">
        <v>80</v>
      </c>
      <c r="N890" s="2" t="s">
        <v>81</v>
      </c>
    </row>
    <row r="891">
      <c r="A891" s="2" t="str">
        <f>IFERROR(__xludf.DUMMYFUNCTION("""COMPUTED_VALUE"""),"PR045")</f>
        <v>PR045</v>
      </c>
      <c r="B891" s="2" t="str">
        <f>IFERROR(__xludf.DUMMYFUNCTION("""COMPUTED_VALUE"""),"VD043")</f>
        <v>VD043</v>
      </c>
      <c r="C891" s="2">
        <f>IFERROR(__xludf.DUMMYFUNCTION("""COMPUTED_VALUE"""),10.0)</f>
        <v>10</v>
      </c>
      <c r="D891" s="6">
        <f>IFERROR(__xludf.DUMMYFUNCTION("""COMPUTED_VALUE"""),732.25)</f>
        <v>732.25</v>
      </c>
      <c r="E891" s="6">
        <f>IFERROR(__xludf.DUMMYFUNCTION("GOOGLEFINANCE(""Currency:BRLMXN"")*D891"),2487.819375)</f>
        <v>2487.819375</v>
      </c>
      <c r="F891" s="6">
        <f>IFERROR(__xludf.DUMMYFUNCTION("GOOGLEFINANCE(""Currency:BRLPEN"")*D891"),480.06309999999996)</f>
        <v>480.0631</v>
      </c>
      <c r="G891" s="2" t="str">
        <f t="array" ref="G891">_xlfn.XLOOKUP(B891,Vendedores!$A$2:$A$41,Vendedores!$B$2:$B$41,"No hay datos")</f>
        <v>Carlos Henríquez</v>
      </c>
      <c r="H891" s="2" t="str">
        <f t="array" ref="H891">_xlfn.XLOOKUP(B891,Vendedores!$A$2:$A$41,Vendedores!$C$2:$C$41,"No hay datos")</f>
        <v>Ciudad Aeropuerto</v>
      </c>
      <c r="I891" s="2" t="str">
        <f t="array" ref="I891">_xlfn.XLOOKUP(B891,Vendedores!$A$2:$A$41,Vendedores!$D$2:$D$41,"No hay datos")</f>
        <v>Región Central 2</v>
      </c>
      <c r="J891" s="2" t="str">
        <f t="array" ref="J891:N891">_xlfn.XLOOKUP(A891,Productos!$A$2:$A$61,Productos!$B$2:$F$61)</f>
        <v>Vestido floral</v>
      </c>
      <c r="K891" s="2" t="s">
        <v>22</v>
      </c>
      <c r="L891" s="2" t="s">
        <v>10</v>
      </c>
      <c r="M891" s="2" t="s">
        <v>39</v>
      </c>
      <c r="N891" s="2" t="s">
        <v>40</v>
      </c>
    </row>
    <row r="892">
      <c r="A892" s="2" t="str">
        <f>IFERROR(__xludf.DUMMYFUNCTION("""COMPUTED_VALUE"""),"PR045")</f>
        <v>PR045</v>
      </c>
      <c r="B892" s="2" t="str">
        <f>IFERROR(__xludf.DUMMYFUNCTION("""COMPUTED_VALUE"""),"VD044")</f>
        <v>VD044</v>
      </c>
      <c r="C892" s="2">
        <f>IFERROR(__xludf.DUMMYFUNCTION("""COMPUTED_VALUE"""),5.0)</f>
        <v>5</v>
      </c>
      <c r="D892" s="6">
        <f>IFERROR(__xludf.DUMMYFUNCTION("""COMPUTED_VALUE"""),373.38)</f>
        <v>373.38</v>
      </c>
      <c r="E892" s="6">
        <f>IFERROR(__xludf.DUMMYFUNCTION("GOOGLEFINANCE(""Currency:BRLMXN"")*D892"),1268.55855)</f>
        <v>1268.55855</v>
      </c>
      <c r="F892" s="6">
        <f>IFERROR(__xludf.DUMMYFUNCTION("GOOGLEFINANCE(""Currency:BRLPEN"")*D892"),244.787928)</f>
        <v>244.787928</v>
      </c>
      <c r="G892" s="2" t="str">
        <f t="array" ref="G892">_xlfn.XLOOKUP(B892,Vendedores!$A$2:$A$41,Vendedores!$B$2:$B$41,"No hay datos")</f>
        <v>Silvia Menéndez</v>
      </c>
      <c r="H892" s="2" t="str">
        <f t="array" ref="H892">_xlfn.XLOOKUP(B892,Vendedores!$A$2:$A$41,Vendedores!$C$2:$C$41,"No hay datos")</f>
        <v>San Antonio del Monte</v>
      </c>
      <c r="I892" s="2" t="str">
        <f t="array" ref="I892">_xlfn.XLOOKUP(B892,Vendedores!$A$2:$A$41,Vendedores!$D$2:$D$41,"No hay datos")</f>
        <v>Región Central 2</v>
      </c>
      <c r="J892" s="2" t="str">
        <f t="array" ref="J892:N892">_xlfn.XLOOKUP(A892,Productos!$A$2:$A$61,Productos!$B$2:$F$61)</f>
        <v>Vestido floral</v>
      </c>
      <c r="K892" s="2" t="s">
        <v>22</v>
      </c>
      <c r="L892" s="2" t="s">
        <v>10</v>
      </c>
      <c r="M892" s="2" t="s">
        <v>39</v>
      </c>
      <c r="N892" s="2" t="s">
        <v>40</v>
      </c>
    </row>
    <row r="893">
      <c r="A893" s="2" t="str">
        <f>IFERROR(__xludf.DUMMYFUNCTION("""COMPUTED_VALUE"""),"PR048")</f>
        <v>PR048</v>
      </c>
      <c r="B893" s="2" t="str">
        <f>IFERROR(__xludf.DUMMYFUNCTION("""COMPUTED_VALUE"""),"VD018")</f>
        <v>VD018</v>
      </c>
      <c r="C893" s="2">
        <f>IFERROR(__xludf.DUMMYFUNCTION("""COMPUTED_VALUE"""),7.0)</f>
        <v>7</v>
      </c>
      <c r="D893" s="6">
        <f>IFERROR(__xludf.DUMMYFUNCTION("""COMPUTED_VALUE"""),2211.94)</f>
        <v>2211.94</v>
      </c>
      <c r="E893" s="6">
        <f>IFERROR(__xludf.DUMMYFUNCTION("GOOGLEFINANCE(""Currency:BRLMXN"")*D893"),7515.06615)</f>
        <v>7515.06615</v>
      </c>
      <c r="F893" s="6">
        <f>IFERROR(__xludf.DUMMYFUNCTION("GOOGLEFINANCE(""Currency:BRLPEN"")*D893"),1450.147864)</f>
        <v>1450.147864</v>
      </c>
      <c r="G893" s="2" t="str">
        <f t="array" ref="G893">_xlfn.XLOOKUP(B893,Vendedores!$A$2:$A$41,Vendedores!$B$2:$B$41,"No hay datos")</f>
        <v>Leticia Rodríguez</v>
      </c>
      <c r="H893" s="2" t="str">
        <f t="array" ref="H893">_xlfn.XLOOKUP(B893,Vendedores!$A$2:$A$41,Vendedores!$C$2:$C$41,"No hay datos")</f>
        <v>Playa Blanca</v>
      </c>
      <c r="I893" s="2" t="str">
        <f t="array" ref="I893">_xlfn.XLOOKUP(B893,Vendedores!$A$2:$A$41,Vendedores!$D$2:$D$41,"No hay datos")</f>
        <v>Región Norte</v>
      </c>
      <c r="J893" s="2" t="str">
        <f t="array" ref="J893:N893">_xlfn.XLOOKUP(A893,Productos!$A$2:$A$61,Productos!$B$2:$F$61)</f>
        <v>Chaqueta de cuero</v>
      </c>
      <c r="K893" s="2" t="s">
        <v>22</v>
      </c>
      <c r="L893" s="2" t="s">
        <v>10</v>
      </c>
      <c r="M893" s="2" t="s">
        <v>94</v>
      </c>
      <c r="N893" s="2" t="s">
        <v>44</v>
      </c>
    </row>
    <row r="894">
      <c r="A894" s="2" t="str">
        <f>IFERROR(__xludf.DUMMYFUNCTION("""COMPUTED_VALUE"""),"PR052")</f>
        <v>PR052</v>
      </c>
      <c r="B894" s="2" t="str">
        <f>IFERROR(__xludf.DUMMYFUNCTION("""COMPUTED_VALUE"""),"VD043")</f>
        <v>VD043</v>
      </c>
      <c r="C894" s="2">
        <f>IFERROR(__xludf.DUMMYFUNCTION("""COMPUTED_VALUE"""),5.0)</f>
        <v>5</v>
      </c>
      <c r="D894" s="6">
        <f>IFERROR(__xludf.DUMMYFUNCTION("""COMPUTED_VALUE"""),259.48)</f>
        <v>259.48</v>
      </c>
      <c r="E894" s="6">
        <f>IFERROR(__xludf.DUMMYFUNCTION("GOOGLEFINANCE(""Currency:BRLMXN"")*D894"),881.5833)</f>
        <v>881.5833</v>
      </c>
      <c r="F894" s="6">
        <f>IFERROR(__xludf.DUMMYFUNCTION("GOOGLEFINANCE(""Currency:BRLPEN"")*D894"),170.11508800000001)</f>
        <v>170.115088</v>
      </c>
      <c r="G894" s="2" t="str">
        <f t="array" ref="G894">_xlfn.XLOOKUP(B894,Vendedores!$A$2:$A$41,Vendedores!$B$2:$B$41,"No hay datos")</f>
        <v>Carlos Henríquez</v>
      </c>
      <c r="H894" s="2" t="str">
        <f t="array" ref="H894">_xlfn.XLOOKUP(B894,Vendedores!$A$2:$A$41,Vendedores!$C$2:$C$41,"No hay datos")</f>
        <v>Ciudad Aeropuerto</v>
      </c>
      <c r="I894" s="2" t="str">
        <f t="array" ref="I894">_xlfn.XLOOKUP(B894,Vendedores!$A$2:$A$41,Vendedores!$D$2:$D$41,"No hay datos")</f>
        <v>Región Central 2</v>
      </c>
      <c r="J894" s="2" t="str">
        <f t="array" ref="J894:N894">_xlfn.XLOOKUP(A894,Productos!$A$2:$A$61,Productos!$B$2:$F$61)</f>
        <v>Falda plisada</v>
      </c>
      <c r="K894" s="2" t="s">
        <v>9</v>
      </c>
      <c r="L894" s="2" t="s">
        <v>10</v>
      </c>
      <c r="M894" s="2" t="s">
        <v>36</v>
      </c>
      <c r="N894" s="2" t="s">
        <v>32</v>
      </c>
    </row>
    <row r="895">
      <c r="A895" s="2" t="str">
        <f>IFERROR(__xludf.DUMMYFUNCTION("""COMPUTED_VALUE"""),"PR038")</f>
        <v>PR038</v>
      </c>
      <c r="B895" s="2" t="str">
        <f>IFERROR(__xludf.DUMMYFUNCTION("""COMPUTED_VALUE"""),"VD042")</f>
        <v>VD042</v>
      </c>
      <c r="C895" s="2">
        <f>IFERROR(__xludf.DUMMYFUNCTION("""COMPUTED_VALUE"""),20.0)</f>
        <v>20</v>
      </c>
      <c r="D895" s="6">
        <f>IFERROR(__xludf.DUMMYFUNCTION("""COMPUTED_VALUE"""),3143.8)</f>
        <v>3143.8</v>
      </c>
      <c r="E895" s="6">
        <f>IFERROR(__xludf.DUMMYFUNCTION("GOOGLEFINANCE(""Currency:BRLMXN"")*D895"),10681.060500000001)</f>
        <v>10681.0605</v>
      </c>
      <c r="F895" s="6">
        <f>IFERROR(__xludf.DUMMYFUNCTION("GOOGLEFINANCE(""Currency:BRLPEN"")*D895"),2061.07528)</f>
        <v>2061.07528</v>
      </c>
      <c r="G895" s="2" t="str">
        <f t="array" ref="G895">_xlfn.XLOOKUP(B895,Vendedores!$A$2:$A$41,Vendedores!$B$2:$B$41,"No hay datos")</f>
        <v>Priscila Duarte</v>
      </c>
      <c r="H895" s="2" t="str">
        <f t="array" ref="H895">_xlfn.XLOOKUP(B895,Vendedores!$A$2:$A$41,Vendedores!$C$2:$C$41,"No hay datos")</f>
        <v>Villa Comercial</v>
      </c>
      <c r="I895" s="2" t="str">
        <f t="array" ref="I895">_xlfn.XLOOKUP(B895,Vendedores!$A$2:$A$41,Vendedores!$D$2:$D$41,"No hay datos")</f>
        <v>Región Central 2</v>
      </c>
      <c r="J895" s="2" t="str">
        <f t="array" ref="J895:N895">_xlfn.XLOOKUP(A895,Productos!$A$2:$A$61,Productos!$B$2:$F$61)</f>
        <v>Vestido largo</v>
      </c>
      <c r="K895" s="2" t="s">
        <v>17</v>
      </c>
      <c r="L895" s="2" t="s">
        <v>10</v>
      </c>
      <c r="M895" s="2" t="s">
        <v>51</v>
      </c>
      <c r="N895" s="2" t="s">
        <v>52</v>
      </c>
    </row>
    <row r="896">
      <c r="A896" s="2" t="str">
        <f>IFERROR(__xludf.DUMMYFUNCTION("""COMPUTED_VALUE"""),"PR032")</f>
        <v>PR032</v>
      </c>
      <c r="B896" s="2" t="str">
        <f>IFERROR(__xludf.DUMMYFUNCTION("""COMPUTED_VALUE"""),"VD046")</f>
        <v>VD046</v>
      </c>
      <c r="C896" s="2">
        <f>IFERROR(__xludf.DUMMYFUNCTION("""COMPUTED_VALUE"""),5.0)</f>
        <v>5</v>
      </c>
      <c r="D896" s="6">
        <f>IFERROR(__xludf.DUMMYFUNCTION("""COMPUTED_VALUE"""),1375.0)</f>
        <v>1375</v>
      </c>
      <c r="E896" s="6">
        <f>IFERROR(__xludf.DUMMYFUNCTION("GOOGLEFINANCE(""Currency:BRLMXN"")*D896"),4671.5625)</f>
        <v>4671.5625</v>
      </c>
      <c r="F896" s="6">
        <f>IFERROR(__xludf.DUMMYFUNCTION("GOOGLEFINANCE(""Currency:BRLPEN"")*D896"),901.4499999999999)</f>
        <v>901.45</v>
      </c>
      <c r="G896" s="2" t="str">
        <f t="array" ref="G896">_xlfn.XLOOKUP(B896,Vendedores!$A$2:$A$41,Vendedores!$B$2:$B$41,"No hay datos")</f>
        <v>Juliana Pérez</v>
      </c>
      <c r="H896" s="2" t="str">
        <f t="array" ref="H896">_xlfn.XLOOKUP(B896,Vendedores!$A$2:$A$41,Vendedores!$C$2:$C$41,"No hay datos")</f>
        <v>Santa Cruz de la Sierra</v>
      </c>
      <c r="I896" s="2" t="str">
        <f t="array" ref="I896">_xlfn.XLOOKUP(B896,Vendedores!$A$2:$A$41,Vendedores!$D$2:$D$41,"No hay datos")</f>
        <v>Región Central 2</v>
      </c>
      <c r="J896" s="2" t="str">
        <f t="array" ref="J896:N896">_xlfn.XLOOKUP(A896,Productos!$A$2:$A$61,Productos!$B$2:$F$61)</f>
        <v>Tenis Chunky</v>
      </c>
      <c r="K896" s="2">
        <v>37.0</v>
      </c>
      <c r="L896" s="2" t="s">
        <v>33</v>
      </c>
      <c r="M896" s="2" t="s">
        <v>61</v>
      </c>
      <c r="N896" s="2" t="s">
        <v>62</v>
      </c>
    </row>
    <row r="897">
      <c r="A897" s="2" t="str">
        <f>IFERROR(__xludf.DUMMYFUNCTION("""COMPUTED_VALUE"""),"PR046")</f>
        <v>PR046</v>
      </c>
      <c r="B897" s="2" t="str">
        <f>IFERROR(__xludf.DUMMYFUNCTION("""COMPUTED_VALUE"""),"VD018")</f>
        <v>VD018</v>
      </c>
      <c r="C897" s="2">
        <f>IFERROR(__xludf.DUMMYFUNCTION("""COMPUTED_VALUE"""),5.0)</f>
        <v>5</v>
      </c>
      <c r="D897" s="6">
        <f>IFERROR(__xludf.DUMMYFUNCTION("""COMPUTED_VALUE"""),1449.5)</f>
        <v>1449.5</v>
      </c>
      <c r="E897" s="6">
        <f>IFERROR(__xludf.DUMMYFUNCTION("GOOGLEFINANCE(""Currency:BRLMXN"")*D897"),4924.6762499999995)</f>
        <v>4924.67625</v>
      </c>
      <c r="F897" s="6">
        <f>IFERROR(__xludf.DUMMYFUNCTION("GOOGLEFINANCE(""Currency:BRLPEN"")*D897"),950.2922)</f>
        <v>950.2922</v>
      </c>
      <c r="G897" s="2" t="str">
        <f t="array" ref="G897">_xlfn.XLOOKUP(B897,Vendedores!$A$2:$A$41,Vendedores!$B$2:$B$41,"No hay datos")</f>
        <v>Leticia Rodríguez</v>
      </c>
      <c r="H897" s="2" t="str">
        <f t="array" ref="H897">_xlfn.XLOOKUP(B897,Vendedores!$A$2:$A$41,Vendedores!$C$2:$C$41,"No hay datos")</f>
        <v>Playa Blanca</v>
      </c>
      <c r="I897" s="2" t="str">
        <f t="array" ref="I897">_xlfn.XLOOKUP(B897,Vendedores!$A$2:$A$41,Vendedores!$D$2:$D$41,"No hay datos")</f>
        <v>Región Norte</v>
      </c>
      <c r="J897" s="2" t="str">
        <f t="array" ref="J897:N897">_xlfn.XLOOKUP(A897,Productos!$A$2:$A$61,Productos!$B$2:$F$61)</f>
        <v>Chaqueta de cuero</v>
      </c>
      <c r="K897" s="2" t="s">
        <v>9</v>
      </c>
      <c r="L897" s="2" t="s">
        <v>10</v>
      </c>
      <c r="M897" s="2" t="s">
        <v>94</v>
      </c>
      <c r="N897" s="2" t="s">
        <v>44</v>
      </c>
    </row>
    <row r="898">
      <c r="A898" s="2" t="str">
        <f>IFERROR(__xludf.DUMMYFUNCTION("""COMPUTED_VALUE"""),"PR056")</f>
        <v>PR056</v>
      </c>
      <c r="B898" s="2" t="str">
        <f>IFERROR(__xludf.DUMMYFUNCTION("""COMPUTED_VALUE"""),"VD029")</f>
        <v>VD029</v>
      </c>
      <c r="C898" s="2">
        <f>IFERROR(__xludf.DUMMYFUNCTION("""COMPUTED_VALUE"""),1.0)</f>
        <v>1</v>
      </c>
      <c r="D898" s="6">
        <f>IFERROR(__xludf.DUMMYFUNCTION("""COMPUTED_VALUE"""),96.19)</f>
        <v>96.19</v>
      </c>
      <c r="E898" s="6">
        <f>IFERROR(__xludf.DUMMYFUNCTION("GOOGLEFINANCE(""Currency:BRLMXN"")*D898"),326.805525)</f>
        <v>326.805525</v>
      </c>
      <c r="F898" s="6">
        <f>IFERROR(__xludf.DUMMYFUNCTION("GOOGLEFINANCE(""Currency:BRLPEN"")*D898"),63.062163999999996)</f>
        <v>63.062164</v>
      </c>
      <c r="G898" s="2" t="str">
        <f t="array" ref="G898">_xlfn.XLOOKUP(B898,Vendedores!$A$2:$A$41,Vendedores!$B$2:$B$41,"No hay datos")</f>
        <v>Gabriela Sosa</v>
      </c>
      <c r="H898" s="2" t="str">
        <f t="array" ref="H898">_xlfn.XLOOKUP(B898,Vendedores!$A$2:$A$41,Vendedores!$C$2:$C$41,"No hay datos")</f>
        <v>Selva Verde</v>
      </c>
      <c r="I898" s="2" t="str">
        <f t="array" ref="I898">_xlfn.XLOOKUP(B898,Vendedores!$A$2:$A$41,Vendedores!$D$2:$D$41,"No hay datos")</f>
        <v>Región Amazónica</v>
      </c>
      <c r="J898" s="2" t="str">
        <f t="array" ref="J898:N898">_xlfn.XLOOKUP(A898,Productos!$A$2:$A$61,Productos!$B$2:$F$61)</f>
        <v>Sandalia plana</v>
      </c>
      <c r="K898" s="2">
        <v>36.0</v>
      </c>
      <c r="L898" s="2" t="s">
        <v>33</v>
      </c>
      <c r="M898" s="2" t="s">
        <v>106</v>
      </c>
      <c r="N898" s="2" t="s">
        <v>35</v>
      </c>
    </row>
    <row r="899">
      <c r="A899" s="2" t="str">
        <f>IFERROR(__xludf.DUMMYFUNCTION("""COMPUTED_VALUE"""),"PR018")</f>
        <v>PR018</v>
      </c>
      <c r="B899" s="2" t="str">
        <f>IFERROR(__xludf.DUMMYFUNCTION("""COMPUTED_VALUE"""),"VD042")</f>
        <v>VD042</v>
      </c>
      <c r="C899" s="2">
        <f>IFERROR(__xludf.DUMMYFUNCTION("""COMPUTED_VALUE"""),8.0)</f>
        <v>8</v>
      </c>
      <c r="D899" s="6">
        <f>IFERROR(__xludf.DUMMYFUNCTION("""COMPUTED_VALUE"""),289.52)</f>
        <v>289.52</v>
      </c>
      <c r="E899" s="6">
        <f>IFERROR(__xludf.DUMMYFUNCTION("GOOGLEFINANCE(""Currency:BRLMXN"")*D899"),983.6442)</f>
        <v>983.6442</v>
      </c>
      <c r="F899" s="6">
        <f>IFERROR(__xludf.DUMMYFUNCTION("GOOGLEFINANCE(""Currency:BRLPEN"")*D899"),189.80931199999998)</f>
        <v>189.809312</v>
      </c>
      <c r="G899" s="2" t="str">
        <f t="array" ref="G899">_xlfn.XLOOKUP(B899,Vendedores!$A$2:$A$41,Vendedores!$B$2:$B$41,"No hay datos")</f>
        <v>Priscila Duarte</v>
      </c>
      <c r="H899" s="2" t="str">
        <f t="array" ref="H899">_xlfn.XLOOKUP(B899,Vendedores!$A$2:$A$41,Vendedores!$C$2:$C$41,"No hay datos")</f>
        <v>Villa Comercial</v>
      </c>
      <c r="I899" s="2" t="str">
        <f t="array" ref="I899">_xlfn.XLOOKUP(B899,Vendedores!$A$2:$A$41,Vendedores!$D$2:$D$41,"No hay datos")</f>
        <v>Región Central 2</v>
      </c>
      <c r="J899" s="2" t="str">
        <f t="array" ref="J899:N899">_xlfn.XLOOKUP(A899,Productos!$A$2:$A$61,Productos!$B$2:$F$61)</f>
        <v>Playera lisa</v>
      </c>
      <c r="K899" s="2" t="s">
        <v>22</v>
      </c>
      <c r="L899" s="2" t="s">
        <v>10</v>
      </c>
      <c r="M899" s="2" t="s">
        <v>57</v>
      </c>
      <c r="N899" s="2" t="s">
        <v>24</v>
      </c>
    </row>
    <row r="900">
      <c r="A900" s="2" t="str">
        <f>IFERROR(__xludf.DUMMYFUNCTION("""COMPUTED_VALUE"""),"PR020")</f>
        <v>PR020</v>
      </c>
      <c r="B900" s="2" t="str">
        <f>IFERROR(__xludf.DUMMYFUNCTION("""COMPUTED_VALUE"""),"VD024")</f>
        <v>VD024</v>
      </c>
      <c r="C900" s="2">
        <f>IFERROR(__xludf.DUMMYFUNCTION("""COMPUTED_VALUE"""),18.0)</f>
        <v>18</v>
      </c>
      <c r="D900" s="6">
        <f>IFERROR(__xludf.DUMMYFUNCTION("""COMPUTED_VALUE"""),5452.18)</f>
        <v>5452.18</v>
      </c>
      <c r="E900" s="6">
        <f>IFERROR(__xludf.DUMMYFUNCTION("GOOGLEFINANCE(""Currency:BRLMXN"")*D900"),18523.78155)</f>
        <v>18523.78155</v>
      </c>
      <c r="F900" s="6">
        <f>IFERROR(__xludf.DUMMYFUNCTION("GOOGLEFINANCE(""Currency:BRLPEN"")*D900"),3574.449208)</f>
        <v>3574.449208</v>
      </c>
      <c r="G900" s="2" t="str">
        <f t="array" ref="G900">_xlfn.XLOOKUP(B900,Vendedores!$A$2:$A$41,Vendedores!$B$2:$B$41,"No hay datos")</f>
        <v>Marcos Rivera</v>
      </c>
      <c r="H900" s="2" t="str">
        <f t="array" ref="H900">_xlfn.XLOOKUP(B900,Vendedores!$A$2:$A$41,Vendedores!$C$2:$C$41,"No hay datos")</f>
        <v>Santa Rosa del Valle</v>
      </c>
      <c r="I900" s="2" t="str">
        <f t="array" ref="I900">_xlfn.XLOOKUP(B900,Vendedores!$A$2:$A$41,Vendedores!$D$2:$D$41,"No hay datos")</f>
        <v>Región Norte</v>
      </c>
      <c r="J900" s="2" t="str">
        <f t="array" ref="J900:N900">_xlfn.XLOOKUP(A900,Productos!$A$2:$A$61,Productos!$B$2:$F$61)</f>
        <v>Chaqueta de cuero</v>
      </c>
      <c r="K900" s="2" t="s">
        <v>9</v>
      </c>
      <c r="L900" s="2" t="s">
        <v>10</v>
      </c>
      <c r="M900" s="2" t="s">
        <v>15</v>
      </c>
      <c r="N900" s="2" t="s">
        <v>16</v>
      </c>
    </row>
    <row r="901">
      <c r="A901" s="2" t="str">
        <f>IFERROR(__xludf.DUMMYFUNCTION("""COMPUTED_VALUE"""),"PR011")</f>
        <v>PR011</v>
      </c>
      <c r="B901" s="2" t="str">
        <f>IFERROR(__xludf.DUMMYFUNCTION("""COMPUTED_VALUE"""),"VD013")</f>
        <v>VD013</v>
      </c>
      <c r="C901" s="2">
        <f>IFERROR(__xludf.DUMMYFUNCTION("""COMPUTED_VALUE"""),2.0)</f>
        <v>2</v>
      </c>
      <c r="D901" s="6">
        <f>IFERROR(__xludf.DUMMYFUNCTION("""COMPUTED_VALUE"""),96.61)</f>
        <v>96.61</v>
      </c>
      <c r="E901" s="6">
        <f>IFERROR(__xludf.DUMMYFUNCTION("GOOGLEFINANCE(""Currency:BRLMXN"")*D901"),328.232475)</f>
        <v>328.232475</v>
      </c>
      <c r="F901" s="6">
        <f>IFERROR(__xludf.DUMMYFUNCTION("GOOGLEFINANCE(""Currency:BRLPEN"")*D901"),63.337515999999994)</f>
        <v>63.337516</v>
      </c>
      <c r="G901" s="2" t="str">
        <f t="array" ref="G901">_xlfn.XLOOKUP(B901,Vendedores!$A$2:$A$41,Vendedores!$B$2:$B$41,"No hay datos")</f>
        <v>Pedro Almonte</v>
      </c>
      <c r="H901" s="2" t="str">
        <f t="array" ref="H901">_xlfn.XLOOKUP(B901,Vendedores!$A$2:$A$41,Vendedores!$C$2:$C$41,"No hay datos")</f>
        <v>Santa Rosa del Valle</v>
      </c>
      <c r="I901" s="2" t="str">
        <f t="array" ref="I901">_xlfn.XLOOKUP(B901,Vendedores!$A$2:$A$41,Vendedores!$D$2:$D$41,"No hay datos")</f>
        <v>Región Norte</v>
      </c>
      <c r="J901" s="2" t="str">
        <f t="array" ref="J901:N901">_xlfn.XLOOKUP(A901,Productos!$A$2:$A$61,Productos!$B$2:$F$61)</f>
        <v>Pantalón legging</v>
      </c>
      <c r="K901" s="2" t="s">
        <v>17</v>
      </c>
      <c r="L901" s="2" t="s">
        <v>10</v>
      </c>
      <c r="M901" s="2" t="s">
        <v>67</v>
      </c>
      <c r="N901" s="2" t="s">
        <v>68</v>
      </c>
    </row>
    <row r="902">
      <c r="A902" s="2" t="str">
        <f>IFERROR(__xludf.DUMMYFUNCTION("""COMPUTED_VALUE"""),"PR025")</f>
        <v>PR025</v>
      </c>
      <c r="B902" s="2" t="str">
        <f>IFERROR(__xludf.DUMMYFUNCTION("""COMPUTED_VALUE"""),"VD047")</f>
        <v>VD047</v>
      </c>
      <c r="C902" s="2">
        <f>IFERROR(__xludf.DUMMYFUNCTION("""COMPUTED_VALUE"""),2.0)</f>
        <v>2</v>
      </c>
      <c r="D902" s="6">
        <f>IFERROR(__xludf.DUMMYFUNCTION("""COMPUTED_VALUE"""),635.79)</f>
        <v>635.79</v>
      </c>
      <c r="E902" s="6">
        <f>IFERROR(__xludf.DUMMYFUNCTION("GOOGLEFINANCE(""Currency:BRLMXN"")*D902"),2160.096525)</f>
        <v>2160.096525</v>
      </c>
      <c r="F902" s="6">
        <f>IFERROR(__xludf.DUMMYFUNCTION("GOOGLEFINANCE(""Currency:BRLPEN"")*D902"),416.823924)</f>
        <v>416.823924</v>
      </c>
      <c r="G902" s="2" t="str">
        <f t="array" ref="G902">_xlfn.XLOOKUP(B902,Vendedores!$A$2:$A$41,Vendedores!$B$2:$B$41,"No hay datos")</f>
        <v>Andrés López</v>
      </c>
      <c r="H902" s="2" t="str">
        <f t="array" ref="H902">_xlfn.XLOOKUP(B902,Vendedores!$A$2:$A$41,Vendedores!$C$2:$C$41,"No hay datos")</f>
        <v>Villa Progreso</v>
      </c>
      <c r="I902" s="2" t="str">
        <f t="array" ref="I902">_xlfn.XLOOKUP(B902,Vendedores!$A$2:$A$41,Vendedores!$D$2:$D$41,"No hay datos")</f>
        <v>Región Central 2</v>
      </c>
      <c r="J902" s="2" t="str">
        <f t="array" ref="J902:N902">_xlfn.XLOOKUP(A902,Productos!$A$2:$A$61,Productos!$B$2:$F$61)</f>
        <v>Chaqueta de mezclilla</v>
      </c>
      <c r="K902" s="2" t="s">
        <v>22</v>
      </c>
      <c r="L902" s="2" t="s">
        <v>10</v>
      </c>
      <c r="M902" s="2" t="s">
        <v>107</v>
      </c>
      <c r="N902" s="2" t="s">
        <v>16</v>
      </c>
    </row>
    <row r="903">
      <c r="A903" s="2" t="str">
        <f>IFERROR(__xludf.DUMMYFUNCTION("""COMPUTED_VALUE"""),"PR044")</f>
        <v>PR044</v>
      </c>
      <c r="B903" s="2" t="str">
        <f>IFERROR(__xludf.DUMMYFUNCTION("""COMPUTED_VALUE"""),"VD020")</f>
        <v>VD020</v>
      </c>
      <c r="C903" s="2">
        <f>IFERROR(__xludf.DUMMYFUNCTION("""COMPUTED_VALUE"""),9.0)</f>
        <v>9</v>
      </c>
      <c r="D903" s="6">
        <f>IFERROR(__xludf.DUMMYFUNCTION("""COMPUTED_VALUE"""),652.5)</f>
        <v>652.5</v>
      </c>
      <c r="E903" s="6">
        <f>IFERROR(__xludf.DUMMYFUNCTION("GOOGLEFINANCE(""Currency:BRLMXN"")*D903"),2216.86875)</f>
        <v>2216.86875</v>
      </c>
      <c r="F903" s="6">
        <f>IFERROR(__xludf.DUMMYFUNCTION("GOOGLEFINANCE(""Currency:BRLPEN"")*D903"),427.779)</f>
        <v>427.779</v>
      </c>
      <c r="G903" s="2" t="str">
        <f t="array" ref="G903">_xlfn.XLOOKUP(B903,Vendedores!$A$2:$A$41,Vendedores!$B$2:$B$41,"No hay datos")</f>
        <v>Gustavo Morales</v>
      </c>
      <c r="H903" s="2" t="str">
        <f t="array" ref="H903">_xlfn.XLOOKUP(B903,Vendedores!$A$2:$A$41,Vendedores!$C$2:$C$41,"No hay datos")</f>
        <v>Villa del Sol</v>
      </c>
      <c r="I903" s="2" t="str">
        <f t="array" ref="I903">_xlfn.XLOOKUP(B903,Vendedores!$A$2:$A$41,Vendedores!$D$2:$D$41,"No hay datos")</f>
        <v>Región Central 2</v>
      </c>
      <c r="J903" s="2" t="str">
        <f t="array" ref="J903:N903">_xlfn.XLOOKUP(A903,Productos!$A$2:$A$61,Productos!$B$2:$F$61)</f>
        <v>Vestido floral</v>
      </c>
      <c r="K903" s="2" t="s">
        <v>17</v>
      </c>
      <c r="L903" s="2" t="s">
        <v>10</v>
      </c>
      <c r="M903" s="2" t="s">
        <v>105</v>
      </c>
      <c r="N903" s="2" t="s">
        <v>40</v>
      </c>
    </row>
    <row r="904">
      <c r="A904" s="2" t="str">
        <f>IFERROR(__xludf.DUMMYFUNCTION("""COMPUTED_VALUE"""),"PR054")</f>
        <v>PR054</v>
      </c>
      <c r="B904" s="2" t="str">
        <f>IFERROR(__xludf.DUMMYFUNCTION("""COMPUTED_VALUE"""),"VD011")</f>
        <v>VD011</v>
      </c>
      <c r="C904" s="2">
        <f>IFERROR(__xludf.DUMMYFUNCTION("""COMPUTED_VALUE"""),2.0)</f>
        <v>2</v>
      </c>
      <c r="D904" s="6">
        <f>IFERROR(__xludf.DUMMYFUNCTION("""COMPUTED_VALUE"""),100.8)</f>
        <v>100.8</v>
      </c>
      <c r="E904" s="6">
        <f>IFERROR(__xludf.DUMMYFUNCTION("GOOGLEFINANCE(""Currency:BRLMXN"")*D904"),342.46799999999996)</f>
        <v>342.468</v>
      </c>
      <c r="F904" s="6">
        <f>IFERROR(__xludf.DUMMYFUNCTION("GOOGLEFINANCE(""Currency:BRLPEN"")*D904"),66.08448)</f>
        <v>66.08448</v>
      </c>
      <c r="G904" s="2" t="str">
        <f t="array" ref="G904">_xlfn.XLOOKUP(B904,Vendedores!$A$2:$A$41,Vendedores!$B$2:$B$41,"No hay datos")</f>
        <v>Juan Santos</v>
      </c>
      <c r="H904" s="2" t="str">
        <f t="array" ref="H904">_xlfn.XLOOKUP(B904,Vendedores!$A$2:$A$41,Vendedores!$C$2:$C$41,"No hay datos")</f>
        <v>Vista Hermosa</v>
      </c>
      <c r="I904" s="2" t="str">
        <f t="array" ref="I904">_xlfn.XLOOKUP(B904,Vendedores!$A$2:$A$41,Vendedores!$D$2:$D$41,"No hay datos")</f>
        <v>Región Central</v>
      </c>
      <c r="J904" s="2" t="str">
        <f t="array" ref="J904:N904">_xlfn.XLOOKUP(A904,Productos!$A$2:$A$61,Productos!$B$2:$F$61)</f>
        <v>Falda plisada</v>
      </c>
      <c r="K904" s="2" t="s">
        <v>22</v>
      </c>
      <c r="L904" s="2" t="s">
        <v>10</v>
      </c>
      <c r="M904" s="2" t="s">
        <v>42</v>
      </c>
      <c r="N904" s="2" t="s">
        <v>32</v>
      </c>
    </row>
    <row r="905">
      <c r="A905" s="2" t="str">
        <f>IFERROR(__xludf.DUMMYFUNCTION("""COMPUTED_VALUE"""),"PR004")</f>
        <v>PR004</v>
      </c>
      <c r="B905" s="2" t="str">
        <f>IFERROR(__xludf.DUMMYFUNCTION("""COMPUTED_VALUE"""),"VD039")</f>
        <v>VD039</v>
      </c>
      <c r="C905" s="2">
        <f>IFERROR(__xludf.DUMMYFUNCTION("""COMPUTED_VALUE"""),14.0)</f>
        <v>14</v>
      </c>
      <c r="D905" s="6">
        <f>IFERROR(__xludf.DUMMYFUNCTION("""COMPUTED_VALUE"""),2212.7)</f>
        <v>2212.7</v>
      </c>
      <c r="E905" s="6">
        <f>IFERROR(__xludf.DUMMYFUNCTION("GOOGLEFINANCE(""Currency:BRLMXN"")*D905"),7517.648249999999)</f>
        <v>7517.64825</v>
      </c>
      <c r="F905" s="6">
        <f>IFERROR(__xludf.DUMMYFUNCTION("GOOGLEFINANCE(""Currency:BRLPEN"")*D905"),1450.6461199999999)</f>
        <v>1450.64612</v>
      </c>
      <c r="G905" s="2" t="str">
        <f t="array" ref="G905">_xlfn.XLOOKUP(B905,Vendedores!$A$2:$A$41,Vendedores!$B$2:$B$41,"No hay datos")</f>
        <v>Daniela Rodríguez</v>
      </c>
      <c r="H905" s="2" t="str">
        <f t="array" ref="H905">_xlfn.XLOOKUP(B905,Vendedores!$A$2:$A$41,Vendedores!$C$2:$C$41,"No hay datos")</f>
        <v>Bahía del Sol</v>
      </c>
      <c r="I905" s="2" t="str">
        <f t="array" ref="I905">_xlfn.XLOOKUP(B905,Vendedores!$A$2:$A$41,Vendedores!$D$2:$D$41,"No hay datos")</f>
        <v>Región Central 2</v>
      </c>
      <c r="J905" s="2" t="str">
        <f t="array" ref="J905:N905">_xlfn.XLOOKUP(A905,Productos!$A$2:$A$61,Productos!$B$2:$F$61)</f>
        <v>Bolso versátil</v>
      </c>
      <c r="K905" s="2" t="s">
        <v>29</v>
      </c>
      <c r="L905" s="2" t="s">
        <v>30</v>
      </c>
      <c r="M905" s="2" t="s">
        <v>59</v>
      </c>
      <c r="N905" s="2" t="s">
        <v>60</v>
      </c>
    </row>
    <row r="906">
      <c r="A906" s="2" t="str">
        <f>IFERROR(__xludf.DUMMYFUNCTION("""COMPUTED_VALUE"""),"PR032")</f>
        <v>PR032</v>
      </c>
      <c r="B906" s="2" t="str">
        <f>IFERROR(__xludf.DUMMYFUNCTION("""COMPUTED_VALUE"""),"VD017")</f>
        <v>VD017</v>
      </c>
      <c r="C906" s="2">
        <f>IFERROR(__xludf.DUMMYFUNCTION("""COMPUTED_VALUE"""),12.0)</f>
        <v>12</v>
      </c>
      <c r="D906" s="6">
        <f>IFERROR(__xludf.DUMMYFUNCTION("""COMPUTED_VALUE"""),3030.0)</f>
        <v>3030</v>
      </c>
      <c r="E906" s="6">
        <f>IFERROR(__xludf.DUMMYFUNCTION("GOOGLEFINANCE(""Currency:BRLMXN"")*D906"),10294.425)</f>
        <v>10294.425</v>
      </c>
      <c r="F906" s="6">
        <f>IFERROR(__xludf.DUMMYFUNCTION("GOOGLEFINANCE(""Currency:BRLPEN"")*D906"),1986.4679999999998)</f>
        <v>1986.468</v>
      </c>
      <c r="G906" s="2" t="str">
        <f t="array" ref="G906">_xlfn.XLOOKUP(B906,Vendedores!$A$2:$A$41,Vendedores!$B$2:$B$41,"No hay datos")</f>
        <v>Bruno Peralta</v>
      </c>
      <c r="H906" s="2" t="str">
        <f t="array" ref="H906">_xlfn.XLOOKUP(B906,Vendedores!$A$2:$A$41,Vendedores!$C$2:$C$41,"No hay datos")</f>
        <v>Costa Azul</v>
      </c>
      <c r="I906" s="2" t="str">
        <f t="array" ref="I906">_xlfn.XLOOKUP(B906,Vendedores!$A$2:$A$41,Vendedores!$D$2:$D$41,"No hay datos")</f>
        <v>Región Norte</v>
      </c>
      <c r="J906" s="2" t="str">
        <f t="array" ref="J906:N906">_xlfn.XLOOKUP(A906,Productos!$A$2:$A$61,Productos!$B$2:$F$61)</f>
        <v>Tenis Chunky</v>
      </c>
      <c r="K906" s="2">
        <v>37.0</v>
      </c>
      <c r="L906" s="2" t="s">
        <v>33</v>
      </c>
      <c r="M906" s="2" t="s">
        <v>61</v>
      </c>
      <c r="N906" s="2" t="s">
        <v>62</v>
      </c>
    </row>
    <row r="907">
      <c r="A907" s="2" t="str">
        <f>IFERROR(__xludf.DUMMYFUNCTION("""COMPUTED_VALUE"""),"PR060")</f>
        <v>PR060</v>
      </c>
      <c r="B907" s="2" t="str">
        <f>IFERROR(__xludf.DUMMYFUNCTION("""COMPUTED_VALUE"""),"VD040")</f>
        <v>VD040</v>
      </c>
      <c r="C907" s="2">
        <f>IFERROR(__xludf.DUMMYFUNCTION("""COMPUTED_VALUE"""),18.0)</f>
        <v>18</v>
      </c>
      <c r="D907" s="6">
        <f>IFERROR(__xludf.DUMMYFUNCTION("""COMPUTED_VALUE"""),3434.4)</f>
        <v>3434.4</v>
      </c>
      <c r="E907" s="6">
        <f>IFERROR(__xludf.DUMMYFUNCTION("GOOGLEFINANCE(""Currency:BRLMXN"")*D907"),11668.374)</f>
        <v>11668.374</v>
      </c>
      <c r="F907" s="6">
        <f>IFERROR(__xludf.DUMMYFUNCTION("GOOGLEFINANCE(""Currency:BRLPEN"")*D907"),2251.59264)</f>
        <v>2251.59264</v>
      </c>
      <c r="G907" s="2" t="str">
        <f t="array" ref="G907">_xlfn.XLOOKUP(B907,Vendedores!$A$2:$A$41,Vendedores!$B$2:$B$41,"No hay datos")</f>
        <v>Tatiana Montero</v>
      </c>
      <c r="H907" s="2" t="str">
        <f t="array" ref="H907">_xlfn.XLOOKUP(B907,Vendedores!$A$2:$A$41,Vendedores!$C$2:$C$41,"No hay datos")</f>
        <v>Ciudad Industrial</v>
      </c>
      <c r="I907" s="2" t="str">
        <f t="array" ref="I907">_xlfn.XLOOKUP(B907,Vendedores!$A$2:$A$41,Vendedores!$D$2:$D$41,"No hay datos")</f>
        <v>Región Central 2</v>
      </c>
      <c r="J907" s="2" t="str">
        <f t="array" ref="J907:N907">_xlfn.XLOOKUP(A907,Productos!$A$2:$A$61,Productos!$B$2:$F$61)</f>
        <v>Pantalón de sastre</v>
      </c>
      <c r="K907" s="2" t="s">
        <v>22</v>
      </c>
      <c r="L907" s="2" t="s">
        <v>10</v>
      </c>
      <c r="M907" s="2" t="s">
        <v>75</v>
      </c>
      <c r="N907" s="2" t="s">
        <v>14</v>
      </c>
    </row>
    <row r="908">
      <c r="A908" s="2" t="str">
        <f>IFERROR(__xludf.DUMMYFUNCTION("""COMPUTED_VALUE"""),"PR041")</f>
        <v>PR041</v>
      </c>
      <c r="B908" s="2" t="str">
        <f>IFERROR(__xludf.DUMMYFUNCTION("""COMPUTED_VALUE"""),"VD018")</f>
        <v>VD018</v>
      </c>
      <c r="C908" s="2">
        <f>IFERROR(__xludf.DUMMYFUNCTION("""COMPUTED_VALUE"""),1.0)</f>
        <v>1</v>
      </c>
      <c r="D908" s="6">
        <f>IFERROR(__xludf.DUMMYFUNCTION("""COMPUTED_VALUE"""),59.29)</f>
        <v>59.29</v>
      </c>
      <c r="E908" s="6">
        <f>IFERROR(__xludf.DUMMYFUNCTION("GOOGLEFINANCE(""Currency:BRLMXN"")*D908"),201.437775)</f>
        <v>201.437775</v>
      </c>
      <c r="F908" s="6">
        <f>IFERROR(__xludf.DUMMYFUNCTION("GOOGLEFINANCE(""Currency:BRLPEN"")*D908"),38.870523999999996)</f>
        <v>38.870524</v>
      </c>
      <c r="G908" s="2" t="str">
        <f t="array" ref="G908">_xlfn.XLOOKUP(B908,Vendedores!$A$2:$A$41,Vendedores!$B$2:$B$41,"No hay datos")</f>
        <v>Leticia Rodríguez</v>
      </c>
      <c r="H908" s="2" t="str">
        <f t="array" ref="H908">_xlfn.XLOOKUP(B908,Vendedores!$A$2:$A$41,Vendedores!$C$2:$C$41,"No hay datos")</f>
        <v>Playa Blanca</v>
      </c>
      <c r="I908" s="2" t="str">
        <f t="array" ref="I908">_xlfn.XLOOKUP(B908,Vendedores!$A$2:$A$41,Vendedores!$D$2:$D$41,"No hay datos")</f>
        <v>Región Norte</v>
      </c>
      <c r="J908" s="2" t="str">
        <f t="array" ref="J908:N908">_xlfn.XLOOKUP(A908,Productos!$A$2:$A$61,Productos!$B$2:$F$61)</f>
        <v>Playera confort</v>
      </c>
      <c r="K908" s="2" t="s">
        <v>17</v>
      </c>
      <c r="L908" s="2" t="s">
        <v>10</v>
      </c>
      <c r="M908" s="2" t="s">
        <v>95</v>
      </c>
      <c r="N908" s="2" t="s">
        <v>26</v>
      </c>
    </row>
    <row r="909">
      <c r="A909" s="2" t="str">
        <f>IFERROR(__xludf.DUMMYFUNCTION("""COMPUTED_VALUE"""),"PR029")</f>
        <v>PR029</v>
      </c>
      <c r="B909" s="2" t="str">
        <f>IFERROR(__xludf.DUMMYFUNCTION("""COMPUTED_VALUE"""),"VD029")</f>
        <v>VD029</v>
      </c>
      <c r="C909" s="2">
        <f>IFERROR(__xludf.DUMMYFUNCTION("""COMPUTED_VALUE"""),6.0)</f>
        <v>6</v>
      </c>
      <c r="D909" s="6">
        <f>IFERROR(__xludf.DUMMYFUNCTION("""COMPUTED_VALUE"""),1575.9)</f>
        <v>1575.9</v>
      </c>
      <c r="E909" s="6">
        <f>IFERROR(__xludf.DUMMYFUNCTION("GOOGLEFINANCE(""Currency:BRLMXN"")*D909"),5354.12025)</f>
        <v>5354.12025</v>
      </c>
      <c r="F909" s="6">
        <f>IFERROR(__xludf.DUMMYFUNCTION("GOOGLEFINANCE(""Currency:BRLPEN"")*D909"),1033.16004)</f>
        <v>1033.16004</v>
      </c>
      <c r="G909" s="2" t="str">
        <f t="array" ref="G909">_xlfn.XLOOKUP(B909,Vendedores!$A$2:$A$41,Vendedores!$B$2:$B$41,"No hay datos")</f>
        <v>Gabriela Sosa</v>
      </c>
      <c r="H909" s="2" t="str">
        <f t="array" ref="H909">_xlfn.XLOOKUP(B909,Vendedores!$A$2:$A$41,Vendedores!$C$2:$C$41,"No hay datos")</f>
        <v>Selva Verde</v>
      </c>
      <c r="I909" s="2" t="str">
        <f t="array" ref="I909">_xlfn.XLOOKUP(B909,Vendedores!$A$2:$A$41,Vendedores!$D$2:$D$41,"No hay datos")</f>
        <v>Región Amazónica</v>
      </c>
      <c r="J909" s="2" t="str">
        <f t="array" ref="J909:N909">_xlfn.XLOOKUP(A909,Productos!$A$2:$A$61,Productos!$B$2:$F$61)</f>
        <v>Tenis Atitas</v>
      </c>
      <c r="K909" s="2">
        <v>37.0</v>
      </c>
      <c r="L909" s="2" t="s">
        <v>33</v>
      </c>
      <c r="M909" s="2" t="s">
        <v>96</v>
      </c>
      <c r="N909" s="2" t="s">
        <v>97</v>
      </c>
    </row>
    <row r="910">
      <c r="A910" s="2" t="str">
        <f>IFERROR(__xludf.DUMMYFUNCTION("""COMPUTED_VALUE"""),"PR039")</f>
        <v>PR039</v>
      </c>
      <c r="B910" s="2" t="str">
        <f>IFERROR(__xludf.DUMMYFUNCTION("""COMPUTED_VALUE"""),"VD034")</f>
        <v>VD034</v>
      </c>
      <c r="C910" s="2">
        <f>IFERROR(__xludf.DUMMYFUNCTION("""COMPUTED_VALUE"""),16.0)</f>
        <v>16</v>
      </c>
      <c r="D910" s="6">
        <f>IFERROR(__xludf.DUMMYFUNCTION("""COMPUTED_VALUE"""),2336.0)</f>
        <v>2336</v>
      </c>
      <c r="E910" s="6">
        <f>IFERROR(__xludf.DUMMYFUNCTION("GOOGLEFINANCE(""Currency:BRLMXN"")*D910"),7936.5599999999995)</f>
        <v>7936.56</v>
      </c>
      <c r="F910" s="6">
        <f>IFERROR(__xludf.DUMMYFUNCTION("GOOGLEFINANCE(""Currency:BRLPEN"")*D910"),1531.4815999999998)</f>
        <v>1531.4816</v>
      </c>
      <c r="G910" s="2" t="str">
        <f t="array" ref="G910">_xlfn.XLOOKUP(B910,Vendedores!$A$2:$A$41,Vendedores!$B$2:$B$41,"No hay datos")</f>
        <v>Felipe Carvajal</v>
      </c>
      <c r="H910" s="2" t="str">
        <f t="array" ref="H910">_xlfn.XLOOKUP(B910,Vendedores!$A$2:$A$41,Vendedores!$C$2:$C$41,"No hay datos")</f>
        <v>San Pedro del Río</v>
      </c>
      <c r="I910" s="2" t="str">
        <f t="array" ref="I910">_xlfn.XLOOKUP(B910,Vendedores!$A$2:$A$41,Vendedores!$D$2:$D$41,"No hay datos")</f>
        <v>Región Sur 2</v>
      </c>
      <c r="J910" s="2" t="str">
        <f t="array" ref="J910:N910">_xlfn.XLOOKUP(A910,Productos!$A$2:$A$61,Productos!$B$2:$F$61)</f>
        <v>Vestido largo</v>
      </c>
      <c r="K910" s="2" t="s">
        <v>22</v>
      </c>
      <c r="L910" s="2" t="s">
        <v>10</v>
      </c>
      <c r="M910" s="2" t="s">
        <v>73</v>
      </c>
      <c r="N910" s="2" t="s">
        <v>74</v>
      </c>
    </row>
    <row r="911">
      <c r="A911" s="2" t="str">
        <f>IFERROR(__xludf.DUMMYFUNCTION("""COMPUTED_VALUE"""),"PR048")</f>
        <v>PR048</v>
      </c>
      <c r="B911" s="2" t="str">
        <f>IFERROR(__xludf.DUMMYFUNCTION("""COMPUTED_VALUE"""),"VD026")</f>
        <v>VD026</v>
      </c>
      <c r="C911" s="2">
        <f>IFERROR(__xludf.DUMMYFUNCTION("""COMPUTED_VALUE"""),6.0)</f>
        <v>6</v>
      </c>
      <c r="D911" s="6">
        <f>IFERROR(__xludf.DUMMYFUNCTION("""COMPUTED_VALUE"""),1774.19)</f>
        <v>1774.19</v>
      </c>
      <c r="E911" s="6">
        <f>IFERROR(__xludf.DUMMYFUNCTION("GOOGLEFINANCE(""Currency:BRLMXN"")*D911"),6027.810525)</f>
        <v>6027.810525</v>
      </c>
      <c r="F911" s="6">
        <f>IFERROR(__xludf.DUMMYFUNCTION("GOOGLEFINANCE(""Currency:BRLPEN"")*D911"),1163.158964)</f>
        <v>1163.158964</v>
      </c>
      <c r="G911" s="2" t="str">
        <f t="array" ref="G911">_xlfn.XLOOKUP(B911,Vendedores!$A$2:$A$41,Vendedores!$B$2:$B$41,"No hay datos")</f>
        <v>Daniel Fernández</v>
      </c>
      <c r="H911" s="2" t="str">
        <f t="array" ref="H911">_xlfn.XLOOKUP(B911,Vendedores!$A$2:$A$41,Vendedores!$C$2:$C$41,"No hay datos")</f>
        <v>Puerto Esperanza</v>
      </c>
      <c r="I911" s="2" t="str">
        <f t="array" ref="I911">_xlfn.XLOOKUP(B911,Vendedores!$A$2:$A$41,Vendedores!$D$2:$D$41,"No hay datos")</f>
        <v>Región Sur</v>
      </c>
      <c r="J911" s="2" t="str">
        <f t="array" ref="J911:N911">_xlfn.XLOOKUP(A911,Productos!$A$2:$A$61,Productos!$B$2:$F$61)</f>
        <v>Chaqueta de cuero</v>
      </c>
      <c r="K911" s="2" t="s">
        <v>22</v>
      </c>
      <c r="L911" s="2" t="s">
        <v>10</v>
      </c>
      <c r="M911" s="2" t="s">
        <v>94</v>
      </c>
      <c r="N911" s="2" t="s">
        <v>44</v>
      </c>
    </row>
    <row r="912">
      <c r="A912" s="2" t="str">
        <f>IFERROR(__xludf.DUMMYFUNCTION("""COMPUTED_VALUE"""),"PR015")</f>
        <v>PR015</v>
      </c>
      <c r="B912" s="2" t="str">
        <f>IFERROR(__xludf.DUMMYFUNCTION("""COMPUTED_VALUE"""),"VD012")</f>
        <v>VD012</v>
      </c>
      <c r="C912" s="2">
        <f>IFERROR(__xludf.DUMMYFUNCTION("""COMPUTED_VALUE"""),2.0)</f>
        <v>2</v>
      </c>
      <c r="D912" s="6">
        <f>IFERROR(__xludf.DUMMYFUNCTION("""COMPUTED_VALUE"""),85.85)</f>
        <v>85.85</v>
      </c>
      <c r="E912" s="6">
        <f>IFERROR(__xludf.DUMMYFUNCTION("GOOGLEFINANCE(""Currency:BRLMXN"")*D912"),291.675375)</f>
        <v>291.675375</v>
      </c>
      <c r="F912" s="6">
        <f>IFERROR(__xludf.DUMMYFUNCTION("GOOGLEFINANCE(""Currency:BRLPEN"")*D912"),56.28325999999999)</f>
        <v>56.28326</v>
      </c>
      <c r="G912" s="2" t="str">
        <f t="array" ref="G912">_xlfn.XLOOKUP(B912,Vendedores!$A$2:$A$41,Vendedores!$B$2:$B$41,"No hay datos")</f>
        <v>Ana Olmedo</v>
      </c>
      <c r="H912" s="2" t="str">
        <f t="array" ref="H912">_xlfn.XLOOKUP(B912,Vendedores!$A$2:$A$41,Vendedores!$C$2:$C$41,"No hay datos")</f>
        <v>Río Claro</v>
      </c>
      <c r="I912" s="2" t="str">
        <f t="array" ref="I912">_xlfn.XLOOKUP(B912,Vendedores!$A$2:$A$41,Vendedores!$D$2:$D$41,"No hay datos")</f>
        <v>Región Central</v>
      </c>
      <c r="J912" s="2" t="str">
        <f t="array" ref="J912:N912">_xlfn.XLOOKUP(A912,Productos!$A$2:$A$61,Productos!$B$2:$F$61)</f>
        <v>Playera estampada</v>
      </c>
      <c r="K912" s="2" t="s">
        <v>22</v>
      </c>
      <c r="L912" s="2" t="s">
        <v>10</v>
      </c>
      <c r="M912" s="2" t="s">
        <v>101</v>
      </c>
      <c r="N912" s="2" t="s">
        <v>102</v>
      </c>
    </row>
    <row r="913">
      <c r="A913" s="2" t="str">
        <f>IFERROR(__xludf.DUMMYFUNCTION("""COMPUTED_VALUE"""),"PR051")</f>
        <v>PR051</v>
      </c>
      <c r="B913" s="2" t="str">
        <f>IFERROR(__xludf.DUMMYFUNCTION("""COMPUTED_VALUE"""),"VD036")</f>
        <v>VD036</v>
      </c>
      <c r="C913" s="2">
        <f>IFERROR(__xludf.DUMMYFUNCTION("""COMPUTED_VALUE"""),10.0)</f>
        <v>10</v>
      </c>
      <c r="D913" s="6">
        <f>IFERROR(__xludf.DUMMYFUNCTION("""COMPUTED_VALUE"""),348.74)</f>
        <v>348.74</v>
      </c>
      <c r="E913" s="6">
        <f>IFERROR(__xludf.DUMMYFUNCTION("GOOGLEFINANCE(""Currency:BRLMXN"")*D913"),1184.8441500000001)</f>
        <v>1184.84415</v>
      </c>
      <c r="F913" s="6">
        <f>IFERROR(__xludf.DUMMYFUNCTION("GOOGLEFINANCE(""Currency:BRLPEN"")*D913"),228.63394399999999)</f>
        <v>228.633944</v>
      </c>
      <c r="G913" s="2" t="str">
        <f t="array" ref="G913">_xlfn.XLOOKUP(B913,Vendedores!$A$2:$A$41,Vendedores!$B$2:$B$41,"No hay datos")</f>
        <v>Ricardo Sosa</v>
      </c>
      <c r="H913" s="2" t="str">
        <f t="array" ref="H913">_xlfn.XLOOKUP(B913,Vendedores!$A$2:$A$41,Vendedores!$C$2:$C$41,"No hay datos")</f>
        <v>Puerto Nuevo</v>
      </c>
      <c r="I913" s="2" t="str">
        <f t="array" ref="I913">_xlfn.XLOOKUP(B913,Vendedores!$A$2:$A$41,Vendedores!$D$2:$D$41,"No hay datos")</f>
        <v>Región Central 2</v>
      </c>
      <c r="J913" s="2" t="str">
        <f t="array" ref="J913:N913">_xlfn.XLOOKUP(A913,Productos!$A$2:$A$61,Productos!$B$2:$F$61)</f>
        <v>Playera a rayas</v>
      </c>
      <c r="K913" s="2" t="s">
        <v>22</v>
      </c>
      <c r="L913" s="2" t="s">
        <v>10</v>
      </c>
      <c r="M913" s="2" t="s">
        <v>23</v>
      </c>
      <c r="N913" s="2" t="s">
        <v>24</v>
      </c>
    </row>
    <row r="914">
      <c r="A914" s="2" t="str">
        <f>IFERROR(__xludf.DUMMYFUNCTION("""COMPUTED_VALUE"""),"PR060")</f>
        <v>PR060</v>
      </c>
      <c r="B914" s="2" t="str">
        <f>IFERROR(__xludf.DUMMYFUNCTION("""COMPUTED_VALUE"""),"VD021")</f>
        <v>VD021</v>
      </c>
      <c r="C914" s="2">
        <f>IFERROR(__xludf.DUMMYFUNCTION("""COMPUTED_VALUE"""),12.0)</f>
        <v>12</v>
      </c>
      <c r="D914" s="6">
        <f>IFERROR(__xludf.DUMMYFUNCTION("""COMPUTED_VALUE"""),2246.4)</f>
        <v>2246.4</v>
      </c>
      <c r="E914" s="6">
        <f>IFERROR(__xludf.DUMMYFUNCTION("GOOGLEFINANCE(""Currency:BRLMXN"")*D914"),7632.144)</f>
        <v>7632.144</v>
      </c>
      <c r="F914" s="6">
        <f>IFERROR(__xludf.DUMMYFUNCTION("GOOGLEFINANCE(""Currency:BRLPEN"")*D914"),1472.73984)</f>
        <v>1472.73984</v>
      </c>
      <c r="G914" s="2" t="str">
        <f t="array" ref="G914">_xlfn.XLOOKUP(B914,Vendedores!$A$2:$A$41,Vendedores!$B$2:$B$41,"No hay datos")</f>
        <v>Fernanda Méndez</v>
      </c>
      <c r="H914" s="2" t="str">
        <f t="array" ref="H914">_xlfn.XLOOKUP(B914,Vendedores!$A$2:$A$41,Vendedores!$C$2:$C$41,"No hay datos")</f>
        <v>San Juan de la Sierra</v>
      </c>
      <c r="I914" s="2" t="str">
        <f t="array" ref="I914">_xlfn.XLOOKUP(B914,Vendedores!$A$2:$A$41,Vendedores!$D$2:$D$41,"No hay datos")</f>
        <v>Región Central</v>
      </c>
      <c r="J914" s="2" t="str">
        <f t="array" ref="J914:N914">_xlfn.XLOOKUP(A914,Productos!$A$2:$A$61,Productos!$B$2:$F$61)</f>
        <v>Pantalón de sastre</v>
      </c>
      <c r="K914" s="2" t="s">
        <v>22</v>
      </c>
      <c r="L914" s="2" t="s">
        <v>10</v>
      </c>
      <c r="M914" s="2" t="s">
        <v>75</v>
      </c>
      <c r="N914" s="2" t="s">
        <v>14</v>
      </c>
    </row>
    <row r="915">
      <c r="A915" s="2" t="str">
        <f>IFERROR(__xludf.DUMMYFUNCTION("""COMPUTED_VALUE"""),"PR053")</f>
        <v>PR053</v>
      </c>
      <c r="B915" s="2" t="str">
        <f>IFERROR(__xludf.DUMMYFUNCTION("""COMPUTED_VALUE"""),"VD047")</f>
        <v>VD047</v>
      </c>
      <c r="C915" s="2">
        <f>IFERROR(__xludf.DUMMYFUNCTION("""COMPUTED_VALUE"""),6.0)</f>
        <v>6</v>
      </c>
      <c r="D915" s="6">
        <f>IFERROR(__xludf.DUMMYFUNCTION("""COMPUTED_VALUE"""),317.36)</f>
        <v>317.36</v>
      </c>
      <c r="E915" s="6">
        <f>IFERROR(__xludf.DUMMYFUNCTION("GOOGLEFINANCE(""Currency:BRLMXN"")*D915"),1078.2306)</f>
        <v>1078.2306</v>
      </c>
      <c r="F915" s="6">
        <f>IFERROR(__xludf.DUMMYFUNCTION("GOOGLEFINANCE(""Currency:BRLPEN"")*D915"),208.061216)</f>
        <v>208.061216</v>
      </c>
      <c r="G915" s="2" t="str">
        <f t="array" ref="G915">_xlfn.XLOOKUP(B915,Vendedores!$A$2:$A$41,Vendedores!$B$2:$B$41,"No hay datos")</f>
        <v>Andrés López</v>
      </c>
      <c r="H915" s="2" t="str">
        <f t="array" ref="H915">_xlfn.XLOOKUP(B915,Vendedores!$A$2:$A$41,Vendedores!$C$2:$C$41,"No hay datos")</f>
        <v>Villa Progreso</v>
      </c>
      <c r="I915" s="2" t="str">
        <f t="array" ref="I915">_xlfn.XLOOKUP(B915,Vendedores!$A$2:$A$41,Vendedores!$D$2:$D$41,"No hay datos")</f>
        <v>Región Central 2</v>
      </c>
      <c r="J915" s="2" t="str">
        <f t="array" ref="J915:N915">_xlfn.XLOOKUP(A915,Productos!$A$2:$A$61,Productos!$B$2:$F$61)</f>
        <v>Falda plisada</v>
      </c>
      <c r="K915" s="2" t="s">
        <v>17</v>
      </c>
      <c r="L915" s="2" t="s">
        <v>10</v>
      </c>
      <c r="M915" s="2" t="s">
        <v>41</v>
      </c>
      <c r="N915" s="2" t="s">
        <v>32</v>
      </c>
    </row>
    <row r="916">
      <c r="A916" s="2" t="str">
        <f>IFERROR(__xludf.DUMMYFUNCTION("""COMPUTED_VALUE"""),"PR051")</f>
        <v>PR051</v>
      </c>
      <c r="B916" s="2" t="str">
        <f>IFERROR(__xludf.DUMMYFUNCTION("""COMPUTED_VALUE"""),"VD016")</f>
        <v>VD016</v>
      </c>
      <c r="C916" s="2">
        <f>IFERROR(__xludf.DUMMYFUNCTION("""COMPUTED_VALUE"""),8.0)</f>
        <v>8</v>
      </c>
      <c r="D916" s="6">
        <f>IFERROR(__xludf.DUMMYFUNCTION("""COMPUTED_VALUE"""),263.2)</f>
        <v>263.2</v>
      </c>
      <c r="E916" s="6">
        <f>IFERROR(__xludf.DUMMYFUNCTION("GOOGLEFINANCE(""Currency:BRLMXN"")*D916"),894.222)</f>
        <v>894.222</v>
      </c>
      <c r="F916" s="6">
        <f>IFERROR(__xludf.DUMMYFUNCTION("GOOGLEFINANCE(""Currency:BRLPEN"")*D916"),172.55391999999998)</f>
        <v>172.55392</v>
      </c>
      <c r="G916" s="2" t="str">
        <f t="array" ref="G916">_xlfn.XLOOKUP(B916,Vendedores!$A$2:$A$41,Vendedores!$B$2:$B$41,"No hay datos")</f>
        <v>Beatriz Linares</v>
      </c>
      <c r="H916" s="2" t="str">
        <f t="array" ref="H916">_xlfn.XLOOKUP(B916,Vendedores!$A$2:$A$41,Vendedores!$C$2:$C$41,"No hay datos")</f>
        <v>Puerto Esperanza</v>
      </c>
      <c r="I916" s="2" t="str">
        <f t="array" ref="I916">_xlfn.XLOOKUP(B916,Vendedores!$A$2:$A$41,Vendedores!$D$2:$D$41,"No hay datos")</f>
        <v>Región Sur</v>
      </c>
      <c r="J916" s="2" t="str">
        <f t="array" ref="J916:N916">_xlfn.XLOOKUP(A916,Productos!$A$2:$A$61,Productos!$B$2:$F$61)</f>
        <v>Playera a rayas</v>
      </c>
      <c r="K916" s="2" t="s">
        <v>22</v>
      </c>
      <c r="L916" s="2" t="s">
        <v>10</v>
      </c>
      <c r="M916" s="2" t="s">
        <v>23</v>
      </c>
      <c r="N916" s="2" t="s">
        <v>24</v>
      </c>
    </row>
    <row r="917">
      <c r="A917" s="2" t="str">
        <f>IFERROR(__xludf.DUMMYFUNCTION("""COMPUTED_VALUE"""),"PR035")</f>
        <v>PR035</v>
      </c>
      <c r="B917" s="2" t="str">
        <f>IFERROR(__xludf.DUMMYFUNCTION("""COMPUTED_VALUE"""),"VD016")</f>
        <v>VD016</v>
      </c>
      <c r="C917" s="2">
        <f>IFERROR(__xludf.DUMMYFUNCTION("""COMPUTED_VALUE"""),12.0)</f>
        <v>12</v>
      </c>
      <c r="D917" s="6">
        <f>IFERROR(__xludf.DUMMYFUNCTION("""COMPUTED_VALUE"""),1107.77)</f>
        <v>1107.77</v>
      </c>
      <c r="E917" s="6">
        <f>IFERROR(__xludf.DUMMYFUNCTION("GOOGLEFINANCE(""Currency:BRLMXN"")*D917"),3763.6485749999997)</f>
        <v>3763.648575</v>
      </c>
      <c r="F917" s="6">
        <f>IFERROR(__xludf.DUMMYFUNCTION("GOOGLEFINANCE(""Currency:BRLPEN"")*D917"),726.254012)</f>
        <v>726.254012</v>
      </c>
      <c r="G917" s="2" t="str">
        <f t="array" ref="G917">_xlfn.XLOOKUP(B917,Vendedores!$A$2:$A$41,Vendedores!$B$2:$B$41,"No hay datos")</f>
        <v>Beatriz Linares</v>
      </c>
      <c r="H917" s="2" t="str">
        <f t="array" ref="H917">_xlfn.XLOOKUP(B917,Vendedores!$A$2:$A$41,Vendedores!$C$2:$C$41,"No hay datos")</f>
        <v>Puerto Esperanza</v>
      </c>
      <c r="I917" s="2" t="str">
        <f t="array" ref="I917">_xlfn.XLOOKUP(B917,Vendedores!$A$2:$A$41,Vendedores!$D$2:$D$41,"No hay datos")</f>
        <v>Región Sur</v>
      </c>
      <c r="J917" s="2" t="str">
        <f t="array" ref="J917:N917">_xlfn.XLOOKUP(A917,Productos!$A$2:$A$61,Productos!$B$2:$F$61)</f>
        <v>Vestido corto</v>
      </c>
      <c r="K917" s="2" t="s">
        <v>17</v>
      </c>
      <c r="L917" s="2" t="s">
        <v>10</v>
      </c>
      <c r="M917" s="2" t="s">
        <v>18</v>
      </c>
      <c r="N917" s="2" t="s">
        <v>19</v>
      </c>
    </row>
    <row r="918">
      <c r="A918" s="2" t="str">
        <f>IFERROR(__xludf.DUMMYFUNCTION("""COMPUTED_VALUE"""),"PR046")</f>
        <v>PR046</v>
      </c>
      <c r="B918" s="2" t="str">
        <f>IFERROR(__xludf.DUMMYFUNCTION("""COMPUTED_VALUE"""),"VD031")</f>
        <v>VD031</v>
      </c>
      <c r="C918" s="2">
        <f>IFERROR(__xludf.DUMMYFUNCTION("""COMPUTED_VALUE"""),14.0)</f>
        <v>14</v>
      </c>
      <c r="D918" s="6">
        <f>IFERROR(__xludf.DUMMYFUNCTION("""COMPUTED_VALUE"""),4099.19)</f>
        <v>4099.19</v>
      </c>
      <c r="E918" s="6">
        <f>IFERROR(__xludf.DUMMYFUNCTION("GOOGLEFINANCE(""Currency:BRLMXN"")*D918"),13926.998024999999)</f>
        <v>13926.99803</v>
      </c>
      <c r="F918" s="6">
        <f>IFERROR(__xludf.DUMMYFUNCTION("GOOGLEFINANCE(""Currency:BRLPEN"")*D918"),2687.4289639999997)</f>
        <v>2687.428964</v>
      </c>
      <c r="G918" s="2" t="str">
        <f t="array" ref="G918">_xlfn.XLOOKUP(B918,Vendedores!$A$2:$A$41,Vendedores!$B$2:$B$41,"No hay datos")</f>
        <v>Vanessa Martínez</v>
      </c>
      <c r="H918" s="2" t="str">
        <f t="array" ref="H918">_xlfn.XLOOKUP(B918,Vendedores!$A$2:$A$41,Vendedores!$C$2:$C$41,"No hay datos")</f>
        <v>Monte Verde</v>
      </c>
      <c r="I918" s="2" t="str">
        <f t="array" ref="I918">_xlfn.XLOOKUP(B918,Vendedores!$A$2:$A$41,Vendedores!$D$2:$D$41,"No hay datos")</f>
        <v>Región Central 2</v>
      </c>
      <c r="J918" s="2" t="str">
        <f t="array" ref="J918:N918">_xlfn.XLOOKUP(A918,Productos!$A$2:$A$61,Productos!$B$2:$F$61)</f>
        <v>Chaqueta de cuero</v>
      </c>
      <c r="K918" s="2" t="s">
        <v>9</v>
      </c>
      <c r="L918" s="2" t="s">
        <v>10</v>
      </c>
      <c r="M918" s="2" t="s">
        <v>94</v>
      </c>
      <c r="N918" s="2" t="s">
        <v>44</v>
      </c>
    </row>
    <row r="919">
      <c r="A919" s="2" t="str">
        <f>IFERROR(__xludf.DUMMYFUNCTION("""COMPUTED_VALUE"""),"PR057")</f>
        <v>PR057</v>
      </c>
      <c r="B919" s="2" t="str">
        <f>IFERROR(__xludf.DUMMYFUNCTION("""COMPUTED_VALUE"""),"VD047")</f>
        <v>VD047</v>
      </c>
      <c r="C919" s="2">
        <f>IFERROR(__xludf.DUMMYFUNCTION("""COMPUTED_VALUE"""),12.0)</f>
        <v>12</v>
      </c>
      <c r="D919" s="6">
        <f>IFERROR(__xludf.DUMMYFUNCTION("""COMPUTED_VALUE"""),1121.95)</f>
        <v>1121.95</v>
      </c>
      <c r="E919" s="6">
        <f>IFERROR(__xludf.DUMMYFUNCTION("GOOGLEFINANCE(""Currency:BRLMXN"")*D919"),3811.8251250000003)</f>
        <v>3811.825125</v>
      </c>
      <c r="F919" s="6">
        <f>IFERROR(__xludf.DUMMYFUNCTION("GOOGLEFINANCE(""Currency:BRLPEN"")*D919"),735.55042)</f>
        <v>735.55042</v>
      </c>
      <c r="G919" s="2" t="str">
        <f t="array" ref="G919">_xlfn.XLOOKUP(B919,Vendedores!$A$2:$A$41,Vendedores!$B$2:$B$41,"No hay datos")</f>
        <v>Andrés López</v>
      </c>
      <c r="H919" s="2" t="str">
        <f t="array" ref="H919">_xlfn.XLOOKUP(B919,Vendedores!$A$2:$A$41,Vendedores!$C$2:$C$41,"No hay datos")</f>
        <v>Villa Progreso</v>
      </c>
      <c r="I919" s="2" t="str">
        <f t="array" ref="I919">_xlfn.XLOOKUP(B919,Vendedores!$A$2:$A$41,Vendedores!$D$2:$D$41,"No hay datos")</f>
        <v>Región Central 2</v>
      </c>
      <c r="J919" s="2" t="str">
        <f t="array" ref="J919:N919">_xlfn.XLOOKUP(A919,Productos!$A$2:$A$61,Productos!$B$2:$F$61)</f>
        <v>Sandalia plana</v>
      </c>
      <c r="K919" s="2">
        <v>37.0</v>
      </c>
      <c r="L919" s="2" t="s">
        <v>33</v>
      </c>
      <c r="M919" s="2" t="s">
        <v>58</v>
      </c>
      <c r="N919" s="2" t="s">
        <v>35</v>
      </c>
    </row>
    <row r="920">
      <c r="A920" s="2" t="str">
        <f>IFERROR(__xludf.DUMMYFUNCTION("""COMPUTED_VALUE"""),"PR050")</f>
        <v>PR050</v>
      </c>
      <c r="B920" s="2" t="str">
        <f>IFERROR(__xludf.DUMMYFUNCTION("""COMPUTED_VALUE"""),"VD031")</f>
        <v>VD031</v>
      </c>
      <c r="C920" s="2">
        <f>IFERROR(__xludf.DUMMYFUNCTION("""COMPUTED_VALUE"""),20.0)</f>
        <v>20</v>
      </c>
      <c r="D920" s="6">
        <f>IFERROR(__xludf.DUMMYFUNCTION("""COMPUTED_VALUE"""),697.48)</f>
        <v>697.48</v>
      </c>
      <c r="E920" s="6">
        <f>IFERROR(__xludf.DUMMYFUNCTION("GOOGLEFINANCE(""Currency:BRLMXN"")*D920"),2369.6883000000003)</f>
        <v>2369.6883</v>
      </c>
      <c r="F920" s="6">
        <f>IFERROR(__xludf.DUMMYFUNCTION("GOOGLEFINANCE(""Currency:BRLPEN"")*D920"),457.26788799999997)</f>
        <v>457.267888</v>
      </c>
      <c r="G920" s="2" t="str">
        <f t="array" ref="G920">_xlfn.XLOOKUP(B920,Vendedores!$A$2:$A$41,Vendedores!$B$2:$B$41,"No hay datos")</f>
        <v>Vanessa Martínez</v>
      </c>
      <c r="H920" s="2" t="str">
        <f t="array" ref="H920">_xlfn.XLOOKUP(B920,Vendedores!$A$2:$A$41,Vendedores!$C$2:$C$41,"No hay datos")</f>
        <v>Monte Verde</v>
      </c>
      <c r="I920" s="2" t="str">
        <f t="array" ref="I920">_xlfn.XLOOKUP(B920,Vendedores!$A$2:$A$41,Vendedores!$D$2:$D$41,"No hay datos")</f>
        <v>Región Central 2</v>
      </c>
      <c r="J920" s="2" t="str">
        <f t="array" ref="J920:N920">_xlfn.XLOOKUP(A920,Productos!$A$2:$A$61,Productos!$B$2:$F$61)</f>
        <v>Playera a rayas</v>
      </c>
      <c r="K920" s="2" t="s">
        <v>17</v>
      </c>
      <c r="L920" s="2" t="s">
        <v>10</v>
      </c>
      <c r="M920" s="2" t="s">
        <v>27</v>
      </c>
      <c r="N920" s="2" t="s">
        <v>24</v>
      </c>
    </row>
    <row r="921">
      <c r="A921" s="2" t="str">
        <f>IFERROR(__xludf.DUMMYFUNCTION("""COMPUTED_VALUE"""),"PR012")</f>
        <v>PR012</v>
      </c>
      <c r="B921" s="2" t="str">
        <f>IFERROR(__xludf.DUMMYFUNCTION("""COMPUTED_VALUE"""),"VD020")</f>
        <v>VD020</v>
      </c>
      <c r="C921" s="2">
        <f>IFERROR(__xludf.DUMMYFUNCTION("""COMPUTED_VALUE"""),14.0)</f>
        <v>14</v>
      </c>
      <c r="D921" s="6">
        <f>IFERROR(__xludf.DUMMYFUNCTION("""COMPUTED_VALUE"""),711.98)</f>
        <v>711.98</v>
      </c>
      <c r="E921" s="6">
        <f>IFERROR(__xludf.DUMMYFUNCTION("GOOGLEFINANCE(""Currency:BRLMXN"")*D921"),2418.95205)</f>
        <v>2418.95205</v>
      </c>
      <c r="F921" s="6">
        <f>IFERROR(__xludf.DUMMYFUNCTION("GOOGLEFINANCE(""Currency:BRLPEN"")*D921"),466.774088)</f>
        <v>466.774088</v>
      </c>
      <c r="G921" s="2" t="str">
        <f t="array" ref="G921">_xlfn.XLOOKUP(B921,Vendedores!$A$2:$A$41,Vendedores!$B$2:$B$41,"No hay datos")</f>
        <v>Gustavo Morales</v>
      </c>
      <c r="H921" s="2" t="str">
        <f t="array" ref="H921">_xlfn.XLOOKUP(B921,Vendedores!$A$2:$A$41,Vendedores!$C$2:$C$41,"No hay datos")</f>
        <v>Villa del Sol</v>
      </c>
      <c r="I921" s="2" t="str">
        <f t="array" ref="I921">_xlfn.XLOOKUP(B921,Vendedores!$A$2:$A$41,Vendedores!$D$2:$D$41,"No hay datos")</f>
        <v>Región Central 2</v>
      </c>
      <c r="J921" s="2" t="str">
        <f t="array" ref="J921:N921">_xlfn.XLOOKUP(A921,Productos!$A$2:$A$61,Productos!$B$2:$F$61)</f>
        <v>Pantalón legging</v>
      </c>
      <c r="K921" s="2" t="s">
        <v>22</v>
      </c>
      <c r="L921" s="2" t="s">
        <v>10</v>
      </c>
      <c r="M921" s="2" t="s">
        <v>88</v>
      </c>
      <c r="N921" s="2" t="s">
        <v>89</v>
      </c>
    </row>
    <row r="922">
      <c r="A922" s="2" t="str">
        <f>IFERROR(__xludf.DUMMYFUNCTION("""COMPUTED_VALUE"""),"PR011")</f>
        <v>PR011</v>
      </c>
      <c r="B922" s="2" t="str">
        <f>IFERROR(__xludf.DUMMYFUNCTION("""COMPUTED_VALUE"""),"VD038")</f>
        <v>VD038</v>
      </c>
      <c r="C922" s="2">
        <f>IFERROR(__xludf.DUMMYFUNCTION("""COMPUTED_VALUE"""),10.0)</f>
        <v>10</v>
      </c>
      <c r="D922" s="6">
        <f>IFERROR(__xludf.DUMMYFUNCTION("""COMPUTED_VALUE"""),492.45)</f>
        <v>492.45</v>
      </c>
      <c r="E922" s="6">
        <f>IFERROR(__xludf.DUMMYFUNCTION("GOOGLEFINANCE(""Currency:BRLMXN"")*D922"),1673.098875)</f>
        <v>1673.098875</v>
      </c>
      <c r="F922" s="6">
        <f>IFERROR(__xludf.DUMMYFUNCTION("GOOGLEFINANCE(""Currency:BRLPEN"")*D922"),322.85022)</f>
        <v>322.85022</v>
      </c>
      <c r="G922" s="2" t="str">
        <f t="array" ref="G922">_xlfn.XLOOKUP(B922,Vendedores!$A$2:$A$41,Vendedores!$B$2:$B$41,"No hay datos")</f>
        <v>Bruno Olmedo</v>
      </c>
      <c r="H922" s="2" t="str">
        <f t="array" ref="H922">_xlfn.XLOOKUP(B922,Vendedores!$A$2:$A$41,Vendedores!$C$2:$C$41,"No hay datos")</f>
        <v>Tierra Fertil</v>
      </c>
      <c r="I922" s="2" t="str">
        <f t="array" ref="I922">_xlfn.XLOOKUP(B922,Vendedores!$A$2:$A$41,Vendedores!$D$2:$D$41,"No hay datos")</f>
        <v>Región Sur 2</v>
      </c>
      <c r="J922" s="2" t="str">
        <f t="array" ref="J922:N922">_xlfn.XLOOKUP(A922,Productos!$A$2:$A$61,Productos!$B$2:$F$61)</f>
        <v>Pantalón legging</v>
      </c>
      <c r="K922" s="2" t="s">
        <v>17</v>
      </c>
      <c r="L922" s="2" t="s">
        <v>10</v>
      </c>
      <c r="M922" s="2" t="s">
        <v>67</v>
      </c>
      <c r="N922" s="2" t="s">
        <v>68</v>
      </c>
    </row>
    <row r="923">
      <c r="A923" s="2" t="str">
        <f>IFERROR(__xludf.DUMMYFUNCTION("""COMPUTED_VALUE"""),"PR024")</f>
        <v>PR024</v>
      </c>
      <c r="B923" s="2" t="str">
        <f>IFERROR(__xludf.DUMMYFUNCTION("""COMPUTED_VALUE"""),"VD041")</f>
        <v>VD041</v>
      </c>
      <c r="C923" s="2">
        <f>IFERROR(__xludf.DUMMYFUNCTION("""COMPUTED_VALUE"""),2.0)</f>
        <v>2</v>
      </c>
      <c r="D923" s="6">
        <f>IFERROR(__xludf.DUMMYFUNCTION("""COMPUTED_VALUE"""),550.99)</f>
        <v>550.99</v>
      </c>
      <c r="E923" s="6">
        <f>IFERROR(__xludf.DUMMYFUNCTION("GOOGLEFINANCE(""Currency:BRLMXN"")*D923"),1871.988525)</f>
        <v>1871.988525</v>
      </c>
      <c r="F923" s="6">
        <f>IFERROR(__xludf.DUMMYFUNCTION("GOOGLEFINANCE(""Currency:BRLPEN"")*D923"),361.229044)</f>
        <v>361.229044</v>
      </c>
      <c r="G923" s="2" t="str">
        <f t="array" ref="G923">_xlfn.XLOOKUP(B923,Vendedores!$A$2:$A$41,Vendedores!$B$2:$B$41,"No hay datos")</f>
        <v>Alejandro Ramos</v>
      </c>
      <c r="H923" s="2" t="str">
        <f t="array" ref="H923">_xlfn.XLOOKUP(B923,Vendedores!$A$2:$A$41,Vendedores!$C$2:$C$41,"No hay datos")</f>
        <v>San Martín de las Rosas</v>
      </c>
      <c r="I923" s="2" t="str">
        <f t="array" ref="I923">_xlfn.XLOOKUP(B923,Vendedores!$A$2:$A$41,Vendedores!$D$2:$D$41,"No hay datos")</f>
        <v>Región Central 2</v>
      </c>
      <c r="J923" s="2" t="str">
        <f t="array" ref="J923:N923">_xlfn.XLOOKUP(A923,Productos!$A$2:$A$61,Productos!$B$2:$F$61)</f>
        <v>Chaqueta de mezclilla</v>
      </c>
      <c r="K923" s="2" t="s">
        <v>17</v>
      </c>
      <c r="L923" s="2" t="s">
        <v>10</v>
      </c>
      <c r="M923" s="2" t="s">
        <v>92</v>
      </c>
      <c r="N923" s="2" t="s">
        <v>64</v>
      </c>
    </row>
    <row r="924">
      <c r="A924" s="2" t="str">
        <f>IFERROR(__xludf.DUMMYFUNCTION("""COMPUTED_VALUE"""),"PR049")</f>
        <v>PR049</v>
      </c>
      <c r="B924" s="2" t="str">
        <f>IFERROR(__xludf.DUMMYFUNCTION("""COMPUTED_VALUE"""),"VD017")</f>
        <v>VD017</v>
      </c>
      <c r="C924" s="2">
        <f>IFERROR(__xludf.DUMMYFUNCTION("""COMPUTED_VALUE"""),20.0)</f>
        <v>20</v>
      </c>
      <c r="D924" s="6">
        <f>IFERROR(__xludf.DUMMYFUNCTION("""COMPUTED_VALUE"""),671.16)</f>
        <v>671.16</v>
      </c>
      <c r="E924" s="6">
        <f>IFERROR(__xludf.DUMMYFUNCTION("GOOGLEFINANCE(""Currency:BRLMXN"")*D924"),2280.2661)</f>
        <v>2280.2661</v>
      </c>
      <c r="F924" s="6">
        <f>IFERROR(__xludf.DUMMYFUNCTION("GOOGLEFINANCE(""Currency:BRLPEN"")*D924"),440.01249599999994)</f>
        <v>440.012496</v>
      </c>
      <c r="G924" s="2" t="str">
        <f t="array" ref="G924">_xlfn.XLOOKUP(B924,Vendedores!$A$2:$A$41,Vendedores!$B$2:$B$41,"No hay datos")</f>
        <v>Bruno Peralta</v>
      </c>
      <c r="H924" s="2" t="str">
        <f t="array" ref="H924">_xlfn.XLOOKUP(B924,Vendedores!$A$2:$A$41,Vendedores!$C$2:$C$41,"No hay datos")</f>
        <v>Costa Azul</v>
      </c>
      <c r="I924" s="2" t="str">
        <f t="array" ref="I924">_xlfn.XLOOKUP(B924,Vendedores!$A$2:$A$41,Vendedores!$D$2:$D$41,"No hay datos")</f>
        <v>Región Norte</v>
      </c>
      <c r="J924" s="2" t="str">
        <f t="array" ref="J924:N924">_xlfn.XLOOKUP(A924,Productos!$A$2:$A$61,Productos!$B$2:$F$61)</f>
        <v>Playera a rayas</v>
      </c>
      <c r="K924" s="2" t="s">
        <v>9</v>
      </c>
      <c r="L924" s="2" t="s">
        <v>10</v>
      </c>
      <c r="M924" s="2" t="s">
        <v>47</v>
      </c>
      <c r="N924" s="2" t="s">
        <v>24</v>
      </c>
    </row>
    <row r="925">
      <c r="A925" s="2" t="str">
        <f>IFERROR(__xludf.DUMMYFUNCTION("""COMPUTED_VALUE"""),"PR050")</f>
        <v>PR050</v>
      </c>
      <c r="B925" s="2" t="str">
        <f>IFERROR(__xludf.DUMMYFUNCTION("""COMPUTED_VALUE"""),"VD011")</f>
        <v>VD011</v>
      </c>
      <c r="C925" s="2">
        <f>IFERROR(__xludf.DUMMYFUNCTION("""COMPUTED_VALUE"""),2.0)</f>
        <v>2</v>
      </c>
      <c r="D925" s="6">
        <f>IFERROR(__xludf.DUMMYFUNCTION("""COMPUTED_VALUE"""),71.06)</f>
        <v>71.06</v>
      </c>
      <c r="E925" s="6">
        <f>IFERROR(__xludf.DUMMYFUNCTION("GOOGLEFINANCE(""Currency:BRLMXN"")*D925"),241.42635)</f>
        <v>241.42635</v>
      </c>
      <c r="F925" s="6">
        <f>IFERROR(__xludf.DUMMYFUNCTION("GOOGLEFINANCE(""Currency:BRLPEN"")*D925"),46.586936)</f>
        <v>46.586936</v>
      </c>
      <c r="G925" s="2" t="str">
        <f t="array" ref="G925">_xlfn.XLOOKUP(B925,Vendedores!$A$2:$A$41,Vendedores!$B$2:$B$41,"No hay datos")</f>
        <v>Juan Santos</v>
      </c>
      <c r="H925" s="2" t="str">
        <f t="array" ref="H925">_xlfn.XLOOKUP(B925,Vendedores!$A$2:$A$41,Vendedores!$C$2:$C$41,"No hay datos")</f>
        <v>Vista Hermosa</v>
      </c>
      <c r="I925" s="2" t="str">
        <f t="array" ref="I925">_xlfn.XLOOKUP(B925,Vendedores!$A$2:$A$41,Vendedores!$D$2:$D$41,"No hay datos")</f>
        <v>Región Central</v>
      </c>
      <c r="J925" s="2" t="str">
        <f t="array" ref="J925:N925">_xlfn.XLOOKUP(A925,Productos!$A$2:$A$61,Productos!$B$2:$F$61)</f>
        <v>Playera a rayas</v>
      </c>
      <c r="K925" s="2" t="s">
        <v>17</v>
      </c>
      <c r="L925" s="2" t="s">
        <v>10</v>
      </c>
      <c r="M925" s="2" t="s">
        <v>27</v>
      </c>
      <c r="N925" s="2" t="s">
        <v>24</v>
      </c>
    </row>
    <row r="926">
      <c r="A926" s="2" t="str">
        <f>IFERROR(__xludf.DUMMYFUNCTION("""COMPUTED_VALUE"""),"PR008")</f>
        <v>PR008</v>
      </c>
      <c r="B926" s="2" t="str">
        <f>IFERROR(__xludf.DUMMYFUNCTION("""COMPUTED_VALUE"""),"VD046")</f>
        <v>VD046</v>
      </c>
      <c r="C926" s="2">
        <f>IFERROR(__xludf.DUMMYFUNCTION("""COMPUTED_VALUE"""),2.0)</f>
        <v>2</v>
      </c>
      <c r="D926" s="6">
        <f>IFERROR(__xludf.DUMMYFUNCTION("""COMPUTED_VALUE"""),186.99)</f>
        <v>186.99</v>
      </c>
      <c r="E926" s="6">
        <f>IFERROR(__xludf.DUMMYFUNCTION("GOOGLEFINANCE(""Currency:BRLMXN"")*D926"),635.298525)</f>
        <v>635.298525</v>
      </c>
      <c r="F926" s="6">
        <f>IFERROR(__xludf.DUMMYFUNCTION("GOOGLEFINANCE(""Currency:BRLPEN"")*D926"),122.590644)</f>
        <v>122.590644</v>
      </c>
      <c r="G926" s="2" t="str">
        <f t="array" ref="G926">_xlfn.XLOOKUP(B926,Vendedores!$A$2:$A$41,Vendedores!$B$2:$B$41,"No hay datos")</f>
        <v>Juliana Pérez</v>
      </c>
      <c r="H926" s="2" t="str">
        <f t="array" ref="H926">_xlfn.XLOOKUP(B926,Vendedores!$A$2:$A$41,Vendedores!$C$2:$C$41,"No hay datos")</f>
        <v>Santa Cruz de la Sierra</v>
      </c>
      <c r="I926" s="2" t="str">
        <f t="array" ref="I926">_xlfn.XLOOKUP(B926,Vendedores!$A$2:$A$41,Vendedores!$D$2:$D$41,"No hay datos")</f>
        <v>Región Central 2</v>
      </c>
      <c r="J926" s="2" t="str">
        <f t="array" ref="J926:N926">_xlfn.XLOOKUP(A926,Productos!$A$2:$A$61,Productos!$B$2:$F$61)</f>
        <v>Pantalón de mezclilla</v>
      </c>
      <c r="K926" s="2" t="s">
        <v>17</v>
      </c>
      <c r="L926" s="2" t="s">
        <v>10</v>
      </c>
      <c r="M926" s="2" t="s">
        <v>65</v>
      </c>
      <c r="N926" s="2" t="s">
        <v>35</v>
      </c>
    </row>
    <row r="927">
      <c r="A927" s="2" t="str">
        <f>IFERROR(__xludf.DUMMYFUNCTION("""COMPUTED_VALUE"""),"PR024")</f>
        <v>PR024</v>
      </c>
      <c r="B927" s="2" t="str">
        <f>IFERROR(__xludf.DUMMYFUNCTION("""COMPUTED_VALUE"""),"VD039")</f>
        <v>VD039</v>
      </c>
      <c r="C927" s="2">
        <f>IFERROR(__xludf.DUMMYFUNCTION("""COMPUTED_VALUE"""),2.0)</f>
        <v>2</v>
      </c>
      <c r="D927" s="6">
        <f>IFERROR(__xludf.DUMMYFUNCTION("""COMPUTED_VALUE"""),561.38)</f>
        <v>561.38</v>
      </c>
      <c r="E927" s="6">
        <f>IFERROR(__xludf.DUMMYFUNCTION("GOOGLEFINANCE(""Currency:BRLMXN"")*D927"),1907.28855)</f>
        <v>1907.28855</v>
      </c>
      <c r="F927" s="6">
        <f>IFERROR(__xludf.DUMMYFUNCTION("GOOGLEFINANCE(""Currency:BRLPEN"")*D927"),368.040728)</f>
        <v>368.040728</v>
      </c>
      <c r="G927" s="2" t="str">
        <f t="array" ref="G927">_xlfn.XLOOKUP(B927,Vendedores!$A$2:$A$41,Vendedores!$B$2:$B$41,"No hay datos")</f>
        <v>Daniela Rodríguez</v>
      </c>
      <c r="H927" s="2" t="str">
        <f t="array" ref="H927">_xlfn.XLOOKUP(B927,Vendedores!$A$2:$A$41,Vendedores!$C$2:$C$41,"No hay datos")</f>
        <v>Bahía del Sol</v>
      </c>
      <c r="I927" s="2" t="str">
        <f t="array" ref="I927">_xlfn.XLOOKUP(B927,Vendedores!$A$2:$A$41,Vendedores!$D$2:$D$41,"No hay datos")</f>
        <v>Región Central 2</v>
      </c>
      <c r="J927" s="2" t="str">
        <f t="array" ref="J927:N927">_xlfn.XLOOKUP(A927,Productos!$A$2:$A$61,Productos!$B$2:$F$61)</f>
        <v>Chaqueta de mezclilla</v>
      </c>
      <c r="K927" s="2" t="s">
        <v>17</v>
      </c>
      <c r="L927" s="2" t="s">
        <v>10</v>
      </c>
      <c r="M927" s="2" t="s">
        <v>92</v>
      </c>
      <c r="N927" s="2" t="s">
        <v>64</v>
      </c>
    </row>
    <row r="928">
      <c r="A928" s="2" t="str">
        <f>IFERROR(__xludf.DUMMYFUNCTION("""COMPUTED_VALUE"""),"PR016")</f>
        <v>PR016</v>
      </c>
      <c r="B928" s="2" t="str">
        <f>IFERROR(__xludf.DUMMYFUNCTION("""COMPUTED_VALUE"""),"VD028")</f>
        <v>VD028</v>
      </c>
      <c r="C928" s="2">
        <f>IFERROR(__xludf.DUMMYFUNCTION("""COMPUTED_VALUE"""),5.0)</f>
        <v>5</v>
      </c>
      <c r="D928" s="6">
        <f>IFERROR(__xludf.DUMMYFUNCTION("""COMPUTED_VALUE"""),132.09)</f>
        <v>132.09</v>
      </c>
      <c r="E928" s="6">
        <f>IFERROR(__xludf.DUMMYFUNCTION("GOOGLEFINANCE(""Currency:BRLMXN"")*D928"),448.775775)</f>
        <v>448.775775</v>
      </c>
      <c r="F928" s="6">
        <f>IFERROR(__xludf.DUMMYFUNCTION("GOOGLEFINANCE(""Currency:BRLPEN"")*D928"),86.598204)</f>
        <v>86.598204</v>
      </c>
      <c r="G928" s="2" t="str">
        <f t="array" ref="G928">_xlfn.XLOOKUP(B928,Vendedores!$A$2:$A$41,Vendedores!$B$2:$B$41,"No hay datos")</f>
        <v>Rodrigo Almonte</v>
      </c>
      <c r="H928" s="2" t="str">
        <f t="array" ref="H928">_xlfn.XLOOKUP(B928,Vendedores!$A$2:$A$41,Vendedores!$C$2:$C$41,"No hay datos")</f>
        <v>Valle Escondido</v>
      </c>
      <c r="I928" s="2" t="str">
        <f t="array" ref="I928">_xlfn.XLOOKUP(B928,Vendedores!$A$2:$A$41,Vendedores!$D$2:$D$41,"No hay datos")</f>
        <v>Región Andina</v>
      </c>
      <c r="J928" s="2" t="str">
        <f t="array" ref="J928:N928">_xlfn.XLOOKUP(A928,Productos!$A$2:$A$61,Productos!$B$2:$F$61)</f>
        <v>Playera lisa</v>
      </c>
      <c r="K928" s="2" t="s">
        <v>9</v>
      </c>
      <c r="L928" s="2" t="s">
        <v>10</v>
      </c>
      <c r="M928" s="2" t="s">
        <v>20</v>
      </c>
      <c r="N928" s="2" t="s">
        <v>21</v>
      </c>
    </row>
    <row r="929">
      <c r="A929" s="2" t="str">
        <f>IFERROR(__xludf.DUMMYFUNCTION("""COMPUTED_VALUE"""),"PR025")</f>
        <v>PR025</v>
      </c>
      <c r="B929" s="2" t="str">
        <f>IFERROR(__xludf.DUMMYFUNCTION("""COMPUTED_VALUE"""),"VD047")</f>
        <v>VD047</v>
      </c>
      <c r="C929" s="2">
        <f>IFERROR(__xludf.DUMMYFUNCTION("""COMPUTED_VALUE"""),20.0)</f>
        <v>20</v>
      </c>
      <c r="D929" s="6">
        <f>IFERROR(__xludf.DUMMYFUNCTION("""COMPUTED_VALUE"""),6297.9)</f>
        <v>6297.9</v>
      </c>
      <c r="E929" s="6">
        <f>IFERROR(__xludf.DUMMYFUNCTION("GOOGLEFINANCE(""Currency:BRLMXN"")*D929"),21397.11525)</f>
        <v>21397.11525</v>
      </c>
      <c r="F929" s="6">
        <f>IFERROR(__xludf.DUMMYFUNCTION("GOOGLEFINANCE(""Currency:BRLPEN"")*D929"),4128.90324)</f>
        <v>4128.90324</v>
      </c>
      <c r="G929" s="2" t="str">
        <f t="array" ref="G929">_xlfn.XLOOKUP(B929,Vendedores!$A$2:$A$41,Vendedores!$B$2:$B$41,"No hay datos")</f>
        <v>Andrés López</v>
      </c>
      <c r="H929" s="2" t="str">
        <f t="array" ref="H929">_xlfn.XLOOKUP(B929,Vendedores!$A$2:$A$41,Vendedores!$C$2:$C$41,"No hay datos")</f>
        <v>Villa Progreso</v>
      </c>
      <c r="I929" s="2" t="str">
        <f t="array" ref="I929">_xlfn.XLOOKUP(B929,Vendedores!$A$2:$A$41,Vendedores!$D$2:$D$41,"No hay datos")</f>
        <v>Región Central 2</v>
      </c>
      <c r="J929" s="2" t="str">
        <f t="array" ref="J929:N929">_xlfn.XLOOKUP(A929,Productos!$A$2:$A$61,Productos!$B$2:$F$61)</f>
        <v>Chaqueta de mezclilla</v>
      </c>
      <c r="K929" s="2" t="s">
        <v>22</v>
      </c>
      <c r="L929" s="2" t="s">
        <v>10</v>
      </c>
      <c r="M929" s="2" t="s">
        <v>107</v>
      </c>
      <c r="N929" s="2" t="s">
        <v>16</v>
      </c>
    </row>
    <row r="930">
      <c r="A930" s="2" t="str">
        <f>IFERROR(__xludf.DUMMYFUNCTION("""COMPUTED_VALUE"""),"PR055")</f>
        <v>PR055</v>
      </c>
      <c r="B930" s="2" t="str">
        <f>IFERROR(__xludf.DUMMYFUNCTION("""COMPUTED_VALUE"""),"VD047")</f>
        <v>VD047</v>
      </c>
      <c r="C930" s="2">
        <f>IFERROR(__xludf.DUMMYFUNCTION("""COMPUTED_VALUE"""),8.0)</f>
        <v>8</v>
      </c>
      <c r="D930" s="6">
        <f>IFERROR(__xludf.DUMMYFUNCTION("""COMPUTED_VALUE"""),783.93)</f>
        <v>783.93</v>
      </c>
      <c r="E930" s="6">
        <f>IFERROR(__xludf.DUMMYFUNCTION("GOOGLEFINANCE(""Currency:BRLMXN"")*D930"),2663.4021749999997)</f>
        <v>2663.402175</v>
      </c>
      <c r="F930" s="6">
        <f>IFERROR(__xludf.DUMMYFUNCTION("GOOGLEFINANCE(""Currency:BRLPEN"")*D930"),513.9445079999999)</f>
        <v>513.944508</v>
      </c>
      <c r="G930" s="2" t="str">
        <f t="array" ref="G930">_xlfn.XLOOKUP(B930,Vendedores!$A$2:$A$41,Vendedores!$B$2:$B$41,"No hay datos")</f>
        <v>Andrés López</v>
      </c>
      <c r="H930" s="2" t="str">
        <f t="array" ref="H930">_xlfn.XLOOKUP(B930,Vendedores!$A$2:$A$41,Vendedores!$C$2:$C$41,"No hay datos")</f>
        <v>Villa Progreso</v>
      </c>
      <c r="I930" s="2" t="str">
        <f t="array" ref="I930">_xlfn.XLOOKUP(B930,Vendedores!$A$2:$A$41,Vendedores!$D$2:$D$41,"No hay datos")</f>
        <v>Región Central 2</v>
      </c>
      <c r="J930" s="2" t="str">
        <f t="array" ref="J930:N930">_xlfn.XLOOKUP(A930,Productos!$A$2:$A$61,Productos!$B$2:$F$61)</f>
        <v>Sandalia plana</v>
      </c>
      <c r="K930" s="2">
        <v>35.0</v>
      </c>
      <c r="L930" s="2" t="s">
        <v>33</v>
      </c>
      <c r="M930" s="2" t="s">
        <v>34</v>
      </c>
      <c r="N930" s="2" t="s">
        <v>35</v>
      </c>
    </row>
    <row r="931">
      <c r="A931" s="2" t="str">
        <f>IFERROR(__xludf.DUMMYFUNCTION("""COMPUTED_VALUE"""),"PR047")</f>
        <v>PR047</v>
      </c>
      <c r="B931" s="2" t="str">
        <f>IFERROR(__xludf.DUMMYFUNCTION("""COMPUTED_VALUE"""),"VD025")</f>
        <v>VD025</v>
      </c>
      <c r="C931" s="2">
        <f>IFERROR(__xludf.DUMMYFUNCTION("""COMPUTED_VALUE"""),7.0)</f>
        <v>7</v>
      </c>
      <c r="D931" s="6">
        <f>IFERROR(__xludf.DUMMYFUNCTION("""COMPUTED_VALUE"""),2110.47)</f>
        <v>2110.47</v>
      </c>
      <c r="E931" s="6">
        <f>IFERROR(__xludf.DUMMYFUNCTION("GOOGLEFINANCE(""Currency:BRLMXN"")*D931"),7170.321824999999)</f>
        <v>7170.321825</v>
      </c>
      <c r="F931" s="6">
        <f>IFERROR(__xludf.DUMMYFUNCTION("GOOGLEFINANCE(""Currency:BRLPEN"")*D931"),1383.6241319999997)</f>
        <v>1383.624132</v>
      </c>
      <c r="G931" s="2" t="str">
        <f t="array" ref="G931">_xlfn.XLOOKUP(B931,Vendedores!$A$2:$A$41,Vendedores!$B$2:$B$41,"No hay datos")</f>
        <v>Alina Santana</v>
      </c>
      <c r="H931" s="2" t="str">
        <f t="array" ref="H931">_xlfn.XLOOKUP(B931,Vendedores!$A$2:$A$41,Vendedores!$C$2:$C$41,"No hay datos")</f>
        <v>Playa Blanca</v>
      </c>
      <c r="I931" s="2" t="str">
        <f t="array" ref="I931">_xlfn.XLOOKUP(B931,Vendedores!$A$2:$A$41,Vendedores!$D$2:$D$41,"No hay datos")</f>
        <v>Región Norte</v>
      </c>
      <c r="J931" s="2" t="str">
        <f t="array" ref="J931:N931">_xlfn.XLOOKUP(A931,Productos!$A$2:$A$61,Productos!$B$2:$F$61)</f>
        <v>Chaqueta de cuero</v>
      </c>
      <c r="K931" s="2" t="s">
        <v>17</v>
      </c>
      <c r="L931" s="2" t="s">
        <v>10</v>
      </c>
      <c r="M931" s="2" t="s">
        <v>43</v>
      </c>
      <c r="N931" s="2" t="s">
        <v>44</v>
      </c>
    </row>
    <row r="932">
      <c r="A932" s="2" t="str">
        <f>IFERROR(__xludf.DUMMYFUNCTION("""COMPUTED_VALUE"""),"PR001")</f>
        <v>PR001</v>
      </c>
      <c r="B932" s="2" t="str">
        <f>IFERROR(__xludf.DUMMYFUNCTION("""COMPUTED_VALUE"""),"VD012")</f>
        <v>VD012</v>
      </c>
      <c r="C932" s="2">
        <f>IFERROR(__xludf.DUMMYFUNCTION("""COMPUTED_VALUE"""),12.0)</f>
        <v>12</v>
      </c>
      <c r="D932" s="6">
        <f>IFERROR(__xludf.DUMMYFUNCTION("""COMPUTED_VALUE"""),846.16)</f>
        <v>846.16</v>
      </c>
      <c r="E932" s="6">
        <f>IFERROR(__xludf.DUMMYFUNCTION("GOOGLEFINANCE(""Currency:BRLMXN"")*D932"),2874.8286)</f>
        <v>2874.8286</v>
      </c>
      <c r="F932" s="6">
        <f>IFERROR(__xludf.DUMMYFUNCTION("GOOGLEFINANCE(""Currency:BRLPEN"")*D932"),554.742496)</f>
        <v>554.742496</v>
      </c>
      <c r="G932" s="2" t="str">
        <f t="array" ref="G932">_xlfn.XLOOKUP(B932,Vendedores!$A$2:$A$41,Vendedores!$B$2:$B$41,"No hay datos")</f>
        <v>Ana Olmedo</v>
      </c>
      <c r="H932" s="2" t="str">
        <f t="array" ref="H932">_xlfn.XLOOKUP(B932,Vendedores!$A$2:$A$41,Vendedores!$C$2:$C$41,"No hay datos")</f>
        <v>Río Claro</v>
      </c>
      <c r="I932" s="2" t="str">
        <f t="array" ref="I932">_xlfn.XLOOKUP(B932,Vendedores!$A$2:$A$41,Vendedores!$D$2:$D$41,"No hay datos")</f>
        <v>Región Central</v>
      </c>
      <c r="J932" s="2" t="str">
        <f t="array" ref="J932:N932">_xlfn.XLOOKUP(A932,Productos!$A$2:$A$61,Productos!$B$2:$F$61)</f>
        <v>Bermuda</v>
      </c>
      <c r="K932" s="2" t="s">
        <v>9</v>
      </c>
      <c r="L932" s="2" t="s">
        <v>10</v>
      </c>
      <c r="M932" s="2" t="s">
        <v>11</v>
      </c>
      <c r="N932" s="2" t="s">
        <v>12</v>
      </c>
    </row>
    <row r="933">
      <c r="A933" s="2" t="str">
        <f>IFERROR(__xludf.DUMMYFUNCTION("""COMPUTED_VALUE"""),"PR017")</f>
        <v>PR017</v>
      </c>
      <c r="B933" s="2" t="str">
        <f>IFERROR(__xludf.DUMMYFUNCTION("""COMPUTED_VALUE"""),"VD032")</f>
        <v>VD032</v>
      </c>
      <c r="C933" s="2">
        <f>IFERROR(__xludf.DUMMYFUNCTION("""COMPUTED_VALUE"""),18.0)</f>
        <v>18</v>
      </c>
      <c r="D933" s="6">
        <f>IFERROR(__xludf.DUMMYFUNCTION("""COMPUTED_VALUE"""),559.73)</f>
        <v>559.73</v>
      </c>
      <c r="E933" s="6">
        <f>IFERROR(__xludf.DUMMYFUNCTION("GOOGLEFINANCE(""Currency:BRLMXN"")*D933"),1901.682675)</f>
        <v>1901.682675</v>
      </c>
      <c r="F933" s="6">
        <f>IFERROR(__xludf.DUMMYFUNCTION("GOOGLEFINANCE(""Currency:BRLPEN"")*D933"),366.958988)</f>
        <v>366.958988</v>
      </c>
      <c r="G933" s="2" t="str">
        <f t="array" ref="G933">_xlfn.XLOOKUP(B933,Vendedores!$A$2:$A$41,Vendedores!$B$2:$B$41,"No hay datos")</f>
        <v>Eduardo Almonte</v>
      </c>
      <c r="H933" s="2" t="str">
        <f t="array" ref="H933">_xlfn.XLOOKUP(B933,Vendedores!$A$2:$A$41,Vendedores!$C$2:$C$41,"No hay datos")</f>
        <v>Tierra Colorada</v>
      </c>
      <c r="I933" s="2" t="str">
        <f t="array" ref="I933">_xlfn.XLOOKUP(B933,Vendedores!$A$2:$A$41,Vendedores!$D$2:$D$41,"No hay datos")</f>
        <v>Región Central 2</v>
      </c>
      <c r="J933" s="2" t="str">
        <f t="array" ref="J933:N933">_xlfn.XLOOKUP(A933,Productos!$A$2:$A$61,Productos!$B$2:$F$61)</f>
        <v>Playera lisa</v>
      </c>
      <c r="K933" s="2" t="s">
        <v>17</v>
      </c>
      <c r="L933" s="2" t="s">
        <v>10</v>
      </c>
      <c r="M933" s="2" t="s">
        <v>98</v>
      </c>
      <c r="N933" s="2" t="s">
        <v>99</v>
      </c>
    </row>
    <row r="934">
      <c r="A934" s="2" t="str">
        <f>IFERROR(__xludf.DUMMYFUNCTION("""COMPUTED_VALUE"""),"PR031")</f>
        <v>PR031</v>
      </c>
      <c r="B934" s="2" t="str">
        <f>IFERROR(__xludf.DUMMYFUNCTION("""COMPUTED_VALUE"""),"VD039")</f>
        <v>VD039</v>
      </c>
      <c r="C934" s="2">
        <f>IFERROR(__xludf.DUMMYFUNCTION("""COMPUTED_VALUE"""),2.0)</f>
        <v>2</v>
      </c>
      <c r="D934" s="6">
        <f>IFERROR(__xludf.DUMMYFUNCTION("""COMPUTED_VALUE"""),529.2)</f>
        <v>529.2</v>
      </c>
      <c r="E934" s="6">
        <f>IFERROR(__xludf.DUMMYFUNCTION("GOOGLEFINANCE(""Currency:BRLMXN"")*D934"),1797.957)</f>
        <v>1797.957</v>
      </c>
      <c r="F934" s="6">
        <f>IFERROR(__xludf.DUMMYFUNCTION("GOOGLEFINANCE(""Currency:BRLPEN"")*D934"),346.94352000000003)</f>
        <v>346.94352</v>
      </c>
      <c r="G934" s="2" t="str">
        <f t="array" ref="G934">_xlfn.XLOOKUP(B934,Vendedores!$A$2:$A$41,Vendedores!$B$2:$B$41,"No hay datos")</f>
        <v>Daniela Rodríguez</v>
      </c>
      <c r="H934" s="2" t="str">
        <f t="array" ref="H934">_xlfn.XLOOKUP(B934,Vendedores!$A$2:$A$41,Vendedores!$C$2:$C$41,"No hay datos")</f>
        <v>Bahía del Sol</v>
      </c>
      <c r="I934" s="2" t="str">
        <f t="array" ref="I934">_xlfn.XLOOKUP(B934,Vendedores!$A$2:$A$41,Vendedores!$D$2:$D$41,"No hay datos")</f>
        <v>Región Central 2</v>
      </c>
      <c r="J934" s="2" t="str">
        <f t="array" ref="J934:N934">_xlfn.XLOOKUP(A934,Productos!$A$2:$A$61,Productos!$B$2:$F$61)</f>
        <v>Tenis Chunky</v>
      </c>
      <c r="K934" s="2">
        <v>36.0</v>
      </c>
      <c r="L934" s="2" t="s">
        <v>33</v>
      </c>
      <c r="M934" s="2" t="s">
        <v>84</v>
      </c>
      <c r="N934" s="2" t="s">
        <v>85</v>
      </c>
    </row>
    <row r="935">
      <c r="A935" s="2" t="str">
        <f>IFERROR(__xludf.DUMMYFUNCTION("""COMPUTED_VALUE"""),"PR059")</f>
        <v>PR059</v>
      </c>
      <c r="B935" s="2" t="str">
        <f>IFERROR(__xludf.DUMMYFUNCTION("""COMPUTED_VALUE"""),"VD024")</f>
        <v>VD024</v>
      </c>
      <c r="C935" s="2">
        <f>IFERROR(__xludf.DUMMYFUNCTION("""COMPUTED_VALUE"""),14.0)</f>
        <v>14</v>
      </c>
      <c r="D935" s="6">
        <f>IFERROR(__xludf.DUMMYFUNCTION("""COMPUTED_VALUE"""),2570.4)</f>
        <v>2570.4</v>
      </c>
      <c r="E935" s="6">
        <f>IFERROR(__xludf.DUMMYFUNCTION("GOOGLEFINANCE(""Currency:BRLMXN"")*D935"),8732.934000000001)</f>
        <v>8732.934</v>
      </c>
      <c r="F935" s="6">
        <f>IFERROR(__xludf.DUMMYFUNCTION("GOOGLEFINANCE(""Currency:BRLPEN"")*D935"),1685.1542399999998)</f>
        <v>1685.15424</v>
      </c>
      <c r="G935" s="2" t="str">
        <f t="array" ref="G935">_xlfn.XLOOKUP(B935,Vendedores!$A$2:$A$41,Vendedores!$B$2:$B$41,"No hay datos")</f>
        <v>Marcos Rivera</v>
      </c>
      <c r="H935" s="2" t="str">
        <f t="array" ref="H935">_xlfn.XLOOKUP(B935,Vendedores!$A$2:$A$41,Vendedores!$C$2:$C$41,"No hay datos")</f>
        <v>Santa Rosa del Valle</v>
      </c>
      <c r="I935" s="2" t="str">
        <f t="array" ref="I935">_xlfn.XLOOKUP(B935,Vendedores!$A$2:$A$41,Vendedores!$D$2:$D$41,"No hay datos")</f>
        <v>Región Norte</v>
      </c>
      <c r="J935" s="2" t="str">
        <f t="array" ref="J935:N935">_xlfn.XLOOKUP(A935,Productos!$A$2:$A$61,Productos!$B$2:$F$61)</f>
        <v>Pantalón de sastre</v>
      </c>
      <c r="K935" s="2" t="s">
        <v>17</v>
      </c>
      <c r="L935" s="2" t="s">
        <v>10</v>
      </c>
      <c r="M935" s="2" t="s">
        <v>28</v>
      </c>
      <c r="N935" s="2" t="s">
        <v>14</v>
      </c>
    </row>
    <row r="936">
      <c r="A936" s="2" t="str">
        <f>IFERROR(__xludf.DUMMYFUNCTION("""COMPUTED_VALUE"""),"PR008")</f>
        <v>PR008</v>
      </c>
      <c r="B936" s="2" t="str">
        <f>IFERROR(__xludf.DUMMYFUNCTION("""COMPUTED_VALUE"""),"VD046")</f>
        <v>VD046</v>
      </c>
      <c r="C936" s="2">
        <f>IFERROR(__xludf.DUMMYFUNCTION("""COMPUTED_VALUE"""),8.0)</f>
        <v>8</v>
      </c>
      <c r="D936" s="6">
        <f>IFERROR(__xludf.DUMMYFUNCTION("""COMPUTED_VALUE"""),776.74)</f>
        <v>776.74</v>
      </c>
      <c r="E936" s="6">
        <f>IFERROR(__xludf.DUMMYFUNCTION("GOOGLEFINANCE(""Currency:BRLMXN"")*D936"),2638.97415)</f>
        <v>2638.97415</v>
      </c>
      <c r="F936" s="6">
        <f>IFERROR(__xludf.DUMMYFUNCTION("GOOGLEFINANCE(""Currency:BRLPEN"")*D936"),509.23074399999996)</f>
        <v>509.230744</v>
      </c>
      <c r="G936" s="2" t="str">
        <f t="array" ref="G936">_xlfn.XLOOKUP(B936,Vendedores!$A$2:$A$41,Vendedores!$B$2:$B$41,"No hay datos")</f>
        <v>Juliana Pérez</v>
      </c>
      <c r="H936" s="2" t="str">
        <f t="array" ref="H936">_xlfn.XLOOKUP(B936,Vendedores!$A$2:$A$41,Vendedores!$C$2:$C$41,"No hay datos")</f>
        <v>Santa Cruz de la Sierra</v>
      </c>
      <c r="I936" s="2" t="str">
        <f t="array" ref="I936">_xlfn.XLOOKUP(B936,Vendedores!$A$2:$A$41,Vendedores!$D$2:$D$41,"No hay datos")</f>
        <v>Región Central 2</v>
      </c>
      <c r="J936" s="2" t="str">
        <f t="array" ref="J936:N936">_xlfn.XLOOKUP(A936,Productos!$A$2:$A$61,Productos!$B$2:$F$61)</f>
        <v>Pantalón de mezclilla</v>
      </c>
      <c r="K936" s="2" t="s">
        <v>17</v>
      </c>
      <c r="L936" s="2" t="s">
        <v>10</v>
      </c>
      <c r="M936" s="2" t="s">
        <v>65</v>
      </c>
      <c r="N936" s="2" t="s">
        <v>35</v>
      </c>
    </row>
    <row r="937">
      <c r="A937" s="2" t="str">
        <f>IFERROR(__xludf.DUMMYFUNCTION("""COMPUTED_VALUE"""),"PR044")</f>
        <v>PR044</v>
      </c>
      <c r="B937" s="2" t="str">
        <f>IFERROR(__xludf.DUMMYFUNCTION("""COMPUTED_VALUE"""),"VD037")</f>
        <v>VD037</v>
      </c>
      <c r="C937" s="2">
        <f>IFERROR(__xludf.DUMMYFUNCTION("""COMPUTED_VALUE"""),8.0)</f>
        <v>8</v>
      </c>
      <c r="D937" s="6">
        <f>IFERROR(__xludf.DUMMYFUNCTION("""COMPUTED_VALUE"""),585.8)</f>
        <v>585.8</v>
      </c>
      <c r="E937" s="6">
        <f>IFERROR(__xludf.DUMMYFUNCTION("GOOGLEFINANCE(""Currency:BRLMXN"")*D937"),1990.2554999999998)</f>
        <v>1990.2555</v>
      </c>
      <c r="F937" s="6">
        <f>IFERROR(__xludf.DUMMYFUNCTION("GOOGLEFINANCE(""Currency:BRLPEN"")*D937"),384.05047999999994)</f>
        <v>384.05048</v>
      </c>
      <c r="G937" s="2" t="str">
        <f t="array" ref="G937">_xlfn.XLOOKUP(B937,Vendedores!$A$2:$A$41,Vendedores!$B$2:$B$41,"No hay datos")</f>
        <v>Amanda Silva</v>
      </c>
      <c r="H937" s="2" t="str">
        <f t="array" ref="H937">_xlfn.XLOOKUP(B937,Vendedores!$A$2:$A$41,Vendedores!$C$2:$C$41,"No hay datos")</f>
        <v>Villa Esperanza</v>
      </c>
      <c r="I937" s="2" t="str">
        <f t="array" ref="I937">_xlfn.XLOOKUP(B937,Vendedores!$A$2:$A$41,Vendedores!$D$2:$D$41,"No hay datos")</f>
        <v>Región Sur 2</v>
      </c>
      <c r="J937" s="2" t="str">
        <f t="array" ref="J937:N937">_xlfn.XLOOKUP(A937,Productos!$A$2:$A$61,Productos!$B$2:$F$61)</f>
        <v>Vestido floral</v>
      </c>
      <c r="K937" s="2" t="s">
        <v>17</v>
      </c>
      <c r="L937" s="2" t="s">
        <v>10</v>
      </c>
      <c r="M937" s="2" t="s">
        <v>105</v>
      </c>
      <c r="N937" s="2" t="s">
        <v>40</v>
      </c>
    </row>
    <row r="938">
      <c r="A938" s="2" t="str">
        <f>IFERROR(__xludf.DUMMYFUNCTION("""COMPUTED_VALUE"""),"PR034")</f>
        <v>PR034</v>
      </c>
      <c r="B938" s="2" t="str">
        <f>IFERROR(__xludf.DUMMYFUNCTION("""COMPUTED_VALUE"""),"VD020")</f>
        <v>VD020</v>
      </c>
      <c r="C938" s="2">
        <f>IFERROR(__xludf.DUMMYFUNCTION("""COMPUTED_VALUE"""),2.0)</f>
        <v>2</v>
      </c>
      <c r="D938" s="6">
        <f>IFERROR(__xludf.DUMMYFUNCTION("""COMPUTED_VALUE"""),183.4)</f>
        <v>183.4</v>
      </c>
      <c r="E938" s="6">
        <f>IFERROR(__xludf.DUMMYFUNCTION("GOOGLEFINANCE(""Currency:BRLMXN"")*D938"),623.1015)</f>
        <v>623.1015</v>
      </c>
      <c r="F938" s="6">
        <f>IFERROR(__xludf.DUMMYFUNCTION("GOOGLEFINANCE(""Currency:BRLPEN"")*D938"),120.23704)</f>
        <v>120.23704</v>
      </c>
      <c r="G938" s="2" t="str">
        <f t="array" ref="G938">_xlfn.XLOOKUP(B938,Vendedores!$A$2:$A$41,Vendedores!$B$2:$B$41,"No hay datos")</f>
        <v>Gustavo Morales</v>
      </c>
      <c r="H938" s="2" t="str">
        <f t="array" ref="H938">_xlfn.XLOOKUP(B938,Vendedores!$A$2:$A$41,Vendedores!$C$2:$C$41,"No hay datos")</f>
        <v>Villa del Sol</v>
      </c>
      <c r="I938" s="2" t="str">
        <f t="array" ref="I938">_xlfn.XLOOKUP(B938,Vendedores!$A$2:$A$41,Vendedores!$D$2:$D$41,"No hay datos")</f>
        <v>Región Central 2</v>
      </c>
      <c r="J938" s="2" t="str">
        <f t="array" ref="J938:N938">_xlfn.XLOOKUP(A938,Productos!$A$2:$A$61,Productos!$B$2:$F$61)</f>
        <v>Vestido corto</v>
      </c>
      <c r="K938" s="2" t="s">
        <v>9</v>
      </c>
      <c r="L938" s="2" t="s">
        <v>10</v>
      </c>
      <c r="M938" s="2" t="s">
        <v>93</v>
      </c>
      <c r="N938" s="2" t="s">
        <v>35</v>
      </c>
    </row>
    <row r="939">
      <c r="A939" s="2" t="str">
        <f>IFERROR(__xludf.DUMMYFUNCTION("""COMPUTED_VALUE"""),"PR020")</f>
        <v>PR020</v>
      </c>
      <c r="B939" s="2" t="str">
        <f>IFERROR(__xludf.DUMMYFUNCTION("""COMPUTED_VALUE"""),"VD014")</f>
        <v>VD014</v>
      </c>
      <c r="C939" s="2">
        <f>IFERROR(__xludf.DUMMYFUNCTION("""COMPUTED_VALUE"""),8.0)</f>
        <v>8</v>
      </c>
      <c r="D939" s="6">
        <f>IFERROR(__xludf.DUMMYFUNCTION("""COMPUTED_VALUE"""),2639.12)</f>
        <v>2639.12</v>
      </c>
      <c r="E939" s="6">
        <f>IFERROR(__xludf.DUMMYFUNCTION("GOOGLEFINANCE(""Currency:BRLMXN"")*D939"),8966.4102)</f>
        <v>8966.4102</v>
      </c>
      <c r="F939" s="6">
        <f>IFERROR(__xludf.DUMMYFUNCTION("GOOGLEFINANCE(""Currency:BRLPEN"")*D939"),1730.207072)</f>
        <v>1730.207072</v>
      </c>
      <c r="G939" s="2" t="str">
        <f t="array" ref="G939">_xlfn.XLOOKUP(B939,Vendedores!$A$2:$A$41,Vendedores!$B$2:$B$41,"No hay datos")</f>
        <v>Carla Flores</v>
      </c>
      <c r="H939" s="2" t="str">
        <f t="array" ref="H939">_xlfn.XLOOKUP(B939,Vendedores!$A$2:$A$41,Vendedores!$C$2:$C$41,"No hay datos")</f>
        <v>Valle Escondido</v>
      </c>
      <c r="I939" s="2" t="str">
        <f t="array" ref="I939">_xlfn.XLOOKUP(B939,Vendedores!$A$2:$A$41,Vendedores!$D$2:$D$41,"No hay datos")</f>
        <v>Región Andina</v>
      </c>
      <c r="J939" s="2" t="str">
        <f t="array" ref="J939:N939">_xlfn.XLOOKUP(A939,Productos!$A$2:$A$61,Productos!$B$2:$F$61)</f>
        <v>Chaqueta de cuero</v>
      </c>
      <c r="K939" s="2" t="s">
        <v>9</v>
      </c>
      <c r="L939" s="2" t="s">
        <v>10</v>
      </c>
      <c r="M939" s="2" t="s">
        <v>15</v>
      </c>
      <c r="N939" s="2" t="s">
        <v>16</v>
      </c>
    </row>
    <row r="940">
      <c r="A940" s="2" t="str">
        <f>IFERROR(__xludf.DUMMYFUNCTION("""COMPUTED_VALUE"""),"PR056")</f>
        <v>PR056</v>
      </c>
      <c r="B940" s="2" t="str">
        <f>IFERROR(__xludf.DUMMYFUNCTION("""COMPUTED_VALUE"""),"VD013")</f>
        <v>VD013</v>
      </c>
      <c r="C940" s="2">
        <f>IFERROR(__xludf.DUMMYFUNCTION("""COMPUTED_VALUE"""),16.0)</f>
        <v>16</v>
      </c>
      <c r="D940" s="6">
        <f>IFERROR(__xludf.DUMMYFUNCTION("""COMPUTED_VALUE"""),1438.4)</f>
        <v>1438.4</v>
      </c>
      <c r="E940" s="6">
        <f>IFERROR(__xludf.DUMMYFUNCTION("GOOGLEFINANCE(""Currency:BRLMXN"")*D940"),4886.964)</f>
        <v>4886.964</v>
      </c>
      <c r="F940" s="6">
        <f>IFERROR(__xludf.DUMMYFUNCTION("GOOGLEFINANCE(""Currency:BRLPEN"")*D940"),943.01504)</f>
        <v>943.01504</v>
      </c>
      <c r="G940" s="2" t="str">
        <f t="array" ref="G940">_xlfn.XLOOKUP(B940,Vendedores!$A$2:$A$41,Vendedores!$B$2:$B$41,"No hay datos")</f>
        <v>Pedro Almonte</v>
      </c>
      <c r="H940" s="2" t="str">
        <f t="array" ref="H940">_xlfn.XLOOKUP(B940,Vendedores!$A$2:$A$41,Vendedores!$C$2:$C$41,"No hay datos")</f>
        <v>Santa Rosa del Valle</v>
      </c>
      <c r="I940" s="2" t="str">
        <f t="array" ref="I940">_xlfn.XLOOKUP(B940,Vendedores!$A$2:$A$41,Vendedores!$D$2:$D$41,"No hay datos")</f>
        <v>Región Norte</v>
      </c>
      <c r="J940" s="2" t="str">
        <f t="array" ref="J940:N940">_xlfn.XLOOKUP(A940,Productos!$A$2:$A$61,Productos!$B$2:$F$61)</f>
        <v>Sandalia plana</v>
      </c>
      <c r="K940" s="2">
        <v>36.0</v>
      </c>
      <c r="L940" s="2" t="s">
        <v>33</v>
      </c>
      <c r="M940" s="2" t="s">
        <v>106</v>
      </c>
      <c r="N940" s="2" t="s">
        <v>35</v>
      </c>
    </row>
    <row r="941">
      <c r="A941" s="2" t="str">
        <f>IFERROR(__xludf.DUMMYFUNCTION("""COMPUTED_VALUE"""),"PR057")</f>
        <v>PR057</v>
      </c>
      <c r="B941" s="2" t="str">
        <f>IFERROR(__xludf.DUMMYFUNCTION("""COMPUTED_VALUE"""),"VD018")</f>
        <v>VD018</v>
      </c>
      <c r="C941" s="2">
        <f>IFERROR(__xludf.DUMMYFUNCTION("""COMPUTED_VALUE"""),14.0)</f>
        <v>14</v>
      </c>
      <c r="D941" s="6">
        <f>IFERROR(__xludf.DUMMYFUNCTION("""COMPUTED_VALUE"""),1346.7)</f>
        <v>1346.7</v>
      </c>
      <c r="E941" s="6">
        <f>IFERROR(__xludf.DUMMYFUNCTION("GOOGLEFINANCE(""Currency:BRLMXN"")*D941"),4575.4132500000005)</f>
        <v>4575.41325</v>
      </c>
      <c r="F941" s="6">
        <f>IFERROR(__xludf.DUMMYFUNCTION("GOOGLEFINANCE(""Currency:BRLPEN"")*D941"),882.89652)</f>
        <v>882.89652</v>
      </c>
      <c r="G941" s="2" t="str">
        <f t="array" ref="G941">_xlfn.XLOOKUP(B941,Vendedores!$A$2:$A$41,Vendedores!$B$2:$B$41,"No hay datos")</f>
        <v>Leticia Rodríguez</v>
      </c>
      <c r="H941" s="2" t="str">
        <f t="array" ref="H941">_xlfn.XLOOKUP(B941,Vendedores!$A$2:$A$41,Vendedores!$C$2:$C$41,"No hay datos")</f>
        <v>Playa Blanca</v>
      </c>
      <c r="I941" s="2" t="str">
        <f t="array" ref="I941">_xlfn.XLOOKUP(B941,Vendedores!$A$2:$A$41,Vendedores!$D$2:$D$41,"No hay datos")</f>
        <v>Región Norte</v>
      </c>
      <c r="J941" s="2" t="str">
        <f t="array" ref="J941:N941">_xlfn.XLOOKUP(A941,Productos!$A$2:$A$61,Productos!$B$2:$F$61)</f>
        <v>Sandalia plana</v>
      </c>
      <c r="K941" s="2">
        <v>37.0</v>
      </c>
      <c r="L941" s="2" t="s">
        <v>33</v>
      </c>
      <c r="M941" s="2" t="s">
        <v>58</v>
      </c>
      <c r="N941" s="2" t="s">
        <v>35</v>
      </c>
    </row>
    <row r="942">
      <c r="A942" s="2" t="str">
        <f>IFERROR(__xludf.DUMMYFUNCTION("""COMPUTED_VALUE"""),"PR038")</f>
        <v>PR038</v>
      </c>
      <c r="B942" s="2" t="str">
        <f>IFERROR(__xludf.DUMMYFUNCTION("""COMPUTED_VALUE"""),"VD031")</f>
        <v>VD031</v>
      </c>
      <c r="C942" s="2">
        <f>IFERROR(__xludf.DUMMYFUNCTION("""COMPUTED_VALUE"""),14.0)</f>
        <v>14</v>
      </c>
      <c r="D942" s="6">
        <f>IFERROR(__xludf.DUMMYFUNCTION("""COMPUTED_VALUE"""),2180.65)</f>
        <v>2180.65</v>
      </c>
      <c r="E942" s="6">
        <f>IFERROR(__xludf.DUMMYFUNCTION("GOOGLEFINANCE(""Currency:BRLMXN"")*D942"),7408.758375)</f>
        <v>7408.758375</v>
      </c>
      <c r="F942" s="6">
        <f>IFERROR(__xludf.DUMMYFUNCTION("GOOGLEFINANCE(""Currency:BRLPEN"")*D942"),1429.63414)</f>
        <v>1429.63414</v>
      </c>
      <c r="G942" s="2" t="str">
        <f t="array" ref="G942">_xlfn.XLOOKUP(B942,Vendedores!$A$2:$A$41,Vendedores!$B$2:$B$41,"No hay datos")</f>
        <v>Vanessa Martínez</v>
      </c>
      <c r="H942" s="2" t="str">
        <f t="array" ref="H942">_xlfn.XLOOKUP(B942,Vendedores!$A$2:$A$41,Vendedores!$C$2:$C$41,"No hay datos")</f>
        <v>Monte Verde</v>
      </c>
      <c r="I942" s="2" t="str">
        <f t="array" ref="I942">_xlfn.XLOOKUP(B942,Vendedores!$A$2:$A$41,Vendedores!$D$2:$D$41,"No hay datos")</f>
        <v>Región Central 2</v>
      </c>
      <c r="J942" s="2" t="str">
        <f t="array" ref="J942:N942">_xlfn.XLOOKUP(A942,Productos!$A$2:$A$61,Productos!$B$2:$F$61)</f>
        <v>Vestido largo</v>
      </c>
      <c r="K942" s="2" t="s">
        <v>17</v>
      </c>
      <c r="L942" s="2" t="s">
        <v>10</v>
      </c>
      <c r="M942" s="2" t="s">
        <v>51</v>
      </c>
      <c r="N942" s="2" t="s">
        <v>52</v>
      </c>
    </row>
    <row r="943">
      <c r="A943" s="2" t="str">
        <f>IFERROR(__xludf.DUMMYFUNCTION("""COMPUTED_VALUE"""),"PR033")</f>
        <v>PR033</v>
      </c>
      <c r="B943" s="2" t="str">
        <f>IFERROR(__xludf.DUMMYFUNCTION("""COMPUTED_VALUE"""),"VD041")</f>
        <v>VD041</v>
      </c>
      <c r="C943" s="2">
        <f>IFERROR(__xludf.DUMMYFUNCTION("""COMPUTED_VALUE"""),2.0)</f>
        <v>2</v>
      </c>
      <c r="D943" s="6">
        <f>IFERROR(__xludf.DUMMYFUNCTION("""COMPUTED_VALUE"""),535.39)</f>
        <v>535.39</v>
      </c>
      <c r="E943" s="6">
        <f>IFERROR(__xludf.DUMMYFUNCTION("GOOGLEFINANCE(""Currency:BRLMXN"")*D943"),1818.987525)</f>
        <v>1818.987525</v>
      </c>
      <c r="F943" s="6">
        <f>IFERROR(__xludf.DUMMYFUNCTION("GOOGLEFINANCE(""Currency:BRLPEN"")*D943"),351.00168399999995)</f>
        <v>351.001684</v>
      </c>
      <c r="G943" s="2" t="str">
        <f t="array" ref="G943">_xlfn.XLOOKUP(B943,Vendedores!$A$2:$A$41,Vendedores!$B$2:$B$41,"No hay datos")</f>
        <v>Alejandro Ramos</v>
      </c>
      <c r="H943" s="2" t="str">
        <f t="array" ref="H943">_xlfn.XLOOKUP(B943,Vendedores!$A$2:$A$41,Vendedores!$C$2:$C$41,"No hay datos")</f>
        <v>San Martín de las Rosas</v>
      </c>
      <c r="I943" s="2" t="str">
        <f t="array" ref="I943">_xlfn.XLOOKUP(B943,Vendedores!$A$2:$A$41,Vendedores!$D$2:$D$41,"No hay datos")</f>
        <v>Región Central 2</v>
      </c>
      <c r="J943" s="2" t="str">
        <f t="array" ref="J943:N943">_xlfn.XLOOKUP(A943,Productos!$A$2:$A$61,Productos!$B$2:$F$61)</f>
        <v>Tenis Chunky</v>
      </c>
      <c r="K943" s="2">
        <v>38.0</v>
      </c>
      <c r="L943" s="2" t="s">
        <v>33</v>
      </c>
      <c r="M943" s="2" t="s">
        <v>63</v>
      </c>
      <c r="N943" s="2" t="s">
        <v>64</v>
      </c>
    </row>
    <row r="944">
      <c r="A944" s="2" t="str">
        <f>IFERROR(__xludf.DUMMYFUNCTION("""COMPUTED_VALUE"""),"PR008")</f>
        <v>PR008</v>
      </c>
      <c r="B944" s="2" t="str">
        <f>IFERROR(__xludf.DUMMYFUNCTION("""COMPUTED_VALUE"""),"VD019")</f>
        <v>VD019</v>
      </c>
      <c r="C944" s="2">
        <f>IFERROR(__xludf.DUMMYFUNCTION("""COMPUTED_VALUE"""),10.0)</f>
        <v>10</v>
      </c>
      <c r="D944" s="6">
        <f>IFERROR(__xludf.DUMMYFUNCTION("""COMPUTED_VALUE"""),934.96)</f>
        <v>934.96</v>
      </c>
      <c r="E944" s="6">
        <f>IFERROR(__xludf.DUMMYFUNCTION("GOOGLEFINANCE(""Currency:BRLMXN"")*D944"),3176.5266)</f>
        <v>3176.5266</v>
      </c>
      <c r="F944" s="6">
        <f>IFERROR(__xludf.DUMMYFUNCTION("GOOGLEFINANCE(""Currency:BRLPEN"")*D944"),612.959776)</f>
        <v>612.959776</v>
      </c>
      <c r="G944" s="2" t="str">
        <f t="array" ref="G944">_xlfn.XLOOKUP(B944,Vendedores!$A$2:$A$41,Vendedores!$B$2:$B$41,"No hay datos")</f>
        <v>Rafael Sosa</v>
      </c>
      <c r="H944" s="2" t="str">
        <f t="array" ref="H944">_xlfn.XLOOKUP(B944,Vendedores!$A$2:$A$41,Vendedores!$C$2:$C$41,"No hay datos")</f>
        <v>Selva Verde</v>
      </c>
      <c r="I944" s="2" t="str">
        <f t="array" ref="I944">_xlfn.XLOOKUP(B944,Vendedores!$A$2:$A$41,Vendedores!$D$2:$D$41,"No hay datos")</f>
        <v>Región Amazónica</v>
      </c>
      <c r="J944" s="2" t="str">
        <f t="array" ref="J944:N944">_xlfn.XLOOKUP(A944,Productos!$A$2:$A$61,Productos!$B$2:$F$61)</f>
        <v>Pantalón de mezclilla</v>
      </c>
      <c r="K944" s="2" t="s">
        <v>17</v>
      </c>
      <c r="L944" s="2" t="s">
        <v>10</v>
      </c>
      <c r="M944" s="2" t="s">
        <v>65</v>
      </c>
      <c r="N944" s="2" t="s">
        <v>35</v>
      </c>
    </row>
    <row r="945">
      <c r="A945" s="2" t="str">
        <f>IFERROR(__xludf.DUMMYFUNCTION("""COMPUTED_VALUE"""),"PR051")</f>
        <v>PR051</v>
      </c>
      <c r="B945" s="2" t="str">
        <f>IFERROR(__xludf.DUMMYFUNCTION("""COMPUTED_VALUE"""),"VD037")</f>
        <v>VD037</v>
      </c>
      <c r="C945" s="2">
        <f>IFERROR(__xludf.DUMMYFUNCTION("""COMPUTED_VALUE"""),4.0)</f>
        <v>4</v>
      </c>
      <c r="D945" s="6">
        <f>IFERROR(__xludf.DUMMYFUNCTION("""COMPUTED_VALUE"""),135.55)</f>
        <v>135.55</v>
      </c>
      <c r="E945" s="6">
        <f>IFERROR(__xludf.DUMMYFUNCTION("GOOGLEFINANCE(""Currency:BRLMXN"")*D945"),460.53112500000003)</f>
        <v>460.531125</v>
      </c>
      <c r="F945" s="6">
        <f>IFERROR(__xludf.DUMMYFUNCTION("GOOGLEFINANCE(""Currency:BRLPEN"")*D945"),88.86658)</f>
        <v>88.86658</v>
      </c>
      <c r="G945" s="2" t="str">
        <f t="array" ref="G945">_xlfn.XLOOKUP(B945,Vendedores!$A$2:$A$41,Vendedores!$B$2:$B$41,"No hay datos")</f>
        <v>Amanda Silva</v>
      </c>
      <c r="H945" s="2" t="str">
        <f t="array" ref="H945">_xlfn.XLOOKUP(B945,Vendedores!$A$2:$A$41,Vendedores!$C$2:$C$41,"No hay datos")</f>
        <v>Villa Esperanza</v>
      </c>
      <c r="I945" s="2" t="str">
        <f t="array" ref="I945">_xlfn.XLOOKUP(B945,Vendedores!$A$2:$A$41,Vendedores!$D$2:$D$41,"No hay datos")</f>
        <v>Región Sur 2</v>
      </c>
      <c r="J945" s="2" t="str">
        <f t="array" ref="J945:N945">_xlfn.XLOOKUP(A945,Productos!$A$2:$A$61,Productos!$B$2:$F$61)</f>
        <v>Playera a rayas</v>
      </c>
      <c r="K945" s="2" t="s">
        <v>22</v>
      </c>
      <c r="L945" s="2" t="s">
        <v>10</v>
      </c>
      <c r="M945" s="2" t="s">
        <v>23</v>
      </c>
      <c r="N945" s="2" t="s">
        <v>24</v>
      </c>
    </row>
    <row r="946">
      <c r="A946" s="2" t="str">
        <f>IFERROR(__xludf.DUMMYFUNCTION("""COMPUTED_VALUE"""),"PR038")</f>
        <v>PR038</v>
      </c>
      <c r="B946" s="2" t="str">
        <f>IFERROR(__xludf.DUMMYFUNCTION("""COMPUTED_VALUE"""),"VD022")</f>
        <v>VD022</v>
      </c>
      <c r="C946" s="2">
        <f>IFERROR(__xludf.DUMMYFUNCTION("""COMPUTED_VALUE"""),7.0)</f>
        <v>7</v>
      </c>
      <c r="D946" s="6">
        <f>IFERROR(__xludf.DUMMYFUNCTION("""COMPUTED_VALUE"""),1100.33)</f>
        <v>1100.33</v>
      </c>
      <c r="E946" s="6">
        <f>IFERROR(__xludf.DUMMYFUNCTION("GOOGLEFINANCE(""Currency:BRLMXN"")*D946"),3738.3711749999998)</f>
        <v>3738.371175</v>
      </c>
      <c r="F946" s="6">
        <f>IFERROR(__xludf.DUMMYFUNCTION("GOOGLEFINANCE(""Currency:BRLPEN"")*D946"),721.3763479999999)</f>
        <v>721.376348</v>
      </c>
      <c r="G946" s="2" t="str">
        <f t="array" ref="G946">_xlfn.XLOOKUP(B946,Vendedores!$A$2:$A$41,Vendedores!$B$2:$B$41,"No hay datos")</f>
        <v>Santiago Linares</v>
      </c>
      <c r="H946" s="2" t="str">
        <f t="array" ref="H946">_xlfn.XLOOKUP(B946,Vendedores!$A$2:$A$41,Vendedores!$C$2:$C$41,"No hay datos")</f>
        <v>Vista Hermosa</v>
      </c>
      <c r="I946" s="2" t="str">
        <f t="array" ref="I946">_xlfn.XLOOKUP(B946,Vendedores!$A$2:$A$41,Vendedores!$D$2:$D$41,"No hay datos")</f>
        <v>Región Central</v>
      </c>
      <c r="J946" s="2" t="str">
        <f t="array" ref="J946:N946">_xlfn.XLOOKUP(A946,Productos!$A$2:$A$61,Productos!$B$2:$F$61)</f>
        <v>Vestido largo</v>
      </c>
      <c r="K946" s="2" t="s">
        <v>17</v>
      </c>
      <c r="L946" s="2" t="s">
        <v>10</v>
      </c>
      <c r="M946" s="2" t="s">
        <v>51</v>
      </c>
      <c r="N946" s="2" t="s">
        <v>52</v>
      </c>
    </row>
    <row r="947">
      <c r="A947" s="2" t="str">
        <f>IFERROR(__xludf.DUMMYFUNCTION("""COMPUTED_VALUE"""),"PR009")</f>
        <v>PR009</v>
      </c>
      <c r="B947" s="2" t="str">
        <f>IFERROR(__xludf.DUMMYFUNCTION("""COMPUTED_VALUE"""),"VD013")</f>
        <v>VD013</v>
      </c>
      <c r="C947" s="2">
        <f>IFERROR(__xludf.DUMMYFUNCTION("""COMPUTED_VALUE"""),2.0)</f>
        <v>2</v>
      </c>
      <c r="D947" s="6">
        <f>IFERROR(__xludf.DUMMYFUNCTION("""COMPUTED_VALUE"""),195.09)</f>
        <v>195.09</v>
      </c>
      <c r="E947" s="6">
        <f>IFERROR(__xludf.DUMMYFUNCTION("GOOGLEFINANCE(""Currency:BRLMXN"")*D947"),662.818275)</f>
        <v>662.818275</v>
      </c>
      <c r="F947" s="6">
        <f>IFERROR(__xludf.DUMMYFUNCTION("GOOGLEFINANCE(""Currency:BRLPEN"")*D947"),127.901004)</f>
        <v>127.901004</v>
      </c>
      <c r="G947" s="2" t="str">
        <f t="array" ref="G947">_xlfn.XLOOKUP(B947,Vendedores!$A$2:$A$41,Vendedores!$B$2:$B$41,"No hay datos")</f>
        <v>Pedro Almonte</v>
      </c>
      <c r="H947" s="2" t="str">
        <f t="array" ref="H947">_xlfn.XLOOKUP(B947,Vendedores!$A$2:$A$41,Vendedores!$C$2:$C$41,"No hay datos")</f>
        <v>Santa Rosa del Valle</v>
      </c>
      <c r="I947" s="2" t="str">
        <f t="array" ref="I947">_xlfn.XLOOKUP(B947,Vendedores!$A$2:$A$41,Vendedores!$D$2:$D$41,"No hay datos")</f>
        <v>Región Norte</v>
      </c>
      <c r="J947" s="2" t="str">
        <f t="array" ref="J947:N947">_xlfn.XLOOKUP(A947,Productos!$A$2:$A$61,Productos!$B$2:$F$61)</f>
        <v>Pantalón de mezclilla</v>
      </c>
      <c r="K947" s="2" t="s">
        <v>22</v>
      </c>
      <c r="L947" s="2" t="s">
        <v>10</v>
      </c>
      <c r="M947" s="2" t="s">
        <v>76</v>
      </c>
      <c r="N947" s="2" t="s">
        <v>77</v>
      </c>
    </row>
    <row r="948">
      <c r="A948" s="2" t="str">
        <f>IFERROR(__xludf.DUMMYFUNCTION("""COMPUTED_VALUE"""),"PR017")</f>
        <v>PR017</v>
      </c>
      <c r="B948" s="2" t="str">
        <f>IFERROR(__xludf.DUMMYFUNCTION("""COMPUTED_VALUE"""),"VD022")</f>
        <v>VD022</v>
      </c>
      <c r="C948" s="2">
        <f>IFERROR(__xludf.DUMMYFUNCTION("""COMPUTED_VALUE"""),8.0)</f>
        <v>8</v>
      </c>
      <c r="D948" s="6">
        <f>IFERROR(__xludf.DUMMYFUNCTION("""COMPUTED_VALUE"""),263.12)</f>
        <v>263.12</v>
      </c>
      <c r="E948" s="6">
        <f>IFERROR(__xludf.DUMMYFUNCTION("GOOGLEFINANCE(""Currency:BRLMXN"")*D948"),893.9502)</f>
        <v>893.9502</v>
      </c>
      <c r="F948" s="6">
        <f>IFERROR(__xludf.DUMMYFUNCTION("GOOGLEFINANCE(""Currency:BRLPEN"")*D948"),172.501472)</f>
        <v>172.501472</v>
      </c>
      <c r="G948" s="2" t="str">
        <f t="array" ref="G948">_xlfn.XLOOKUP(B948,Vendedores!$A$2:$A$41,Vendedores!$B$2:$B$41,"No hay datos")</f>
        <v>Santiago Linares</v>
      </c>
      <c r="H948" s="2" t="str">
        <f t="array" ref="H948">_xlfn.XLOOKUP(B948,Vendedores!$A$2:$A$41,Vendedores!$C$2:$C$41,"No hay datos")</f>
        <v>Vista Hermosa</v>
      </c>
      <c r="I948" s="2" t="str">
        <f t="array" ref="I948">_xlfn.XLOOKUP(B948,Vendedores!$A$2:$A$41,Vendedores!$D$2:$D$41,"No hay datos")</f>
        <v>Región Central</v>
      </c>
      <c r="J948" s="2" t="str">
        <f t="array" ref="J948:N948">_xlfn.XLOOKUP(A948,Productos!$A$2:$A$61,Productos!$B$2:$F$61)</f>
        <v>Playera lisa</v>
      </c>
      <c r="K948" s="2" t="s">
        <v>17</v>
      </c>
      <c r="L948" s="2" t="s">
        <v>10</v>
      </c>
      <c r="M948" s="2" t="s">
        <v>98</v>
      </c>
      <c r="N948" s="2" t="s">
        <v>99</v>
      </c>
    </row>
    <row r="949">
      <c r="A949" s="2" t="str">
        <f>IFERROR(__xludf.DUMMYFUNCTION("""COMPUTED_VALUE"""),"PR036")</f>
        <v>PR036</v>
      </c>
      <c r="B949" s="2" t="str">
        <f>IFERROR(__xludf.DUMMYFUNCTION("""COMPUTED_VALUE"""),"VD048")</f>
        <v>VD048</v>
      </c>
      <c r="C949" s="2">
        <f>IFERROR(__xludf.DUMMYFUNCTION("""COMPUTED_VALUE"""),14.0)</f>
        <v>14</v>
      </c>
      <c r="D949" s="6">
        <f>IFERROR(__xludf.DUMMYFUNCTION("""COMPUTED_VALUE"""),1374.45)</f>
        <v>1374.45</v>
      </c>
      <c r="E949" s="6">
        <f>IFERROR(__xludf.DUMMYFUNCTION("GOOGLEFINANCE(""Currency:BRLMXN"")*D949"),4669.693875)</f>
        <v>4669.693875</v>
      </c>
      <c r="F949" s="6">
        <f>IFERROR(__xludf.DUMMYFUNCTION("GOOGLEFINANCE(""Currency:BRLPEN"")*D949"),901.08942)</f>
        <v>901.08942</v>
      </c>
      <c r="G949" s="2" t="str">
        <f t="array" ref="G949">_xlfn.XLOOKUP(B949,Vendedores!$A$2:$A$41,Vendedores!$B$2:$B$41,"No hay datos")</f>
        <v>Mariana Castro</v>
      </c>
      <c r="H949" s="2" t="str">
        <f t="array" ref="H949">_xlfn.XLOOKUP(B949,Vendedores!$A$2:$A$41,Vendedores!$C$2:$C$41,"No hay datos")</f>
        <v>San Carlos del Valle</v>
      </c>
      <c r="I949" s="2" t="str">
        <f t="array" ref="I949">_xlfn.XLOOKUP(B949,Vendedores!$A$2:$A$41,Vendedores!$D$2:$D$41,"No hay datos")</f>
        <v>Región Central 2</v>
      </c>
      <c r="J949" s="2" t="str">
        <f t="array" ref="J949:N949">_xlfn.XLOOKUP(A949,Productos!$A$2:$A$61,Productos!$B$2:$F$61)</f>
        <v>Vestido corto</v>
      </c>
      <c r="K949" s="2" t="s">
        <v>22</v>
      </c>
      <c r="L949" s="2" t="s">
        <v>10</v>
      </c>
      <c r="M949" s="2" t="s">
        <v>82</v>
      </c>
      <c r="N949" s="2" t="s">
        <v>83</v>
      </c>
    </row>
    <row r="950">
      <c r="A950" s="2" t="str">
        <f>IFERROR(__xludf.DUMMYFUNCTION("""COMPUTED_VALUE"""),"PR008")</f>
        <v>PR008</v>
      </c>
      <c r="B950" s="2" t="str">
        <f>IFERROR(__xludf.DUMMYFUNCTION("""COMPUTED_VALUE"""),"VD014")</f>
        <v>VD014</v>
      </c>
      <c r="C950" s="2">
        <f>IFERROR(__xludf.DUMMYFUNCTION("""COMPUTED_VALUE"""),8.0)</f>
        <v>8</v>
      </c>
      <c r="D950" s="6">
        <f>IFERROR(__xludf.DUMMYFUNCTION("""COMPUTED_VALUE"""),783.93)</f>
        <v>783.93</v>
      </c>
      <c r="E950" s="6">
        <f>IFERROR(__xludf.DUMMYFUNCTION("GOOGLEFINANCE(""Currency:BRLMXN"")*D950"),2663.4021749999997)</f>
        <v>2663.402175</v>
      </c>
      <c r="F950" s="6">
        <f>IFERROR(__xludf.DUMMYFUNCTION("GOOGLEFINANCE(""Currency:BRLPEN"")*D950"),513.9445079999999)</f>
        <v>513.944508</v>
      </c>
      <c r="G950" s="2" t="str">
        <f t="array" ref="G950">_xlfn.XLOOKUP(B950,Vendedores!$A$2:$A$41,Vendedores!$B$2:$B$41,"No hay datos")</f>
        <v>Carla Flores</v>
      </c>
      <c r="H950" s="2" t="str">
        <f t="array" ref="H950">_xlfn.XLOOKUP(B950,Vendedores!$A$2:$A$41,Vendedores!$C$2:$C$41,"No hay datos")</f>
        <v>Valle Escondido</v>
      </c>
      <c r="I950" s="2" t="str">
        <f t="array" ref="I950">_xlfn.XLOOKUP(B950,Vendedores!$A$2:$A$41,Vendedores!$D$2:$D$41,"No hay datos")</f>
        <v>Región Andina</v>
      </c>
      <c r="J950" s="2" t="str">
        <f t="array" ref="J950:N950">_xlfn.XLOOKUP(A950,Productos!$A$2:$A$61,Productos!$B$2:$F$61)</f>
        <v>Pantalón de mezclilla</v>
      </c>
      <c r="K950" s="2" t="s">
        <v>17</v>
      </c>
      <c r="L950" s="2" t="s">
        <v>10</v>
      </c>
      <c r="M950" s="2" t="s">
        <v>65</v>
      </c>
      <c r="N950" s="2" t="s">
        <v>35</v>
      </c>
    </row>
    <row r="951">
      <c r="A951" s="2" t="str">
        <f>IFERROR(__xludf.DUMMYFUNCTION("""COMPUTED_VALUE"""),"PR047")</f>
        <v>PR047</v>
      </c>
      <c r="B951" s="2" t="str">
        <f>IFERROR(__xludf.DUMMYFUNCTION("""COMPUTED_VALUE"""),"VD019")</f>
        <v>VD019</v>
      </c>
      <c r="C951" s="2">
        <f>IFERROR(__xludf.DUMMYFUNCTION("""COMPUTED_VALUE"""),5.0)</f>
        <v>5</v>
      </c>
      <c r="D951" s="6">
        <f>IFERROR(__xludf.DUMMYFUNCTION("""COMPUTED_VALUE"""),1550.97)</f>
        <v>1550.97</v>
      </c>
      <c r="E951" s="6">
        <f>IFERROR(__xludf.DUMMYFUNCTION("GOOGLEFINANCE(""Currency:BRLMXN"")*D951"),5269.420575)</f>
        <v>5269.420575</v>
      </c>
      <c r="F951" s="6">
        <f>IFERROR(__xludf.DUMMYFUNCTION("GOOGLEFINANCE(""Currency:BRLPEN"")*D951"),1016.815932)</f>
        <v>1016.815932</v>
      </c>
      <c r="G951" s="2" t="str">
        <f t="array" ref="G951">_xlfn.XLOOKUP(B951,Vendedores!$A$2:$A$41,Vendedores!$B$2:$B$41,"No hay datos")</f>
        <v>Rafael Sosa</v>
      </c>
      <c r="H951" s="2" t="str">
        <f t="array" ref="H951">_xlfn.XLOOKUP(B951,Vendedores!$A$2:$A$41,Vendedores!$C$2:$C$41,"No hay datos")</f>
        <v>Selva Verde</v>
      </c>
      <c r="I951" s="2" t="str">
        <f t="array" ref="I951">_xlfn.XLOOKUP(B951,Vendedores!$A$2:$A$41,Vendedores!$D$2:$D$41,"No hay datos")</f>
        <v>Región Amazónica</v>
      </c>
      <c r="J951" s="2" t="str">
        <f t="array" ref="J951:N951">_xlfn.XLOOKUP(A951,Productos!$A$2:$A$61,Productos!$B$2:$F$61)</f>
        <v>Chaqueta de cuero</v>
      </c>
      <c r="K951" s="2" t="s">
        <v>17</v>
      </c>
      <c r="L951" s="2" t="s">
        <v>10</v>
      </c>
      <c r="M951" s="2" t="s">
        <v>43</v>
      </c>
      <c r="N951" s="2" t="s">
        <v>44</v>
      </c>
    </row>
    <row r="952">
      <c r="A952" s="2" t="str">
        <f>IFERROR(__xludf.DUMMYFUNCTION("""COMPUTED_VALUE"""),"PR046")</f>
        <v>PR046</v>
      </c>
      <c r="B952" s="2" t="str">
        <f>IFERROR(__xludf.DUMMYFUNCTION("""COMPUTED_VALUE"""),"VD021")</f>
        <v>VD021</v>
      </c>
      <c r="C952" s="2">
        <f>IFERROR(__xludf.DUMMYFUNCTION("""COMPUTED_VALUE"""),3.0)</f>
        <v>3</v>
      </c>
      <c r="D952" s="6">
        <f>IFERROR(__xludf.DUMMYFUNCTION("""COMPUTED_VALUE"""),930.58)</f>
        <v>930.58</v>
      </c>
      <c r="E952" s="6">
        <f>IFERROR(__xludf.DUMMYFUNCTION("GOOGLEFINANCE(""Currency:BRLMXN"")*D952"),3161.64555)</f>
        <v>3161.64555</v>
      </c>
      <c r="F952" s="6">
        <f>IFERROR(__xludf.DUMMYFUNCTION("GOOGLEFINANCE(""Currency:BRLPEN"")*D952"),610.088248)</f>
        <v>610.088248</v>
      </c>
      <c r="G952" s="2" t="str">
        <f t="array" ref="G952">_xlfn.XLOOKUP(B952,Vendedores!$A$2:$A$41,Vendedores!$B$2:$B$41,"No hay datos")</f>
        <v>Fernanda Méndez</v>
      </c>
      <c r="H952" s="2" t="str">
        <f t="array" ref="H952">_xlfn.XLOOKUP(B952,Vendedores!$A$2:$A$41,Vendedores!$C$2:$C$41,"No hay datos")</f>
        <v>San Juan de la Sierra</v>
      </c>
      <c r="I952" s="2" t="str">
        <f t="array" ref="I952">_xlfn.XLOOKUP(B952,Vendedores!$A$2:$A$41,Vendedores!$D$2:$D$41,"No hay datos")</f>
        <v>Región Central</v>
      </c>
      <c r="J952" s="2" t="str">
        <f t="array" ref="J952:N952">_xlfn.XLOOKUP(A952,Productos!$A$2:$A$61,Productos!$B$2:$F$61)</f>
        <v>Chaqueta de cuero</v>
      </c>
      <c r="K952" s="2" t="s">
        <v>9</v>
      </c>
      <c r="L952" s="2" t="s">
        <v>10</v>
      </c>
      <c r="M952" s="2" t="s">
        <v>94</v>
      </c>
      <c r="N952" s="2" t="s">
        <v>44</v>
      </c>
    </row>
    <row r="953">
      <c r="A953" s="2" t="str">
        <f>IFERROR(__xludf.DUMMYFUNCTION("""COMPUTED_VALUE"""),"PR050")</f>
        <v>PR050</v>
      </c>
      <c r="B953" s="2" t="str">
        <f>IFERROR(__xludf.DUMMYFUNCTION("""COMPUTED_VALUE"""),"VD018")</f>
        <v>VD018</v>
      </c>
      <c r="C953" s="2">
        <f>IFERROR(__xludf.DUMMYFUNCTION("""COMPUTED_VALUE"""),4.0)</f>
        <v>4</v>
      </c>
      <c r="D953" s="6">
        <f>IFERROR(__xludf.DUMMYFUNCTION("""COMPUTED_VALUE"""),144.76)</f>
        <v>144.76</v>
      </c>
      <c r="E953" s="6">
        <f>IFERROR(__xludf.DUMMYFUNCTION("GOOGLEFINANCE(""Currency:BRLMXN"")*D953"),491.8221)</f>
        <v>491.8221</v>
      </c>
      <c r="F953" s="6">
        <f>IFERROR(__xludf.DUMMYFUNCTION("GOOGLEFINANCE(""Currency:BRLPEN"")*D953"),94.90465599999999)</f>
        <v>94.904656</v>
      </c>
      <c r="G953" s="2" t="str">
        <f t="array" ref="G953">_xlfn.XLOOKUP(B953,Vendedores!$A$2:$A$41,Vendedores!$B$2:$B$41,"No hay datos")</f>
        <v>Leticia Rodríguez</v>
      </c>
      <c r="H953" s="2" t="str">
        <f t="array" ref="H953">_xlfn.XLOOKUP(B953,Vendedores!$A$2:$A$41,Vendedores!$C$2:$C$41,"No hay datos")</f>
        <v>Playa Blanca</v>
      </c>
      <c r="I953" s="2" t="str">
        <f t="array" ref="I953">_xlfn.XLOOKUP(B953,Vendedores!$A$2:$A$41,Vendedores!$D$2:$D$41,"No hay datos")</f>
        <v>Región Norte</v>
      </c>
      <c r="J953" s="2" t="str">
        <f t="array" ref="J953:N953">_xlfn.XLOOKUP(A953,Productos!$A$2:$A$61,Productos!$B$2:$F$61)</f>
        <v>Playera a rayas</v>
      </c>
      <c r="K953" s="2" t="s">
        <v>17</v>
      </c>
      <c r="L953" s="2" t="s">
        <v>10</v>
      </c>
      <c r="M953" s="2" t="s">
        <v>27</v>
      </c>
      <c r="N953" s="2" t="s">
        <v>24</v>
      </c>
    </row>
    <row r="954">
      <c r="A954" s="2" t="str">
        <f>IFERROR(__xludf.DUMMYFUNCTION("""COMPUTED_VALUE"""),"PR038")</f>
        <v>PR038</v>
      </c>
      <c r="B954" s="2" t="str">
        <f>IFERROR(__xludf.DUMMYFUNCTION("""COMPUTED_VALUE"""),"VD034")</f>
        <v>VD034</v>
      </c>
      <c r="C954" s="2">
        <f>IFERROR(__xludf.DUMMYFUNCTION("""COMPUTED_VALUE"""),1.0)</f>
        <v>1</v>
      </c>
      <c r="D954" s="6">
        <f>IFERROR(__xludf.DUMMYFUNCTION("""COMPUTED_VALUE"""),148.62)</f>
        <v>148.62</v>
      </c>
      <c r="E954" s="6">
        <f>IFERROR(__xludf.DUMMYFUNCTION("GOOGLEFINANCE(""Currency:BRLMXN"")*D954"),504.93645000000004)</f>
        <v>504.93645</v>
      </c>
      <c r="F954" s="6">
        <f>IFERROR(__xludf.DUMMYFUNCTION("GOOGLEFINANCE(""Currency:BRLPEN"")*D954"),97.435272)</f>
        <v>97.435272</v>
      </c>
      <c r="G954" s="2" t="str">
        <f t="array" ref="G954">_xlfn.XLOOKUP(B954,Vendedores!$A$2:$A$41,Vendedores!$B$2:$B$41,"No hay datos")</f>
        <v>Felipe Carvajal</v>
      </c>
      <c r="H954" s="2" t="str">
        <f t="array" ref="H954">_xlfn.XLOOKUP(B954,Vendedores!$A$2:$A$41,Vendedores!$C$2:$C$41,"No hay datos")</f>
        <v>San Pedro del Río</v>
      </c>
      <c r="I954" s="2" t="str">
        <f t="array" ref="I954">_xlfn.XLOOKUP(B954,Vendedores!$A$2:$A$41,Vendedores!$D$2:$D$41,"No hay datos")</f>
        <v>Región Sur 2</v>
      </c>
      <c r="J954" s="2" t="str">
        <f t="array" ref="J954:N954">_xlfn.XLOOKUP(A954,Productos!$A$2:$A$61,Productos!$B$2:$F$61)</f>
        <v>Vestido largo</v>
      </c>
      <c r="K954" s="2" t="s">
        <v>17</v>
      </c>
      <c r="L954" s="2" t="s">
        <v>10</v>
      </c>
      <c r="M954" s="2" t="s">
        <v>51</v>
      </c>
      <c r="N954" s="2" t="s">
        <v>52</v>
      </c>
    </row>
    <row r="955">
      <c r="A955" s="2" t="str">
        <f>IFERROR(__xludf.DUMMYFUNCTION("""COMPUTED_VALUE"""),"PR046")</f>
        <v>PR046</v>
      </c>
      <c r="B955" s="2" t="str">
        <f>IFERROR(__xludf.DUMMYFUNCTION("""COMPUTED_VALUE"""),"VD018")</f>
        <v>VD018</v>
      </c>
      <c r="C955" s="2">
        <f>IFERROR(__xludf.DUMMYFUNCTION("""COMPUTED_VALUE"""),3.0)</f>
        <v>3</v>
      </c>
      <c r="D955" s="6">
        <f>IFERROR(__xludf.DUMMYFUNCTION("""COMPUTED_VALUE"""),947.97)</f>
        <v>947.97</v>
      </c>
      <c r="E955" s="6">
        <f>IFERROR(__xludf.DUMMYFUNCTION("GOOGLEFINANCE(""Currency:BRLMXN"")*D955"),3220.728075)</f>
        <v>3220.728075</v>
      </c>
      <c r="F955" s="6">
        <f>IFERROR(__xludf.DUMMYFUNCTION("GOOGLEFINANCE(""Currency:BRLPEN"")*D955"),621.4891319999999)</f>
        <v>621.489132</v>
      </c>
      <c r="G955" s="2" t="str">
        <f t="array" ref="G955">_xlfn.XLOOKUP(B955,Vendedores!$A$2:$A$41,Vendedores!$B$2:$B$41,"No hay datos")</f>
        <v>Leticia Rodríguez</v>
      </c>
      <c r="H955" s="2" t="str">
        <f t="array" ref="H955">_xlfn.XLOOKUP(B955,Vendedores!$A$2:$A$41,Vendedores!$C$2:$C$41,"No hay datos")</f>
        <v>Playa Blanca</v>
      </c>
      <c r="I955" s="2" t="str">
        <f t="array" ref="I955">_xlfn.XLOOKUP(B955,Vendedores!$A$2:$A$41,Vendedores!$D$2:$D$41,"No hay datos")</f>
        <v>Región Norte</v>
      </c>
      <c r="J955" s="2" t="str">
        <f t="array" ref="J955:N955">_xlfn.XLOOKUP(A955,Productos!$A$2:$A$61,Productos!$B$2:$F$61)</f>
        <v>Chaqueta de cuero</v>
      </c>
      <c r="K955" s="2" t="s">
        <v>9</v>
      </c>
      <c r="L955" s="2" t="s">
        <v>10</v>
      </c>
      <c r="M955" s="2" t="s">
        <v>94</v>
      </c>
      <c r="N955" s="2" t="s">
        <v>44</v>
      </c>
    </row>
    <row r="956">
      <c r="A956" s="2" t="str">
        <f>IFERROR(__xludf.DUMMYFUNCTION("""COMPUTED_VALUE"""),"PR004")</f>
        <v>PR004</v>
      </c>
      <c r="B956" s="2" t="str">
        <f>IFERROR(__xludf.DUMMYFUNCTION("""COMPUTED_VALUE"""),"VD026")</f>
        <v>VD026</v>
      </c>
      <c r="C956" s="2">
        <f>IFERROR(__xludf.DUMMYFUNCTION("""COMPUTED_VALUE"""),2.0)</f>
        <v>2</v>
      </c>
      <c r="D956" s="6">
        <f>IFERROR(__xludf.DUMMYFUNCTION("""COMPUTED_VALUE"""),301.6)</f>
        <v>301.6</v>
      </c>
      <c r="E956" s="6">
        <f>IFERROR(__xludf.DUMMYFUNCTION("GOOGLEFINANCE(""Currency:BRLMXN"")*D956"),1024.6860000000001)</f>
        <v>1024.686</v>
      </c>
      <c r="F956" s="6">
        <f>IFERROR(__xludf.DUMMYFUNCTION("GOOGLEFINANCE(""Currency:BRLPEN"")*D956"),197.72896)</f>
        <v>197.72896</v>
      </c>
      <c r="G956" s="2" t="str">
        <f t="array" ref="G956">_xlfn.XLOOKUP(B956,Vendedores!$A$2:$A$41,Vendedores!$B$2:$B$41,"No hay datos")</f>
        <v>Daniel Fernández</v>
      </c>
      <c r="H956" s="2" t="str">
        <f t="array" ref="H956">_xlfn.XLOOKUP(B956,Vendedores!$A$2:$A$41,Vendedores!$C$2:$C$41,"No hay datos")</f>
        <v>Puerto Esperanza</v>
      </c>
      <c r="I956" s="2" t="str">
        <f t="array" ref="I956">_xlfn.XLOOKUP(B956,Vendedores!$A$2:$A$41,Vendedores!$D$2:$D$41,"No hay datos")</f>
        <v>Región Sur</v>
      </c>
      <c r="J956" s="2" t="str">
        <f t="array" ref="J956:N956">_xlfn.XLOOKUP(A956,Productos!$A$2:$A$61,Productos!$B$2:$F$61)</f>
        <v>Bolso versátil</v>
      </c>
      <c r="K956" s="2" t="s">
        <v>29</v>
      </c>
      <c r="L956" s="2" t="s">
        <v>30</v>
      </c>
      <c r="M956" s="2" t="s">
        <v>59</v>
      </c>
      <c r="N956" s="2" t="s">
        <v>60</v>
      </c>
    </row>
    <row r="957">
      <c r="A957" s="2" t="str">
        <f>IFERROR(__xludf.DUMMYFUNCTION("""COMPUTED_VALUE"""),"PR030")</f>
        <v>PR030</v>
      </c>
      <c r="B957" s="2" t="str">
        <f>IFERROR(__xludf.DUMMYFUNCTION("""COMPUTED_VALUE"""),"VD012")</f>
        <v>VD012</v>
      </c>
      <c r="C957" s="2">
        <f>IFERROR(__xludf.DUMMYFUNCTION("""COMPUTED_VALUE"""),9.0)</f>
        <v>9</v>
      </c>
      <c r="D957" s="6">
        <f>IFERROR(__xludf.DUMMYFUNCTION("""COMPUTED_VALUE"""),2339.1)</f>
        <v>2339.1</v>
      </c>
      <c r="E957" s="6">
        <f>IFERROR(__xludf.DUMMYFUNCTION("GOOGLEFINANCE(""Currency:BRLMXN"")*D957"),7947.09225)</f>
        <v>7947.09225</v>
      </c>
      <c r="F957" s="6">
        <f>IFERROR(__xludf.DUMMYFUNCTION("GOOGLEFINANCE(""Currency:BRLPEN"")*D957"),1533.5139599999998)</f>
        <v>1533.51396</v>
      </c>
      <c r="G957" s="2" t="str">
        <f t="array" ref="G957">_xlfn.XLOOKUP(B957,Vendedores!$A$2:$A$41,Vendedores!$B$2:$B$41,"No hay datos")</f>
        <v>Ana Olmedo</v>
      </c>
      <c r="H957" s="2" t="str">
        <f t="array" ref="H957">_xlfn.XLOOKUP(B957,Vendedores!$A$2:$A$41,Vendedores!$C$2:$C$41,"No hay datos")</f>
        <v>Río Claro</v>
      </c>
      <c r="I957" s="2" t="str">
        <f t="array" ref="I957">_xlfn.XLOOKUP(B957,Vendedores!$A$2:$A$41,Vendedores!$D$2:$D$41,"No hay datos")</f>
        <v>Región Central</v>
      </c>
      <c r="J957" s="2" t="str">
        <f t="array" ref="J957:N957">_xlfn.XLOOKUP(A957,Productos!$A$2:$A$61,Productos!$B$2:$F$61)</f>
        <v>Tenis Atitas</v>
      </c>
      <c r="K957" s="2">
        <v>38.0</v>
      </c>
      <c r="L957" s="2" t="s">
        <v>33</v>
      </c>
      <c r="M957" s="2" t="s">
        <v>63</v>
      </c>
      <c r="N957" s="2" t="s">
        <v>64</v>
      </c>
    </row>
    <row r="958">
      <c r="A958" s="2" t="str">
        <f>IFERROR(__xludf.DUMMYFUNCTION("""COMPUTED_VALUE"""),"PR019")</f>
        <v>PR019</v>
      </c>
      <c r="B958" s="2" t="str">
        <f>IFERROR(__xludf.DUMMYFUNCTION("""COMPUTED_VALUE"""),"VD027")</f>
        <v>VD027</v>
      </c>
      <c r="C958" s="2">
        <f>IFERROR(__xludf.DUMMYFUNCTION("""COMPUTED_VALUE"""),1.0)</f>
        <v>1</v>
      </c>
      <c r="D958" s="6">
        <f>IFERROR(__xludf.DUMMYFUNCTION("""COMPUTED_VALUE"""),49.9)</f>
        <v>49.9</v>
      </c>
      <c r="E958" s="6">
        <f>IFERROR(__xludf.DUMMYFUNCTION("GOOGLEFINANCE(""Currency:BRLMXN"")*D958"),169.53525)</f>
        <v>169.53525</v>
      </c>
      <c r="F958" s="6">
        <f>IFERROR(__xludf.DUMMYFUNCTION("GOOGLEFINANCE(""Currency:BRLPEN"")*D958"),32.714439999999996)</f>
        <v>32.71444</v>
      </c>
      <c r="G958" s="2" t="str">
        <f t="array" ref="G958">_xlfn.XLOOKUP(B958,Vendedores!$A$2:$A$41,Vendedores!$B$2:$B$41,"No hay datos")</f>
        <v>Patricia Cortés</v>
      </c>
      <c r="H958" s="2" t="str">
        <f t="array" ref="H958">_xlfn.XLOOKUP(B958,Vendedores!$A$2:$A$41,Vendedores!$C$2:$C$41,"No hay datos")</f>
        <v>Costa Azul</v>
      </c>
      <c r="I958" s="2" t="str">
        <f t="array" ref="I958">_xlfn.XLOOKUP(B958,Vendedores!$A$2:$A$41,Vendedores!$D$2:$D$41,"No hay datos")</f>
        <v>Región Norte</v>
      </c>
      <c r="J958" s="2" t="str">
        <f t="array" ref="J958:N958">_xlfn.XLOOKUP(A958,Productos!$A$2:$A$61,Productos!$B$2:$F$61)</f>
        <v>Cinturón</v>
      </c>
      <c r="K958" s="2" t="s">
        <v>29</v>
      </c>
      <c r="L958" s="2" t="s">
        <v>30</v>
      </c>
      <c r="M958" s="2" t="s">
        <v>31</v>
      </c>
      <c r="N958" s="2" t="s">
        <v>32</v>
      </c>
    </row>
    <row r="959">
      <c r="A959" s="2" t="str">
        <f>IFERROR(__xludf.DUMMYFUNCTION("""COMPUTED_VALUE"""),"PR019")</f>
        <v>PR019</v>
      </c>
      <c r="B959" s="2" t="str">
        <f>IFERROR(__xludf.DUMMYFUNCTION("""COMPUTED_VALUE"""),"VD019")</f>
        <v>VD019</v>
      </c>
      <c r="C959" s="2">
        <f>IFERROR(__xludf.DUMMYFUNCTION("""COMPUTED_VALUE"""),20.0)</f>
        <v>20</v>
      </c>
      <c r="D959" s="6">
        <f>IFERROR(__xludf.DUMMYFUNCTION("""COMPUTED_VALUE"""),1027.94)</f>
        <v>1027.94</v>
      </c>
      <c r="E959" s="6">
        <f>IFERROR(__xludf.DUMMYFUNCTION("GOOGLEFINANCE(""Currency:BRLMXN"")*D959"),3492.4261500000002)</f>
        <v>3492.42615</v>
      </c>
      <c r="F959" s="6">
        <f>IFERROR(__xludf.DUMMYFUNCTION("GOOGLEFINANCE(""Currency:BRLPEN"")*D959"),673.917464)</f>
        <v>673.917464</v>
      </c>
      <c r="G959" s="2" t="str">
        <f t="array" ref="G959">_xlfn.XLOOKUP(B959,Vendedores!$A$2:$A$41,Vendedores!$B$2:$B$41,"No hay datos")</f>
        <v>Rafael Sosa</v>
      </c>
      <c r="H959" s="2" t="str">
        <f t="array" ref="H959">_xlfn.XLOOKUP(B959,Vendedores!$A$2:$A$41,Vendedores!$C$2:$C$41,"No hay datos")</f>
        <v>Selva Verde</v>
      </c>
      <c r="I959" s="2" t="str">
        <f t="array" ref="I959">_xlfn.XLOOKUP(B959,Vendedores!$A$2:$A$41,Vendedores!$D$2:$D$41,"No hay datos")</f>
        <v>Región Amazónica</v>
      </c>
      <c r="J959" s="2" t="str">
        <f t="array" ref="J959:N959">_xlfn.XLOOKUP(A959,Productos!$A$2:$A$61,Productos!$B$2:$F$61)</f>
        <v>Cinturón</v>
      </c>
      <c r="K959" s="2" t="s">
        <v>29</v>
      </c>
      <c r="L959" s="2" t="s">
        <v>30</v>
      </c>
      <c r="M959" s="2" t="s">
        <v>31</v>
      </c>
      <c r="N959" s="2" t="s">
        <v>32</v>
      </c>
    </row>
    <row r="960">
      <c r="A960" s="2" t="str">
        <f>IFERROR(__xludf.DUMMYFUNCTION("""COMPUTED_VALUE"""),"PR020")</f>
        <v>PR020</v>
      </c>
      <c r="B960" s="2" t="str">
        <f>IFERROR(__xludf.DUMMYFUNCTION("""COMPUTED_VALUE"""),"VD038")</f>
        <v>VD038</v>
      </c>
      <c r="C960" s="2">
        <f>IFERROR(__xludf.DUMMYFUNCTION("""COMPUTED_VALUE"""),7.0)</f>
        <v>7</v>
      </c>
      <c r="D960" s="6">
        <f>IFERROR(__xludf.DUMMYFUNCTION("""COMPUTED_VALUE"""),2225.26)</f>
        <v>2225.26</v>
      </c>
      <c r="E960" s="6">
        <f>IFERROR(__xludf.DUMMYFUNCTION("GOOGLEFINANCE(""Currency:BRLMXN"")*D960"),7560.320850000001)</f>
        <v>7560.32085</v>
      </c>
      <c r="F960" s="6">
        <f>IFERROR(__xludf.DUMMYFUNCTION("GOOGLEFINANCE(""Currency:BRLPEN"")*D960"),1458.880456)</f>
        <v>1458.880456</v>
      </c>
      <c r="G960" s="2" t="str">
        <f t="array" ref="G960">_xlfn.XLOOKUP(B960,Vendedores!$A$2:$A$41,Vendedores!$B$2:$B$41,"No hay datos")</f>
        <v>Bruno Olmedo</v>
      </c>
      <c r="H960" s="2" t="str">
        <f t="array" ref="H960">_xlfn.XLOOKUP(B960,Vendedores!$A$2:$A$41,Vendedores!$C$2:$C$41,"No hay datos")</f>
        <v>Tierra Fertil</v>
      </c>
      <c r="I960" s="2" t="str">
        <f t="array" ref="I960">_xlfn.XLOOKUP(B960,Vendedores!$A$2:$A$41,Vendedores!$D$2:$D$41,"No hay datos")</f>
        <v>Región Sur 2</v>
      </c>
      <c r="J960" s="2" t="str">
        <f t="array" ref="J960:N960">_xlfn.XLOOKUP(A960,Productos!$A$2:$A$61,Productos!$B$2:$F$61)</f>
        <v>Chaqueta de cuero</v>
      </c>
      <c r="K960" s="2" t="s">
        <v>9</v>
      </c>
      <c r="L960" s="2" t="s">
        <v>10</v>
      </c>
      <c r="M960" s="2" t="s">
        <v>15</v>
      </c>
      <c r="N960" s="2" t="s">
        <v>16</v>
      </c>
    </row>
    <row r="961">
      <c r="A961" s="2" t="str">
        <f>IFERROR(__xludf.DUMMYFUNCTION("""COMPUTED_VALUE"""),"PR041")</f>
        <v>PR041</v>
      </c>
      <c r="B961" s="2" t="str">
        <f>IFERROR(__xludf.DUMMYFUNCTION("""COMPUTED_VALUE"""),"VD023")</f>
        <v>VD023</v>
      </c>
      <c r="C961" s="2">
        <f>IFERROR(__xludf.DUMMYFUNCTION("""COMPUTED_VALUE"""),16.0)</f>
        <v>16</v>
      </c>
      <c r="D961" s="6">
        <f>IFERROR(__xludf.DUMMYFUNCTION("""COMPUTED_VALUE"""),887.18)</f>
        <v>887.18</v>
      </c>
      <c r="E961" s="6">
        <f>IFERROR(__xludf.DUMMYFUNCTION("GOOGLEFINANCE(""Currency:BRLMXN"")*D961"),3014.1940499999996)</f>
        <v>3014.19405</v>
      </c>
      <c r="F961" s="6">
        <f>IFERROR(__xludf.DUMMYFUNCTION("GOOGLEFINANCE(""Currency:BRLPEN"")*D961"),581.6352079999999)</f>
        <v>581.635208</v>
      </c>
      <c r="G961" s="2" t="str">
        <f t="array" ref="G961">_xlfn.XLOOKUP(B961,Vendedores!$A$2:$A$41,Vendedores!$B$2:$B$41,"No hay datos")</f>
        <v>Juliana Castro</v>
      </c>
      <c r="H961" s="2" t="str">
        <f t="array" ref="H961">_xlfn.XLOOKUP(B961,Vendedores!$A$2:$A$41,Vendedores!$C$2:$C$41,"No hay datos")</f>
        <v>San Miguel de los Pinos</v>
      </c>
      <c r="I961" s="2" t="str">
        <f t="array" ref="I961">_xlfn.XLOOKUP(B961,Vendedores!$A$2:$A$41,Vendedores!$D$2:$D$41,"No hay datos")</f>
        <v>Región Sur</v>
      </c>
      <c r="J961" s="2" t="str">
        <f t="array" ref="J961:N961">_xlfn.XLOOKUP(A961,Productos!$A$2:$A$61,Productos!$B$2:$F$61)</f>
        <v>Playera confort</v>
      </c>
      <c r="K961" s="2" t="s">
        <v>17</v>
      </c>
      <c r="L961" s="2" t="s">
        <v>10</v>
      </c>
      <c r="M961" s="2" t="s">
        <v>95</v>
      </c>
      <c r="N961" s="2" t="s">
        <v>26</v>
      </c>
    </row>
    <row r="962">
      <c r="A962" s="2" t="str">
        <f>IFERROR(__xludf.DUMMYFUNCTION("""COMPUTED_VALUE"""),"PR004")</f>
        <v>PR004</v>
      </c>
      <c r="B962" s="2" t="str">
        <f>IFERROR(__xludf.DUMMYFUNCTION("""COMPUTED_VALUE"""),"VD039")</f>
        <v>VD039</v>
      </c>
      <c r="C962" s="2">
        <f>IFERROR(__xludf.DUMMYFUNCTION("""COMPUTED_VALUE"""),8.0)</f>
        <v>8</v>
      </c>
      <c r="D962" s="6">
        <f>IFERROR(__xludf.DUMMYFUNCTION("""COMPUTED_VALUE"""),1160.0)</f>
        <v>1160</v>
      </c>
      <c r="E962" s="6">
        <f>IFERROR(__xludf.DUMMYFUNCTION("GOOGLEFINANCE(""Currency:BRLMXN"")*D962"),3941.1)</f>
        <v>3941.1</v>
      </c>
      <c r="F962" s="6">
        <f>IFERROR(__xludf.DUMMYFUNCTION("GOOGLEFINANCE(""Currency:BRLPEN"")*D962"),760.496)</f>
        <v>760.496</v>
      </c>
      <c r="G962" s="2" t="str">
        <f t="array" ref="G962">_xlfn.XLOOKUP(B962,Vendedores!$A$2:$A$41,Vendedores!$B$2:$B$41,"No hay datos")</f>
        <v>Daniela Rodríguez</v>
      </c>
      <c r="H962" s="2" t="str">
        <f t="array" ref="H962">_xlfn.XLOOKUP(B962,Vendedores!$A$2:$A$41,Vendedores!$C$2:$C$41,"No hay datos")</f>
        <v>Bahía del Sol</v>
      </c>
      <c r="I962" s="2" t="str">
        <f t="array" ref="I962">_xlfn.XLOOKUP(B962,Vendedores!$A$2:$A$41,Vendedores!$D$2:$D$41,"No hay datos")</f>
        <v>Región Central 2</v>
      </c>
      <c r="J962" s="2" t="str">
        <f t="array" ref="J962:N962">_xlfn.XLOOKUP(A962,Productos!$A$2:$A$61,Productos!$B$2:$F$61)</f>
        <v>Bolso versátil</v>
      </c>
      <c r="K962" s="2" t="s">
        <v>29</v>
      </c>
      <c r="L962" s="2" t="s">
        <v>30</v>
      </c>
      <c r="M962" s="2" t="s">
        <v>59</v>
      </c>
      <c r="N962" s="2" t="s">
        <v>60</v>
      </c>
    </row>
    <row r="963">
      <c r="A963" s="2" t="str">
        <f>IFERROR(__xludf.DUMMYFUNCTION("""COMPUTED_VALUE"""),"PR028")</f>
        <v>PR028</v>
      </c>
      <c r="B963" s="2" t="str">
        <f>IFERROR(__xludf.DUMMYFUNCTION("""COMPUTED_VALUE"""),"VD038")</f>
        <v>VD038</v>
      </c>
      <c r="C963" s="2">
        <f>IFERROR(__xludf.DUMMYFUNCTION("""COMPUTED_VALUE"""),6.0)</f>
        <v>6</v>
      </c>
      <c r="D963" s="6">
        <f>IFERROR(__xludf.DUMMYFUNCTION("""COMPUTED_VALUE"""),1544.38)</f>
        <v>1544.38</v>
      </c>
      <c r="E963" s="6">
        <f>IFERROR(__xludf.DUMMYFUNCTION("GOOGLEFINANCE(""Currency:BRLMXN"")*D963"),5247.0310500000005)</f>
        <v>5247.03105</v>
      </c>
      <c r="F963" s="6">
        <f>IFERROR(__xludf.DUMMYFUNCTION("GOOGLEFINANCE(""Currency:BRLPEN"")*D963"),1012.495528)</f>
        <v>1012.495528</v>
      </c>
      <c r="G963" s="2" t="str">
        <f t="array" ref="G963">_xlfn.XLOOKUP(B963,Vendedores!$A$2:$A$41,Vendedores!$B$2:$B$41,"No hay datos")</f>
        <v>Bruno Olmedo</v>
      </c>
      <c r="H963" s="2" t="str">
        <f t="array" ref="H963">_xlfn.XLOOKUP(B963,Vendedores!$A$2:$A$41,Vendedores!$C$2:$C$41,"No hay datos")</f>
        <v>Tierra Fertil</v>
      </c>
      <c r="I963" s="2" t="str">
        <f t="array" ref="I963">_xlfn.XLOOKUP(B963,Vendedores!$A$2:$A$41,Vendedores!$D$2:$D$41,"No hay datos")</f>
        <v>Región Sur 2</v>
      </c>
      <c r="J963" s="2" t="str">
        <f t="array" ref="J963:N963">_xlfn.XLOOKUP(A963,Productos!$A$2:$A$61,Productos!$B$2:$F$61)</f>
        <v>Tenis Atitas</v>
      </c>
      <c r="K963" s="2">
        <v>36.0</v>
      </c>
      <c r="L963" s="2" t="s">
        <v>33</v>
      </c>
      <c r="M963" s="2" t="s">
        <v>55</v>
      </c>
      <c r="N963" s="2" t="s">
        <v>56</v>
      </c>
    </row>
    <row r="964">
      <c r="A964" s="2" t="str">
        <f>IFERROR(__xludf.DUMMYFUNCTION("""COMPUTED_VALUE"""),"PR023")</f>
        <v>PR023</v>
      </c>
      <c r="B964" s="2" t="str">
        <f>IFERROR(__xludf.DUMMYFUNCTION("""COMPUTED_VALUE"""),"VD012")</f>
        <v>VD012</v>
      </c>
      <c r="C964" s="2">
        <f>IFERROR(__xludf.DUMMYFUNCTION("""COMPUTED_VALUE"""),10.0)</f>
        <v>10</v>
      </c>
      <c r="D964" s="6">
        <f>IFERROR(__xludf.DUMMYFUNCTION("""COMPUTED_VALUE"""),2673.93)</f>
        <v>2673.93</v>
      </c>
      <c r="E964" s="6">
        <f>IFERROR(__xludf.DUMMYFUNCTION("GOOGLEFINANCE(""Currency:BRLMXN"")*D964"),9084.677174999999)</f>
        <v>9084.677175</v>
      </c>
      <c r="F964" s="6">
        <f>IFERROR(__xludf.DUMMYFUNCTION("GOOGLEFINANCE(""Currency:BRLPEN"")*D964"),1753.0285079999999)</f>
        <v>1753.028508</v>
      </c>
      <c r="G964" s="2" t="str">
        <f t="array" ref="G964">_xlfn.XLOOKUP(B964,Vendedores!$A$2:$A$41,Vendedores!$B$2:$B$41,"No hay datos")</f>
        <v>Ana Olmedo</v>
      </c>
      <c r="H964" s="2" t="str">
        <f t="array" ref="H964">_xlfn.XLOOKUP(B964,Vendedores!$A$2:$A$41,Vendedores!$C$2:$C$41,"No hay datos")</f>
        <v>Río Claro</v>
      </c>
      <c r="I964" s="2" t="str">
        <f t="array" ref="I964">_xlfn.XLOOKUP(B964,Vendedores!$A$2:$A$41,Vendedores!$D$2:$D$41,"No hay datos")</f>
        <v>Región Central</v>
      </c>
      <c r="J964" s="2" t="str">
        <f t="array" ref="J964:N964">_xlfn.XLOOKUP(A964,Productos!$A$2:$A$61,Productos!$B$2:$F$61)</f>
        <v>Chaqueta de mezclilla</v>
      </c>
      <c r="K964" s="2" t="s">
        <v>9</v>
      </c>
      <c r="L964" s="2" t="s">
        <v>10</v>
      </c>
      <c r="M964" s="2" t="s">
        <v>72</v>
      </c>
      <c r="N964" s="2" t="s">
        <v>56</v>
      </c>
    </row>
    <row r="965">
      <c r="A965" s="2" t="str">
        <f>IFERROR(__xludf.DUMMYFUNCTION("""COMPUTED_VALUE"""),"PR033")</f>
        <v>PR033</v>
      </c>
      <c r="B965" s="2" t="str">
        <f>IFERROR(__xludf.DUMMYFUNCTION("""COMPUTED_VALUE"""),"VD015")</f>
        <v>VD015</v>
      </c>
      <c r="C965" s="2">
        <f>IFERROR(__xludf.DUMMYFUNCTION("""COMPUTED_VALUE"""),7.0)</f>
        <v>7</v>
      </c>
      <c r="D965" s="6">
        <f>IFERROR(__xludf.DUMMYFUNCTION("""COMPUTED_VALUE"""),1910.27)</f>
        <v>1910.27</v>
      </c>
      <c r="E965" s="6">
        <f>IFERROR(__xludf.DUMMYFUNCTION("GOOGLEFINANCE(""Currency:BRLMXN"")*D965"),6490.142325)</f>
        <v>6490.142325</v>
      </c>
      <c r="F965" s="6">
        <f>IFERROR(__xludf.DUMMYFUNCTION("GOOGLEFINANCE(""Currency:BRLPEN"")*D965"),1252.373012)</f>
        <v>1252.373012</v>
      </c>
      <c r="G965" s="2" t="str">
        <f t="array" ref="G965">_xlfn.XLOOKUP(B965,Vendedores!$A$2:$A$41,Vendedores!$B$2:$B$41,"No hay datos")</f>
        <v>Lucas Castillo</v>
      </c>
      <c r="H965" s="2" t="str">
        <f t="array" ref="H965">_xlfn.XLOOKUP(B965,Vendedores!$A$2:$A$41,Vendedores!$C$2:$C$41,"No hay datos")</f>
        <v>San Miguel de los Pinos</v>
      </c>
      <c r="I965" s="2" t="str">
        <f t="array" ref="I965">_xlfn.XLOOKUP(B965,Vendedores!$A$2:$A$41,Vendedores!$D$2:$D$41,"No hay datos")</f>
        <v>Región Sur</v>
      </c>
      <c r="J965" s="2" t="str">
        <f t="array" ref="J965:N965">_xlfn.XLOOKUP(A965,Productos!$A$2:$A$61,Productos!$B$2:$F$61)</f>
        <v>Tenis Chunky</v>
      </c>
      <c r="K965" s="2">
        <v>38.0</v>
      </c>
      <c r="L965" s="2" t="s">
        <v>33</v>
      </c>
      <c r="M965" s="2" t="s">
        <v>63</v>
      </c>
      <c r="N965" s="2" t="s">
        <v>64</v>
      </c>
    </row>
    <row r="966">
      <c r="A966" s="2" t="str">
        <f>IFERROR(__xludf.DUMMYFUNCTION("""COMPUTED_VALUE"""),"PR014")</f>
        <v>PR014</v>
      </c>
      <c r="B966" s="2" t="str">
        <f>IFERROR(__xludf.DUMMYFUNCTION("""COMPUTED_VALUE"""),"VD028")</f>
        <v>VD028</v>
      </c>
      <c r="C966" s="2">
        <f>IFERROR(__xludf.DUMMYFUNCTION("""COMPUTED_VALUE"""),10.0)</f>
        <v>10</v>
      </c>
      <c r="D966" s="6">
        <f>IFERROR(__xludf.DUMMYFUNCTION("""COMPUTED_VALUE"""),430.92)</f>
        <v>430.92</v>
      </c>
      <c r="E966" s="6">
        <f>IFERROR(__xludf.DUMMYFUNCTION("GOOGLEFINANCE(""Currency:BRLMXN"")*D966"),1464.0507)</f>
        <v>1464.0507</v>
      </c>
      <c r="F966" s="6">
        <f>IFERROR(__xludf.DUMMYFUNCTION("GOOGLEFINANCE(""Currency:BRLPEN"")*D966"),282.511152)</f>
        <v>282.511152</v>
      </c>
      <c r="G966" s="2" t="str">
        <f t="array" ref="G966">_xlfn.XLOOKUP(B966,Vendedores!$A$2:$A$41,Vendedores!$B$2:$B$41,"No hay datos")</f>
        <v>Rodrigo Almonte</v>
      </c>
      <c r="H966" s="2" t="str">
        <f t="array" ref="H966">_xlfn.XLOOKUP(B966,Vendedores!$A$2:$A$41,Vendedores!$C$2:$C$41,"No hay datos")</f>
        <v>Valle Escondido</v>
      </c>
      <c r="I966" s="2" t="str">
        <f t="array" ref="I966">_xlfn.XLOOKUP(B966,Vendedores!$A$2:$A$41,Vendedores!$D$2:$D$41,"No hay datos")</f>
        <v>Región Andina</v>
      </c>
      <c r="J966" s="2" t="str">
        <f t="array" ref="J966:N966">_xlfn.XLOOKUP(A966,Productos!$A$2:$A$61,Productos!$B$2:$F$61)</f>
        <v>Playera estampada</v>
      </c>
      <c r="K966" s="2" t="s">
        <v>17</v>
      </c>
      <c r="L966" s="2" t="s">
        <v>10</v>
      </c>
      <c r="M966" s="2" t="s">
        <v>37</v>
      </c>
      <c r="N966" s="2" t="s">
        <v>38</v>
      </c>
    </row>
    <row r="967">
      <c r="A967" s="2" t="str">
        <f>IFERROR(__xludf.DUMMYFUNCTION("""COMPUTED_VALUE"""),"PR003")</f>
        <v>PR003</v>
      </c>
      <c r="B967" s="2" t="str">
        <f>IFERROR(__xludf.DUMMYFUNCTION("""COMPUTED_VALUE"""),"VD043")</f>
        <v>VD043</v>
      </c>
      <c r="C967" s="2">
        <f>IFERROR(__xludf.DUMMYFUNCTION("""COMPUTED_VALUE"""),12.0)</f>
        <v>12</v>
      </c>
      <c r="D967" s="6">
        <f>IFERROR(__xludf.DUMMYFUNCTION("""COMPUTED_VALUE"""),893.34)</f>
        <v>893.34</v>
      </c>
      <c r="E967" s="6">
        <f>IFERROR(__xludf.DUMMYFUNCTION("GOOGLEFINANCE(""Currency:BRLMXN"")*D967"),3035.1226500000002)</f>
        <v>3035.12265</v>
      </c>
      <c r="F967" s="6">
        <f>IFERROR(__xludf.DUMMYFUNCTION("GOOGLEFINANCE(""Currency:BRLPEN"")*D967"),585.6737039999999)</f>
        <v>585.673704</v>
      </c>
      <c r="G967" s="2" t="str">
        <f t="array" ref="G967">_xlfn.XLOOKUP(B967,Vendedores!$A$2:$A$41,Vendedores!$B$2:$B$41,"No hay datos")</f>
        <v>Carlos Henríquez</v>
      </c>
      <c r="H967" s="2" t="str">
        <f t="array" ref="H967">_xlfn.XLOOKUP(B967,Vendedores!$A$2:$A$41,Vendedores!$C$2:$C$41,"No hay datos")</f>
        <v>Ciudad Aeropuerto</v>
      </c>
      <c r="I967" s="2" t="str">
        <f t="array" ref="I967">_xlfn.XLOOKUP(B967,Vendedores!$A$2:$A$41,Vendedores!$D$2:$D$41,"No hay datos")</f>
        <v>Región Central 2</v>
      </c>
      <c r="J967" s="2" t="str">
        <f t="array" ref="J967:N967">_xlfn.XLOOKUP(A967,Productos!$A$2:$A$61,Productos!$B$2:$F$61)</f>
        <v>Bermuda</v>
      </c>
      <c r="K967" s="2" t="s">
        <v>22</v>
      </c>
      <c r="L967" s="2" t="s">
        <v>10</v>
      </c>
      <c r="M967" s="2" t="s">
        <v>45</v>
      </c>
      <c r="N967" s="2" t="s">
        <v>46</v>
      </c>
    </row>
    <row r="968">
      <c r="A968" s="2" t="str">
        <f>IFERROR(__xludf.DUMMYFUNCTION("""COMPUTED_VALUE"""),"PR037")</f>
        <v>PR037</v>
      </c>
      <c r="B968" s="2" t="str">
        <f>IFERROR(__xludf.DUMMYFUNCTION("""COMPUTED_VALUE"""),"VD047")</f>
        <v>VD047</v>
      </c>
      <c r="C968" s="2">
        <f>IFERROR(__xludf.DUMMYFUNCTION("""COMPUTED_VALUE"""),16.0)</f>
        <v>16</v>
      </c>
      <c r="D968" s="6">
        <f>IFERROR(__xludf.DUMMYFUNCTION("""COMPUTED_VALUE"""),2307.2)</f>
        <v>2307.2</v>
      </c>
      <c r="E968" s="6">
        <f>IFERROR(__xludf.DUMMYFUNCTION("GOOGLEFINANCE(""Currency:BRLMXN"")*D968"),7838.7119999999995)</f>
        <v>7838.712</v>
      </c>
      <c r="F968" s="6">
        <f>IFERROR(__xludf.DUMMYFUNCTION("GOOGLEFINANCE(""Currency:BRLPEN"")*D968"),1512.6003199999998)</f>
        <v>1512.60032</v>
      </c>
      <c r="G968" s="2" t="str">
        <f t="array" ref="G968">_xlfn.XLOOKUP(B968,Vendedores!$A$2:$A$41,Vendedores!$B$2:$B$41,"No hay datos")</f>
        <v>Andrés López</v>
      </c>
      <c r="H968" s="2" t="str">
        <f t="array" ref="H968">_xlfn.XLOOKUP(B968,Vendedores!$A$2:$A$41,Vendedores!$C$2:$C$41,"No hay datos")</f>
        <v>Villa Progreso</v>
      </c>
      <c r="I968" s="2" t="str">
        <f t="array" ref="I968">_xlfn.XLOOKUP(B968,Vendedores!$A$2:$A$41,Vendedores!$D$2:$D$41,"No hay datos")</f>
        <v>Región Central 2</v>
      </c>
      <c r="J968" s="2" t="str">
        <f t="array" ref="J968:N968">_xlfn.XLOOKUP(A968,Productos!$A$2:$A$61,Productos!$B$2:$F$61)</f>
        <v>Vestido largo</v>
      </c>
      <c r="K968" s="2" t="s">
        <v>9</v>
      </c>
      <c r="L968" s="2" t="s">
        <v>10</v>
      </c>
      <c r="M968" s="2" t="s">
        <v>70</v>
      </c>
      <c r="N968" s="2" t="s">
        <v>71</v>
      </c>
    </row>
    <row r="969">
      <c r="A969" s="2" t="str">
        <f>IFERROR(__xludf.DUMMYFUNCTION("""COMPUTED_VALUE"""),"PR010")</f>
        <v>PR010</v>
      </c>
      <c r="B969" s="2" t="str">
        <f>IFERROR(__xludf.DUMMYFUNCTION("""COMPUTED_VALUE"""),"VD048")</f>
        <v>VD048</v>
      </c>
      <c r="C969" s="2">
        <f>IFERROR(__xludf.DUMMYFUNCTION("""COMPUTED_VALUE"""),20.0)</f>
        <v>20</v>
      </c>
      <c r="D969" s="6">
        <f>IFERROR(__xludf.DUMMYFUNCTION("""COMPUTED_VALUE"""),915.96)</f>
        <v>915.96</v>
      </c>
      <c r="E969" s="6">
        <f>IFERROR(__xludf.DUMMYFUNCTION("GOOGLEFINANCE(""Currency:BRLMXN"")*D969"),3111.9741)</f>
        <v>3111.9741</v>
      </c>
      <c r="F969" s="6">
        <f>IFERROR(__xludf.DUMMYFUNCTION("GOOGLEFINANCE(""Currency:BRLPEN"")*D969"),600.503376)</f>
        <v>600.503376</v>
      </c>
      <c r="G969" s="2" t="str">
        <f t="array" ref="G969">_xlfn.XLOOKUP(B969,Vendedores!$A$2:$A$41,Vendedores!$B$2:$B$41,"No hay datos")</f>
        <v>Mariana Castro</v>
      </c>
      <c r="H969" s="2" t="str">
        <f t="array" ref="H969">_xlfn.XLOOKUP(B969,Vendedores!$A$2:$A$41,Vendedores!$C$2:$C$41,"No hay datos")</f>
        <v>San Carlos del Valle</v>
      </c>
      <c r="I969" s="2" t="str">
        <f t="array" ref="I969">_xlfn.XLOOKUP(B969,Vendedores!$A$2:$A$41,Vendedores!$D$2:$D$41,"No hay datos")</f>
        <v>Región Central 2</v>
      </c>
      <c r="J969" s="2" t="str">
        <f t="array" ref="J969:N969">_xlfn.XLOOKUP(A969,Productos!$A$2:$A$61,Productos!$B$2:$F$61)</f>
        <v>Pantalón legging</v>
      </c>
      <c r="K969" s="2" t="s">
        <v>9</v>
      </c>
      <c r="L969" s="2" t="s">
        <v>10</v>
      </c>
      <c r="M969" s="2" t="s">
        <v>86</v>
      </c>
      <c r="N969" s="2" t="s">
        <v>87</v>
      </c>
    </row>
    <row r="970">
      <c r="A970" s="2" t="str">
        <f>IFERROR(__xludf.DUMMYFUNCTION("""COMPUTED_VALUE"""),"PR023")</f>
        <v>PR023</v>
      </c>
      <c r="B970" s="2" t="str">
        <f>IFERROR(__xludf.DUMMYFUNCTION("""COMPUTED_VALUE"""),"VD034")</f>
        <v>VD034</v>
      </c>
      <c r="C970" s="2">
        <f>IFERROR(__xludf.DUMMYFUNCTION("""COMPUTED_VALUE"""),4.0)</f>
        <v>4</v>
      </c>
      <c r="D970" s="6">
        <f>IFERROR(__xludf.DUMMYFUNCTION("""COMPUTED_VALUE"""),1059.58)</f>
        <v>1059.58</v>
      </c>
      <c r="E970" s="6">
        <f>IFERROR(__xludf.DUMMYFUNCTION("GOOGLEFINANCE(""Currency:BRLMXN"")*D970"),3599.92305)</f>
        <v>3599.92305</v>
      </c>
      <c r="F970" s="6">
        <f>IFERROR(__xludf.DUMMYFUNCTION("GOOGLEFINANCE(""Currency:BRLPEN"")*D970"),694.6606479999999)</f>
        <v>694.660648</v>
      </c>
      <c r="G970" s="2" t="str">
        <f t="array" ref="G970">_xlfn.XLOOKUP(B970,Vendedores!$A$2:$A$41,Vendedores!$B$2:$B$41,"No hay datos")</f>
        <v>Felipe Carvajal</v>
      </c>
      <c r="H970" s="2" t="str">
        <f t="array" ref="H970">_xlfn.XLOOKUP(B970,Vendedores!$A$2:$A$41,Vendedores!$C$2:$C$41,"No hay datos")</f>
        <v>San Pedro del Río</v>
      </c>
      <c r="I970" s="2" t="str">
        <f t="array" ref="I970">_xlfn.XLOOKUP(B970,Vendedores!$A$2:$A$41,Vendedores!$D$2:$D$41,"No hay datos")</f>
        <v>Región Sur 2</v>
      </c>
      <c r="J970" s="2" t="str">
        <f t="array" ref="J970:N970">_xlfn.XLOOKUP(A970,Productos!$A$2:$A$61,Productos!$B$2:$F$61)</f>
        <v>Chaqueta de mezclilla</v>
      </c>
      <c r="K970" s="2" t="s">
        <v>9</v>
      </c>
      <c r="L970" s="2" t="s">
        <v>10</v>
      </c>
      <c r="M970" s="2" t="s">
        <v>72</v>
      </c>
      <c r="N970" s="2" t="s">
        <v>56</v>
      </c>
    </row>
    <row r="971">
      <c r="A971" s="2" t="str">
        <f>IFERROR(__xludf.DUMMYFUNCTION("""COMPUTED_VALUE"""),"PR038")</f>
        <v>PR038</v>
      </c>
      <c r="B971" s="2" t="str">
        <f>IFERROR(__xludf.DUMMYFUNCTION("""COMPUTED_VALUE"""),"VD024")</f>
        <v>VD024</v>
      </c>
      <c r="C971" s="2">
        <f>IFERROR(__xludf.DUMMYFUNCTION("""COMPUTED_VALUE"""),1.0)</f>
        <v>1</v>
      </c>
      <c r="D971" s="6">
        <f>IFERROR(__xludf.DUMMYFUNCTION("""COMPUTED_VALUE"""),142.9)</f>
        <v>142.9</v>
      </c>
      <c r="E971" s="6">
        <f>IFERROR(__xludf.DUMMYFUNCTION("GOOGLEFINANCE(""Currency:BRLMXN"")*D971"),485.50275)</f>
        <v>485.50275</v>
      </c>
      <c r="F971" s="6">
        <f>IFERROR(__xludf.DUMMYFUNCTION("GOOGLEFINANCE(""Currency:BRLPEN"")*D971"),93.68524)</f>
        <v>93.68524</v>
      </c>
      <c r="G971" s="2" t="str">
        <f t="array" ref="G971">_xlfn.XLOOKUP(B971,Vendedores!$A$2:$A$41,Vendedores!$B$2:$B$41,"No hay datos")</f>
        <v>Marcos Rivera</v>
      </c>
      <c r="H971" s="2" t="str">
        <f t="array" ref="H971">_xlfn.XLOOKUP(B971,Vendedores!$A$2:$A$41,Vendedores!$C$2:$C$41,"No hay datos")</f>
        <v>Santa Rosa del Valle</v>
      </c>
      <c r="I971" s="2" t="str">
        <f t="array" ref="I971">_xlfn.XLOOKUP(B971,Vendedores!$A$2:$A$41,Vendedores!$D$2:$D$41,"No hay datos")</f>
        <v>Región Norte</v>
      </c>
      <c r="J971" s="2" t="str">
        <f t="array" ref="J971:N971">_xlfn.XLOOKUP(A971,Productos!$A$2:$A$61,Productos!$B$2:$F$61)</f>
        <v>Vestido largo</v>
      </c>
      <c r="K971" s="2" t="s">
        <v>17</v>
      </c>
      <c r="L971" s="2" t="s">
        <v>10</v>
      </c>
      <c r="M971" s="2" t="s">
        <v>51</v>
      </c>
      <c r="N971" s="2" t="s">
        <v>52</v>
      </c>
    </row>
    <row r="972">
      <c r="A972" s="2" t="str">
        <f>IFERROR(__xludf.DUMMYFUNCTION("""COMPUTED_VALUE"""),"PR021")</f>
        <v>PR021</v>
      </c>
      <c r="B972" s="2" t="str">
        <f>IFERROR(__xludf.DUMMYFUNCTION("""COMPUTED_VALUE"""),"VD018")</f>
        <v>VD018</v>
      </c>
      <c r="C972" s="2">
        <f>IFERROR(__xludf.DUMMYFUNCTION("""COMPUTED_VALUE"""),4.0)</f>
        <v>4</v>
      </c>
      <c r="D972" s="6">
        <f>IFERROR(__xludf.DUMMYFUNCTION("""COMPUTED_VALUE"""),1211.6)</f>
        <v>1211.6</v>
      </c>
      <c r="E972" s="6">
        <f>IFERROR(__xludf.DUMMYFUNCTION("GOOGLEFINANCE(""Currency:BRLMXN"")*D972"),4116.411)</f>
        <v>4116.411</v>
      </c>
      <c r="F972" s="6">
        <f>IFERROR(__xludf.DUMMYFUNCTION("GOOGLEFINANCE(""Currency:BRLPEN"")*D972"),794.3249599999999)</f>
        <v>794.32496</v>
      </c>
      <c r="G972" s="2" t="str">
        <f t="array" ref="G972">_xlfn.XLOOKUP(B972,Vendedores!$A$2:$A$41,Vendedores!$B$2:$B$41,"No hay datos")</f>
        <v>Leticia Rodríguez</v>
      </c>
      <c r="H972" s="2" t="str">
        <f t="array" ref="H972">_xlfn.XLOOKUP(B972,Vendedores!$A$2:$A$41,Vendedores!$C$2:$C$41,"No hay datos")</f>
        <v>Playa Blanca</v>
      </c>
      <c r="I972" s="2" t="str">
        <f t="array" ref="I972">_xlfn.XLOOKUP(B972,Vendedores!$A$2:$A$41,Vendedores!$D$2:$D$41,"No hay datos")</f>
        <v>Región Norte</v>
      </c>
      <c r="J972" s="2" t="str">
        <f t="array" ref="J972:N972">_xlfn.XLOOKUP(A972,Productos!$A$2:$A$61,Productos!$B$2:$F$61)</f>
        <v>Chaqueta de cuero</v>
      </c>
      <c r="K972" s="2" t="s">
        <v>17</v>
      </c>
      <c r="L972" s="2" t="s">
        <v>10</v>
      </c>
      <c r="M972" s="2" t="s">
        <v>80</v>
      </c>
      <c r="N972" s="2" t="s">
        <v>81</v>
      </c>
    </row>
    <row r="973">
      <c r="A973" s="2" t="str">
        <f>IFERROR(__xludf.DUMMYFUNCTION("""COMPUTED_VALUE"""),"PR022")</f>
        <v>PR022</v>
      </c>
      <c r="B973" s="2" t="str">
        <f>IFERROR(__xludf.DUMMYFUNCTION("""COMPUTED_VALUE"""),"VD045")</f>
        <v>VD045</v>
      </c>
      <c r="C973" s="2">
        <f>IFERROR(__xludf.DUMMYFUNCTION("""COMPUTED_VALUE"""),20.0)</f>
        <v>20</v>
      </c>
      <c r="D973" s="6">
        <f>IFERROR(__xludf.DUMMYFUNCTION("""COMPUTED_VALUE"""),6000.0)</f>
        <v>6000</v>
      </c>
      <c r="E973" s="6">
        <f>IFERROR(__xludf.DUMMYFUNCTION("GOOGLEFINANCE(""Currency:BRLMXN"")*D973"),20385.0)</f>
        <v>20385</v>
      </c>
      <c r="F973" s="6">
        <f>IFERROR(__xludf.DUMMYFUNCTION("GOOGLEFINANCE(""Currency:BRLPEN"")*D973"),3933.6)</f>
        <v>3933.6</v>
      </c>
      <c r="G973" s="2" t="str">
        <f t="array" ref="G973">_xlfn.XLOOKUP(B973,Vendedores!$A$2:$A$41,Vendedores!$B$2:$B$41,"No hay datos")</f>
        <v>Rafael Morales</v>
      </c>
      <c r="H973" s="2" t="str">
        <f t="array" ref="H973">_xlfn.XLOOKUP(B973,Vendedores!$A$2:$A$41,Vendedores!$C$2:$C$41,"No hay datos")</f>
        <v>Valle Dorado</v>
      </c>
      <c r="I973" s="2" t="str">
        <f t="array" ref="I973">_xlfn.XLOOKUP(B973,Vendedores!$A$2:$A$41,Vendedores!$D$2:$D$41,"No hay datos")</f>
        <v>Región Central 2</v>
      </c>
      <c r="J973" s="2" t="str">
        <f t="array" ref="J973:N973">_xlfn.XLOOKUP(A973,Productos!$A$2:$A$61,Productos!$B$2:$F$61)</f>
        <v>Chaqueta de cuero</v>
      </c>
      <c r="K973" s="2" t="s">
        <v>22</v>
      </c>
      <c r="L973" s="2" t="s">
        <v>10</v>
      </c>
      <c r="M973" s="2" t="s">
        <v>78</v>
      </c>
      <c r="N973" s="2" t="s">
        <v>79</v>
      </c>
    </row>
    <row r="974">
      <c r="A974" s="2" t="str">
        <f>IFERROR(__xludf.DUMMYFUNCTION("""COMPUTED_VALUE"""),"PR002")</f>
        <v>PR002</v>
      </c>
      <c r="B974" s="2" t="str">
        <f>IFERROR(__xludf.DUMMYFUNCTION("""COMPUTED_VALUE"""),"VD023")</f>
        <v>VD023</v>
      </c>
      <c r="C974" s="2">
        <f>IFERROR(__xludf.DUMMYFUNCTION("""COMPUTED_VALUE"""),3.0)</f>
        <v>3</v>
      </c>
      <c r="D974" s="6">
        <f>IFERROR(__xludf.DUMMYFUNCTION("""COMPUTED_VALUE"""),220.19)</f>
        <v>220.19</v>
      </c>
      <c r="E974" s="6">
        <f>IFERROR(__xludf.DUMMYFUNCTION("GOOGLEFINANCE(""Currency:BRLMXN"")*D974"),748.095525)</f>
        <v>748.095525</v>
      </c>
      <c r="F974" s="6">
        <f>IFERROR(__xludf.DUMMYFUNCTION("GOOGLEFINANCE(""Currency:BRLPEN"")*D974"),144.356564)</f>
        <v>144.356564</v>
      </c>
      <c r="G974" s="2" t="str">
        <f t="array" ref="G974">_xlfn.XLOOKUP(B974,Vendedores!$A$2:$A$41,Vendedores!$B$2:$B$41,"No hay datos")</f>
        <v>Juliana Castro</v>
      </c>
      <c r="H974" s="2" t="str">
        <f t="array" ref="H974">_xlfn.XLOOKUP(B974,Vendedores!$A$2:$A$41,Vendedores!$C$2:$C$41,"No hay datos")</f>
        <v>San Miguel de los Pinos</v>
      </c>
      <c r="I974" s="2" t="str">
        <f t="array" ref="I974">_xlfn.XLOOKUP(B974,Vendedores!$A$2:$A$41,Vendedores!$D$2:$D$41,"No hay datos")</f>
        <v>Región Sur</v>
      </c>
      <c r="J974" s="2" t="str">
        <f t="array" ref="J974:N974">_xlfn.XLOOKUP(A974,Productos!$A$2:$A$61,Productos!$B$2:$F$61)</f>
        <v>Bermuda</v>
      </c>
      <c r="K974" s="2" t="s">
        <v>17</v>
      </c>
      <c r="L974" s="2" t="s">
        <v>10</v>
      </c>
      <c r="M974" s="2" t="s">
        <v>49</v>
      </c>
      <c r="N974" s="2" t="s">
        <v>50</v>
      </c>
    </row>
    <row r="975">
      <c r="A975" s="2" t="str">
        <f>IFERROR(__xludf.DUMMYFUNCTION("""COMPUTED_VALUE"""),"PR035")</f>
        <v>PR035</v>
      </c>
      <c r="B975" s="2" t="str">
        <f>IFERROR(__xludf.DUMMYFUNCTION("""COMPUTED_VALUE"""),"VD010")</f>
        <v>VD010</v>
      </c>
      <c r="C975" s="2">
        <f>IFERROR(__xludf.DUMMYFUNCTION("""COMPUTED_VALUE"""),6.0)</f>
        <v>6</v>
      </c>
      <c r="D975" s="6">
        <f>IFERROR(__xludf.DUMMYFUNCTION("""COMPUTED_VALUE"""),559.37)</f>
        <v>559.37</v>
      </c>
      <c r="E975" s="6">
        <f>IFERROR(__xludf.DUMMYFUNCTION("GOOGLEFINANCE(""Currency:BRLMXN"")*D975"),1900.459575)</f>
        <v>1900.459575</v>
      </c>
      <c r="F975" s="6">
        <f>IFERROR(__xludf.DUMMYFUNCTION("GOOGLEFINANCE(""Currency:BRLPEN"")*D975"),366.72297199999997)</f>
        <v>366.722972</v>
      </c>
      <c r="G975" s="2" t="str">
        <f t="array" ref="G975">_xlfn.XLOOKUP(B975,Vendedores!$A$2:$A$41,Vendedores!$B$2:$B$41,"No hay datos")</f>
        <v>María Silva</v>
      </c>
      <c r="H975" s="2" t="str">
        <f t="array" ref="H975">_xlfn.XLOOKUP(B975,Vendedores!$A$2:$A$41,Vendedores!$C$2:$C$41,"No hay datos")</f>
        <v>San Juan de la Sierra</v>
      </c>
      <c r="I975" s="2" t="str">
        <f t="array" ref="I975">_xlfn.XLOOKUP(B975,Vendedores!$A$2:$A$41,Vendedores!$D$2:$D$41,"No hay datos")</f>
        <v>Región Central</v>
      </c>
      <c r="J975" s="2" t="str">
        <f t="array" ref="J975:N975">_xlfn.XLOOKUP(A975,Productos!$A$2:$A$61,Productos!$B$2:$F$61)</f>
        <v>Vestido corto</v>
      </c>
      <c r="K975" s="2" t="s">
        <v>17</v>
      </c>
      <c r="L975" s="2" t="s">
        <v>10</v>
      </c>
      <c r="M975" s="2" t="s">
        <v>18</v>
      </c>
      <c r="N975" s="2" t="s">
        <v>19</v>
      </c>
    </row>
    <row r="976">
      <c r="A976" s="2" t="str">
        <f>IFERROR(__xludf.DUMMYFUNCTION("""COMPUTED_VALUE"""),"PR045")</f>
        <v>PR045</v>
      </c>
      <c r="B976" s="2" t="str">
        <f>IFERROR(__xludf.DUMMYFUNCTION("""COMPUTED_VALUE"""),"VD031")</f>
        <v>VD031</v>
      </c>
      <c r="C976" s="2">
        <f>IFERROR(__xludf.DUMMYFUNCTION("""COMPUTED_VALUE"""),2.0)</f>
        <v>2</v>
      </c>
      <c r="D976" s="6">
        <f>IFERROR(__xludf.DUMMYFUNCTION("""COMPUTED_VALUE"""),146.45)</f>
        <v>146.45</v>
      </c>
      <c r="E976" s="6">
        <f>IFERROR(__xludf.DUMMYFUNCTION("GOOGLEFINANCE(""Currency:BRLMXN"")*D976"),497.56387499999994)</f>
        <v>497.563875</v>
      </c>
      <c r="F976" s="6">
        <f>IFERROR(__xludf.DUMMYFUNCTION("GOOGLEFINANCE(""Currency:BRLPEN"")*D976"),96.01261999999998)</f>
        <v>96.01262</v>
      </c>
      <c r="G976" s="2" t="str">
        <f t="array" ref="G976">_xlfn.XLOOKUP(B976,Vendedores!$A$2:$A$41,Vendedores!$B$2:$B$41,"No hay datos")</f>
        <v>Vanessa Martínez</v>
      </c>
      <c r="H976" s="2" t="str">
        <f t="array" ref="H976">_xlfn.XLOOKUP(B976,Vendedores!$A$2:$A$41,Vendedores!$C$2:$C$41,"No hay datos")</f>
        <v>Monte Verde</v>
      </c>
      <c r="I976" s="2" t="str">
        <f t="array" ref="I976">_xlfn.XLOOKUP(B976,Vendedores!$A$2:$A$41,Vendedores!$D$2:$D$41,"No hay datos")</f>
        <v>Región Central 2</v>
      </c>
      <c r="J976" s="2" t="str">
        <f t="array" ref="J976:N976">_xlfn.XLOOKUP(A976,Productos!$A$2:$A$61,Productos!$B$2:$F$61)</f>
        <v>Vestido floral</v>
      </c>
      <c r="K976" s="2" t="s">
        <v>22</v>
      </c>
      <c r="L976" s="2" t="s">
        <v>10</v>
      </c>
      <c r="M976" s="2" t="s">
        <v>39</v>
      </c>
      <c r="N976" s="2" t="s">
        <v>40</v>
      </c>
    </row>
    <row r="977">
      <c r="A977" s="2" t="str">
        <f>IFERROR(__xludf.DUMMYFUNCTION("""COMPUTED_VALUE"""),"PR011")</f>
        <v>PR011</v>
      </c>
      <c r="B977" s="2" t="str">
        <f>IFERROR(__xludf.DUMMYFUNCTION("""COMPUTED_VALUE"""),"VD040")</f>
        <v>VD040</v>
      </c>
      <c r="C977" s="2">
        <f>IFERROR(__xludf.DUMMYFUNCTION("""COMPUTED_VALUE"""),4.0)</f>
        <v>4</v>
      </c>
      <c r="D977" s="6">
        <f>IFERROR(__xludf.DUMMYFUNCTION("""COMPUTED_VALUE"""),202.61)</f>
        <v>202.61</v>
      </c>
      <c r="E977" s="6">
        <f>IFERROR(__xludf.DUMMYFUNCTION("GOOGLEFINANCE(""Currency:BRLMXN"")*D977"),688.367475)</f>
        <v>688.367475</v>
      </c>
      <c r="F977" s="6">
        <f>IFERROR(__xludf.DUMMYFUNCTION("GOOGLEFINANCE(""Currency:BRLPEN"")*D977"),132.831116)</f>
        <v>132.831116</v>
      </c>
      <c r="G977" s="2" t="str">
        <f t="array" ref="G977">_xlfn.XLOOKUP(B977,Vendedores!$A$2:$A$41,Vendedores!$B$2:$B$41,"No hay datos")</f>
        <v>Tatiana Montero</v>
      </c>
      <c r="H977" s="2" t="str">
        <f t="array" ref="H977">_xlfn.XLOOKUP(B977,Vendedores!$A$2:$A$41,Vendedores!$C$2:$C$41,"No hay datos")</f>
        <v>Ciudad Industrial</v>
      </c>
      <c r="I977" s="2" t="str">
        <f t="array" ref="I977">_xlfn.XLOOKUP(B977,Vendedores!$A$2:$A$41,Vendedores!$D$2:$D$41,"No hay datos")</f>
        <v>Región Central 2</v>
      </c>
      <c r="J977" s="2" t="str">
        <f t="array" ref="J977:N977">_xlfn.XLOOKUP(A977,Productos!$A$2:$A$61,Productos!$B$2:$F$61)</f>
        <v>Pantalón legging</v>
      </c>
      <c r="K977" s="2" t="s">
        <v>17</v>
      </c>
      <c r="L977" s="2" t="s">
        <v>10</v>
      </c>
      <c r="M977" s="2" t="s">
        <v>67</v>
      </c>
      <c r="N977" s="2" t="s">
        <v>68</v>
      </c>
    </row>
    <row r="978">
      <c r="A978" s="2" t="str">
        <f>IFERROR(__xludf.DUMMYFUNCTION("""COMPUTED_VALUE"""),"PR028")</f>
        <v>PR028</v>
      </c>
      <c r="B978" s="2" t="str">
        <f>IFERROR(__xludf.DUMMYFUNCTION("""COMPUTED_VALUE"""),"VD010")</f>
        <v>VD010</v>
      </c>
      <c r="C978" s="2">
        <f>IFERROR(__xludf.DUMMYFUNCTION("""COMPUTED_VALUE"""),10.0)</f>
        <v>10</v>
      </c>
      <c r="D978" s="6">
        <f>IFERROR(__xludf.DUMMYFUNCTION("""COMPUTED_VALUE"""),2673.93)</f>
        <v>2673.93</v>
      </c>
      <c r="E978" s="6">
        <f>IFERROR(__xludf.DUMMYFUNCTION("GOOGLEFINANCE(""Currency:BRLMXN"")*D978"),9084.677174999999)</f>
        <v>9084.677175</v>
      </c>
      <c r="F978" s="6">
        <f>IFERROR(__xludf.DUMMYFUNCTION("GOOGLEFINANCE(""Currency:BRLPEN"")*D978"),1753.0285079999999)</f>
        <v>1753.028508</v>
      </c>
      <c r="G978" s="2" t="str">
        <f t="array" ref="G978">_xlfn.XLOOKUP(B978,Vendedores!$A$2:$A$41,Vendedores!$B$2:$B$41,"No hay datos")</f>
        <v>María Silva</v>
      </c>
      <c r="H978" s="2" t="str">
        <f t="array" ref="H978">_xlfn.XLOOKUP(B978,Vendedores!$A$2:$A$41,Vendedores!$C$2:$C$41,"No hay datos")</f>
        <v>San Juan de la Sierra</v>
      </c>
      <c r="I978" s="2" t="str">
        <f t="array" ref="I978">_xlfn.XLOOKUP(B978,Vendedores!$A$2:$A$41,Vendedores!$D$2:$D$41,"No hay datos")</f>
        <v>Región Central</v>
      </c>
      <c r="J978" s="2" t="str">
        <f t="array" ref="J978:N978">_xlfn.XLOOKUP(A978,Productos!$A$2:$A$61,Productos!$B$2:$F$61)</f>
        <v>Tenis Atitas</v>
      </c>
      <c r="K978" s="2">
        <v>36.0</v>
      </c>
      <c r="L978" s="2" t="s">
        <v>33</v>
      </c>
      <c r="M978" s="2" t="s">
        <v>55</v>
      </c>
      <c r="N978" s="2" t="s">
        <v>56</v>
      </c>
    </row>
    <row r="979">
      <c r="A979" s="2" t="str">
        <f>IFERROR(__xludf.DUMMYFUNCTION("""COMPUTED_VALUE"""),"PR007")</f>
        <v>PR007</v>
      </c>
      <c r="B979" s="2" t="str">
        <f>IFERROR(__xludf.DUMMYFUNCTION("""COMPUTED_VALUE"""),"VD017")</f>
        <v>VD017</v>
      </c>
      <c r="C979" s="2">
        <f>IFERROR(__xludf.DUMMYFUNCTION("""COMPUTED_VALUE"""),14.0)</f>
        <v>14</v>
      </c>
      <c r="D979" s="6">
        <f>IFERROR(__xludf.DUMMYFUNCTION("""COMPUTED_VALUE"""),1274.76)</f>
        <v>1274.76</v>
      </c>
      <c r="E979" s="6">
        <f>IFERROR(__xludf.DUMMYFUNCTION("GOOGLEFINANCE(""Currency:BRLMXN"")*D979"),4330.9971)</f>
        <v>4330.9971</v>
      </c>
      <c r="F979" s="6">
        <f>IFERROR(__xludf.DUMMYFUNCTION("GOOGLEFINANCE(""Currency:BRLPEN"")*D979"),835.7326559999999)</f>
        <v>835.732656</v>
      </c>
      <c r="G979" s="2" t="str">
        <f t="array" ref="G979">_xlfn.XLOOKUP(B979,Vendedores!$A$2:$A$41,Vendedores!$B$2:$B$41,"No hay datos")</f>
        <v>Bruno Peralta</v>
      </c>
      <c r="H979" s="2" t="str">
        <f t="array" ref="H979">_xlfn.XLOOKUP(B979,Vendedores!$A$2:$A$41,Vendedores!$C$2:$C$41,"No hay datos")</f>
        <v>Costa Azul</v>
      </c>
      <c r="I979" s="2" t="str">
        <f t="array" ref="I979">_xlfn.XLOOKUP(B979,Vendedores!$A$2:$A$41,Vendedores!$D$2:$D$41,"No hay datos")</f>
        <v>Región Norte</v>
      </c>
      <c r="J979" s="2" t="str">
        <f t="array" ref="J979:N979">_xlfn.XLOOKUP(A979,Productos!$A$2:$A$61,Productos!$B$2:$F$61)</f>
        <v>Pantalón de mezclilla</v>
      </c>
      <c r="K979" s="2" t="s">
        <v>9</v>
      </c>
      <c r="L979" s="2" t="s">
        <v>10</v>
      </c>
      <c r="M979" s="2" t="s">
        <v>103</v>
      </c>
      <c r="N979" s="2" t="s">
        <v>104</v>
      </c>
    </row>
    <row r="980">
      <c r="A980" s="2" t="str">
        <f>IFERROR(__xludf.DUMMYFUNCTION("""COMPUTED_VALUE"""),"PR052")</f>
        <v>PR052</v>
      </c>
      <c r="B980" s="2" t="str">
        <f>IFERROR(__xludf.DUMMYFUNCTION("""COMPUTED_VALUE"""),"VD029")</f>
        <v>VD029</v>
      </c>
      <c r="C980" s="2">
        <f>IFERROR(__xludf.DUMMYFUNCTION("""COMPUTED_VALUE"""),6.0)</f>
        <v>6</v>
      </c>
      <c r="D980" s="6">
        <f>IFERROR(__xludf.DUMMYFUNCTION("""COMPUTED_VALUE"""),326.35)</f>
        <v>326.35</v>
      </c>
      <c r="E980" s="6">
        <f>IFERROR(__xludf.DUMMYFUNCTION("GOOGLEFINANCE(""Currency:BRLMXN"")*D980"),1108.7741250000001)</f>
        <v>1108.774125</v>
      </c>
      <c r="F980" s="6">
        <f>IFERROR(__xludf.DUMMYFUNCTION("GOOGLEFINANCE(""Currency:BRLPEN"")*D980"),213.95506)</f>
        <v>213.95506</v>
      </c>
      <c r="G980" s="2" t="str">
        <f t="array" ref="G980">_xlfn.XLOOKUP(B980,Vendedores!$A$2:$A$41,Vendedores!$B$2:$B$41,"No hay datos")</f>
        <v>Gabriela Sosa</v>
      </c>
      <c r="H980" s="2" t="str">
        <f t="array" ref="H980">_xlfn.XLOOKUP(B980,Vendedores!$A$2:$A$41,Vendedores!$C$2:$C$41,"No hay datos")</f>
        <v>Selva Verde</v>
      </c>
      <c r="I980" s="2" t="str">
        <f t="array" ref="I980">_xlfn.XLOOKUP(B980,Vendedores!$A$2:$A$41,Vendedores!$D$2:$D$41,"No hay datos")</f>
        <v>Región Amazónica</v>
      </c>
      <c r="J980" s="2" t="str">
        <f t="array" ref="J980:N980">_xlfn.XLOOKUP(A980,Productos!$A$2:$A$61,Productos!$B$2:$F$61)</f>
        <v>Falda plisada</v>
      </c>
      <c r="K980" s="2" t="s">
        <v>9</v>
      </c>
      <c r="L980" s="2" t="s">
        <v>10</v>
      </c>
      <c r="M980" s="2" t="s">
        <v>36</v>
      </c>
      <c r="N980" s="2" t="s">
        <v>32</v>
      </c>
    </row>
    <row r="981">
      <c r="A981" s="2" t="str">
        <f>IFERROR(__xludf.DUMMYFUNCTION("""COMPUTED_VALUE"""),"PR046")</f>
        <v>PR046</v>
      </c>
      <c r="B981" s="2" t="str">
        <f>IFERROR(__xludf.DUMMYFUNCTION("""COMPUTED_VALUE"""),"VD022")</f>
        <v>VD022</v>
      </c>
      <c r="C981" s="2">
        <f>IFERROR(__xludf.DUMMYFUNCTION("""COMPUTED_VALUE"""),4.0)</f>
        <v>4</v>
      </c>
      <c r="D981" s="6">
        <f>IFERROR(__xludf.DUMMYFUNCTION("""COMPUTED_VALUE"""),1263.96)</f>
        <v>1263.96</v>
      </c>
      <c r="E981" s="6">
        <f>IFERROR(__xludf.DUMMYFUNCTION("GOOGLEFINANCE(""Currency:BRLMXN"")*D981"),4294.3041)</f>
        <v>4294.3041</v>
      </c>
      <c r="F981" s="6">
        <f>IFERROR(__xludf.DUMMYFUNCTION("GOOGLEFINANCE(""Currency:BRLPEN"")*D981"),828.6521759999999)</f>
        <v>828.652176</v>
      </c>
      <c r="G981" s="2" t="str">
        <f t="array" ref="G981">_xlfn.XLOOKUP(B981,Vendedores!$A$2:$A$41,Vendedores!$B$2:$B$41,"No hay datos")</f>
        <v>Santiago Linares</v>
      </c>
      <c r="H981" s="2" t="str">
        <f t="array" ref="H981">_xlfn.XLOOKUP(B981,Vendedores!$A$2:$A$41,Vendedores!$C$2:$C$41,"No hay datos")</f>
        <v>Vista Hermosa</v>
      </c>
      <c r="I981" s="2" t="str">
        <f t="array" ref="I981">_xlfn.XLOOKUP(B981,Vendedores!$A$2:$A$41,Vendedores!$D$2:$D$41,"No hay datos")</f>
        <v>Región Central</v>
      </c>
      <c r="J981" s="2" t="str">
        <f t="array" ref="J981:N981">_xlfn.XLOOKUP(A981,Productos!$A$2:$A$61,Productos!$B$2:$F$61)</f>
        <v>Chaqueta de cuero</v>
      </c>
      <c r="K981" s="2" t="s">
        <v>9</v>
      </c>
      <c r="L981" s="2" t="s">
        <v>10</v>
      </c>
      <c r="M981" s="2" t="s">
        <v>94</v>
      </c>
      <c r="N981" s="2" t="s">
        <v>44</v>
      </c>
    </row>
    <row r="982">
      <c r="A982" s="2" t="str">
        <f>IFERROR(__xludf.DUMMYFUNCTION("""COMPUTED_VALUE"""),"PR008")</f>
        <v>PR008</v>
      </c>
      <c r="B982" s="2" t="str">
        <f>IFERROR(__xludf.DUMMYFUNCTION("""COMPUTED_VALUE"""),"VD038")</f>
        <v>VD038</v>
      </c>
      <c r="C982" s="2">
        <f>IFERROR(__xludf.DUMMYFUNCTION("""COMPUTED_VALUE"""),8.0)</f>
        <v>8</v>
      </c>
      <c r="D982" s="6">
        <f>IFERROR(__xludf.DUMMYFUNCTION("""COMPUTED_VALUE"""),769.54)</f>
        <v>769.54</v>
      </c>
      <c r="E982" s="6">
        <f>IFERROR(__xludf.DUMMYFUNCTION("GOOGLEFINANCE(""Currency:BRLMXN"")*D982"),2614.51215)</f>
        <v>2614.51215</v>
      </c>
      <c r="F982" s="6">
        <f>IFERROR(__xludf.DUMMYFUNCTION("GOOGLEFINANCE(""Currency:BRLPEN"")*D982"),504.51042399999994)</f>
        <v>504.510424</v>
      </c>
      <c r="G982" s="2" t="str">
        <f t="array" ref="G982">_xlfn.XLOOKUP(B982,Vendedores!$A$2:$A$41,Vendedores!$B$2:$B$41,"No hay datos")</f>
        <v>Bruno Olmedo</v>
      </c>
      <c r="H982" s="2" t="str">
        <f t="array" ref="H982">_xlfn.XLOOKUP(B982,Vendedores!$A$2:$A$41,Vendedores!$C$2:$C$41,"No hay datos")</f>
        <v>Tierra Fertil</v>
      </c>
      <c r="I982" s="2" t="str">
        <f t="array" ref="I982">_xlfn.XLOOKUP(B982,Vendedores!$A$2:$A$41,Vendedores!$D$2:$D$41,"No hay datos")</f>
        <v>Región Sur 2</v>
      </c>
      <c r="J982" s="2" t="str">
        <f t="array" ref="J982:N982">_xlfn.XLOOKUP(A982,Productos!$A$2:$A$61,Productos!$B$2:$F$61)</f>
        <v>Pantalón de mezclilla</v>
      </c>
      <c r="K982" s="2" t="s">
        <v>17</v>
      </c>
      <c r="L982" s="2" t="s">
        <v>10</v>
      </c>
      <c r="M982" s="2" t="s">
        <v>65</v>
      </c>
      <c r="N982" s="2" t="s">
        <v>35</v>
      </c>
    </row>
    <row r="983">
      <c r="A983" s="2" t="str">
        <f>IFERROR(__xludf.DUMMYFUNCTION("""COMPUTED_VALUE"""),"PR039")</f>
        <v>PR039</v>
      </c>
      <c r="B983" s="2" t="str">
        <f>IFERROR(__xludf.DUMMYFUNCTION("""COMPUTED_VALUE"""),"VD038")</f>
        <v>VD038</v>
      </c>
      <c r="C983" s="2">
        <f>IFERROR(__xludf.DUMMYFUNCTION("""COMPUTED_VALUE"""),1.0)</f>
        <v>1</v>
      </c>
      <c r="D983" s="6">
        <f>IFERROR(__xludf.DUMMYFUNCTION("""COMPUTED_VALUE"""),146.0)</f>
        <v>146</v>
      </c>
      <c r="E983" s="6">
        <f>IFERROR(__xludf.DUMMYFUNCTION("GOOGLEFINANCE(""Currency:BRLMXN"")*D983"),496.03499999999997)</f>
        <v>496.035</v>
      </c>
      <c r="F983" s="6">
        <f>IFERROR(__xludf.DUMMYFUNCTION("GOOGLEFINANCE(""Currency:BRLPEN"")*D983"),95.71759999999999)</f>
        <v>95.7176</v>
      </c>
      <c r="G983" s="2" t="str">
        <f t="array" ref="G983">_xlfn.XLOOKUP(B983,Vendedores!$A$2:$A$41,Vendedores!$B$2:$B$41,"No hay datos")</f>
        <v>Bruno Olmedo</v>
      </c>
      <c r="H983" s="2" t="str">
        <f t="array" ref="H983">_xlfn.XLOOKUP(B983,Vendedores!$A$2:$A$41,Vendedores!$C$2:$C$41,"No hay datos")</f>
        <v>Tierra Fertil</v>
      </c>
      <c r="I983" s="2" t="str">
        <f t="array" ref="I983">_xlfn.XLOOKUP(B983,Vendedores!$A$2:$A$41,Vendedores!$D$2:$D$41,"No hay datos")</f>
        <v>Región Sur 2</v>
      </c>
      <c r="J983" s="2" t="str">
        <f t="array" ref="J983:N983">_xlfn.XLOOKUP(A983,Productos!$A$2:$A$61,Productos!$B$2:$F$61)</f>
        <v>Vestido largo</v>
      </c>
      <c r="K983" s="2" t="s">
        <v>22</v>
      </c>
      <c r="L983" s="2" t="s">
        <v>10</v>
      </c>
      <c r="M983" s="2" t="s">
        <v>73</v>
      </c>
      <c r="N983" s="2" t="s">
        <v>74</v>
      </c>
    </row>
    <row r="984">
      <c r="A984" s="2" t="str">
        <f>IFERROR(__xludf.DUMMYFUNCTION("""COMPUTED_VALUE"""),"PR038")</f>
        <v>PR038</v>
      </c>
      <c r="B984" s="2" t="str">
        <f>IFERROR(__xludf.DUMMYFUNCTION("""COMPUTED_VALUE"""),"VD012")</f>
        <v>VD012</v>
      </c>
      <c r="C984" s="2">
        <f>IFERROR(__xludf.DUMMYFUNCTION("""COMPUTED_VALUE"""),4.0)</f>
        <v>4</v>
      </c>
      <c r="D984" s="6">
        <f>IFERROR(__xludf.DUMMYFUNCTION("""COMPUTED_VALUE"""),577.32)</f>
        <v>577.32</v>
      </c>
      <c r="E984" s="6">
        <f>IFERROR(__xludf.DUMMYFUNCTION("GOOGLEFINANCE(""Currency:BRLMXN"")*D984"),1961.4447000000002)</f>
        <v>1961.4447</v>
      </c>
      <c r="F984" s="6">
        <f>IFERROR(__xludf.DUMMYFUNCTION("GOOGLEFINANCE(""Currency:BRLPEN"")*D984"),378.490992)</f>
        <v>378.490992</v>
      </c>
      <c r="G984" s="2" t="str">
        <f t="array" ref="G984">_xlfn.XLOOKUP(B984,Vendedores!$A$2:$A$41,Vendedores!$B$2:$B$41,"No hay datos")</f>
        <v>Ana Olmedo</v>
      </c>
      <c r="H984" s="2" t="str">
        <f t="array" ref="H984">_xlfn.XLOOKUP(B984,Vendedores!$A$2:$A$41,Vendedores!$C$2:$C$41,"No hay datos")</f>
        <v>Río Claro</v>
      </c>
      <c r="I984" s="2" t="str">
        <f t="array" ref="I984">_xlfn.XLOOKUP(B984,Vendedores!$A$2:$A$41,Vendedores!$D$2:$D$41,"No hay datos")</f>
        <v>Región Central</v>
      </c>
      <c r="J984" s="2" t="str">
        <f t="array" ref="J984:N984">_xlfn.XLOOKUP(A984,Productos!$A$2:$A$61,Productos!$B$2:$F$61)</f>
        <v>Vestido largo</v>
      </c>
      <c r="K984" s="2" t="s">
        <v>17</v>
      </c>
      <c r="L984" s="2" t="s">
        <v>10</v>
      </c>
      <c r="M984" s="2" t="s">
        <v>51</v>
      </c>
      <c r="N984" s="2" t="s">
        <v>52</v>
      </c>
    </row>
    <row r="985">
      <c r="A985" s="2" t="str">
        <f>IFERROR(__xludf.DUMMYFUNCTION("""COMPUTED_VALUE"""),"PR030")</f>
        <v>PR030</v>
      </c>
      <c r="B985" s="2" t="str">
        <f>IFERROR(__xludf.DUMMYFUNCTION("""COMPUTED_VALUE"""),"VD035")</f>
        <v>VD035</v>
      </c>
      <c r="C985" s="2">
        <f>IFERROR(__xludf.DUMMYFUNCTION("""COMPUTED_VALUE"""),2.0)</f>
        <v>2</v>
      </c>
      <c r="D985" s="6">
        <f>IFERROR(__xludf.DUMMYFUNCTION("""COMPUTED_VALUE"""),571.78)</f>
        <v>571.78</v>
      </c>
      <c r="E985" s="6">
        <f>IFERROR(__xludf.DUMMYFUNCTION("GOOGLEFINANCE(""Currency:BRLMXN"")*D985"),1942.6225499999998)</f>
        <v>1942.62255</v>
      </c>
      <c r="F985" s="6">
        <f>IFERROR(__xludf.DUMMYFUNCTION("GOOGLEFINANCE(""Currency:BRLPEN"")*D985"),374.85896799999995)</f>
        <v>374.858968</v>
      </c>
      <c r="G985" s="2" t="str">
        <f t="array" ref="G985">_xlfn.XLOOKUP(B985,Vendedores!$A$2:$A$41,Vendedores!$B$2:$B$41,"No hay datos")</f>
        <v>Carolina Méndez</v>
      </c>
      <c r="H985" s="2" t="str">
        <f t="array" ref="H985">_xlfn.XLOOKUP(B985,Vendedores!$A$2:$A$41,Vendedores!$C$2:$C$41,"No hay datos")</f>
        <v>Valle de los Robles</v>
      </c>
      <c r="I985" s="2" t="str">
        <f t="array" ref="I985">_xlfn.XLOOKUP(B985,Vendedores!$A$2:$A$41,Vendedores!$D$2:$D$41,"No hay datos")</f>
        <v>Región Central 2</v>
      </c>
      <c r="J985" s="2" t="str">
        <f t="array" ref="J985:N985">_xlfn.XLOOKUP(A985,Productos!$A$2:$A$61,Productos!$B$2:$F$61)</f>
        <v>Tenis Atitas</v>
      </c>
      <c r="K985" s="2">
        <v>38.0</v>
      </c>
      <c r="L985" s="2" t="s">
        <v>33</v>
      </c>
      <c r="M985" s="2" t="s">
        <v>63</v>
      </c>
      <c r="N985" s="2" t="s">
        <v>64</v>
      </c>
    </row>
    <row r="986">
      <c r="A986" s="2" t="str">
        <f>IFERROR(__xludf.DUMMYFUNCTION("""COMPUTED_VALUE"""),"PR015")</f>
        <v>PR015</v>
      </c>
      <c r="B986" s="2" t="str">
        <f>IFERROR(__xludf.DUMMYFUNCTION("""COMPUTED_VALUE"""),"VD013")</f>
        <v>VD013</v>
      </c>
      <c r="C986" s="2">
        <f>IFERROR(__xludf.DUMMYFUNCTION("""COMPUTED_VALUE"""),20.0)</f>
        <v>20</v>
      </c>
      <c r="D986" s="6">
        <f>IFERROR(__xludf.DUMMYFUNCTION("""COMPUTED_VALUE"""),901.0)</f>
        <v>901</v>
      </c>
      <c r="E986" s="6">
        <f>IFERROR(__xludf.DUMMYFUNCTION("GOOGLEFINANCE(""Currency:BRLMXN"")*D986"),3061.1475)</f>
        <v>3061.1475</v>
      </c>
      <c r="F986" s="6">
        <f>IFERROR(__xludf.DUMMYFUNCTION("GOOGLEFINANCE(""Currency:BRLPEN"")*D986"),590.6956)</f>
        <v>590.6956</v>
      </c>
      <c r="G986" s="2" t="str">
        <f t="array" ref="G986">_xlfn.XLOOKUP(B986,Vendedores!$A$2:$A$41,Vendedores!$B$2:$B$41,"No hay datos")</f>
        <v>Pedro Almonte</v>
      </c>
      <c r="H986" s="2" t="str">
        <f t="array" ref="H986">_xlfn.XLOOKUP(B986,Vendedores!$A$2:$A$41,Vendedores!$C$2:$C$41,"No hay datos")</f>
        <v>Santa Rosa del Valle</v>
      </c>
      <c r="I986" s="2" t="str">
        <f t="array" ref="I986">_xlfn.XLOOKUP(B986,Vendedores!$A$2:$A$41,Vendedores!$D$2:$D$41,"No hay datos")</f>
        <v>Región Norte</v>
      </c>
      <c r="J986" s="2" t="str">
        <f t="array" ref="J986:N986">_xlfn.XLOOKUP(A986,Productos!$A$2:$A$61,Productos!$B$2:$F$61)</f>
        <v>Playera estampada</v>
      </c>
      <c r="K986" s="2" t="s">
        <v>22</v>
      </c>
      <c r="L986" s="2" t="s">
        <v>10</v>
      </c>
      <c r="M986" s="2" t="s">
        <v>101</v>
      </c>
      <c r="N986" s="2" t="s">
        <v>102</v>
      </c>
    </row>
    <row r="987">
      <c r="A987" s="2" t="str">
        <f>IFERROR(__xludf.DUMMYFUNCTION("""COMPUTED_VALUE"""),"PR025")</f>
        <v>PR025</v>
      </c>
      <c r="B987" s="2" t="str">
        <f>IFERROR(__xludf.DUMMYFUNCTION("""COMPUTED_VALUE"""),"VD021")</f>
        <v>VD021</v>
      </c>
      <c r="C987" s="2">
        <f>IFERROR(__xludf.DUMMYFUNCTION("""COMPUTED_VALUE"""),12.0)</f>
        <v>12</v>
      </c>
      <c r="D987" s="6">
        <f>IFERROR(__xludf.DUMMYFUNCTION("""COMPUTED_VALUE"""),3850.72)</f>
        <v>3850.72</v>
      </c>
      <c r="E987" s="6">
        <f>IFERROR(__xludf.DUMMYFUNCTION("GOOGLEFINANCE(""Currency:BRLMXN"")*D987"),13082.821199999998)</f>
        <v>13082.8212</v>
      </c>
      <c r="F987" s="6">
        <f>IFERROR(__xludf.DUMMYFUNCTION("GOOGLEFINANCE(""Currency:BRLPEN"")*D987"),2524.5320319999996)</f>
        <v>2524.532032</v>
      </c>
      <c r="G987" s="2" t="str">
        <f t="array" ref="G987">_xlfn.XLOOKUP(B987,Vendedores!$A$2:$A$41,Vendedores!$B$2:$B$41,"No hay datos")</f>
        <v>Fernanda Méndez</v>
      </c>
      <c r="H987" s="2" t="str">
        <f t="array" ref="H987">_xlfn.XLOOKUP(B987,Vendedores!$A$2:$A$41,Vendedores!$C$2:$C$41,"No hay datos")</f>
        <v>San Juan de la Sierra</v>
      </c>
      <c r="I987" s="2" t="str">
        <f t="array" ref="I987">_xlfn.XLOOKUP(B987,Vendedores!$A$2:$A$41,Vendedores!$D$2:$D$41,"No hay datos")</f>
        <v>Región Central</v>
      </c>
      <c r="J987" s="2" t="str">
        <f t="array" ref="J987:N987">_xlfn.XLOOKUP(A987,Productos!$A$2:$A$61,Productos!$B$2:$F$61)</f>
        <v>Chaqueta de mezclilla</v>
      </c>
      <c r="K987" s="2" t="s">
        <v>22</v>
      </c>
      <c r="L987" s="2" t="s">
        <v>10</v>
      </c>
      <c r="M987" s="2" t="s">
        <v>107</v>
      </c>
      <c r="N987" s="2" t="s">
        <v>16</v>
      </c>
    </row>
    <row r="988">
      <c r="A988" s="2" t="str">
        <f>IFERROR(__xludf.DUMMYFUNCTION("""COMPUTED_VALUE"""),"PR016")</f>
        <v>PR016</v>
      </c>
      <c r="B988" s="2" t="str">
        <f>IFERROR(__xludf.DUMMYFUNCTION("""COMPUTED_VALUE"""),"VD023")</f>
        <v>VD023</v>
      </c>
      <c r="C988" s="2">
        <f>IFERROR(__xludf.DUMMYFUNCTION("""COMPUTED_VALUE"""),14.0)</f>
        <v>14</v>
      </c>
      <c r="D988" s="6">
        <f>IFERROR(__xludf.DUMMYFUNCTION("""COMPUTED_VALUE"""),398.86)</f>
        <v>398.86</v>
      </c>
      <c r="E988" s="6">
        <f>IFERROR(__xludf.DUMMYFUNCTION("GOOGLEFINANCE(""Currency:BRLMXN"")*D988"),1355.12685)</f>
        <v>1355.12685</v>
      </c>
      <c r="F988" s="6">
        <f>IFERROR(__xludf.DUMMYFUNCTION("GOOGLEFINANCE(""Currency:BRLPEN"")*D988"),261.492616)</f>
        <v>261.492616</v>
      </c>
      <c r="G988" s="2" t="str">
        <f t="array" ref="G988">_xlfn.XLOOKUP(B988,Vendedores!$A$2:$A$41,Vendedores!$B$2:$B$41,"No hay datos")</f>
        <v>Juliana Castro</v>
      </c>
      <c r="H988" s="2" t="str">
        <f t="array" ref="H988">_xlfn.XLOOKUP(B988,Vendedores!$A$2:$A$41,Vendedores!$C$2:$C$41,"No hay datos")</f>
        <v>San Miguel de los Pinos</v>
      </c>
      <c r="I988" s="2" t="str">
        <f t="array" ref="I988">_xlfn.XLOOKUP(B988,Vendedores!$A$2:$A$41,Vendedores!$D$2:$D$41,"No hay datos")</f>
        <v>Región Sur</v>
      </c>
      <c r="J988" s="2" t="str">
        <f t="array" ref="J988:N988">_xlfn.XLOOKUP(A988,Productos!$A$2:$A$61,Productos!$B$2:$F$61)</f>
        <v>Playera lisa</v>
      </c>
      <c r="K988" s="2" t="s">
        <v>9</v>
      </c>
      <c r="L988" s="2" t="s">
        <v>10</v>
      </c>
      <c r="M988" s="2" t="s">
        <v>20</v>
      </c>
      <c r="N988" s="2" t="s">
        <v>21</v>
      </c>
    </row>
    <row r="989">
      <c r="A989" s="2" t="str">
        <f>IFERROR(__xludf.DUMMYFUNCTION("""COMPUTED_VALUE"""),"PR048")</f>
        <v>PR048</v>
      </c>
      <c r="B989" s="2" t="str">
        <f>IFERROR(__xludf.DUMMYFUNCTION("""COMPUTED_VALUE"""),"VD038")</f>
        <v>VD038</v>
      </c>
      <c r="C989" s="2">
        <f>IFERROR(__xludf.DUMMYFUNCTION("""COMPUTED_VALUE"""),2.0)</f>
        <v>2</v>
      </c>
      <c r="D989" s="6">
        <f>IFERROR(__xludf.DUMMYFUNCTION("""COMPUTED_VALUE"""),620.39)</f>
        <v>620.39</v>
      </c>
      <c r="E989" s="6">
        <f>IFERROR(__xludf.DUMMYFUNCTION("GOOGLEFINANCE(""Currency:BRLMXN"")*D989"),2107.775025)</f>
        <v>2107.775025</v>
      </c>
      <c r="F989" s="6">
        <f>IFERROR(__xludf.DUMMYFUNCTION("GOOGLEFINANCE(""Currency:BRLPEN"")*D989"),406.72768399999995)</f>
        <v>406.727684</v>
      </c>
      <c r="G989" s="2" t="str">
        <f t="array" ref="G989">_xlfn.XLOOKUP(B989,Vendedores!$A$2:$A$41,Vendedores!$B$2:$B$41,"No hay datos")</f>
        <v>Bruno Olmedo</v>
      </c>
      <c r="H989" s="2" t="str">
        <f t="array" ref="H989">_xlfn.XLOOKUP(B989,Vendedores!$A$2:$A$41,Vendedores!$C$2:$C$41,"No hay datos")</f>
        <v>Tierra Fertil</v>
      </c>
      <c r="I989" s="2" t="str">
        <f t="array" ref="I989">_xlfn.XLOOKUP(B989,Vendedores!$A$2:$A$41,Vendedores!$D$2:$D$41,"No hay datos")</f>
        <v>Región Sur 2</v>
      </c>
      <c r="J989" s="2" t="str">
        <f t="array" ref="J989:N989">_xlfn.XLOOKUP(A989,Productos!$A$2:$A$61,Productos!$B$2:$F$61)</f>
        <v>Chaqueta de cuero</v>
      </c>
      <c r="K989" s="2" t="s">
        <v>22</v>
      </c>
      <c r="L989" s="2" t="s">
        <v>10</v>
      </c>
      <c r="M989" s="2" t="s">
        <v>94</v>
      </c>
      <c r="N989" s="2" t="s">
        <v>44</v>
      </c>
    </row>
    <row r="990">
      <c r="A990" s="2" t="str">
        <f>IFERROR(__xludf.DUMMYFUNCTION("""COMPUTED_VALUE"""),"PR051")</f>
        <v>PR051</v>
      </c>
      <c r="B990" s="2" t="str">
        <f>IFERROR(__xludf.DUMMYFUNCTION("""COMPUTED_VALUE"""),"VD010")</f>
        <v>VD010</v>
      </c>
      <c r="C990" s="2">
        <f>IFERROR(__xludf.DUMMYFUNCTION("""COMPUTED_VALUE"""),10.0)</f>
        <v>10</v>
      </c>
      <c r="D990" s="6">
        <f>IFERROR(__xludf.DUMMYFUNCTION("""COMPUTED_VALUE"""),342.16)</f>
        <v>342.16</v>
      </c>
      <c r="E990" s="6">
        <f>IFERROR(__xludf.DUMMYFUNCTION("GOOGLEFINANCE(""Currency:BRLMXN"")*D990"),1162.4886000000001)</f>
        <v>1162.4886</v>
      </c>
      <c r="F990" s="6">
        <f>IFERROR(__xludf.DUMMYFUNCTION("GOOGLEFINANCE(""Currency:BRLPEN"")*D990"),224.320096)</f>
        <v>224.320096</v>
      </c>
      <c r="G990" s="2" t="str">
        <f t="array" ref="G990">_xlfn.XLOOKUP(B990,Vendedores!$A$2:$A$41,Vendedores!$B$2:$B$41,"No hay datos")</f>
        <v>María Silva</v>
      </c>
      <c r="H990" s="2" t="str">
        <f t="array" ref="H990">_xlfn.XLOOKUP(B990,Vendedores!$A$2:$A$41,Vendedores!$C$2:$C$41,"No hay datos")</f>
        <v>San Juan de la Sierra</v>
      </c>
      <c r="I990" s="2" t="str">
        <f t="array" ref="I990">_xlfn.XLOOKUP(B990,Vendedores!$A$2:$A$41,Vendedores!$D$2:$D$41,"No hay datos")</f>
        <v>Región Central</v>
      </c>
      <c r="J990" s="2" t="str">
        <f t="array" ref="J990:N990">_xlfn.XLOOKUP(A990,Productos!$A$2:$A$61,Productos!$B$2:$F$61)</f>
        <v>Playera a rayas</v>
      </c>
      <c r="K990" s="2" t="s">
        <v>22</v>
      </c>
      <c r="L990" s="2" t="s">
        <v>10</v>
      </c>
      <c r="M990" s="2" t="s">
        <v>23</v>
      </c>
      <c r="N990" s="2" t="s">
        <v>24</v>
      </c>
    </row>
    <row r="991">
      <c r="A991" s="2" t="str">
        <f>IFERROR(__xludf.DUMMYFUNCTION("""COMPUTED_VALUE"""),"PR060")</f>
        <v>PR060</v>
      </c>
      <c r="B991" s="2" t="str">
        <f>IFERROR(__xludf.DUMMYFUNCTION("""COMPUTED_VALUE"""),"VD025")</f>
        <v>VD025</v>
      </c>
      <c r="C991" s="2">
        <f>IFERROR(__xludf.DUMMYFUNCTION("""COMPUTED_VALUE"""),7.0)</f>
        <v>7</v>
      </c>
      <c r="D991" s="6">
        <f>IFERROR(__xludf.DUMMYFUNCTION("""COMPUTED_VALUE"""),1335.6)</f>
        <v>1335.6</v>
      </c>
      <c r="E991" s="6">
        <f>IFERROR(__xludf.DUMMYFUNCTION("GOOGLEFINANCE(""Currency:BRLMXN"")*D991"),4537.701)</f>
        <v>4537.701</v>
      </c>
      <c r="F991" s="6">
        <f>IFERROR(__xludf.DUMMYFUNCTION("GOOGLEFINANCE(""Currency:BRLPEN"")*D991"),875.6193599999999)</f>
        <v>875.61936</v>
      </c>
      <c r="G991" s="2" t="str">
        <f t="array" ref="G991">_xlfn.XLOOKUP(B991,Vendedores!$A$2:$A$41,Vendedores!$B$2:$B$41,"No hay datos")</f>
        <v>Alina Santana</v>
      </c>
      <c r="H991" s="2" t="str">
        <f t="array" ref="H991">_xlfn.XLOOKUP(B991,Vendedores!$A$2:$A$41,Vendedores!$C$2:$C$41,"No hay datos")</f>
        <v>Playa Blanca</v>
      </c>
      <c r="I991" s="2" t="str">
        <f t="array" ref="I991">_xlfn.XLOOKUP(B991,Vendedores!$A$2:$A$41,Vendedores!$D$2:$D$41,"No hay datos")</f>
        <v>Región Norte</v>
      </c>
      <c r="J991" s="2" t="str">
        <f t="array" ref="J991:N991">_xlfn.XLOOKUP(A991,Productos!$A$2:$A$61,Productos!$B$2:$F$61)</f>
        <v>Pantalón de sastre</v>
      </c>
      <c r="K991" s="2" t="s">
        <v>22</v>
      </c>
      <c r="L991" s="2" t="s">
        <v>10</v>
      </c>
      <c r="M991" s="2" t="s">
        <v>75</v>
      </c>
      <c r="N991" s="2" t="s">
        <v>14</v>
      </c>
    </row>
    <row r="992">
      <c r="A992" s="2" t="str">
        <f>IFERROR(__xludf.DUMMYFUNCTION("""COMPUTED_VALUE"""),"PR056")</f>
        <v>PR056</v>
      </c>
      <c r="B992" s="2" t="str">
        <f>IFERROR(__xludf.DUMMYFUNCTION("""COMPUTED_VALUE"""),"VD035")</f>
        <v>VD035</v>
      </c>
      <c r="C992" s="2">
        <f>IFERROR(__xludf.DUMMYFUNCTION("""COMPUTED_VALUE"""),4.0)</f>
        <v>4</v>
      </c>
      <c r="D992" s="6">
        <f>IFERROR(__xludf.DUMMYFUNCTION("""COMPUTED_VALUE"""),370.39)</f>
        <v>370.39</v>
      </c>
      <c r="E992" s="6">
        <f>IFERROR(__xludf.DUMMYFUNCTION("GOOGLEFINANCE(""Currency:BRLMXN"")*D992"),1258.400025)</f>
        <v>1258.400025</v>
      </c>
      <c r="F992" s="6">
        <f>IFERROR(__xludf.DUMMYFUNCTION("GOOGLEFINANCE(""Currency:BRLPEN"")*D992"),242.82768399999998)</f>
        <v>242.827684</v>
      </c>
      <c r="G992" s="2" t="str">
        <f t="array" ref="G992">_xlfn.XLOOKUP(B992,Vendedores!$A$2:$A$41,Vendedores!$B$2:$B$41,"No hay datos")</f>
        <v>Carolina Méndez</v>
      </c>
      <c r="H992" s="2" t="str">
        <f t="array" ref="H992">_xlfn.XLOOKUP(B992,Vendedores!$A$2:$A$41,Vendedores!$C$2:$C$41,"No hay datos")</f>
        <v>Valle de los Robles</v>
      </c>
      <c r="I992" s="2" t="str">
        <f t="array" ref="I992">_xlfn.XLOOKUP(B992,Vendedores!$A$2:$A$41,Vendedores!$D$2:$D$41,"No hay datos")</f>
        <v>Región Central 2</v>
      </c>
      <c r="J992" s="2" t="str">
        <f t="array" ref="J992:N992">_xlfn.XLOOKUP(A992,Productos!$A$2:$A$61,Productos!$B$2:$F$61)</f>
        <v>Sandalia plana</v>
      </c>
      <c r="K992" s="2">
        <v>36.0</v>
      </c>
      <c r="L992" s="2" t="s">
        <v>33</v>
      </c>
      <c r="M992" s="2" t="s">
        <v>106</v>
      </c>
      <c r="N992" s="2" t="s">
        <v>35</v>
      </c>
    </row>
    <row r="993">
      <c r="A993" s="2" t="str">
        <f>IFERROR(__xludf.DUMMYFUNCTION("""COMPUTED_VALUE"""),"PR033")</f>
        <v>PR033</v>
      </c>
      <c r="B993" s="2" t="str">
        <f>IFERROR(__xludf.DUMMYFUNCTION("""COMPUTED_VALUE"""),"VD036")</f>
        <v>VD036</v>
      </c>
      <c r="C993" s="2">
        <f>IFERROR(__xludf.DUMMYFUNCTION("""COMPUTED_VALUE"""),1.0)</f>
        <v>1</v>
      </c>
      <c r="D993" s="6">
        <f>IFERROR(__xludf.DUMMYFUNCTION("""COMPUTED_VALUE"""),262.5)</f>
        <v>262.5</v>
      </c>
      <c r="E993" s="6">
        <f>IFERROR(__xludf.DUMMYFUNCTION("GOOGLEFINANCE(""Currency:BRLMXN"")*D993"),891.84375)</f>
        <v>891.84375</v>
      </c>
      <c r="F993" s="6">
        <f>IFERROR(__xludf.DUMMYFUNCTION("GOOGLEFINANCE(""Currency:BRLPEN"")*D993"),172.095)</f>
        <v>172.095</v>
      </c>
      <c r="G993" s="2" t="str">
        <f t="array" ref="G993">_xlfn.XLOOKUP(B993,Vendedores!$A$2:$A$41,Vendedores!$B$2:$B$41,"No hay datos")</f>
        <v>Ricardo Sosa</v>
      </c>
      <c r="H993" s="2" t="str">
        <f t="array" ref="H993">_xlfn.XLOOKUP(B993,Vendedores!$A$2:$A$41,Vendedores!$C$2:$C$41,"No hay datos")</f>
        <v>Puerto Nuevo</v>
      </c>
      <c r="I993" s="2" t="str">
        <f t="array" ref="I993">_xlfn.XLOOKUP(B993,Vendedores!$A$2:$A$41,Vendedores!$D$2:$D$41,"No hay datos")</f>
        <v>Región Central 2</v>
      </c>
      <c r="J993" s="2" t="str">
        <f t="array" ref="J993:N993">_xlfn.XLOOKUP(A993,Productos!$A$2:$A$61,Productos!$B$2:$F$61)</f>
        <v>Tenis Chunky</v>
      </c>
      <c r="K993" s="2">
        <v>38.0</v>
      </c>
      <c r="L993" s="2" t="s">
        <v>33</v>
      </c>
      <c r="M993" s="2" t="s">
        <v>63</v>
      </c>
      <c r="N993" s="2" t="s">
        <v>64</v>
      </c>
    </row>
    <row r="994">
      <c r="A994" s="2" t="str">
        <f>IFERROR(__xludf.DUMMYFUNCTION("""COMPUTED_VALUE"""),"PR040")</f>
        <v>PR040</v>
      </c>
      <c r="B994" s="2" t="str">
        <f>IFERROR(__xludf.DUMMYFUNCTION("""COMPUTED_VALUE"""),"VD036")</f>
        <v>VD036</v>
      </c>
      <c r="C994" s="2">
        <f>IFERROR(__xludf.DUMMYFUNCTION("""COMPUTED_VALUE"""),8.0)</f>
        <v>8</v>
      </c>
      <c r="D994" s="6">
        <f>IFERROR(__xludf.DUMMYFUNCTION("""COMPUTED_VALUE"""),576.8)</f>
        <v>576.8</v>
      </c>
      <c r="E994" s="6">
        <f>IFERROR(__xludf.DUMMYFUNCTION("GOOGLEFINANCE(""Currency:BRLMXN"")*D994"),1959.6779999999999)</f>
        <v>1959.678</v>
      </c>
      <c r="F994" s="6">
        <f>IFERROR(__xludf.DUMMYFUNCTION("GOOGLEFINANCE(""Currency:BRLPEN"")*D994"),378.15007999999995)</f>
        <v>378.15008</v>
      </c>
      <c r="G994" s="2" t="str">
        <f t="array" ref="G994">_xlfn.XLOOKUP(B994,Vendedores!$A$2:$A$41,Vendedores!$B$2:$B$41,"No hay datos")</f>
        <v>Ricardo Sosa</v>
      </c>
      <c r="H994" s="2" t="str">
        <f t="array" ref="H994">_xlfn.XLOOKUP(B994,Vendedores!$A$2:$A$41,Vendedores!$C$2:$C$41,"No hay datos")</f>
        <v>Puerto Nuevo</v>
      </c>
      <c r="I994" s="2" t="str">
        <f t="array" ref="I994">_xlfn.XLOOKUP(B994,Vendedores!$A$2:$A$41,Vendedores!$D$2:$D$41,"No hay datos")</f>
        <v>Región Central 2</v>
      </c>
      <c r="J994" s="2" t="str">
        <f t="array" ref="J994:N994">_xlfn.XLOOKUP(A994,Productos!$A$2:$A$61,Productos!$B$2:$F$61)</f>
        <v>Playera confort</v>
      </c>
      <c r="K994" s="2" t="s">
        <v>9</v>
      </c>
      <c r="L994" s="2" t="s">
        <v>10</v>
      </c>
      <c r="M994" s="2" t="s">
        <v>68</v>
      </c>
      <c r="N994" s="2" t="s">
        <v>70</v>
      </c>
    </row>
    <row r="995">
      <c r="A995" s="2" t="str">
        <f>IFERROR(__xludf.DUMMYFUNCTION("""COMPUTED_VALUE"""),"PR045")</f>
        <v>PR045</v>
      </c>
      <c r="B995" s="2" t="str">
        <f>IFERROR(__xludf.DUMMYFUNCTION("""COMPUTED_VALUE"""),"VD020")</f>
        <v>VD020</v>
      </c>
      <c r="C995" s="2">
        <f>IFERROR(__xludf.DUMMYFUNCTION("""COMPUTED_VALUE"""),6.0)</f>
        <v>6</v>
      </c>
      <c r="D995" s="6">
        <f>IFERROR(__xludf.DUMMYFUNCTION("""COMPUTED_VALUE"""),435.0)</f>
        <v>435</v>
      </c>
      <c r="E995" s="6">
        <f>IFERROR(__xludf.DUMMYFUNCTION("GOOGLEFINANCE(""Currency:BRLMXN"")*D995"),1477.9125)</f>
        <v>1477.9125</v>
      </c>
      <c r="F995" s="6">
        <f>IFERROR(__xludf.DUMMYFUNCTION("GOOGLEFINANCE(""Currency:BRLPEN"")*D995"),285.186)</f>
        <v>285.186</v>
      </c>
      <c r="G995" s="2" t="str">
        <f t="array" ref="G995">_xlfn.XLOOKUP(B995,Vendedores!$A$2:$A$41,Vendedores!$B$2:$B$41,"No hay datos")</f>
        <v>Gustavo Morales</v>
      </c>
      <c r="H995" s="2" t="str">
        <f t="array" ref="H995">_xlfn.XLOOKUP(B995,Vendedores!$A$2:$A$41,Vendedores!$C$2:$C$41,"No hay datos")</f>
        <v>Villa del Sol</v>
      </c>
      <c r="I995" s="2" t="str">
        <f t="array" ref="I995">_xlfn.XLOOKUP(B995,Vendedores!$A$2:$A$41,Vendedores!$D$2:$D$41,"No hay datos")</f>
        <v>Región Central 2</v>
      </c>
      <c r="J995" s="2" t="str">
        <f t="array" ref="J995:N995">_xlfn.XLOOKUP(A995,Productos!$A$2:$A$61,Productos!$B$2:$F$61)</f>
        <v>Vestido floral</v>
      </c>
      <c r="K995" s="2" t="s">
        <v>22</v>
      </c>
      <c r="L995" s="2" t="s">
        <v>10</v>
      </c>
      <c r="M995" s="2" t="s">
        <v>39</v>
      </c>
      <c r="N995" s="2" t="s">
        <v>40</v>
      </c>
    </row>
    <row r="996">
      <c r="A996" s="2" t="str">
        <f>IFERROR(__xludf.DUMMYFUNCTION("""COMPUTED_VALUE"""),"PR017")</f>
        <v>PR017</v>
      </c>
      <c r="B996" s="2" t="str">
        <f>IFERROR(__xludf.DUMMYFUNCTION("""COMPUTED_VALUE"""),"VD022")</f>
        <v>VD022</v>
      </c>
      <c r="C996" s="2">
        <f>IFERROR(__xludf.DUMMYFUNCTION("""COMPUTED_VALUE"""),10.0)</f>
        <v>10</v>
      </c>
      <c r="D996" s="6">
        <f>IFERROR(__xludf.DUMMYFUNCTION("""COMPUTED_VALUE"""),325.91)</f>
        <v>325.91</v>
      </c>
      <c r="E996" s="6">
        <f>IFERROR(__xludf.DUMMYFUNCTION("GOOGLEFINANCE(""Currency:BRLMXN"")*D996"),1107.279225)</f>
        <v>1107.279225</v>
      </c>
      <c r="F996" s="6">
        <f>IFERROR(__xludf.DUMMYFUNCTION("GOOGLEFINANCE(""Currency:BRLPEN"")*D996"),213.666596)</f>
        <v>213.666596</v>
      </c>
      <c r="G996" s="2" t="str">
        <f t="array" ref="G996">_xlfn.XLOOKUP(B996,Vendedores!$A$2:$A$41,Vendedores!$B$2:$B$41,"No hay datos")</f>
        <v>Santiago Linares</v>
      </c>
      <c r="H996" s="2" t="str">
        <f t="array" ref="H996">_xlfn.XLOOKUP(B996,Vendedores!$A$2:$A$41,Vendedores!$C$2:$C$41,"No hay datos")</f>
        <v>Vista Hermosa</v>
      </c>
      <c r="I996" s="2" t="str">
        <f t="array" ref="I996">_xlfn.XLOOKUP(B996,Vendedores!$A$2:$A$41,Vendedores!$D$2:$D$41,"No hay datos")</f>
        <v>Región Central</v>
      </c>
      <c r="J996" s="2" t="str">
        <f t="array" ref="J996:N996">_xlfn.XLOOKUP(A996,Productos!$A$2:$A$61,Productos!$B$2:$F$61)</f>
        <v>Playera lisa</v>
      </c>
      <c r="K996" s="2" t="s">
        <v>17</v>
      </c>
      <c r="L996" s="2" t="s">
        <v>10</v>
      </c>
      <c r="M996" s="2" t="s">
        <v>98</v>
      </c>
      <c r="N996" s="2" t="s">
        <v>99</v>
      </c>
    </row>
    <row r="997">
      <c r="A997" s="2" t="str">
        <f>IFERROR(__xludf.DUMMYFUNCTION("""COMPUTED_VALUE"""),"PR033")</f>
        <v>PR033</v>
      </c>
      <c r="B997" s="2" t="str">
        <f>IFERROR(__xludf.DUMMYFUNCTION("""COMPUTED_VALUE"""),"VD036")</f>
        <v>VD036</v>
      </c>
      <c r="C997" s="2">
        <f>IFERROR(__xludf.DUMMYFUNCTION("""COMPUTED_VALUE"""),10.0)</f>
        <v>10</v>
      </c>
      <c r="D997" s="6">
        <f>IFERROR(__xludf.DUMMYFUNCTION("""COMPUTED_VALUE"""),2780.93)</f>
        <v>2780.93</v>
      </c>
      <c r="E997" s="6">
        <f>IFERROR(__xludf.DUMMYFUNCTION("GOOGLEFINANCE(""Currency:BRLMXN"")*D997"),9448.209675)</f>
        <v>9448.209675</v>
      </c>
      <c r="F997" s="6">
        <f>IFERROR(__xludf.DUMMYFUNCTION("GOOGLEFINANCE(""Currency:BRLPEN"")*D997"),1823.1777079999997)</f>
        <v>1823.177708</v>
      </c>
      <c r="G997" s="2" t="str">
        <f t="array" ref="G997">_xlfn.XLOOKUP(B997,Vendedores!$A$2:$A$41,Vendedores!$B$2:$B$41,"No hay datos")</f>
        <v>Ricardo Sosa</v>
      </c>
      <c r="H997" s="2" t="str">
        <f t="array" ref="H997">_xlfn.XLOOKUP(B997,Vendedores!$A$2:$A$41,Vendedores!$C$2:$C$41,"No hay datos")</f>
        <v>Puerto Nuevo</v>
      </c>
      <c r="I997" s="2" t="str">
        <f t="array" ref="I997">_xlfn.XLOOKUP(B997,Vendedores!$A$2:$A$41,Vendedores!$D$2:$D$41,"No hay datos")</f>
        <v>Región Central 2</v>
      </c>
      <c r="J997" s="2" t="str">
        <f t="array" ref="J997:N997">_xlfn.XLOOKUP(A997,Productos!$A$2:$A$61,Productos!$B$2:$F$61)</f>
        <v>Tenis Chunky</v>
      </c>
      <c r="K997" s="2">
        <v>38.0</v>
      </c>
      <c r="L997" s="2" t="s">
        <v>33</v>
      </c>
      <c r="M997" s="2" t="s">
        <v>63</v>
      </c>
      <c r="N997" s="2" t="s">
        <v>64</v>
      </c>
    </row>
    <row r="998">
      <c r="A998" s="2" t="str">
        <f>IFERROR(__xludf.DUMMYFUNCTION("""COMPUTED_VALUE"""),"PR017")</f>
        <v>PR017</v>
      </c>
      <c r="B998" s="2" t="str">
        <f>IFERROR(__xludf.DUMMYFUNCTION("""COMPUTED_VALUE"""),"VD025")</f>
        <v>VD025</v>
      </c>
      <c r="C998" s="2">
        <f>IFERROR(__xludf.DUMMYFUNCTION("""COMPUTED_VALUE"""),1.0)</f>
        <v>1</v>
      </c>
      <c r="D998" s="6">
        <f>IFERROR(__xludf.DUMMYFUNCTION("""COMPUTED_VALUE"""),30.2)</f>
        <v>30.2</v>
      </c>
      <c r="E998" s="6">
        <f>IFERROR(__xludf.DUMMYFUNCTION("GOOGLEFINANCE(""Currency:BRLMXN"")*D998"),102.6045)</f>
        <v>102.6045</v>
      </c>
      <c r="F998" s="6">
        <f>IFERROR(__xludf.DUMMYFUNCTION("GOOGLEFINANCE(""Currency:BRLPEN"")*D998"),19.79912)</f>
        <v>19.79912</v>
      </c>
      <c r="G998" s="2" t="str">
        <f t="array" ref="G998">_xlfn.XLOOKUP(B998,Vendedores!$A$2:$A$41,Vendedores!$B$2:$B$41,"No hay datos")</f>
        <v>Alina Santana</v>
      </c>
      <c r="H998" s="2" t="str">
        <f t="array" ref="H998">_xlfn.XLOOKUP(B998,Vendedores!$A$2:$A$41,Vendedores!$C$2:$C$41,"No hay datos")</f>
        <v>Playa Blanca</v>
      </c>
      <c r="I998" s="2" t="str">
        <f t="array" ref="I998">_xlfn.XLOOKUP(B998,Vendedores!$A$2:$A$41,Vendedores!$D$2:$D$41,"No hay datos")</f>
        <v>Región Norte</v>
      </c>
      <c r="J998" s="2" t="str">
        <f t="array" ref="J998:N998">_xlfn.XLOOKUP(A998,Productos!$A$2:$A$61,Productos!$B$2:$F$61)</f>
        <v>Playera lisa</v>
      </c>
      <c r="K998" s="2" t="s">
        <v>17</v>
      </c>
      <c r="L998" s="2" t="s">
        <v>10</v>
      </c>
      <c r="M998" s="2" t="s">
        <v>98</v>
      </c>
      <c r="N998" s="2" t="s">
        <v>99</v>
      </c>
    </row>
    <row r="999">
      <c r="A999" s="2" t="str">
        <f>IFERROR(__xludf.DUMMYFUNCTION("""COMPUTED_VALUE"""),"PR055")</f>
        <v>PR055</v>
      </c>
      <c r="B999" s="2" t="str">
        <f>IFERROR(__xludf.DUMMYFUNCTION("""COMPUTED_VALUE"""),"VD037")</f>
        <v>VD037</v>
      </c>
      <c r="C999" s="2">
        <f>IFERROR(__xludf.DUMMYFUNCTION("""COMPUTED_VALUE"""),3.0)</f>
        <v>3</v>
      </c>
      <c r="D999" s="6">
        <f>IFERROR(__xludf.DUMMYFUNCTION("""COMPUTED_VALUE"""),296.67)</f>
        <v>296.67</v>
      </c>
      <c r="E999" s="6">
        <f>IFERROR(__xludf.DUMMYFUNCTION("GOOGLEFINANCE(""Currency:BRLMXN"")*D999"),1007.936325)</f>
        <v>1007.936325</v>
      </c>
      <c r="F999" s="6">
        <f>IFERROR(__xludf.DUMMYFUNCTION("GOOGLEFINANCE(""Currency:BRLPEN"")*D999"),194.496852)</f>
        <v>194.496852</v>
      </c>
      <c r="G999" s="2" t="str">
        <f t="array" ref="G999">_xlfn.XLOOKUP(B999,Vendedores!$A$2:$A$41,Vendedores!$B$2:$B$41,"No hay datos")</f>
        <v>Amanda Silva</v>
      </c>
      <c r="H999" s="2" t="str">
        <f t="array" ref="H999">_xlfn.XLOOKUP(B999,Vendedores!$A$2:$A$41,Vendedores!$C$2:$C$41,"No hay datos")</f>
        <v>Villa Esperanza</v>
      </c>
      <c r="I999" s="2" t="str">
        <f t="array" ref="I999">_xlfn.XLOOKUP(B999,Vendedores!$A$2:$A$41,Vendedores!$D$2:$D$41,"No hay datos")</f>
        <v>Región Sur 2</v>
      </c>
      <c r="J999" s="2" t="str">
        <f t="array" ref="J999:N999">_xlfn.XLOOKUP(A999,Productos!$A$2:$A$61,Productos!$B$2:$F$61)</f>
        <v>Sandalia plana</v>
      </c>
      <c r="K999" s="2">
        <v>35.0</v>
      </c>
      <c r="L999" s="2" t="s">
        <v>33</v>
      </c>
      <c r="M999" s="2" t="s">
        <v>34</v>
      </c>
      <c r="N999" s="2" t="s">
        <v>35</v>
      </c>
    </row>
    <row r="1000">
      <c r="A1000" s="2" t="str">
        <f>IFERROR(__xludf.DUMMYFUNCTION("""COMPUTED_VALUE"""),"PR019")</f>
        <v>PR019</v>
      </c>
      <c r="B1000" s="2" t="str">
        <f>IFERROR(__xludf.DUMMYFUNCTION("""COMPUTED_VALUE"""),"VD027")</f>
        <v>VD027</v>
      </c>
      <c r="C1000" s="2">
        <f>IFERROR(__xludf.DUMMYFUNCTION("""COMPUTED_VALUE"""),4.0)</f>
        <v>4</v>
      </c>
      <c r="D1000" s="6">
        <f>IFERROR(__xludf.DUMMYFUNCTION("""COMPUTED_VALUE"""),217.56)</f>
        <v>217.56</v>
      </c>
      <c r="E1000" s="6">
        <f>IFERROR(__xludf.DUMMYFUNCTION("GOOGLEFINANCE(""Currency:BRLMXN"")*D1000"),739.1601)</f>
        <v>739.1601</v>
      </c>
      <c r="F1000" s="6">
        <f>IFERROR(__xludf.DUMMYFUNCTION("GOOGLEFINANCE(""Currency:BRLPEN"")*D1000"),142.63233599999998)</f>
        <v>142.632336</v>
      </c>
      <c r="G1000" s="2" t="str">
        <f t="array" ref="G1000">_xlfn.XLOOKUP(B1000,Vendedores!$A$2:$A$41,Vendedores!$B$2:$B$41,"No hay datos")</f>
        <v>Patricia Cortés</v>
      </c>
      <c r="H1000" s="2" t="str">
        <f t="array" ref="H1000">_xlfn.XLOOKUP(B1000,Vendedores!$A$2:$A$41,Vendedores!$C$2:$C$41,"No hay datos")</f>
        <v>Costa Azul</v>
      </c>
      <c r="I1000" s="2" t="str">
        <f t="array" ref="I1000">_xlfn.XLOOKUP(B1000,Vendedores!$A$2:$A$41,Vendedores!$D$2:$D$41,"No hay datos")</f>
        <v>Región Norte</v>
      </c>
      <c r="J1000" s="2" t="str">
        <f t="array" ref="J1000:N1000">_xlfn.XLOOKUP(A1000,Productos!$A$2:$A$61,Productos!$B$2:$F$61)</f>
        <v>Cinturón</v>
      </c>
      <c r="K1000" s="2" t="s">
        <v>29</v>
      </c>
      <c r="L1000" s="2" t="s">
        <v>30</v>
      </c>
      <c r="M1000" s="2" t="s">
        <v>31</v>
      </c>
      <c r="N1000" s="2" t="s">
        <v>32</v>
      </c>
    </row>
    <row r="1001">
      <c r="A1001" s="2" t="str">
        <f>IFERROR(__xludf.DUMMYFUNCTION("""COMPUTED_VALUE"""),"PR014")</f>
        <v>PR014</v>
      </c>
      <c r="B1001" s="2" t="str">
        <f>IFERROR(__xludf.DUMMYFUNCTION("""COMPUTED_VALUE"""),"VD018")</f>
        <v>VD018</v>
      </c>
      <c r="C1001" s="2">
        <f>IFERROR(__xludf.DUMMYFUNCTION("""COMPUTED_VALUE"""),18.0)</f>
        <v>18</v>
      </c>
      <c r="D1001" s="6">
        <f>IFERROR(__xludf.DUMMYFUNCTION("""COMPUTED_VALUE"""),775.66)</f>
        <v>775.66</v>
      </c>
      <c r="E1001" s="6">
        <f>IFERROR(__xludf.DUMMYFUNCTION("GOOGLEFINANCE(""Currency:BRLMXN"")*D1001"),2635.30485)</f>
        <v>2635.30485</v>
      </c>
      <c r="F1001" s="6">
        <f>IFERROR(__xludf.DUMMYFUNCTION("GOOGLEFINANCE(""Currency:BRLPEN"")*D1001"),508.52269599999994)</f>
        <v>508.522696</v>
      </c>
      <c r="G1001" s="2" t="str">
        <f t="array" ref="G1001">_xlfn.XLOOKUP(B1001,Vendedores!$A$2:$A$41,Vendedores!$B$2:$B$41,"No hay datos")</f>
        <v>Leticia Rodríguez</v>
      </c>
      <c r="H1001" s="2" t="str">
        <f t="array" ref="H1001">_xlfn.XLOOKUP(B1001,Vendedores!$A$2:$A$41,Vendedores!$C$2:$C$41,"No hay datos")</f>
        <v>Playa Blanca</v>
      </c>
      <c r="I1001" s="2" t="str">
        <f t="array" ref="I1001">_xlfn.XLOOKUP(B1001,Vendedores!$A$2:$A$41,Vendedores!$D$2:$D$41,"No hay datos")</f>
        <v>Región Norte</v>
      </c>
      <c r="J1001" s="2" t="str">
        <f t="array" ref="J1001:N1001">_xlfn.XLOOKUP(A1001,Productos!$A$2:$A$61,Productos!$B$2:$F$61)</f>
        <v>Playera estampada</v>
      </c>
      <c r="K1001" s="2" t="s">
        <v>17</v>
      </c>
      <c r="L1001" s="2" t="s">
        <v>10</v>
      </c>
      <c r="M1001" s="2" t="s">
        <v>37</v>
      </c>
      <c r="N1001" s="2" t="s">
        <v>38</v>
      </c>
    </row>
    <row r="1002">
      <c r="A1002" s="2" t="str">
        <f>IFERROR(__xludf.DUMMYFUNCTION("""COMPUTED_VALUE"""),"PR045")</f>
        <v>PR045</v>
      </c>
      <c r="B1002" s="2" t="str">
        <f>IFERROR(__xludf.DUMMYFUNCTION("""COMPUTED_VALUE"""),"VD036")</f>
        <v>VD036</v>
      </c>
      <c r="C1002" s="2">
        <f>IFERROR(__xludf.DUMMYFUNCTION("""COMPUTED_VALUE"""),14.0)</f>
        <v>14</v>
      </c>
      <c r="D1002" s="6">
        <f>IFERROR(__xludf.DUMMYFUNCTION("""COMPUTED_VALUE"""),1025.15)</f>
        <v>1025.15</v>
      </c>
      <c r="E1002" s="6">
        <f>IFERROR(__xludf.DUMMYFUNCTION("GOOGLEFINANCE(""Currency:BRLMXN"")*D1002"),3482.947125)</f>
        <v>3482.947125</v>
      </c>
      <c r="F1002" s="6">
        <f>IFERROR(__xludf.DUMMYFUNCTION("GOOGLEFINANCE(""Currency:BRLPEN"")*D1002"),672.08834)</f>
        <v>672.08834</v>
      </c>
      <c r="G1002" s="2" t="str">
        <f t="array" ref="G1002">_xlfn.XLOOKUP(B1002,Vendedores!$A$2:$A$41,Vendedores!$B$2:$B$41,"No hay datos")</f>
        <v>Ricardo Sosa</v>
      </c>
      <c r="H1002" s="2" t="str">
        <f t="array" ref="H1002">_xlfn.XLOOKUP(B1002,Vendedores!$A$2:$A$41,Vendedores!$C$2:$C$41,"No hay datos")</f>
        <v>Puerto Nuevo</v>
      </c>
      <c r="I1002" s="2" t="str">
        <f t="array" ref="I1002">_xlfn.XLOOKUP(B1002,Vendedores!$A$2:$A$41,Vendedores!$D$2:$D$41,"No hay datos")</f>
        <v>Región Central 2</v>
      </c>
      <c r="J1002" s="2" t="str">
        <f t="array" ref="J1002:N1002">_xlfn.XLOOKUP(A1002,Productos!$A$2:$A$61,Productos!$B$2:$F$61)</f>
        <v>Vestido floral</v>
      </c>
      <c r="K1002" s="2" t="s">
        <v>22</v>
      </c>
      <c r="L1002" s="2" t="s">
        <v>10</v>
      </c>
      <c r="M1002" s="2" t="s">
        <v>39</v>
      </c>
      <c r="N1002" s="2" t="s">
        <v>40</v>
      </c>
    </row>
    <row r="1003">
      <c r="A1003" s="2" t="str">
        <f>IFERROR(__xludf.DUMMYFUNCTION("""COMPUTED_VALUE"""),"PR036")</f>
        <v>PR036</v>
      </c>
      <c r="B1003" s="2" t="str">
        <f>IFERROR(__xludf.DUMMYFUNCTION("""COMPUTED_VALUE"""),"VD034")</f>
        <v>VD034</v>
      </c>
      <c r="C1003" s="2">
        <f>IFERROR(__xludf.DUMMYFUNCTION("""COMPUTED_VALUE"""),8.0)</f>
        <v>8</v>
      </c>
      <c r="D1003" s="6">
        <f>IFERROR(__xludf.DUMMYFUNCTION("""COMPUTED_VALUE"""),770.44)</f>
        <v>770.44</v>
      </c>
      <c r="E1003" s="6">
        <f>IFERROR(__xludf.DUMMYFUNCTION("GOOGLEFINANCE(""Currency:BRLMXN"")*D1003"),2617.5699)</f>
        <v>2617.5699</v>
      </c>
      <c r="F1003" s="6">
        <f>IFERROR(__xludf.DUMMYFUNCTION("GOOGLEFINANCE(""Currency:BRLPEN"")*D1003"),505.100464)</f>
        <v>505.100464</v>
      </c>
      <c r="G1003" s="2" t="str">
        <f t="array" ref="G1003">_xlfn.XLOOKUP(B1003,Vendedores!$A$2:$A$41,Vendedores!$B$2:$B$41,"No hay datos")</f>
        <v>Felipe Carvajal</v>
      </c>
      <c r="H1003" s="2" t="str">
        <f t="array" ref="H1003">_xlfn.XLOOKUP(B1003,Vendedores!$A$2:$A$41,Vendedores!$C$2:$C$41,"No hay datos")</f>
        <v>San Pedro del Río</v>
      </c>
      <c r="I1003" s="2" t="str">
        <f t="array" ref="I1003">_xlfn.XLOOKUP(B1003,Vendedores!$A$2:$A$41,Vendedores!$D$2:$D$41,"No hay datos")</f>
        <v>Región Sur 2</v>
      </c>
      <c r="J1003" s="2" t="str">
        <f t="array" ref="J1003:N1003">_xlfn.XLOOKUP(A1003,Productos!$A$2:$A$61,Productos!$B$2:$F$61)</f>
        <v>Vestido corto</v>
      </c>
      <c r="K1003" s="2" t="s">
        <v>22</v>
      </c>
      <c r="L1003" s="2" t="s">
        <v>10</v>
      </c>
      <c r="M1003" s="2" t="s">
        <v>82</v>
      </c>
      <c r="N1003" s="2" t="s">
        <v>83</v>
      </c>
    </row>
    <row r="1004">
      <c r="A1004" s="2" t="str">
        <f>IFERROR(__xludf.DUMMYFUNCTION("""COMPUTED_VALUE"""),"PR007")</f>
        <v>PR007</v>
      </c>
      <c r="B1004" s="2" t="str">
        <f>IFERROR(__xludf.DUMMYFUNCTION("""COMPUTED_VALUE"""),"VD013")</f>
        <v>VD013</v>
      </c>
      <c r="C1004" s="2">
        <f>IFERROR(__xludf.DUMMYFUNCTION("""COMPUTED_VALUE"""),3.0)</f>
        <v>3</v>
      </c>
      <c r="D1004" s="6">
        <f>IFERROR(__xludf.DUMMYFUNCTION("""COMPUTED_VALUE"""),278.32)</f>
        <v>278.32</v>
      </c>
      <c r="E1004" s="6">
        <f>IFERROR(__xludf.DUMMYFUNCTION("GOOGLEFINANCE(""Currency:BRLMXN"")*D1004"),945.5921999999999)</f>
        <v>945.5922</v>
      </c>
      <c r="F1004" s="6">
        <f>IFERROR(__xludf.DUMMYFUNCTION("GOOGLEFINANCE(""Currency:BRLPEN"")*D1004"),182.466592)</f>
        <v>182.466592</v>
      </c>
      <c r="G1004" s="2" t="str">
        <f t="array" ref="G1004">_xlfn.XLOOKUP(B1004,Vendedores!$A$2:$A$41,Vendedores!$B$2:$B$41,"No hay datos")</f>
        <v>Pedro Almonte</v>
      </c>
      <c r="H1004" s="2" t="str">
        <f t="array" ref="H1004">_xlfn.XLOOKUP(B1004,Vendedores!$A$2:$A$41,Vendedores!$C$2:$C$41,"No hay datos")</f>
        <v>Santa Rosa del Valle</v>
      </c>
      <c r="I1004" s="2" t="str">
        <f t="array" ref="I1004">_xlfn.XLOOKUP(B1004,Vendedores!$A$2:$A$41,Vendedores!$D$2:$D$41,"No hay datos")</f>
        <v>Región Norte</v>
      </c>
      <c r="J1004" s="2" t="str">
        <f t="array" ref="J1004:N1004">_xlfn.XLOOKUP(A1004,Productos!$A$2:$A$61,Productos!$B$2:$F$61)</f>
        <v>Pantalón de mezclilla</v>
      </c>
      <c r="K1004" s="2" t="s">
        <v>9</v>
      </c>
      <c r="L1004" s="2" t="s">
        <v>10</v>
      </c>
      <c r="M1004" s="2" t="s">
        <v>103</v>
      </c>
      <c r="N1004" s="2" t="s">
        <v>104</v>
      </c>
    </row>
    <row r="1005">
      <c r="A1005" s="2" t="str">
        <f>IFERROR(__xludf.DUMMYFUNCTION("""COMPUTED_VALUE"""),"PR051")</f>
        <v>PR051</v>
      </c>
      <c r="B1005" s="2" t="str">
        <f>IFERROR(__xludf.DUMMYFUNCTION("""COMPUTED_VALUE"""),"VD028")</f>
        <v>VD028</v>
      </c>
      <c r="C1005" s="2">
        <f>IFERROR(__xludf.DUMMYFUNCTION("""COMPUTED_VALUE"""),7.0)</f>
        <v>7</v>
      </c>
      <c r="D1005" s="6">
        <f>IFERROR(__xludf.DUMMYFUNCTION("""COMPUTED_VALUE"""),230.3)</f>
        <v>230.3</v>
      </c>
      <c r="E1005" s="6">
        <f>IFERROR(__xludf.DUMMYFUNCTION("GOOGLEFINANCE(""Currency:BRLMXN"")*D1005"),782.44425)</f>
        <v>782.44425</v>
      </c>
      <c r="F1005" s="6">
        <f>IFERROR(__xludf.DUMMYFUNCTION("GOOGLEFINANCE(""Currency:BRLPEN"")*D1005"),150.98468)</f>
        <v>150.98468</v>
      </c>
      <c r="G1005" s="2" t="str">
        <f t="array" ref="G1005">_xlfn.XLOOKUP(B1005,Vendedores!$A$2:$A$41,Vendedores!$B$2:$B$41,"No hay datos")</f>
        <v>Rodrigo Almonte</v>
      </c>
      <c r="H1005" s="2" t="str">
        <f t="array" ref="H1005">_xlfn.XLOOKUP(B1005,Vendedores!$A$2:$A$41,Vendedores!$C$2:$C$41,"No hay datos")</f>
        <v>Valle Escondido</v>
      </c>
      <c r="I1005" s="2" t="str">
        <f t="array" ref="I1005">_xlfn.XLOOKUP(B1005,Vendedores!$A$2:$A$41,Vendedores!$D$2:$D$41,"No hay datos")</f>
        <v>Región Andina</v>
      </c>
      <c r="J1005" s="2" t="str">
        <f t="array" ref="J1005:N1005">_xlfn.XLOOKUP(A1005,Productos!$A$2:$A$61,Productos!$B$2:$F$61)</f>
        <v>Playera a rayas</v>
      </c>
      <c r="K1005" s="2" t="s">
        <v>22</v>
      </c>
      <c r="L1005" s="2" t="s">
        <v>10</v>
      </c>
      <c r="M1005" s="2" t="s">
        <v>23</v>
      </c>
      <c r="N1005" s="2" t="s">
        <v>24</v>
      </c>
    </row>
    <row r="1006">
      <c r="A1006" s="2" t="str">
        <f>IFERROR(__xludf.DUMMYFUNCTION("""COMPUTED_VALUE"""),"PR020")</f>
        <v>PR020</v>
      </c>
      <c r="B1006" s="2" t="str">
        <f>IFERROR(__xludf.DUMMYFUNCTION("""COMPUTED_VALUE"""),"VD013")</f>
        <v>VD013</v>
      </c>
      <c r="C1006" s="2">
        <f>IFERROR(__xludf.DUMMYFUNCTION("""COMPUTED_VALUE"""),20.0)</f>
        <v>20</v>
      </c>
      <c r="D1006" s="6">
        <f>IFERROR(__xludf.DUMMYFUNCTION("""COMPUTED_VALUE"""),6597.8)</f>
        <v>6597.8</v>
      </c>
      <c r="E1006" s="6">
        <f>IFERROR(__xludf.DUMMYFUNCTION("GOOGLEFINANCE(""Currency:BRLMXN"")*D1006"),22416.0255)</f>
        <v>22416.0255</v>
      </c>
      <c r="F1006" s="6">
        <f>IFERROR(__xludf.DUMMYFUNCTION("GOOGLEFINANCE(""Currency:BRLPEN"")*D1006"),4325.51768)</f>
        <v>4325.51768</v>
      </c>
      <c r="G1006" s="2" t="str">
        <f t="array" ref="G1006">_xlfn.XLOOKUP(B1006,Vendedores!$A$2:$A$41,Vendedores!$B$2:$B$41,"No hay datos")</f>
        <v>Pedro Almonte</v>
      </c>
      <c r="H1006" s="2" t="str">
        <f t="array" ref="H1006">_xlfn.XLOOKUP(B1006,Vendedores!$A$2:$A$41,Vendedores!$C$2:$C$41,"No hay datos")</f>
        <v>Santa Rosa del Valle</v>
      </c>
      <c r="I1006" s="2" t="str">
        <f t="array" ref="I1006">_xlfn.XLOOKUP(B1006,Vendedores!$A$2:$A$41,Vendedores!$D$2:$D$41,"No hay datos")</f>
        <v>Región Norte</v>
      </c>
      <c r="J1006" s="2" t="str">
        <f t="array" ref="J1006:N1006">_xlfn.XLOOKUP(A1006,Productos!$A$2:$A$61,Productos!$B$2:$F$61)</f>
        <v>Chaqueta de cuero</v>
      </c>
      <c r="K1006" s="2" t="s">
        <v>9</v>
      </c>
      <c r="L1006" s="2" t="s">
        <v>10</v>
      </c>
      <c r="M1006" s="2" t="s">
        <v>15</v>
      </c>
      <c r="N1006" s="2" t="s">
        <v>16</v>
      </c>
    </row>
    <row r="1007">
      <c r="A1007" s="2" t="str">
        <f>IFERROR(__xludf.DUMMYFUNCTION("""COMPUTED_VALUE"""),"PR021")</f>
        <v>PR021</v>
      </c>
      <c r="B1007" s="2" t="str">
        <f>IFERROR(__xludf.DUMMYFUNCTION("""COMPUTED_VALUE"""),"VD033")</f>
        <v>VD033</v>
      </c>
      <c r="C1007" s="2">
        <f>IFERROR(__xludf.DUMMYFUNCTION("""COMPUTED_VALUE"""),6.0)</f>
        <v>6</v>
      </c>
      <c r="D1007" s="6">
        <f>IFERROR(__xludf.DUMMYFUNCTION("""COMPUTED_VALUE"""),1999.14)</f>
        <v>1999.14</v>
      </c>
      <c r="E1007" s="6">
        <f>IFERROR(__xludf.DUMMYFUNCTION("GOOGLEFINANCE(""Currency:BRLMXN"")*D1007"),6792.07815)</f>
        <v>6792.07815</v>
      </c>
      <c r="F1007" s="6">
        <f>IFERROR(__xludf.DUMMYFUNCTION("GOOGLEFINANCE(""Currency:BRLPEN"")*D1007"),1310.636184)</f>
        <v>1310.636184</v>
      </c>
      <c r="G1007" s="2" t="str">
        <f t="array" ref="G1007">_xlfn.XLOOKUP(B1007,Vendedores!$A$2:$A$41,Vendedores!$B$2:$B$41,"No hay datos")</f>
        <v>Renata Flores</v>
      </c>
      <c r="H1007" s="2" t="str">
        <f t="array" ref="H1007">_xlfn.XLOOKUP(B1007,Vendedores!$A$2:$A$41,Vendedores!$C$2:$C$41,"No hay datos")</f>
        <v>Altos del Sur</v>
      </c>
      <c r="I1007" s="2" t="str">
        <f t="array" ref="I1007">_xlfn.XLOOKUP(B1007,Vendedores!$A$2:$A$41,Vendedores!$D$2:$D$41,"No hay datos")</f>
        <v>Región Central 2</v>
      </c>
      <c r="J1007" s="2" t="str">
        <f t="array" ref="J1007:N1007">_xlfn.XLOOKUP(A1007,Productos!$A$2:$A$61,Productos!$B$2:$F$61)</f>
        <v>Chaqueta de cuero</v>
      </c>
      <c r="K1007" s="2" t="s">
        <v>17</v>
      </c>
      <c r="L1007" s="2" t="s">
        <v>10</v>
      </c>
      <c r="M1007" s="2" t="s">
        <v>80</v>
      </c>
      <c r="N1007" s="2" t="s">
        <v>81</v>
      </c>
    </row>
    <row r="1008">
      <c r="A1008" s="2" t="str">
        <f>IFERROR(__xludf.DUMMYFUNCTION("""COMPUTED_VALUE"""),"PR034")</f>
        <v>PR034</v>
      </c>
      <c r="B1008" s="2" t="str">
        <f>IFERROR(__xludf.DUMMYFUNCTION("""COMPUTED_VALUE"""),"VD017")</f>
        <v>VD017</v>
      </c>
      <c r="C1008" s="2">
        <f>IFERROR(__xludf.DUMMYFUNCTION("""COMPUTED_VALUE"""),8.0)</f>
        <v>8</v>
      </c>
      <c r="D1008" s="6">
        <f>IFERROR(__xludf.DUMMYFUNCTION("""COMPUTED_VALUE"""),726.39)</f>
        <v>726.39</v>
      </c>
      <c r="E1008" s="6">
        <f>IFERROR(__xludf.DUMMYFUNCTION("GOOGLEFINANCE(""Currency:BRLMXN"")*D1008"),2467.910025)</f>
        <v>2467.910025</v>
      </c>
      <c r="F1008" s="6">
        <f>IFERROR(__xludf.DUMMYFUNCTION("GOOGLEFINANCE(""Currency:BRLPEN"")*D1008"),476.22128399999997)</f>
        <v>476.221284</v>
      </c>
      <c r="G1008" s="2" t="str">
        <f t="array" ref="G1008">_xlfn.XLOOKUP(B1008,Vendedores!$A$2:$A$41,Vendedores!$B$2:$B$41,"No hay datos")</f>
        <v>Bruno Peralta</v>
      </c>
      <c r="H1008" s="2" t="str">
        <f t="array" ref="H1008">_xlfn.XLOOKUP(B1008,Vendedores!$A$2:$A$41,Vendedores!$C$2:$C$41,"No hay datos")</f>
        <v>Costa Azul</v>
      </c>
      <c r="I1008" s="2" t="str">
        <f t="array" ref="I1008">_xlfn.XLOOKUP(B1008,Vendedores!$A$2:$A$41,Vendedores!$D$2:$D$41,"No hay datos")</f>
        <v>Región Norte</v>
      </c>
      <c r="J1008" s="2" t="str">
        <f t="array" ref="J1008:N1008">_xlfn.XLOOKUP(A1008,Productos!$A$2:$A$61,Productos!$B$2:$F$61)</f>
        <v>Vestido corto</v>
      </c>
      <c r="K1008" s="2" t="s">
        <v>9</v>
      </c>
      <c r="L1008" s="2" t="s">
        <v>10</v>
      </c>
      <c r="M1008" s="2" t="s">
        <v>93</v>
      </c>
      <c r="N1008" s="2" t="s">
        <v>35</v>
      </c>
    </row>
    <row r="1009">
      <c r="A1009" s="2" t="str">
        <f>IFERROR(__xludf.DUMMYFUNCTION("""COMPUTED_VALUE"""),"PR032")</f>
        <v>PR032</v>
      </c>
      <c r="B1009" s="2" t="str">
        <f>IFERROR(__xludf.DUMMYFUNCTION("""COMPUTED_VALUE"""),"VD016")</f>
        <v>VD016</v>
      </c>
      <c r="C1009" s="2">
        <f>IFERROR(__xludf.DUMMYFUNCTION("""COMPUTED_VALUE"""),12.0)</f>
        <v>12</v>
      </c>
      <c r="D1009" s="6">
        <f>IFERROR(__xludf.DUMMYFUNCTION("""COMPUTED_VALUE"""),3150.0)</f>
        <v>3150</v>
      </c>
      <c r="E1009" s="6">
        <f>IFERROR(__xludf.DUMMYFUNCTION("GOOGLEFINANCE(""Currency:BRLMXN"")*D1009"),10702.125)</f>
        <v>10702.125</v>
      </c>
      <c r="F1009" s="6">
        <f>IFERROR(__xludf.DUMMYFUNCTION("GOOGLEFINANCE(""Currency:BRLPEN"")*D1009"),2065.14)</f>
        <v>2065.14</v>
      </c>
      <c r="G1009" s="2" t="str">
        <f t="array" ref="G1009">_xlfn.XLOOKUP(B1009,Vendedores!$A$2:$A$41,Vendedores!$B$2:$B$41,"No hay datos")</f>
        <v>Beatriz Linares</v>
      </c>
      <c r="H1009" s="2" t="str">
        <f t="array" ref="H1009">_xlfn.XLOOKUP(B1009,Vendedores!$A$2:$A$41,Vendedores!$C$2:$C$41,"No hay datos")</f>
        <v>Puerto Esperanza</v>
      </c>
      <c r="I1009" s="2" t="str">
        <f t="array" ref="I1009">_xlfn.XLOOKUP(B1009,Vendedores!$A$2:$A$41,Vendedores!$D$2:$D$41,"No hay datos")</f>
        <v>Región Sur</v>
      </c>
      <c r="J1009" s="2" t="str">
        <f t="array" ref="J1009:N1009">_xlfn.XLOOKUP(A1009,Productos!$A$2:$A$61,Productos!$B$2:$F$61)</f>
        <v>Tenis Chunky</v>
      </c>
      <c r="K1009" s="2">
        <v>37.0</v>
      </c>
      <c r="L1009" s="2" t="s">
        <v>33</v>
      </c>
      <c r="M1009" s="2" t="s">
        <v>61</v>
      </c>
      <c r="N1009" s="2" t="s">
        <v>62</v>
      </c>
    </row>
    <row r="1010">
      <c r="A1010" s="2" t="str">
        <f>IFERROR(__xludf.DUMMYFUNCTION("""COMPUTED_VALUE"""),"PR032")</f>
        <v>PR032</v>
      </c>
      <c r="B1010" s="2" t="str">
        <f>IFERROR(__xludf.DUMMYFUNCTION("""COMPUTED_VALUE"""),"VD014")</f>
        <v>VD014</v>
      </c>
      <c r="C1010" s="2">
        <f>IFERROR(__xludf.DUMMYFUNCTION("""COMPUTED_VALUE"""),5.0)</f>
        <v>5</v>
      </c>
      <c r="D1010" s="6">
        <f>IFERROR(__xludf.DUMMYFUNCTION("""COMPUTED_VALUE"""),1325.0)</f>
        <v>1325</v>
      </c>
      <c r="E1010" s="6">
        <f>IFERROR(__xludf.DUMMYFUNCTION("GOOGLEFINANCE(""Currency:BRLMXN"")*D1010"),4501.6875)</f>
        <v>4501.6875</v>
      </c>
      <c r="F1010" s="6">
        <f>IFERROR(__xludf.DUMMYFUNCTION("GOOGLEFINANCE(""Currency:BRLPEN"")*D1010"),868.67)</f>
        <v>868.67</v>
      </c>
      <c r="G1010" s="2" t="str">
        <f t="array" ref="G1010">_xlfn.XLOOKUP(B1010,Vendedores!$A$2:$A$41,Vendedores!$B$2:$B$41,"No hay datos")</f>
        <v>Carla Flores</v>
      </c>
      <c r="H1010" s="2" t="str">
        <f t="array" ref="H1010">_xlfn.XLOOKUP(B1010,Vendedores!$A$2:$A$41,Vendedores!$C$2:$C$41,"No hay datos")</f>
        <v>Valle Escondido</v>
      </c>
      <c r="I1010" s="2" t="str">
        <f t="array" ref="I1010">_xlfn.XLOOKUP(B1010,Vendedores!$A$2:$A$41,Vendedores!$D$2:$D$41,"No hay datos")</f>
        <v>Región Andina</v>
      </c>
      <c r="J1010" s="2" t="str">
        <f t="array" ref="J1010:N1010">_xlfn.XLOOKUP(A1010,Productos!$A$2:$A$61,Productos!$B$2:$F$61)</f>
        <v>Tenis Chunky</v>
      </c>
      <c r="K1010" s="2">
        <v>37.0</v>
      </c>
      <c r="L1010" s="2" t="s">
        <v>33</v>
      </c>
      <c r="M1010" s="2" t="s">
        <v>61</v>
      </c>
      <c r="N1010" s="2" t="s">
        <v>62</v>
      </c>
    </row>
    <row r="1011">
      <c r="A1011" s="2" t="str">
        <f>IFERROR(__xludf.DUMMYFUNCTION("""COMPUTED_VALUE"""),"PR053")</f>
        <v>PR053</v>
      </c>
      <c r="B1011" s="2" t="str">
        <f>IFERROR(__xludf.DUMMYFUNCTION("""COMPUTED_VALUE"""),"VD029")</f>
        <v>VD029</v>
      </c>
      <c r="C1011" s="2">
        <f>IFERROR(__xludf.DUMMYFUNCTION("""COMPUTED_VALUE"""),8.0)</f>
        <v>8</v>
      </c>
      <c r="D1011" s="6">
        <f>IFERROR(__xludf.DUMMYFUNCTION("""COMPUTED_VALUE"""),431.14)</f>
        <v>431.14</v>
      </c>
      <c r="E1011" s="6">
        <f>IFERROR(__xludf.DUMMYFUNCTION("GOOGLEFINANCE(""Currency:BRLMXN"")*D1011"),1464.7981499999999)</f>
        <v>1464.79815</v>
      </c>
      <c r="F1011" s="6">
        <f>IFERROR(__xludf.DUMMYFUNCTION("GOOGLEFINANCE(""Currency:BRLPEN"")*D1011"),282.65538399999997)</f>
        <v>282.655384</v>
      </c>
      <c r="G1011" s="2" t="str">
        <f t="array" ref="G1011">_xlfn.XLOOKUP(B1011,Vendedores!$A$2:$A$41,Vendedores!$B$2:$B$41,"No hay datos")</f>
        <v>Gabriela Sosa</v>
      </c>
      <c r="H1011" s="2" t="str">
        <f t="array" ref="H1011">_xlfn.XLOOKUP(B1011,Vendedores!$A$2:$A$41,Vendedores!$C$2:$C$41,"No hay datos")</f>
        <v>Selva Verde</v>
      </c>
      <c r="I1011" s="2" t="str">
        <f t="array" ref="I1011">_xlfn.XLOOKUP(B1011,Vendedores!$A$2:$A$41,Vendedores!$D$2:$D$41,"No hay datos")</f>
        <v>Región Amazónica</v>
      </c>
      <c r="J1011" s="2" t="str">
        <f t="array" ref="J1011:N1011">_xlfn.XLOOKUP(A1011,Productos!$A$2:$A$61,Productos!$B$2:$F$61)</f>
        <v>Falda plisada</v>
      </c>
      <c r="K1011" s="2" t="s">
        <v>17</v>
      </c>
      <c r="L1011" s="2" t="s">
        <v>10</v>
      </c>
      <c r="M1011" s="2" t="s">
        <v>41</v>
      </c>
      <c r="N1011" s="2" t="s">
        <v>32</v>
      </c>
    </row>
    <row r="1012">
      <c r="A1012" s="2" t="str">
        <f>IFERROR(__xludf.DUMMYFUNCTION("""COMPUTED_VALUE"""),"PR014")</f>
        <v>PR014</v>
      </c>
      <c r="B1012" s="2" t="str">
        <f>IFERROR(__xludf.DUMMYFUNCTION("""COMPUTED_VALUE"""),"VD029")</f>
        <v>VD029</v>
      </c>
      <c r="C1012" s="2">
        <f>IFERROR(__xludf.DUMMYFUNCTION("""COMPUTED_VALUE"""),20.0)</f>
        <v>20</v>
      </c>
      <c r="D1012" s="6">
        <f>IFERROR(__xludf.DUMMYFUNCTION("""COMPUTED_VALUE"""),805.98)</f>
        <v>805.98</v>
      </c>
      <c r="E1012" s="6">
        <f>IFERROR(__xludf.DUMMYFUNCTION("GOOGLEFINANCE(""Currency:BRLMXN"")*D1012"),2738.31705)</f>
        <v>2738.31705</v>
      </c>
      <c r="F1012" s="6">
        <f>IFERROR(__xludf.DUMMYFUNCTION("GOOGLEFINANCE(""Currency:BRLPEN"")*D1012"),528.400488)</f>
        <v>528.400488</v>
      </c>
      <c r="G1012" s="2" t="str">
        <f t="array" ref="G1012">_xlfn.XLOOKUP(B1012,Vendedores!$A$2:$A$41,Vendedores!$B$2:$B$41,"No hay datos")</f>
        <v>Gabriela Sosa</v>
      </c>
      <c r="H1012" s="2" t="str">
        <f t="array" ref="H1012">_xlfn.XLOOKUP(B1012,Vendedores!$A$2:$A$41,Vendedores!$C$2:$C$41,"No hay datos")</f>
        <v>Selva Verde</v>
      </c>
      <c r="I1012" s="2" t="str">
        <f t="array" ref="I1012">_xlfn.XLOOKUP(B1012,Vendedores!$A$2:$A$41,Vendedores!$D$2:$D$41,"No hay datos")</f>
        <v>Región Amazónica</v>
      </c>
      <c r="J1012" s="2" t="str">
        <f t="array" ref="J1012:N1012">_xlfn.XLOOKUP(A1012,Productos!$A$2:$A$61,Productos!$B$2:$F$61)</f>
        <v>Playera estampada</v>
      </c>
      <c r="K1012" s="2" t="s">
        <v>17</v>
      </c>
      <c r="L1012" s="2" t="s">
        <v>10</v>
      </c>
      <c r="M1012" s="2" t="s">
        <v>37</v>
      </c>
      <c r="N1012" s="2" t="s">
        <v>38</v>
      </c>
    </row>
    <row r="1013">
      <c r="A1013" s="2" t="str">
        <f>IFERROR(__xludf.DUMMYFUNCTION("""COMPUTED_VALUE"""),"PR005")</f>
        <v>PR005</v>
      </c>
      <c r="B1013" s="2" t="str">
        <f>IFERROR(__xludf.DUMMYFUNCTION("""COMPUTED_VALUE"""),"VD047")</f>
        <v>VD047</v>
      </c>
      <c r="C1013" s="2">
        <f>IFERROR(__xludf.DUMMYFUNCTION("""COMPUTED_VALUE"""),2.0)</f>
        <v>2</v>
      </c>
      <c r="D1013" s="6">
        <f>IFERROR(__xludf.DUMMYFUNCTION("""COMPUTED_VALUE"""),566.58)</f>
        <v>566.58</v>
      </c>
      <c r="E1013" s="6">
        <f>IFERROR(__xludf.DUMMYFUNCTION("GOOGLEFINANCE(""Currency:BRLMXN"")*D1013"),1924.9555500000001)</f>
        <v>1924.95555</v>
      </c>
      <c r="F1013" s="6">
        <f>IFERROR(__xludf.DUMMYFUNCTION("GOOGLEFINANCE(""Currency:BRLPEN"")*D1013"),371.44984800000003)</f>
        <v>371.449848</v>
      </c>
      <c r="G1013" s="2" t="str">
        <f t="array" ref="G1013">_xlfn.XLOOKUP(B1013,Vendedores!$A$2:$A$41,Vendedores!$B$2:$B$41,"No hay datos")</f>
        <v>Andrés López</v>
      </c>
      <c r="H1013" s="2" t="str">
        <f t="array" ref="H1013">_xlfn.XLOOKUP(B1013,Vendedores!$A$2:$A$41,Vendedores!$C$2:$C$41,"No hay datos")</f>
        <v>Villa Progreso</v>
      </c>
      <c r="I1013" s="2" t="str">
        <f t="array" ref="I1013">_xlfn.XLOOKUP(B1013,Vendedores!$A$2:$A$41,Vendedores!$D$2:$D$41,"No hay datos")</f>
        <v>Región Central 2</v>
      </c>
      <c r="J1013" s="2" t="str">
        <f t="array" ref="J1013:N1013">_xlfn.XLOOKUP(A1013,Productos!$A$2:$A$61,Productos!$B$2:$F$61)</f>
        <v>Bolso de cuero</v>
      </c>
      <c r="K1013" s="2" t="s">
        <v>29</v>
      </c>
      <c r="L1013" s="2" t="s">
        <v>30</v>
      </c>
      <c r="M1013" s="2" t="s">
        <v>100</v>
      </c>
      <c r="N1013" s="2" t="s">
        <v>64</v>
      </c>
    </row>
    <row r="1014">
      <c r="A1014" s="2" t="str">
        <f>IFERROR(__xludf.DUMMYFUNCTION("""COMPUTED_VALUE"""),"PR008")</f>
        <v>PR008</v>
      </c>
      <c r="B1014" s="2" t="str">
        <f>IFERROR(__xludf.DUMMYFUNCTION("""COMPUTED_VALUE"""),"VD032")</f>
        <v>VD032</v>
      </c>
      <c r="C1014" s="2">
        <f>IFERROR(__xludf.DUMMYFUNCTION("""COMPUTED_VALUE"""),18.0)</f>
        <v>18</v>
      </c>
      <c r="D1014" s="6">
        <f>IFERROR(__xludf.DUMMYFUNCTION("""COMPUTED_VALUE"""),1715.29)</f>
        <v>1715.29</v>
      </c>
      <c r="E1014" s="6">
        <f>IFERROR(__xludf.DUMMYFUNCTION("GOOGLEFINANCE(""Currency:BRLMXN"")*D1014"),5827.697775)</f>
        <v>5827.697775</v>
      </c>
      <c r="F1014" s="6">
        <f>IFERROR(__xludf.DUMMYFUNCTION("GOOGLEFINANCE(""Currency:BRLPEN"")*D1014"),1124.544124)</f>
        <v>1124.544124</v>
      </c>
      <c r="G1014" s="2" t="str">
        <f t="array" ref="G1014">_xlfn.XLOOKUP(B1014,Vendedores!$A$2:$A$41,Vendedores!$B$2:$B$41,"No hay datos")</f>
        <v>Eduardo Almonte</v>
      </c>
      <c r="H1014" s="2" t="str">
        <f t="array" ref="H1014">_xlfn.XLOOKUP(B1014,Vendedores!$A$2:$A$41,Vendedores!$C$2:$C$41,"No hay datos")</f>
        <v>Tierra Colorada</v>
      </c>
      <c r="I1014" s="2" t="str">
        <f t="array" ref="I1014">_xlfn.XLOOKUP(B1014,Vendedores!$A$2:$A$41,Vendedores!$D$2:$D$41,"No hay datos")</f>
        <v>Región Central 2</v>
      </c>
      <c r="J1014" s="2" t="str">
        <f t="array" ref="J1014:N1014">_xlfn.XLOOKUP(A1014,Productos!$A$2:$A$61,Productos!$B$2:$F$61)</f>
        <v>Pantalón de mezclilla</v>
      </c>
      <c r="K1014" s="2" t="s">
        <v>17</v>
      </c>
      <c r="L1014" s="2" t="s">
        <v>10</v>
      </c>
      <c r="M1014" s="2" t="s">
        <v>65</v>
      </c>
      <c r="N1014" s="2" t="s">
        <v>35</v>
      </c>
    </row>
    <row r="1015">
      <c r="A1015" s="2" t="str">
        <f>IFERROR(__xludf.DUMMYFUNCTION("""COMPUTED_VALUE"""),"PR048")</f>
        <v>PR048</v>
      </c>
      <c r="B1015" s="2" t="str">
        <f>IFERROR(__xludf.DUMMYFUNCTION("""COMPUTED_VALUE"""),"VD044")</f>
        <v>VD044</v>
      </c>
      <c r="C1015" s="2">
        <f>IFERROR(__xludf.DUMMYFUNCTION("""COMPUTED_VALUE"""),18.0)</f>
        <v>18</v>
      </c>
      <c r="D1015" s="6">
        <f>IFERROR(__xludf.DUMMYFUNCTION("""COMPUTED_VALUE"""),5740.02)</f>
        <v>5740.02</v>
      </c>
      <c r="E1015" s="6">
        <f>IFERROR(__xludf.DUMMYFUNCTION("GOOGLEFINANCE(""Currency:BRLMXN"")*D1015"),19501.717950000002)</f>
        <v>19501.71795</v>
      </c>
      <c r="F1015" s="6">
        <f>IFERROR(__xludf.DUMMYFUNCTION("GOOGLEFINANCE(""Currency:BRLPEN"")*D1015"),3763.157112)</f>
        <v>3763.157112</v>
      </c>
      <c r="G1015" s="2" t="str">
        <f t="array" ref="G1015">_xlfn.XLOOKUP(B1015,Vendedores!$A$2:$A$41,Vendedores!$B$2:$B$41,"No hay datos")</f>
        <v>Silvia Menéndez</v>
      </c>
      <c r="H1015" s="2" t="str">
        <f t="array" ref="H1015">_xlfn.XLOOKUP(B1015,Vendedores!$A$2:$A$41,Vendedores!$C$2:$C$41,"No hay datos")</f>
        <v>San Antonio del Monte</v>
      </c>
      <c r="I1015" s="2" t="str">
        <f t="array" ref="I1015">_xlfn.XLOOKUP(B1015,Vendedores!$A$2:$A$41,Vendedores!$D$2:$D$41,"No hay datos")</f>
        <v>Región Central 2</v>
      </c>
      <c r="J1015" s="2" t="str">
        <f t="array" ref="J1015:N1015">_xlfn.XLOOKUP(A1015,Productos!$A$2:$A$61,Productos!$B$2:$F$61)</f>
        <v>Chaqueta de cuero</v>
      </c>
      <c r="K1015" s="2" t="s">
        <v>22</v>
      </c>
      <c r="L1015" s="2" t="s">
        <v>10</v>
      </c>
      <c r="M1015" s="2" t="s">
        <v>94</v>
      </c>
      <c r="N1015" s="2" t="s">
        <v>44</v>
      </c>
    </row>
    <row r="1016">
      <c r="A1016" s="2" t="str">
        <f>IFERROR(__xludf.DUMMYFUNCTION("""COMPUTED_VALUE"""),"PR011")</f>
        <v>PR011</v>
      </c>
      <c r="B1016" s="2" t="str">
        <f>IFERROR(__xludf.DUMMYFUNCTION("""COMPUTED_VALUE"""),"VD030")</f>
        <v>VD030</v>
      </c>
      <c r="C1016" s="2">
        <f>IFERROR(__xludf.DUMMYFUNCTION("""COMPUTED_VALUE"""),8.0)</f>
        <v>8</v>
      </c>
      <c r="D1016" s="6">
        <f>IFERROR(__xludf.DUMMYFUNCTION("""COMPUTED_VALUE"""),390.21)</f>
        <v>390.21</v>
      </c>
      <c r="E1016" s="6">
        <f>IFERROR(__xludf.DUMMYFUNCTION("GOOGLEFINANCE(""Currency:BRLMXN"")*D1016"),1325.7384749999999)</f>
        <v>1325.738475</v>
      </c>
      <c r="F1016" s="6">
        <f>IFERROR(__xludf.DUMMYFUNCTION("GOOGLEFINANCE(""Currency:BRLPEN"")*D1016"),255.82167599999997)</f>
        <v>255.821676</v>
      </c>
      <c r="G1016" s="2" t="str">
        <f t="array" ref="G1016">_xlfn.XLOOKUP(B1016,Vendedores!$A$2:$A$41,Vendedores!$B$2:$B$41,"No hay datos")</f>
        <v>Leonardo Rojas</v>
      </c>
      <c r="H1016" s="2" t="str">
        <f t="array" ref="H1016">_xlfn.XLOOKUP(B1016,Vendedores!$A$2:$A$41,Vendedores!$C$2:$C$41,"No hay datos")</f>
        <v>Villa del Sol</v>
      </c>
      <c r="I1016" s="2" t="str">
        <f t="array" ref="I1016">_xlfn.XLOOKUP(B1016,Vendedores!$A$2:$A$41,Vendedores!$D$2:$D$41,"No hay datos")</f>
        <v>Región Central 2</v>
      </c>
      <c r="J1016" s="2" t="str">
        <f t="array" ref="J1016:N1016">_xlfn.XLOOKUP(A1016,Productos!$A$2:$A$61,Productos!$B$2:$F$61)</f>
        <v>Pantalón legging</v>
      </c>
      <c r="K1016" s="2" t="s">
        <v>17</v>
      </c>
      <c r="L1016" s="2" t="s">
        <v>10</v>
      </c>
      <c r="M1016" s="2" t="s">
        <v>67</v>
      </c>
      <c r="N1016" s="2" t="s">
        <v>68</v>
      </c>
    </row>
    <row r="1017">
      <c r="A1017" s="2" t="str">
        <f>IFERROR(__xludf.DUMMYFUNCTION("""COMPUTED_VALUE"""),"PR057")</f>
        <v>PR057</v>
      </c>
      <c r="B1017" s="2" t="str">
        <f>IFERROR(__xludf.DUMMYFUNCTION("""COMPUTED_VALUE"""),"VD025")</f>
        <v>VD025</v>
      </c>
      <c r="C1017" s="2">
        <f>IFERROR(__xludf.DUMMYFUNCTION("""COMPUTED_VALUE"""),14.0)</f>
        <v>14</v>
      </c>
      <c r="D1017" s="6">
        <f>IFERROR(__xludf.DUMMYFUNCTION("""COMPUTED_VALUE"""),1346.7)</f>
        <v>1346.7</v>
      </c>
      <c r="E1017" s="6">
        <f>IFERROR(__xludf.DUMMYFUNCTION("GOOGLEFINANCE(""Currency:BRLMXN"")*D1017"),4575.4132500000005)</f>
        <v>4575.41325</v>
      </c>
      <c r="F1017" s="6">
        <f>IFERROR(__xludf.DUMMYFUNCTION("GOOGLEFINANCE(""Currency:BRLPEN"")*D1017"),882.89652)</f>
        <v>882.89652</v>
      </c>
      <c r="G1017" s="2" t="str">
        <f t="array" ref="G1017">_xlfn.XLOOKUP(B1017,Vendedores!$A$2:$A$41,Vendedores!$B$2:$B$41,"No hay datos")</f>
        <v>Alina Santana</v>
      </c>
      <c r="H1017" s="2" t="str">
        <f t="array" ref="H1017">_xlfn.XLOOKUP(B1017,Vendedores!$A$2:$A$41,Vendedores!$C$2:$C$41,"No hay datos")</f>
        <v>Playa Blanca</v>
      </c>
      <c r="I1017" s="2" t="str">
        <f t="array" ref="I1017">_xlfn.XLOOKUP(B1017,Vendedores!$A$2:$A$41,Vendedores!$D$2:$D$41,"No hay datos")</f>
        <v>Región Norte</v>
      </c>
      <c r="J1017" s="2" t="str">
        <f t="array" ref="J1017:N1017">_xlfn.XLOOKUP(A1017,Productos!$A$2:$A$61,Productos!$B$2:$F$61)</f>
        <v>Sandalia plana</v>
      </c>
      <c r="K1017" s="2">
        <v>37.0</v>
      </c>
      <c r="L1017" s="2" t="s">
        <v>33</v>
      </c>
      <c r="M1017" s="2" t="s">
        <v>58</v>
      </c>
      <c r="N1017" s="2" t="s">
        <v>35</v>
      </c>
    </row>
    <row r="1018">
      <c r="A1018" s="2" t="str">
        <f>IFERROR(__xludf.DUMMYFUNCTION("""COMPUTED_VALUE"""),"PR029")</f>
        <v>PR029</v>
      </c>
      <c r="B1018" s="2" t="str">
        <f>IFERROR(__xludf.DUMMYFUNCTION("""COMPUTED_VALUE"""),"VD033")</f>
        <v>VD033</v>
      </c>
      <c r="C1018" s="2">
        <f>IFERROR(__xludf.DUMMYFUNCTION("""COMPUTED_VALUE"""),3.0)</f>
        <v>3</v>
      </c>
      <c r="D1018" s="6">
        <f>IFERROR(__xludf.DUMMYFUNCTION("""COMPUTED_VALUE"""),787.95)</f>
        <v>787.95</v>
      </c>
      <c r="E1018" s="6">
        <f>IFERROR(__xludf.DUMMYFUNCTION("GOOGLEFINANCE(""Currency:BRLMXN"")*D1018"),2677.060125)</f>
        <v>2677.060125</v>
      </c>
      <c r="F1018" s="6">
        <f>IFERROR(__xludf.DUMMYFUNCTION("GOOGLEFINANCE(""Currency:BRLPEN"")*D1018"),516.58002)</f>
        <v>516.58002</v>
      </c>
      <c r="G1018" s="2" t="str">
        <f t="array" ref="G1018">_xlfn.XLOOKUP(B1018,Vendedores!$A$2:$A$41,Vendedores!$B$2:$B$41,"No hay datos")</f>
        <v>Renata Flores</v>
      </c>
      <c r="H1018" s="2" t="str">
        <f t="array" ref="H1018">_xlfn.XLOOKUP(B1018,Vendedores!$A$2:$A$41,Vendedores!$C$2:$C$41,"No hay datos")</f>
        <v>Altos del Sur</v>
      </c>
      <c r="I1018" s="2" t="str">
        <f t="array" ref="I1018">_xlfn.XLOOKUP(B1018,Vendedores!$A$2:$A$41,Vendedores!$D$2:$D$41,"No hay datos")</f>
        <v>Región Central 2</v>
      </c>
      <c r="J1018" s="2" t="str">
        <f t="array" ref="J1018:N1018">_xlfn.XLOOKUP(A1018,Productos!$A$2:$A$61,Productos!$B$2:$F$61)</f>
        <v>Tenis Atitas</v>
      </c>
      <c r="K1018" s="2">
        <v>37.0</v>
      </c>
      <c r="L1018" s="2" t="s">
        <v>33</v>
      </c>
      <c r="M1018" s="2" t="s">
        <v>96</v>
      </c>
      <c r="N1018" s="2" t="s">
        <v>97</v>
      </c>
    </row>
    <row r="1019">
      <c r="A1019" s="2" t="str">
        <f>IFERROR(__xludf.DUMMYFUNCTION("""COMPUTED_VALUE"""),"PR053")</f>
        <v>PR053</v>
      </c>
      <c r="B1019" s="2" t="str">
        <f>IFERROR(__xludf.DUMMYFUNCTION("""COMPUTED_VALUE"""),"VD031")</f>
        <v>VD031</v>
      </c>
      <c r="C1019" s="2">
        <f>IFERROR(__xludf.DUMMYFUNCTION("""COMPUTED_VALUE"""),7.0)</f>
        <v>7</v>
      </c>
      <c r="D1019" s="6">
        <f>IFERROR(__xludf.DUMMYFUNCTION("""COMPUTED_VALUE"""),349.3)</f>
        <v>349.3</v>
      </c>
      <c r="E1019" s="6">
        <f>IFERROR(__xludf.DUMMYFUNCTION("GOOGLEFINANCE(""Currency:BRLMXN"")*D1019"),1186.74675)</f>
        <v>1186.74675</v>
      </c>
      <c r="F1019" s="6">
        <f>IFERROR(__xludf.DUMMYFUNCTION("GOOGLEFINANCE(""Currency:BRLPEN"")*D1019"),229.00108)</f>
        <v>229.00108</v>
      </c>
      <c r="G1019" s="2" t="str">
        <f t="array" ref="G1019">_xlfn.XLOOKUP(B1019,Vendedores!$A$2:$A$41,Vendedores!$B$2:$B$41,"No hay datos")</f>
        <v>Vanessa Martínez</v>
      </c>
      <c r="H1019" s="2" t="str">
        <f t="array" ref="H1019">_xlfn.XLOOKUP(B1019,Vendedores!$A$2:$A$41,Vendedores!$C$2:$C$41,"No hay datos")</f>
        <v>Monte Verde</v>
      </c>
      <c r="I1019" s="2" t="str">
        <f t="array" ref="I1019">_xlfn.XLOOKUP(B1019,Vendedores!$A$2:$A$41,Vendedores!$D$2:$D$41,"No hay datos")</f>
        <v>Región Central 2</v>
      </c>
      <c r="J1019" s="2" t="str">
        <f t="array" ref="J1019:N1019">_xlfn.XLOOKUP(A1019,Productos!$A$2:$A$61,Productos!$B$2:$F$61)</f>
        <v>Falda plisada</v>
      </c>
      <c r="K1019" s="2" t="s">
        <v>17</v>
      </c>
      <c r="L1019" s="2" t="s">
        <v>10</v>
      </c>
      <c r="M1019" s="2" t="s">
        <v>41</v>
      </c>
      <c r="N1019" s="2" t="s">
        <v>32</v>
      </c>
    </row>
    <row r="1020">
      <c r="A1020" s="2" t="str">
        <f>IFERROR(__xludf.DUMMYFUNCTION("""COMPUTED_VALUE"""),"PR018")</f>
        <v>PR018</v>
      </c>
      <c r="B1020" s="2" t="str">
        <f>IFERROR(__xludf.DUMMYFUNCTION("""COMPUTED_VALUE"""),"VD027")</f>
        <v>VD027</v>
      </c>
      <c r="C1020" s="2">
        <f>IFERROR(__xludf.DUMMYFUNCTION("""COMPUTED_VALUE"""),10.0)</f>
        <v>10</v>
      </c>
      <c r="D1020" s="6">
        <f>IFERROR(__xludf.DUMMYFUNCTION("""COMPUTED_VALUE"""),335.58)</f>
        <v>335.58</v>
      </c>
      <c r="E1020" s="6">
        <f>IFERROR(__xludf.DUMMYFUNCTION("GOOGLEFINANCE(""Currency:BRLMXN"")*D1020"),1140.13305)</f>
        <v>1140.13305</v>
      </c>
      <c r="F1020" s="6">
        <f>IFERROR(__xludf.DUMMYFUNCTION("GOOGLEFINANCE(""Currency:BRLPEN"")*D1020"),220.00624799999997)</f>
        <v>220.006248</v>
      </c>
      <c r="G1020" s="2" t="str">
        <f t="array" ref="G1020">_xlfn.XLOOKUP(B1020,Vendedores!$A$2:$A$41,Vendedores!$B$2:$B$41,"No hay datos")</f>
        <v>Patricia Cortés</v>
      </c>
      <c r="H1020" s="2" t="str">
        <f t="array" ref="H1020">_xlfn.XLOOKUP(B1020,Vendedores!$A$2:$A$41,Vendedores!$C$2:$C$41,"No hay datos")</f>
        <v>Costa Azul</v>
      </c>
      <c r="I1020" s="2" t="str">
        <f t="array" ref="I1020">_xlfn.XLOOKUP(B1020,Vendedores!$A$2:$A$41,Vendedores!$D$2:$D$41,"No hay datos")</f>
        <v>Región Norte</v>
      </c>
      <c r="J1020" s="2" t="str">
        <f t="array" ref="J1020:N1020">_xlfn.XLOOKUP(A1020,Productos!$A$2:$A$61,Productos!$B$2:$F$61)</f>
        <v>Playera lisa</v>
      </c>
      <c r="K1020" s="2" t="s">
        <v>22</v>
      </c>
      <c r="L1020" s="2" t="s">
        <v>10</v>
      </c>
      <c r="M1020" s="2" t="s">
        <v>57</v>
      </c>
      <c r="N1020" s="2" t="s">
        <v>24</v>
      </c>
    </row>
    <row r="1021">
      <c r="A1021" s="2" t="str">
        <f>IFERROR(__xludf.DUMMYFUNCTION("""COMPUTED_VALUE"""),"PR048")</f>
        <v>PR048</v>
      </c>
      <c r="B1021" s="2" t="str">
        <f>IFERROR(__xludf.DUMMYFUNCTION("""COMPUTED_VALUE"""),"VD046")</f>
        <v>VD046</v>
      </c>
      <c r="C1021" s="2">
        <f>IFERROR(__xludf.DUMMYFUNCTION("""COMPUTED_VALUE"""),12.0)</f>
        <v>12</v>
      </c>
      <c r="D1021" s="6">
        <f>IFERROR(__xludf.DUMMYFUNCTION("""COMPUTED_VALUE"""),3757.1)</f>
        <v>3757.1</v>
      </c>
      <c r="E1021" s="6">
        <f>IFERROR(__xludf.DUMMYFUNCTION("GOOGLEFINANCE(""Currency:BRLMXN"")*D1021"),12764.74725)</f>
        <v>12764.74725</v>
      </c>
      <c r="F1021" s="6">
        <f>IFERROR(__xludf.DUMMYFUNCTION("GOOGLEFINANCE(""Currency:BRLPEN"")*D1021"),2463.15476)</f>
        <v>2463.15476</v>
      </c>
      <c r="G1021" s="2" t="str">
        <f t="array" ref="G1021">_xlfn.XLOOKUP(B1021,Vendedores!$A$2:$A$41,Vendedores!$B$2:$B$41,"No hay datos")</f>
        <v>Juliana Pérez</v>
      </c>
      <c r="H1021" s="2" t="str">
        <f t="array" ref="H1021">_xlfn.XLOOKUP(B1021,Vendedores!$A$2:$A$41,Vendedores!$C$2:$C$41,"No hay datos")</f>
        <v>Santa Cruz de la Sierra</v>
      </c>
      <c r="I1021" s="2" t="str">
        <f t="array" ref="I1021">_xlfn.XLOOKUP(B1021,Vendedores!$A$2:$A$41,Vendedores!$D$2:$D$41,"No hay datos")</f>
        <v>Región Central 2</v>
      </c>
      <c r="J1021" s="2" t="str">
        <f t="array" ref="J1021:N1021">_xlfn.XLOOKUP(A1021,Productos!$A$2:$A$61,Productos!$B$2:$F$61)</f>
        <v>Chaqueta de cuero</v>
      </c>
      <c r="K1021" s="2" t="s">
        <v>22</v>
      </c>
      <c r="L1021" s="2" t="s">
        <v>10</v>
      </c>
      <c r="M1021" s="2" t="s">
        <v>94</v>
      </c>
      <c r="N1021" s="2" t="s">
        <v>44</v>
      </c>
    </row>
    <row r="1022">
      <c r="A1022" s="2" t="str">
        <f>IFERROR(__xludf.DUMMYFUNCTION("""COMPUTED_VALUE"""),"PR031")</f>
        <v>PR031</v>
      </c>
      <c r="B1022" s="2" t="str">
        <f>IFERROR(__xludf.DUMMYFUNCTION("""COMPUTED_VALUE"""),"VD011")</f>
        <v>VD011</v>
      </c>
      <c r="C1022" s="2">
        <f>IFERROR(__xludf.DUMMYFUNCTION("""COMPUTED_VALUE"""),10.0)</f>
        <v>10</v>
      </c>
      <c r="D1022" s="6">
        <f>IFERROR(__xludf.DUMMYFUNCTION("""COMPUTED_VALUE"""),2474.5)</f>
        <v>2474.5</v>
      </c>
      <c r="E1022" s="6">
        <f>IFERROR(__xludf.DUMMYFUNCTION("GOOGLEFINANCE(""Currency:BRLMXN"")*D1022"),8407.11375)</f>
        <v>8407.11375</v>
      </c>
      <c r="F1022" s="6">
        <f>IFERROR(__xludf.DUMMYFUNCTION("GOOGLEFINANCE(""Currency:BRLPEN"")*D1022"),1622.2821999999999)</f>
        <v>1622.2822</v>
      </c>
      <c r="G1022" s="2" t="str">
        <f t="array" ref="G1022">_xlfn.XLOOKUP(B1022,Vendedores!$A$2:$A$41,Vendedores!$B$2:$B$41,"No hay datos")</f>
        <v>Juan Santos</v>
      </c>
      <c r="H1022" s="2" t="str">
        <f t="array" ref="H1022">_xlfn.XLOOKUP(B1022,Vendedores!$A$2:$A$41,Vendedores!$C$2:$C$41,"No hay datos")</f>
        <v>Vista Hermosa</v>
      </c>
      <c r="I1022" s="2" t="str">
        <f t="array" ref="I1022">_xlfn.XLOOKUP(B1022,Vendedores!$A$2:$A$41,Vendedores!$D$2:$D$41,"No hay datos")</f>
        <v>Región Central</v>
      </c>
      <c r="J1022" s="2" t="str">
        <f t="array" ref="J1022:N1022">_xlfn.XLOOKUP(A1022,Productos!$A$2:$A$61,Productos!$B$2:$F$61)</f>
        <v>Tenis Chunky</v>
      </c>
      <c r="K1022" s="2">
        <v>36.0</v>
      </c>
      <c r="L1022" s="2" t="s">
        <v>33</v>
      </c>
      <c r="M1022" s="2" t="s">
        <v>84</v>
      </c>
      <c r="N1022" s="2" t="s">
        <v>85</v>
      </c>
    </row>
    <row r="1023">
      <c r="A1023" s="2" t="str">
        <f>IFERROR(__xludf.DUMMYFUNCTION("""COMPUTED_VALUE"""),"PR042")</f>
        <v>PR042</v>
      </c>
      <c r="B1023" s="2" t="str">
        <f>IFERROR(__xludf.DUMMYFUNCTION("""COMPUTED_VALUE"""),"VD020")</f>
        <v>VD020</v>
      </c>
      <c r="C1023" s="2">
        <f>IFERROR(__xludf.DUMMYFUNCTION("""COMPUTED_VALUE"""),3.0)</f>
        <v>3</v>
      </c>
      <c r="D1023" s="6">
        <f>IFERROR(__xludf.DUMMYFUNCTION("""COMPUTED_VALUE"""),169.64)</f>
        <v>169.64</v>
      </c>
      <c r="E1023" s="6">
        <f>IFERROR(__xludf.DUMMYFUNCTION("GOOGLEFINANCE(""Currency:BRLMXN"")*D1023"),576.3519)</f>
        <v>576.3519</v>
      </c>
      <c r="F1023" s="6">
        <f>IFERROR(__xludf.DUMMYFUNCTION("GOOGLEFINANCE(""Currency:BRLPEN"")*D1023"),111.21598399999998)</f>
        <v>111.215984</v>
      </c>
      <c r="G1023" s="2" t="str">
        <f t="array" ref="G1023">_xlfn.XLOOKUP(B1023,Vendedores!$A$2:$A$41,Vendedores!$B$2:$B$41,"No hay datos")</f>
        <v>Gustavo Morales</v>
      </c>
      <c r="H1023" s="2" t="str">
        <f t="array" ref="H1023">_xlfn.XLOOKUP(B1023,Vendedores!$A$2:$A$41,Vendedores!$C$2:$C$41,"No hay datos")</f>
        <v>Villa del Sol</v>
      </c>
      <c r="I1023" s="2" t="str">
        <f t="array" ref="I1023">_xlfn.XLOOKUP(B1023,Vendedores!$A$2:$A$41,Vendedores!$D$2:$D$41,"No hay datos")</f>
        <v>Región Central 2</v>
      </c>
      <c r="J1023" s="2" t="str">
        <f t="array" ref="J1023:N1023">_xlfn.XLOOKUP(A1023,Productos!$A$2:$A$61,Productos!$B$2:$F$61)</f>
        <v>Playera confort</v>
      </c>
      <c r="K1023" s="2" t="s">
        <v>22</v>
      </c>
      <c r="L1023" s="2" t="s">
        <v>10</v>
      </c>
      <c r="M1023" s="2" t="s">
        <v>25</v>
      </c>
      <c r="N1023" s="2" t="s">
        <v>26</v>
      </c>
    </row>
    <row r="1024">
      <c r="A1024" s="2" t="str">
        <f>IFERROR(__xludf.DUMMYFUNCTION("""COMPUTED_VALUE"""),"PR053")</f>
        <v>PR053</v>
      </c>
      <c r="B1024" s="2" t="str">
        <f>IFERROR(__xludf.DUMMYFUNCTION("""COMPUTED_VALUE"""),"VD027")</f>
        <v>VD027</v>
      </c>
      <c r="C1024" s="2">
        <f>IFERROR(__xludf.DUMMYFUNCTION("""COMPUTED_VALUE"""),12.0)</f>
        <v>12</v>
      </c>
      <c r="D1024" s="6">
        <f>IFERROR(__xludf.DUMMYFUNCTION("""COMPUTED_VALUE"""),604.79)</f>
        <v>604.79</v>
      </c>
      <c r="E1024" s="6">
        <f>IFERROR(__xludf.DUMMYFUNCTION("GOOGLEFINANCE(""Currency:BRLMXN"")*D1024"),2054.7740249999997)</f>
        <v>2054.774025</v>
      </c>
      <c r="F1024" s="6">
        <f>IFERROR(__xludf.DUMMYFUNCTION("GOOGLEFINANCE(""Currency:BRLPEN"")*D1024"),396.500324)</f>
        <v>396.500324</v>
      </c>
      <c r="G1024" s="2" t="str">
        <f t="array" ref="G1024">_xlfn.XLOOKUP(B1024,Vendedores!$A$2:$A$41,Vendedores!$B$2:$B$41,"No hay datos")</f>
        <v>Patricia Cortés</v>
      </c>
      <c r="H1024" s="2" t="str">
        <f t="array" ref="H1024">_xlfn.XLOOKUP(B1024,Vendedores!$A$2:$A$41,Vendedores!$C$2:$C$41,"No hay datos")</f>
        <v>Costa Azul</v>
      </c>
      <c r="I1024" s="2" t="str">
        <f t="array" ref="I1024">_xlfn.XLOOKUP(B1024,Vendedores!$A$2:$A$41,Vendedores!$D$2:$D$41,"No hay datos")</f>
        <v>Región Norte</v>
      </c>
      <c r="J1024" s="2" t="str">
        <f t="array" ref="J1024:N1024">_xlfn.XLOOKUP(A1024,Productos!$A$2:$A$61,Productos!$B$2:$F$61)</f>
        <v>Falda plisada</v>
      </c>
      <c r="K1024" s="2" t="s">
        <v>17</v>
      </c>
      <c r="L1024" s="2" t="s">
        <v>10</v>
      </c>
      <c r="M1024" s="2" t="s">
        <v>41</v>
      </c>
      <c r="N1024" s="2" t="s">
        <v>32</v>
      </c>
    </row>
    <row r="1025">
      <c r="A1025" s="2" t="str">
        <f>IFERROR(__xludf.DUMMYFUNCTION("""COMPUTED_VALUE"""),"PR032")</f>
        <v>PR032</v>
      </c>
      <c r="B1025" s="2" t="str">
        <f>IFERROR(__xludf.DUMMYFUNCTION("""COMPUTED_VALUE"""),"VD047")</f>
        <v>VD047</v>
      </c>
      <c r="C1025" s="2">
        <f>IFERROR(__xludf.DUMMYFUNCTION("""COMPUTED_VALUE"""),18.0)</f>
        <v>18</v>
      </c>
      <c r="D1025" s="6">
        <f>IFERROR(__xludf.DUMMYFUNCTION("""COMPUTED_VALUE"""),4860.0)</f>
        <v>4860</v>
      </c>
      <c r="E1025" s="6">
        <f>IFERROR(__xludf.DUMMYFUNCTION("GOOGLEFINANCE(""Currency:BRLMXN"")*D1025"),16511.85)</f>
        <v>16511.85</v>
      </c>
      <c r="F1025" s="6">
        <f>IFERROR(__xludf.DUMMYFUNCTION("GOOGLEFINANCE(""Currency:BRLPEN"")*D1025"),3186.216)</f>
        <v>3186.216</v>
      </c>
      <c r="G1025" s="2" t="str">
        <f t="array" ref="G1025">_xlfn.XLOOKUP(B1025,Vendedores!$A$2:$A$41,Vendedores!$B$2:$B$41,"No hay datos")</f>
        <v>Andrés López</v>
      </c>
      <c r="H1025" s="2" t="str">
        <f t="array" ref="H1025">_xlfn.XLOOKUP(B1025,Vendedores!$A$2:$A$41,Vendedores!$C$2:$C$41,"No hay datos")</f>
        <v>Villa Progreso</v>
      </c>
      <c r="I1025" s="2" t="str">
        <f t="array" ref="I1025">_xlfn.XLOOKUP(B1025,Vendedores!$A$2:$A$41,Vendedores!$D$2:$D$41,"No hay datos")</f>
        <v>Región Central 2</v>
      </c>
      <c r="J1025" s="2" t="str">
        <f t="array" ref="J1025:N1025">_xlfn.XLOOKUP(A1025,Productos!$A$2:$A$61,Productos!$B$2:$F$61)</f>
        <v>Tenis Chunky</v>
      </c>
      <c r="K1025" s="2">
        <v>37.0</v>
      </c>
      <c r="L1025" s="2" t="s">
        <v>33</v>
      </c>
      <c r="M1025" s="2" t="s">
        <v>61</v>
      </c>
      <c r="N1025" s="2" t="s">
        <v>62</v>
      </c>
    </row>
    <row r="1026">
      <c r="A1026" s="2" t="str">
        <f>IFERROR(__xludf.DUMMYFUNCTION("""COMPUTED_VALUE"""),"PR015")</f>
        <v>PR015</v>
      </c>
      <c r="B1026" s="2" t="str">
        <f>IFERROR(__xludf.DUMMYFUNCTION("""COMPUTED_VALUE"""),"VD038")</f>
        <v>VD038</v>
      </c>
      <c r="C1026" s="2">
        <f>IFERROR(__xludf.DUMMYFUNCTION("""COMPUTED_VALUE"""),12.0)</f>
        <v>12</v>
      </c>
      <c r="D1026" s="6">
        <f>IFERROR(__xludf.DUMMYFUNCTION("""COMPUTED_VALUE"""),535.5)</f>
        <v>535.5</v>
      </c>
      <c r="E1026" s="6">
        <f>IFERROR(__xludf.DUMMYFUNCTION("GOOGLEFINANCE(""Currency:BRLMXN"")*D1026"),1819.36125)</f>
        <v>1819.36125</v>
      </c>
      <c r="F1026" s="6">
        <f>IFERROR(__xludf.DUMMYFUNCTION("GOOGLEFINANCE(""Currency:BRLPEN"")*D1026"),351.0738)</f>
        <v>351.0738</v>
      </c>
      <c r="G1026" s="2" t="str">
        <f t="array" ref="G1026">_xlfn.XLOOKUP(B1026,Vendedores!$A$2:$A$41,Vendedores!$B$2:$B$41,"No hay datos")</f>
        <v>Bruno Olmedo</v>
      </c>
      <c r="H1026" s="2" t="str">
        <f t="array" ref="H1026">_xlfn.XLOOKUP(B1026,Vendedores!$A$2:$A$41,Vendedores!$C$2:$C$41,"No hay datos")</f>
        <v>Tierra Fertil</v>
      </c>
      <c r="I1026" s="2" t="str">
        <f t="array" ref="I1026">_xlfn.XLOOKUP(B1026,Vendedores!$A$2:$A$41,Vendedores!$D$2:$D$41,"No hay datos")</f>
        <v>Región Sur 2</v>
      </c>
      <c r="J1026" s="2" t="str">
        <f t="array" ref="J1026:N1026">_xlfn.XLOOKUP(A1026,Productos!$A$2:$A$61,Productos!$B$2:$F$61)</f>
        <v>Playera estampada</v>
      </c>
      <c r="K1026" s="2" t="s">
        <v>22</v>
      </c>
      <c r="L1026" s="2" t="s">
        <v>10</v>
      </c>
      <c r="M1026" s="2" t="s">
        <v>101</v>
      </c>
      <c r="N1026" s="2" t="s">
        <v>102</v>
      </c>
    </row>
    <row r="1027">
      <c r="A1027" s="2" t="str">
        <f>IFERROR(__xludf.DUMMYFUNCTION("""COMPUTED_VALUE"""),"PR059")</f>
        <v>PR059</v>
      </c>
      <c r="B1027" s="2" t="str">
        <f>IFERROR(__xludf.DUMMYFUNCTION("""COMPUTED_VALUE"""),"VD047")</f>
        <v>VD047</v>
      </c>
      <c r="C1027" s="2">
        <f>IFERROR(__xludf.DUMMYFUNCTION("""COMPUTED_VALUE"""),14.0)</f>
        <v>14</v>
      </c>
      <c r="D1027" s="6">
        <f>IFERROR(__xludf.DUMMYFUNCTION("""COMPUTED_VALUE"""),2671.2)</f>
        <v>2671.2</v>
      </c>
      <c r="E1027" s="6">
        <f>IFERROR(__xludf.DUMMYFUNCTION("GOOGLEFINANCE(""Currency:BRLMXN"")*D1027"),9075.402)</f>
        <v>9075.402</v>
      </c>
      <c r="F1027" s="6">
        <f>IFERROR(__xludf.DUMMYFUNCTION("GOOGLEFINANCE(""Currency:BRLPEN"")*D1027"),1751.2387199999998)</f>
        <v>1751.23872</v>
      </c>
      <c r="G1027" s="2" t="str">
        <f t="array" ref="G1027">_xlfn.XLOOKUP(B1027,Vendedores!$A$2:$A$41,Vendedores!$B$2:$B$41,"No hay datos")</f>
        <v>Andrés López</v>
      </c>
      <c r="H1027" s="2" t="str">
        <f t="array" ref="H1027">_xlfn.XLOOKUP(B1027,Vendedores!$A$2:$A$41,Vendedores!$C$2:$C$41,"No hay datos")</f>
        <v>Villa Progreso</v>
      </c>
      <c r="I1027" s="2" t="str">
        <f t="array" ref="I1027">_xlfn.XLOOKUP(B1027,Vendedores!$A$2:$A$41,Vendedores!$D$2:$D$41,"No hay datos")</f>
        <v>Región Central 2</v>
      </c>
      <c r="J1027" s="2" t="str">
        <f t="array" ref="J1027:N1027">_xlfn.XLOOKUP(A1027,Productos!$A$2:$A$61,Productos!$B$2:$F$61)</f>
        <v>Pantalón de sastre</v>
      </c>
      <c r="K1027" s="2" t="s">
        <v>17</v>
      </c>
      <c r="L1027" s="2" t="s">
        <v>10</v>
      </c>
      <c r="M1027" s="2" t="s">
        <v>28</v>
      </c>
      <c r="N1027" s="2" t="s">
        <v>14</v>
      </c>
    </row>
    <row r="1028">
      <c r="A1028" s="2" t="str">
        <f>IFERROR(__xludf.DUMMYFUNCTION("""COMPUTED_VALUE"""),"PR004")</f>
        <v>PR004</v>
      </c>
      <c r="B1028" s="2" t="str">
        <f>IFERROR(__xludf.DUMMYFUNCTION("""COMPUTED_VALUE"""),"VD022")</f>
        <v>VD022</v>
      </c>
      <c r="C1028" s="2">
        <f>IFERROR(__xludf.DUMMYFUNCTION("""COMPUTED_VALUE"""),6.0)</f>
        <v>6</v>
      </c>
      <c r="D1028" s="6">
        <f>IFERROR(__xludf.DUMMYFUNCTION("""COMPUTED_VALUE"""),887.4)</f>
        <v>887.4</v>
      </c>
      <c r="E1028" s="6">
        <f>IFERROR(__xludf.DUMMYFUNCTION("GOOGLEFINANCE(""Currency:BRLMXN"")*D1028"),3014.9415)</f>
        <v>3014.9415</v>
      </c>
      <c r="F1028" s="6">
        <f>IFERROR(__xludf.DUMMYFUNCTION("GOOGLEFINANCE(""Currency:BRLPEN"")*D1028"),581.7794399999999)</f>
        <v>581.77944</v>
      </c>
      <c r="G1028" s="2" t="str">
        <f t="array" ref="G1028">_xlfn.XLOOKUP(B1028,Vendedores!$A$2:$A$41,Vendedores!$B$2:$B$41,"No hay datos")</f>
        <v>Santiago Linares</v>
      </c>
      <c r="H1028" s="2" t="str">
        <f t="array" ref="H1028">_xlfn.XLOOKUP(B1028,Vendedores!$A$2:$A$41,Vendedores!$C$2:$C$41,"No hay datos")</f>
        <v>Vista Hermosa</v>
      </c>
      <c r="I1028" s="2" t="str">
        <f t="array" ref="I1028">_xlfn.XLOOKUP(B1028,Vendedores!$A$2:$A$41,Vendedores!$D$2:$D$41,"No hay datos")</f>
        <v>Región Central</v>
      </c>
      <c r="J1028" s="2" t="str">
        <f t="array" ref="J1028:N1028">_xlfn.XLOOKUP(A1028,Productos!$A$2:$A$61,Productos!$B$2:$F$61)</f>
        <v>Bolso versátil</v>
      </c>
      <c r="K1028" s="2" t="s">
        <v>29</v>
      </c>
      <c r="L1028" s="2" t="s">
        <v>30</v>
      </c>
      <c r="M1028" s="2" t="s">
        <v>59</v>
      </c>
      <c r="N1028" s="2" t="s">
        <v>60</v>
      </c>
    </row>
    <row r="1029">
      <c r="A1029" s="2" t="str">
        <f>IFERROR(__xludf.DUMMYFUNCTION("""COMPUTED_VALUE"""),"PR028")</f>
        <v>PR028</v>
      </c>
      <c r="B1029" s="2" t="str">
        <f>IFERROR(__xludf.DUMMYFUNCTION("""COMPUTED_VALUE"""),"VD026")</f>
        <v>VD026</v>
      </c>
      <c r="C1029" s="2">
        <f>IFERROR(__xludf.DUMMYFUNCTION("""COMPUTED_VALUE"""),5.0)</f>
        <v>5</v>
      </c>
      <c r="D1029" s="6">
        <f>IFERROR(__xludf.DUMMYFUNCTION("""COMPUTED_VALUE"""),1361.96)</f>
        <v>1361.96</v>
      </c>
      <c r="E1029" s="6">
        <f>IFERROR(__xludf.DUMMYFUNCTION("GOOGLEFINANCE(""Currency:BRLMXN"")*D1029"),4627.2591)</f>
        <v>4627.2591</v>
      </c>
      <c r="F1029" s="6">
        <f>IFERROR(__xludf.DUMMYFUNCTION("GOOGLEFINANCE(""Currency:BRLPEN"")*D1029"),892.900976)</f>
        <v>892.900976</v>
      </c>
      <c r="G1029" s="2" t="str">
        <f t="array" ref="G1029">_xlfn.XLOOKUP(B1029,Vendedores!$A$2:$A$41,Vendedores!$B$2:$B$41,"No hay datos")</f>
        <v>Daniel Fernández</v>
      </c>
      <c r="H1029" s="2" t="str">
        <f t="array" ref="H1029">_xlfn.XLOOKUP(B1029,Vendedores!$A$2:$A$41,Vendedores!$C$2:$C$41,"No hay datos")</f>
        <v>Puerto Esperanza</v>
      </c>
      <c r="I1029" s="2" t="str">
        <f t="array" ref="I1029">_xlfn.XLOOKUP(B1029,Vendedores!$A$2:$A$41,Vendedores!$D$2:$D$41,"No hay datos")</f>
        <v>Región Sur</v>
      </c>
      <c r="J1029" s="2" t="str">
        <f t="array" ref="J1029:N1029">_xlfn.XLOOKUP(A1029,Productos!$A$2:$A$61,Productos!$B$2:$F$61)</f>
        <v>Tenis Atitas</v>
      </c>
      <c r="K1029" s="2">
        <v>36.0</v>
      </c>
      <c r="L1029" s="2" t="s">
        <v>33</v>
      </c>
      <c r="M1029" s="2" t="s">
        <v>55</v>
      </c>
      <c r="N1029" s="2" t="s">
        <v>56</v>
      </c>
    </row>
    <row r="1030">
      <c r="A1030" s="2" t="str">
        <f>IFERROR(__xludf.DUMMYFUNCTION("""COMPUTED_VALUE"""),"PR037")</f>
        <v>PR037</v>
      </c>
      <c r="B1030" s="2" t="str">
        <f>IFERROR(__xludf.DUMMYFUNCTION("""COMPUTED_VALUE"""),"VD019")</f>
        <v>VD019</v>
      </c>
      <c r="C1030" s="2">
        <f>IFERROR(__xludf.DUMMYFUNCTION("""COMPUTED_VALUE"""),12.0)</f>
        <v>12</v>
      </c>
      <c r="D1030" s="6">
        <f>IFERROR(__xludf.DUMMYFUNCTION("""COMPUTED_VALUE"""),1747.2)</f>
        <v>1747.2</v>
      </c>
      <c r="E1030" s="6">
        <f>IFERROR(__xludf.DUMMYFUNCTION("GOOGLEFINANCE(""Currency:BRLMXN"")*D1030"),5936.112)</f>
        <v>5936.112</v>
      </c>
      <c r="F1030" s="6">
        <f>IFERROR(__xludf.DUMMYFUNCTION("GOOGLEFINANCE(""Currency:BRLPEN"")*D1030"),1145.46432)</f>
        <v>1145.46432</v>
      </c>
      <c r="G1030" s="2" t="str">
        <f t="array" ref="G1030">_xlfn.XLOOKUP(B1030,Vendedores!$A$2:$A$41,Vendedores!$B$2:$B$41,"No hay datos")</f>
        <v>Rafael Sosa</v>
      </c>
      <c r="H1030" s="2" t="str">
        <f t="array" ref="H1030">_xlfn.XLOOKUP(B1030,Vendedores!$A$2:$A$41,Vendedores!$C$2:$C$41,"No hay datos")</f>
        <v>Selva Verde</v>
      </c>
      <c r="I1030" s="2" t="str">
        <f t="array" ref="I1030">_xlfn.XLOOKUP(B1030,Vendedores!$A$2:$A$41,Vendedores!$D$2:$D$41,"No hay datos")</f>
        <v>Región Amazónica</v>
      </c>
      <c r="J1030" s="2" t="str">
        <f t="array" ref="J1030:N1030">_xlfn.XLOOKUP(A1030,Productos!$A$2:$A$61,Productos!$B$2:$F$61)</f>
        <v>Vestido largo</v>
      </c>
      <c r="K1030" s="2" t="s">
        <v>9</v>
      </c>
      <c r="L1030" s="2" t="s">
        <v>10</v>
      </c>
      <c r="M1030" s="2" t="s">
        <v>70</v>
      </c>
      <c r="N1030" s="2" t="s">
        <v>71</v>
      </c>
    </row>
    <row r="1031">
      <c r="A1031" s="2" t="str">
        <f>IFERROR(__xludf.DUMMYFUNCTION("""COMPUTED_VALUE"""),"PR031")</f>
        <v>PR031</v>
      </c>
      <c r="B1031" s="2" t="str">
        <f>IFERROR(__xludf.DUMMYFUNCTION("""COMPUTED_VALUE"""),"VD036")</f>
        <v>VD036</v>
      </c>
      <c r="C1031" s="2">
        <f>IFERROR(__xludf.DUMMYFUNCTION("""COMPUTED_VALUE"""),6.0)</f>
        <v>6</v>
      </c>
      <c r="D1031" s="6">
        <f>IFERROR(__xludf.DUMMYFUNCTION("""COMPUTED_VALUE"""),1499.4)</f>
        <v>1499.4</v>
      </c>
      <c r="E1031" s="6">
        <f>IFERROR(__xludf.DUMMYFUNCTION("GOOGLEFINANCE(""Currency:BRLMXN"")*D1031"),5094.2115)</f>
        <v>5094.2115</v>
      </c>
      <c r="F1031" s="6">
        <f>IFERROR(__xludf.DUMMYFUNCTION("GOOGLEFINANCE(""Currency:BRLPEN"")*D1031"),983.00664)</f>
        <v>983.00664</v>
      </c>
      <c r="G1031" s="2" t="str">
        <f t="array" ref="G1031">_xlfn.XLOOKUP(B1031,Vendedores!$A$2:$A$41,Vendedores!$B$2:$B$41,"No hay datos")</f>
        <v>Ricardo Sosa</v>
      </c>
      <c r="H1031" s="2" t="str">
        <f t="array" ref="H1031">_xlfn.XLOOKUP(B1031,Vendedores!$A$2:$A$41,Vendedores!$C$2:$C$41,"No hay datos")</f>
        <v>Puerto Nuevo</v>
      </c>
      <c r="I1031" s="2" t="str">
        <f t="array" ref="I1031">_xlfn.XLOOKUP(B1031,Vendedores!$A$2:$A$41,Vendedores!$D$2:$D$41,"No hay datos")</f>
        <v>Región Central 2</v>
      </c>
      <c r="J1031" s="2" t="str">
        <f t="array" ref="J1031:N1031">_xlfn.XLOOKUP(A1031,Productos!$A$2:$A$61,Productos!$B$2:$F$61)</f>
        <v>Tenis Chunky</v>
      </c>
      <c r="K1031" s="2">
        <v>36.0</v>
      </c>
      <c r="L1031" s="2" t="s">
        <v>33</v>
      </c>
      <c r="M1031" s="2" t="s">
        <v>84</v>
      </c>
      <c r="N1031" s="2" t="s">
        <v>85</v>
      </c>
    </row>
    <row r="1032">
      <c r="A1032" s="2" t="str">
        <f>IFERROR(__xludf.DUMMYFUNCTION("""COMPUTED_VALUE"""),"PR038")</f>
        <v>PR038</v>
      </c>
      <c r="B1032" s="2" t="str">
        <f>IFERROR(__xludf.DUMMYFUNCTION("""COMPUTED_VALUE"""),"VD033")</f>
        <v>VD033</v>
      </c>
      <c r="C1032" s="2">
        <f>IFERROR(__xludf.DUMMYFUNCTION("""COMPUTED_VALUE"""),10.0)</f>
        <v>10</v>
      </c>
      <c r="D1032" s="6">
        <f>IFERROR(__xludf.DUMMYFUNCTION("""COMPUTED_VALUE"""),1443.29)</f>
        <v>1443.29</v>
      </c>
      <c r="E1032" s="6">
        <f>IFERROR(__xludf.DUMMYFUNCTION("GOOGLEFINANCE(""Currency:BRLMXN"")*D1032"),4903.577775)</f>
        <v>4903.577775</v>
      </c>
      <c r="F1032" s="6">
        <f>IFERROR(__xludf.DUMMYFUNCTION("GOOGLEFINANCE(""Currency:BRLPEN"")*D1032"),946.220924)</f>
        <v>946.220924</v>
      </c>
      <c r="G1032" s="2" t="str">
        <f t="array" ref="G1032">_xlfn.XLOOKUP(B1032,Vendedores!$A$2:$A$41,Vendedores!$B$2:$B$41,"No hay datos")</f>
        <v>Renata Flores</v>
      </c>
      <c r="H1032" s="2" t="str">
        <f t="array" ref="H1032">_xlfn.XLOOKUP(B1032,Vendedores!$A$2:$A$41,Vendedores!$C$2:$C$41,"No hay datos")</f>
        <v>Altos del Sur</v>
      </c>
      <c r="I1032" s="2" t="str">
        <f t="array" ref="I1032">_xlfn.XLOOKUP(B1032,Vendedores!$A$2:$A$41,Vendedores!$D$2:$D$41,"No hay datos")</f>
        <v>Región Central 2</v>
      </c>
      <c r="J1032" s="2" t="str">
        <f t="array" ref="J1032:N1032">_xlfn.XLOOKUP(A1032,Productos!$A$2:$A$61,Productos!$B$2:$F$61)</f>
        <v>Vestido largo</v>
      </c>
      <c r="K1032" s="2" t="s">
        <v>17</v>
      </c>
      <c r="L1032" s="2" t="s">
        <v>10</v>
      </c>
      <c r="M1032" s="2" t="s">
        <v>51</v>
      </c>
      <c r="N1032" s="2" t="s">
        <v>52</v>
      </c>
    </row>
    <row r="1033">
      <c r="A1033" s="2" t="str">
        <f>IFERROR(__xludf.DUMMYFUNCTION("""COMPUTED_VALUE"""),"PR009")</f>
        <v>PR009</v>
      </c>
      <c r="B1033" s="2" t="str">
        <f>IFERROR(__xludf.DUMMYFUNCTION("""COMPUTED_VALUE"""),"VD035")</f>
        <v>VD035</v>
      </c>
      <c r="C1033" s="2">
        <f>IFERROR(__xludf.DUMMYFUNCTION("""COMPUTED_VALUE"""),16.0)</f>
        <v>16</v>
      </c>
      <c r="D1033" s="6">
        <f>IFERROR(__xludf.DUMMYFUNCTION("""COMPUTED_VALUE"""),1545.86)</f>
        <v>1545.86</v>
      </c>
      <c r="E1033" s="6">
        <f>IFERROR(__xludf.DUMMYFUNCTION("GOOGLEFINANCE(""Currency:BRLMXN"")*D1033"),5252.0593499999995)</f>
        <v>5252.05935</v>
      </c>
      <c r="F1033" s="6">
        <f>IFERROR(__xludf.DUMMYFUNCTION("GOOGLEFINANCE(""Currency:BRLPEN"")*D1033"),1013.4658159999999)</f>
        <v>1013.465816</v>
      </c>
      <c r="G1033" s="2" t="str">
        <f t="array" ref="G1033">_xlfn.XLOOKUP(B1033,Vendedores!$A$2:$A$41,Vendedores!$B$2:$B$41,"No hay datos")</f>
        <v>Carolina Méndez</v>
      </c>
      <c r="H1033" s="2" t="str">
        <f t="array" ref="H1033">_xlfn.XLOOKUP(B1033,Vendedores!$A$2:$A$41,Vendedores!$C$2:$C$41,"No hay datos")</f>
        <v>Valle de los Robles</v>
      </c>
      <c r="I1033" s="2" t="str">
        <f t="array" ref="I1033">_xlfn.XLOOKUP(B1033,Vendedores!$A$2:$A$41,Vendedores!$D$2:$D$41,"No hay datos")</f>
        <v>Región Central 2</v>
      </c>
      <c r="J1033" s="2" t="str">
        <f t="array" ref="J1033:N1033">_xlfn.XLOOKUP(A1033,Productos!$A$2:$A$61,Productos!$B$2:$F$61)</f>
        <v>Pantalón de mezclilla</v>
      </c>
      <c r="K1033" s="2" t="s">
        <v>22</v>
      </c>
      <c r="L1033" s="2" t="s">
        <v>10</v>
      </c>
      <c r="M1033" s="2" t="s">
        <v>76</v>
      </c>
      <c r="N1033" s="2" t="s">
        <v>77</v>
      </c>
    </row>
    <row r="1034">
      <c r="A1034" s="2" t="str">
        <f>IFERROR(__xludf.DUMMYFUNCTION("""COMPUTED_VALUE"""),"PR041")</f>
        <v>PR041</v>
      </c>
      <c r="B1034" s="2" t="str">
        <f>IFERROR(__xludf.DUMMYFUNCTION("""COMPUTED_VALUE"""),"VD019")</f>
        <v>VD019</v>
      </c>
      <c r="C1034" s="2">
        <f>IFERROR(__xludf.DUMMYFUNCTION("""COMPUTED_VALUE"""),3.0)</f>
        <v>3</v>
      </c>
      <c r="D1034" s="6">
        <f>IFERROR(__xludf.DUMMYFUNCTION("""COMPUTED_VALUE"""),171.29)</f>
        <v>171.29</v>
      </c>
      <c r="E1034" s="6">
        <f>IFERROR(__xludf.DUMMYFUNCTION("GOOGLEFINANCE(""Currency:BRLMXN"")*D1034"),581.957775)</f>
        <v>581.957775</v>
      </c>
      <c r="F1034" s="6">
        <f>IFERROR(__xludf.DUMMYFUNCTION("GOOGLEFINANCE(""Currency:BRLPEN"")*D1034"),112.29772399999999)</f>
        <v>112.297724</v>
      </c>
      <c r="G1034" s="2" t="str">
        <f t="array" ref="G1034">_xlfn.XLOOKUP(B1034,Vendedores!$A$2:$A$41,Vendedores!$B$2:$B$41,"No hay datos")</f>
        <v>Rafael Sosa</v>
      </c>
      <c r="H1034" s="2" t="str">
        <f t="array" ref="H1034">_xlfn.XLOOKUP(B1034,Vendedores!$A$2:$A$41,Vendedores!$C$2:$C$41,"No hay datos")</f>
        <v>Selva Verde</v>
      </c>
      <c r="I1034" s="2" t="str">
        <f t="array" ref="I1034">_xlfn.XLOOKUP(B1034,Vendedores!$A$2:$A$41,Vendedores!$D$2:$D$41,"No hay datos")</f>
        <v>Región Amazónica</v>
      </c>
      <c r="J1034" s="2" t="str">
        <f t="array" ref="J1034:N1034">_xlfn.XLOOKUP(A1034,Productos!$A$2:$A$61,Productos!$B$2:$F$61)</f>
        <v>Playera confort</v>
      </c>
      <c r="K1034" s="2" t="s">
        <v>17</v>
      </c>
      <c r="L1034" s="2" t="s">
        <v>10</v>
      </c>
      <c r="M1034" s="2" t="s">
        <v>95</v>
      </c>
      <c r="N1034" s="2" t="s">
        <v>26</v>
      </c>
    </row>
    <row r="1035">
      <c r="A1035" s="2" t="str">
        <f>IFERROR(__xludf.DUMMYFUNCTION("""COMPUTED_VALUE"""),"PR026")</f>
        <v>PR026</v>
      </c>
      <c r="B1035" s="2" t="str">
        <f>IFERROR(__xludf.DUMMYFUNCTION("""COMPUTED_VALUE"""),"VD027")</f>
        <v>VD027</v>
      </c>
      <c r="C1035" s="2">
        <f>IFERROR(__xludf.DUMMYFUNCTION("""COMPUTED_VALUE"""),12.0)</f>
        <v>12</v>
      </c>
      <c r="D1035" s="6">
        <f>IFERROR(__xludf.DUMMYFUNCTION("""COMPUTED_VALUE"""),4618.68)</f>
        <v>4618.68</v>
      </c>
      <c r="E1035" s="6">
        <f>IFERROR(__xludf.DUMMYFUNCTION("GOOGLEFINANCE(""Currency:BRLMXN"")*D1035"),15691.965300000002)</f>
        <v>15691.9653</v>
      </c>
      <c r="F1035" s="6">
        <f>IFERROR(__xludf.DUMMYFUNCTION("GOOGLEFINANCE(""Currency:BRLPEN"")*D1035"),3028.006608)</f>
        <v>3028.006608</v>
      </c>
      <c r="G1035" s="2" t="str">
        <f t="array" ref="G1035">_xlfn.XLOOKUP(B1035,Vendedores!$A$2:$A$41,Vendedores!$B$2:$B$41,"No hay datos")</f>
        <v>Patricia Cortés</v>
      </c>
      <c r="H1035" s="2" t="str">
        <f t="array" ref="H1035">_xlfn.XLOOKUP(B1035,Vendedores!$A$2:$A$41,Vendedores!$C$2:$C$41,"No hay datos")</f>
        <v>Costa Azul</v>
      </c>
      <c r="I1035" s="2" t="str">
        <f t="array" ref="I1035">_xlfn.XLOOKUP(B1035,Vendedores!$A$2:$A$41,Vendedores!$D$2:$D$41,"No hay datos")</f>
        <v>Región Norte</v>
      </c>
      <c r="J1035" s="2" t="str">
        <f t="array" ref="J1035:N1035">_xlfn.XLOOKUP(A1035,Productos!$A$2:$A$61,Productos!$B$2:$F$61)</f>
        <v>Gafas cuadradas</v>
      </c>
      <c r="K1035" s="2" t="s">
        <v>29</v>
      </c>
      <c r="L1035" s="2" t="s">
        <v>30</v>
      </c>
      <c r="M1035" s="2" t="s">
        <v>90</v>
      </c>
      <c r="N1035" s="2" t="s">
        <v>91</v>
      </c>
    </row>
    <row r="1036">
      <c r="A1036" s="2" t="str">
        <f>IFERROR(__xludf.DUMMYFUNCTION("""COMPUTED_VALUE"""),"PR026")</f>
        <v>PR026</v>
      </c>
      <c r="B1036" s="2" t="str">
        <f>IFERROR(__xludf.DUMMYFUNCTION("""COMPUTED_VALUE"""),"VD030")</f>
        <v>VD030</v>
      </c>
      <c r="C1036" s="2">
        <f>IFERROR(__xludf.DUMMYFUNCTION("""COMPUTED_VALUE"""),2.0)</f>
        <v>2</v>
      </c>
      <c r="D1036" s="6">
        <f>IFERROR(__xludf.DUMMYFUNCTION("""COMPUTED_VALUE"""),713.8)</f>
        <v>713.8</v>
      </c>
      <c r="E1036" s="6">
        <f>IFERROR(__xludf.DUMMYFUNCTION("GOOGLEFINANCE(""Currency:BRLMXN"")*D1036"),2425.1355)</f>
        <v>2425.1355</v>
      </c>
      <c r="F1036" s="6">
        <f>IFERROR(__xludf.DUMMYFUNCTION("GOOGLEFINANCE(""Currency:BRLPEN"")*D1036"),467.96727999999996)</f>
        <v>467.96728</v>
      </c>
      <c r="G1036" s="2" t="str">
        <f t="array" ref="G1036">_xlfn.XLOOKUP(B1036,Vendedores!$A$2:$A$41,Vendedores!$B$2:$B$41,"No hay datos")</f>
        <v>Leonardo Rojas</v>
      </c>
      <c r="H1036" s="2" t="str">
        <f t="array" ref="H1036">_xlfn.XLOOKUP(B1036,Vendedores!$A$2:$A$41,Vendedores!$C$2:$C$41,"No hay datos")</f>
        <v>Villa del Sol</v>
      </c>
      <c r="I1036" s="2" t="str">
        <f t="array" ref="I1036">_xlfn.XLOOKUP(B1036,Vendedores!$A$2:$A$41,Vendedores!$D$2:$D$41,"No hay datos")</f>
        <v>Región Central 2</v>
      </c>
      <c r="J1036" s="2" t="str">
        <f t="array" ref="J1036:N1036">_xlfn.XLOOKUP(A1036,Productos!$A$2:$A$61,Productos!$B$2:$F$61)</f>
        <v>Gafas cuadradas</v>
      </c>
      <c r="K1036" s="2" t="s">
        <v>29</v>
      </c>
      <c r="L1036" s="2" t="s">
        <v>30</v>
      </c>
      <c r="M1036" s="2" t="s">
        <v>90</v>
      </c>
      <c r="N1036" s="2" t="s">
        <v>91</v>
      </c>
    </row>
    <row r="1037">
      <c r="A1037" s="2" t="str">
        <f>IFERROR(__xludf.DUMMYFUNCTION("""COMPUTED_VALUE"""),"PR012")</f>
        <v>PR012</v>
      </c>
      <c r="B1037" s="2" t="str">
        <f>IFERROR(__xludf.DUMMYFUNCTION("""COMPUTED_VALUE"""),"VD027")</f>
        <v>VD027</v>
      </c>
      <c r="C1037" s="2">
        <f>IFERROR(__xludf.DUMMYFUNCTION("""COMPUTED_VALUE"""),18.0)</f>
        <v>18</v>
      </c>
      <c r="D1037" s="6">
        <f>IFERROR(__xludf.DUMMYFUNCTION("""COMPUTED_VALUE"""),933.01)</f>
        <v>933.01</v>
      </c>
      <c r="E1037" s="6">
        <f>IFERROR(__xludf.DUMMYFUNCTION("GOOGLEFINANCE(""Currency:BRLMXN"")*D1037"),3169.901475)</f>
        <v>3169.901475</v>
      </c>
      <c r="F1037" s="6">
        <f>IFERROR(__xludf.DUMMYFUNCTION("GOOGLEFINANCE(""Currency:BRLPEN"")*D1037"),611.6813559999999)</f>
        <v>611.681356</v>
      </c>
      <c r="G1037" s="2" t="str">
        <f t="array" ref="G1037">_xlfn.XLOOKUP(B1037,Vendedores!$A$2:$A$41,Vendedores!$B$2:$B$41,"No hay datos")</f>
        <v>Patricia Cortés</v>
      </c>
      <c r="H1037" s="2" t="str">
        <f t="array" ref="H1037">_xlfn.XLOOKUP(B1037,Vendedores!$A$2:$A$41,Vendedores!$C$2:$C$41,"No hay datos")</f>
        <v>Costa Azul</v>
      </c>
      <c r="I1037" s="2" t="str">
        <f t="array" ref="I1037">_xlfn.XLOOKUP(B1037,Vendedores!$A$2:$A$41,Vendedores!$D$2:$D$41,"No hay datos")</f>
        <v>Región Norte</v>
      </c>
      <c r="J1037" s="2" t="str">
        <f t="array" ref="J1037:N1037">_xlfn.XLOOKUP(A1037,Productos!$A$2:$A$61,Productos!$B$2:$F$61)</f>
        <v>Pantalón legging</v>
      </c>
      <c r="K1037" s="2" t="s">
        <v>22</v>
      </c>
      <c r="L1037" s="2" t="s">
        <v>10</v>
      </c>
      <c r="M1037" s="2" t="s">
        <v>88</v>
      </c>
      <c r="N1037" s="2" t="s">
        <v>89</v>
      </c>
    </row>
    <row r="1038">
      <c r="A1038" s="2" t="str">
        <f>IFERROR(__xludf.DUMMYFUNCTION("""COMPUTED_VALUE"""),"PR010")</f>
        <v>PR010</v>
      </c>
      <c r="B1038" s="2" t="str">
        <f>IFERROR(__xludf.DUMMYFUNCTION("""COMPUTED_VALUE"""),"VD025")</f>
        <v>VD025</v>
      </c>
      <c r="C1038" s="2">
        <f>IFERROR(__xludf.DUMMYFUNCTION("""COMPUTED_VALUE"""),14.0)</f>
        <v>14</v>
      </c>
      <c r="D1038" s="6">
        <f>IFERROR(__xludf.DUMMYFUNCTION("""COMPUTED_VALUE"""),672.6)</f>
        <v>672.6</v>
      </c>
      <c r="E1038" s="6">
        <f>IFERROR(__xludf.DUMMYFUNCTION("GOOGLEFINANCE(""Currency:BRLMXN"")*D1038"),2285.1585)</f>
        <v>2285.1585</v>
      </c>
      <c r="F1038" s="6">
        <f>IFERROR(__xludf.DUMMYFUNCTION("GOOGLEFINANCE(""Currency:BRLPEN"")*D1038"),440.95655999999997)</f>
        <v>440.95656</v>
      </c>
      <c r="G1038" s="2" t="str">
        <f t="array" ref="G1038">_xlfn.XLOOKUP(B1038,Vendedores!$A$2:$A$41,Vendedores!$B$2:$B$41,"No hay datos")</f>
        <v>Alina Santana</v>
      </c>
      <c r="H1038" s="2" t="str">
        <f t="array" ref="H1038">_xlfn.XLOOKUP(B1038,Vendedores!$A$2:$A$41,Vendedores!$C$2:$C$41,"No hay datos")</f>
        <v>Playa Blanca</v>
      </c>
      <c r="I1038" s="2" t="str">
        <f t="array" ref="I1038">_xlfn.XLOOKUP(B1038,Vendedores!$A$2:$A$41,Vendedores!$D$2:$D$41,"No hay datos")</f>
        <v>Región Norte</v>
      </c>
      <c r="J1038" s="2" t="str">
        <f t="array" ref="J1038:N1038">_xlfn.XLOOKUP(A1038,Productos!$A$2:$A$61,Productos!$B$2:$F$61)</f>
        <v>Pantalón legging</v>
      </c>
      <c r="K1038" s="2" t="s">
        <v>9</v>
      </c>
      <c r="L1038" s="2" t="s">
        <v>10</v>
      </c>
      <c r="M1038" s="2" t="s">
        <v>86</v>
      </c>
      <c r="N1038" s="2" t="s">
        <v>87</v>
      </c>
    </row>
    <row r="1039">
      <c r="A1039" s="2" t="str">
        <f>IFERROR(__xludf.DUMMYFUNCTION("""COMPUTED_VALUE"""),"PR060")</f>
        <v>PR060</v>
      </c>
      <c r="B1039" s="2" t="str">
        <f>IFERROR(__xludf.DUMMYFUNCTION("""COMPUTED_VALUE"""),"VD033")</f>
        <v>VD033</v>
      </c>
      <c r="C1039" s="2">
        <f>IFERROR(__xludf.DUMMYFUNCTION("""COMPUTED_VALUE"""),10.0)</f>
        <v>10</v>
      </c>
      <c r="D1039" s="6">
        <f>IFERROR(__xludf.DUMMYFUNCTION("""COMPUTED_VALUE"""),1962.0)</f>
        <v>1962</v>
      </c>
      <c r="E1039" s="6">
        <f>IFERROR(__xludf.DUMMYFUNCTION("GOOGLEFINANCE(""Currency:BRLMXN"")*D1039"),6665.8949999999995)</f>
        <v>6665.895</v>
      </c>
      <c r="F1039" s="6">
        <f>IFERROR(__xludf.DUMMYFUNCTION("GOOGLEFINANCE(""Currency:BRLPEN"")*D1039"),1286.2872)</f>
        <v>1286.2872</v>
      </c>
      <c r="G1039" s="2" t="str">
        <f t="array" ref="G1039">_xlfn.XLOOKUP(B1039,Vendedores!$A$2:$A$41,Vendedores!$B$2:$B$41,"No hay datos")</f>
        <v>Renata Flores</v>
      </c>
      <c r="H1039" s="2" t="str">
        <f t="array" ref="H1039">_xlfn.XLOOKUP(B1039,Vendedores!$A$2:$A$41,Vendedores!$C$2:$C$41,"No hay datos")</f>
        <v>Altos del Sur</v>
      </c>
      <c r="I1039" s="2" t="str">
        <f t="array" ref="I1039">_xlfn.XLOOKUP(B1039,Vendedores!$A$2:$A$41,Vendedores!$D$2:$D$41,"No hay datos")</f>
        <v>Región Central 2</v>
      </c>
      <c r="J1039" s="2" t="str">
        <f t="array" ref="J1039:N1039">_xlfn.XLOOKUP(A1039,Productos!$A$2:$A$61,Productos!$B$2:$F$61)</f>
        <v>Pantalón de sastre</v>
      </c>
      <c r="K1039" s="2" t="s">
        <v>22</v>
      </c>
      <c r="L1039" s="2" t="s">
        <v>10</v>
      </c>
      <c r="M1039" s="2" t="s">
        <v>75</v>
      </c>
      <c r="N1039" s="2" t="s">
        <v>14</v>
      </c>
    </row>
    <row r="1040">
      <c r="A1040" s="2" t="str">
        <f>IFERROR(__xludf.DUMMYFUNCTION("""COMPUTED_VALUE"""),"PR016")</f>
        <v>PR016</v>
      </c>
      <c r="B1040" s="2" t="str">
        <f>IFERROR(__xludf.DUMMYFUNCTION("""COMPUTED_VALUE"""),"VD011")</f>
        <v>VD011</v>
      </c>
      <c r="C1040" s="2">
        <f>IFERROR(__xludf.DUMMYFUNCTION("""COMPUTED_VALUE"""),2.0)</f>
        <v>2</v>
      </c>
      <c r="D1040" s="6">
        <f>IFERROR(__xludf.DUMMYFUNCTION("""COMPUTED_VALUE"""),51.8)</f>
        <v>51.8</v>
      </c>
      <c r="E1040" s="6">
        <f>IFERROR(__xludf.DUMMYFUNCTION("GOOGLEFINANCE(""Currency:BRLMXN"")*D1040"),175.9905)</f>
        <v>175.9905</v>
      </c>
      <c r="F1040" s="6">
        <f>IFERROR(__xludf.DUMMYFUNCTION("GOOGLEFINANCE(""Currency:BRLPEN"")*D1040"),33.96008)</f>
        <v>33.96008</v>
      </c>
      <c r="G1040" s="2" t="str">
        <f t="array" ref="G1040">_xlfn.XLOOKUP(B1040,Vendedores!$A$2:$A$41,Vendedores!$B$2:$B$41,"No hay datos")</f>
        <v>Juan Santos</v>
      </c>
      <c r="H1040" s="2" t="str">
        <f t="array" ref="H1040">_xlfn.XLOOKUP(B1040,Vendedores!$A$2:$A$41,Vendedores!$C$2:$C$41,"No hay datos")</f>
        <v>Vista Hermosa</v>
      </c>
      <c r="I1040" s="2" t="str">
        <f t="array" ref="I1040">_xlfn.XLOOKUP(B1040,Vendedores!$A$2:$A$41,Vendedores!$D$2:$D$41,"No hay datos")</f>
        <v>Región Central</v>
      </c>
      <c r="J1040" s="2" t="str">
        <f t="array" ref="J1040:N1040">_xlfn.XLOOKUP(A1040,Productos!$A$2:$A$61,Productos!$B$2:$F$61)</f>
        <v>Playera lisa</v>
      </c>
      <c r="K1040" s="2" t="s">
        <v>9</v>
      </c>
      <c r="L1040" s="2" t="s">
        <v>10</v>
      </c>
      <c r="M1040" s="2" t="s">
        <v>20</v>
      </c>
      <c r="N1040" s="2" t="s">
        <v>21</v>
      </c>
    </row>
    <row r="1041">
      <c r="A1041" s="2" t="str">
        <f>IFERROR(__xludf.DUMMYFUNCTION("""COMPUTED_VALUE"""),"PR044")</f>
        <v>PR044</v>
      </c>
      <c r="B1041" s="2" t="str">
        <f>IFERROR(__xludf.DUMMYFUNCTION("""COMPUTED_VALUE"""),"VD044")</f>
        <v>VD044</v>
      </c>
      <c r="C1041" s="2">
        <f>IFERROR(__xludf.DUMMYFUNCTION("""COMPUTED_VALUE"""),8.0)</f>
        <v>8</v>
      </c>
      <c r="D1041" s="6">
        <f>IFERROR(__xludf.DUMMYFUNCTION("""COMPUTED_VALUE"""),580.0)</f>
        <v>580</v>
      </c>
      <c r="E1041" s="6">
        <f>IFERROR(__xludf.DUMMYFUNCTION("GOOGLEFINANCE(""Currency:BRLMXN"")*D1041"),1970.55)</f>
        <v>1970.55</v>
      </c>
      <c r="F1041" s="6">
        <f>IFERROR(__xludf.DUMMYFUNCTION("GOOGLEFINANCE(""Currency:BRLPEN"")*D1041"),380.248)</f>
        <v>380.248</v>
      </c>
      <c r="G1041" s="2" t="str">
        <f t="array" ref="G1041">_xlfn.XLOOKUP(B1041,Vendedores!$A$2:$A$41,Vendedores!$B$2:$B$41,"No hay datos")</f>
        <v>Silvia Menéndez</v>
      </c>
      <c r="H1041" s="2" t="str">
        <f t="array" ref="H1041">_xlfn.XLOOKUP(B1041,Vendedores!$A$2:$A$41,Vendedores!$C$2:$C$41,"No hay datos")</f>
        <v>San Antonio del Monte</v>
      </c>
      <c r="I1041" s="2" t="str">
        <f t="array" ref="I1041">_xlfn.XLOOKUP(B1041,Vendedores!$A$2:$A$41,Vendedores!$D$2:$D$41,"No hay datos")</f>
        <v>Región Central 2</v>
      </c>
      <c r="J1041" s="2" t="str">
        <f t="array" ref="J1041:N1041">_xlfn.XLOOKUP(A1041,Productos!$A$2:$A$61,Productos!$B$2:$F$61)</f>
        <v>Vestido floral</v>
      </c>
      <c r="K1041" s="2" t="s">
        <v>17</v>
      </c>
      <c r="L1041" s="2" t="s">
        <v>10</v>
      </c>
      <c r="M1041" s="2" t="s">
        <v>105</v>
      </c>
      <c r="N1041" s="2" t="s">
        <v>40</v>
      </c>
    </row>
    <row r="1042">
      <c r="A1042" s="2" t="str">
        <f>IFERROR(__xludf.DUMMYFUNCTION("""COMPUTED_VALUE"""),"PR001")</f>
        <v>PR001</v>
      </c>
      <c r="B1042" s="2" t="str">
        <f>IFERROR(__xludf.DUMMYFUNCTION("""COMPUTED_VALUE"""),"VD027")</f>
        <v>VD027</v>
      </c>
      <c r="C1042" s="2">
        <f>IFERROR(__xludf.DUMMYFUNCTION("""COMPUTED_VALUE"""),2.0)</f>
        <v>2</v>
      </c>
      <c r="D1042" s="6">
        <f>IFERROR(__xludf.DUMMYFUNCTION("""COMPUTED_VALUE"""),133.12)</f>
        <v>133.12</v>
      </c>
      <c r="E1042" s="6">
        <f>IFERROR(__xludf.DUMMYFUNCTION("GOOGLEFINANCE(""Currency:BRLMXN"")*D1042"),452.2752)</f>
        <v>452.2752</v>
      </c>
      <c r="F1042" s="6">
        <f>IFERROR(__xludf.DUMMYFUNCTION("GOOGLEFINANCE(""Currency:BRLPEN"")*D1042"),87.273472)</f>
        <v>87.273472</v>
      </c>
      <c r="G1042" s="2" t="str">
        <f t="array" ref="G1042">_xlfn.XLOOKUP(B1042,Vendedores!$A$2:$A$41,Vendedores!$B$2:$B$41,"No hay datos")</f>
        <v>Patricia Cortés</v>
      </c>
      <c r="H1042" s="2" t="str">
        <f t="array" ref="H1042">_xlfn.XLOOKUP(B1042,Vendedores!$A$2:$A$41,Vendedores!$C$2:$C$41,"No hay datos")</f>
        <v>Costa Azul</v>
      </c>
      <c r="I1042" s="2" t="str">
        <f t="array" ref="I1042">_xlfn.XLOOKUP(B1042,Vendedores!$A$2:$A$41,Vendedores!$D$2:$D$41,"No hay datos")</f>
        <v>Región Norte</v>
      </c>
      <c r="J1042" s="2" t="str">
        <f t="array" ref="J1042:N1042">_xlfn.XLOOKUP(A1042,Productos!$A$2:$A$61,Productos!$B$2:$F$61)</f>
        <v>Bermuda</v>
      </c>
      <c r="K1042" s="2" t="s">
        <v>9</v>
      </c>
      <c r="L1042" s="2" t="s">
        <v>10</v>
      </c>
      <c r="M1042" s="2" t="s">
        <v>11</v>
      </c>
      <c r="N1042" s="2" t="s">
        <v>12</v>
      </c>
    </row>
    <row r="1043">
      <c r="A1043" s="2" t="str">
        <f>IFERROR(__xludf.DUMMYFUNCTION("""COMPUTED_VALUE"""),"PR013")</f>
        <v>PR013</v>
      </c>
      <c r="B1043" s="2" t="str">
        <f>IFERROR(__xludf.DUMMYFUNCTION("""COMPUTED_VALUE"""),"VD044")</f>
        <v>VD044</v>
      </c>
      <c r="C1043" s="2">
        <f>IFERROR(__xludf.DUMMYFUNCTION("""COMPUTED_VALUE"""),5.0)</f>
        <v>5</v>
      </c>
      <c r="D1043" s="6">
        <f>IFERROR(__xludf.DUMMYFUNCTION("""COMPUTED_VALUE"""),215.46)</f>
        <v>215.46</v>
      </c>
      <c r="E1043" s="6">
        <f>IFERROR(__xludf.DUMMYFUNCTION("GOOGLEFINANCE(""Currency:BRLMXN"")*D1043"),732.02535)</f>
        <v>732.02535</v>
      </c>
      <c r="F1043" s="6">
        <f>IFERROR(__xludf.DUMMYFUNCTION("GOOGLEFINANCE(""Currency:BRLPEN"")*D1043"),141.255576)</f>
        <v>141.255576</v>
      </c>
      <c r="G1043" s="2" t="str">
        <f t="array" ref="G1043">_xlfn.XLOOKUP(B1043,Vendedores!$A$2:$A$41,Vendedores!$B$2:$B$41,"No hay datos")</f>
        <v>Silvia Menéndez</v>
      </c>
      <c r="H1043" s="2" t="str">
        <f t="array" ref="H1043">_xlfn.XLOOKUP(B1043,Vendedores!$A$2:$A$41,Vendedores!$C$2:$C$41,"No hay datos")</f>
        <v>San Antonio del Monte</v>
      </c>
      <c r="I1043" s="2" t="str">
        <f t="array" ref="I1043">_xlfn.XLOOKUP(B1043,Vendedores!$A$2:$A$41,Vendedores!$D$2:$D$41,"No hay datos")</f>
        <v>Región Central 2</v>
      </c>
      <c r="J1043" s="2" t="str">
        <f t="array" ref="J1043:N1043">_xlfn.XLOOKUP(A1043,Productos!$A$2:$A$61,Productos!$B$2:$F$61)</f>
        <v>Playera estampada</v>
      </c>
      <c r="K1043" s="2" t="s">
        <v>9</v>
      </c>
      <c r="L1043" s="2" t="s">
        <v>10</v>
      </c>
      <c r="M1043" s="2" t="s">
        <v>66</v>
      </c>
      <c r="N1043" s="2" t="s">
        <v>38</v>
      </c>
    </row>
    <row r="1044">
      <c r="A1044" s="2" t="str">
        <f>IFERROR(__xludf.DUMMYFUNCTION("""COMPUTED_VALUE"""),"PR017")</f>
        <v>PR017</v>
      </c>
      <c r="B1044" s="2" t="str">
        <f>IFERROR(__xludf.DUMMYFUNCTION("""COMPUTED_VALUE"""),"VD020")</f>
        <v>VD020</v>
      </c>
      <c r="C1044" s="2">
        <f>IFERROR(__xludf.DUMMYFUNCTION("""COMPUTED_VALUE"""),2.0)</f>
        <v>2</v>
      </c>
      <c r="D1044" s="6">
        <f>IFERROR(__xludf.DUMMYFUNCTION("""COMPUTED_VALUE"""),61.59)</f>
        <v>61.59</v>
      </c>
      <c r="E1044" s="6">
        <f>IFERROR(__xludf.DUMMYFUNCTION("GOOGLEFINANCE(""Currency:BRLMXN"")*D1044"),209.252025)</f>
        <v>209.252025</v>
      </c>
      <c r="F1044" s="6">
        <f>IFERROR(__xludf.DUMMYFUNCTION("GOOGLEFINANCE(""Currency:BRLPEN"")*D1044"),40.378404)</f>
        <v>40.378404</v>
      </c>
      <c r="G1044" s="2" t="str">
        <f t="array" ref="G1044">_xlfn.XLOOKUP(B1044,Vendedores!$A$2:$A$41,Vendedores!$B$2:$B$41,"No hay datos")</f>
        <v>Gustavo Morales</v>
      </c>
      <c r="H1044" s="2" t="str">
        <f t="array" ref="H1044">_xlfn.XLOOKUP(B1044,Vendedores!$A$2:$A$41,Vendedores!$C$2:$C$41,"No hay datos")</f>
        <v>Villa del Sol</v>
      </c>
      <c r="I1044" s="2" t="str">
        <f t="array" ref="I1044">_xlfn.XLOOKUP(B1044,Vendedores!$A$2:$A$41,Vendedores!$D$2:$D$41,"No hay datos")</f>
        <v>Región Central 2</v>
      </c>
      <c r="J1044" s="2" t="str">
        <f t="array" ref="J1044:N1044">_xlfn.XLOOKUP(A1044,Productos!$A$2:$A$61,Productos!$B$2:$F$61)</f>
        <v>Playera lisa</v>
      </c>
      <c r="K1044" s="2" t="s">
        <v>17</v>
      </c>
      <c r="L1044" s="2" t="s">
        <v>10</v>
      </c>
      <c r="M1044" s="2" t="s">
        <v>98</v>
      </c>
      <c r="N1044" s="2" t="s">
        <v>99</v>
      </c>
    </row>
    <row r="1045">
      <c r="A1045" s="2" t="str">
        <f>IFERROR(__xludf.DUMMYFUNCTION("""COMPUTED_VALUE"""),"PR036")</f>
        <v>PR036</v>
      </c>
      <c r="B1045" s="2" t="str">
        <f>IFERROR(__xludf.DUMMYFUNCTION("""COMPUTED_VALUE"""),"VD010")</f>
        <v>VD010</v>
      </c>
      <c r="C1045" s="2">
        <f>IFERROR(__xludf.DUMMYFUNCTION("""COMPUTED_VALUE"""),10.0)</f>
        <v>10</v>
      </c>
      <c r="D1045" s="6">
        <f>IFERROR(__xludf.DUMMYFUNCTION("""COMPUTED_VALUE"""),935.0)</f>
        <v>935</v>
      </c>
      <c r="E1045" s="6">
        <f>IFERROR(__xludf.DUMMYFUNCTION("GOOGLEFINANCE(""Currency:BRLMXN"")*D1045"),3176.6625)</f>
        <v>3176.6625</v>
      </c>
      <c r="F1045" s="6">
        <f>IFERROR(__xludf.DUMMYFUNCTION("GOOGLEFINANCE(""Currency:BRLPEN"")*D1045"),612.986)</f>
        <v>612.986</v>
      </c>
      <c r="G1045" s="2" t="str">
        <f t="array" ref="G1045">_xlfn.XLOOKUP(B1045,Vendedores!$A$2:$A$41,Vendedores!$B$2:$B$41,"No hay datos")</f>
        <v>María Silva</v>
      </c>
      <c r="H1045" s="2" t="str">
        <f t="array" ref="H1045">_xlfn.XLOOKUP(B1045,Vendedores!$A$2:$A$41,Vendedores!$C$2:$C$41,"No hay datos")</f>
        <v>San Juan de la Sierra</v>
      </c>
      <c r="I1045" s="2" t="str">
        <f t="array" ref="I1045">_xlfn.XLOOKUP(B1045,Vendedores!$A$2:$A$41,Vendedores!$D$2:$D$41,"No hay datos")</f>
        <v>Región Central</v>
      </c>
      <c r="J1045" s="2" t="str">
        <f t="array" ref="J1045:N1045">_xlfn.XLOOKUP(A1045,Productos!$A$2:$A$61,Productos!$B$2:$F$61)</f>
        <v>Vestido corto</v>
      </c>
      <c r="K1045" s="2" t="s">
        <v>22</v>
      </c>
      <c r="L1045" s="2" t="s">
        <v>10</v>
      </c>
      <c r="M1045" s="2" t="s">
        <v>82</v>
      </c>
      <c r="N1045" s="2" t="s">
        <v>83</v>
      </c>
    </row>
    <row r="1046">
      <c r="A1046" s="2" t="str">
        <f>IFERROR(__xludf.DUMMYFUNCTION("""COMPUTED_VALUE"""),"PR009")</f>
        <v>PR009</v>
      </c>
      <c r="B1046" s="2" t="str">
        <f>IFERROR(__xludf.DUMMYFUNCTION("""COMPUTED_VALUE"""),"VD048")</f>
        <v>VD048</v>
      </c>
      <c r="C1046" s="2">
        <f>IFERROR(__xludf.DUMMYFUNCTION("""COMPUTED_VALUE"""),16.0)</f>
        <v>16</v>
      </c>
      <c r="D1046" s="6">
        <f>IFERROR(__xludf.DUMMYFUNCTION("""COMPUTED_VALUE"""),1560.72)</f>
        <v>1560.72</v>
      </c>
      <c r="E1046" s="6">
        <f>IFERROR(__xludf.DUMMYFUNCTION("GOOGLEFINANCE(""Currency:BRLMXN"")*D1046"),5302.5462)</f>
        <v>5302.5462</v>
      </c>
      <c r="F1046" s="6">
        <f>IFERROR(__xludf.DUMMYFUNCTION("GOOGLEFINANCE(""Currency:BRLPEN"")*D1046"),1023.208032)</f>
        <v>1023.208032</v>
      </c>
      <c r="G1046" s="2" t="str">
        <f t="array" ref="G1046">_xlfn.XLOOKUP(B1046,Vendedores!$A$2:$A$41,Vendedores!$B$2:$B$41,"No hay datos")</f>
        <v>Mariana Castro</v>
      </c>
      <c r="H1046" s="2" t="str">
        <f t="array" ref="H1046">_xlfn.XLOOKUP(B1046,Vendedores!$A$2:$A$41,Vendedores!$C$2:$C$41,"No hay datos")</f>
        <v>San Carlos del Valle</v>
      </c>
      <c r="I1046" s="2" t="str">
        <f t="array" ref="I1046">_xlfn.XLOOKUP(B1046,Vendedores!$A$2:$A$41,Vendedores!$D$2:$D$41,"No hay datos")</f>
        <v>Región Central 2</v>
      </c>
      <c r="J1046" s="2" t="str">
        <f t="array" ref="J1046:N1046">_xlfn.XLOOKUP(A1046,Productos!$A$2:$A$61,Productos!$B$2:$F$61)</f>
        <v>Pantalón de mezclilla</v>
      </c>
      <c r="K1046" s="2" t="s">
        <v>22</v>
      </c>
      <c r="L1046" s="2" t="s">
        <v>10</v>
      </c>
      <c r="M1046" s="2" t="s">
        <v>76</v>
      </c>
      <c r="N1046" s="2" t="s">
        <v>77</v>
      </c>
    </row>
    <row r="1047">
      <c r="A1047" s="2" t="str">
        <f>IFERROR(__xludf.DUMMYFUNCTION("""COMPUTED_VALUE"""),"PR009")</f>
        <v>PR009</v>
      </c>
      <c r="B1047" s="2" t="str">
        <f>IFERROR(__xludf.DUMMYFUNCTION("""COMPUTED_VALUE"""),"VD043")</f>
        <v>VD043</v>
      </c>
      <c r="C1047" s="2">
        <f>IFERROR(__xludf.DUMMYFUNCTION("""COMPUTED_VALUE"""),2.0)</f>
        <v>2</v>
      </c>
      <c r="D1047" s="6">
        <f>IFERROR(__xludf.DUMMYFUNCTION("""COMPUTED_VALUE"""),198.81)</f>
        <v>198.81</v>
      </c>
      <c r="E1047" s="6">
        <f>IFERROR(__xludf.DUMMYFUNCTION("GOOGLEFINANCE(""Currency:BRLMXN"")*D1047"),675.456975)</f>
        <v>675.456975</v>
      </c>
      <c r="F1047" s="6">
        <f>IFERROR(__xludf.DUMMYFUNCTION("GOOGLEFINANCE(""Currency:BRLPEN"")*D1047"),130.339836)</f>
        <v>130.339836</v>
      </c>
      <c r="G1047" s="2" t="str">
        <f t="array" ref="G1047">_xlfn.XLOOKUP(B1047,Vendedores!$A$2:$A$41,Vendedores!$B$2:$B$41,"No hay datos")</f>
        <v>Carlos Henríquez</v>
      </c>
      <c r="H1047" s="2" t="str">
        <f t="array" ref="H1047">_xlfn.XLOOKUP(B1047,Vendedores!$A$2:$A$41,Vendedores!$C$2:$C$41,"No hay datos")</f>
        <v>Ciudad Aeropuerto</v>
      </c>
      <c r="I1047" s="2" t="str">
        <f t="array" ref="I1047">_xlfn.XLOOKUP(B1047,Vendedores!$A$2:$A$41,Vendedores!$D$2:$D$41,"No hay datos")</f>
        <v>Región Central 2</v>
      </c>
      <c r="J1047" s="2" t="str">
        <f t="array" ref="J1047:N1047">_xlfn.XLOOKUP(A1047,Productos!$A$2:$A$61,Productos!$B$2:$F$61)</f>
        <v>Pantalón de mezclilla</v>
      </c>
      <c r="K1047" s="2" t="s">
        <v>22</v>
      </c>
      <c r="L1047" s="2" t="s">
        <v>10</v>
      </c>
      <c r="M1047" s="2" t="s">
        <v>76</v>
      </c>
      <c r="N1047" s="2" t="s">
        <v>77</v>
      </c>
    </row>
    <row r="1048">
      <c r="A1048" s="2" t="str">
        <f>IFERROR(__xludf.DUMMYFUNCTION("""COMPUTED_VALUE"""),"PR001")</f>
        <v>PR001</v>
      </c>
      <c r="B1048" s="2" t="str">
        <f>IFERROR(__xludf.DUMMYFUNCTION("""COMPUTED_VALUE"""),"VD044")</f>
        <v>VD044</v>
      </c>
      <c r="C1048" s="2">
        <f>IFERROR(__xludf.DUMMYFUNCTION("""COMPUTED_VALUE"""),1.0)</f>
        <v>1</v>
      </c>
      <c r="D1048" s="6">
        <f>IFERROR(__xludf.DUMMYFUNCTION("""COMPUTED_VALUE"""),66.56)</f>
        <v>66.56</v>
      </c>
      <c r="E1048" s="6">
        <f>IFERROR(__xludf.DUMMYFUNCTION("GOOGLEFINANCE(""Currency:BRLMXN"")*D1048"),226.1376)</f>
        <v>226.1376</v>
      </c>
      <c r="F1048" s="6">
        <f>IFERROR(__xludf.DUMMYFUNCTION("GOOGLEFINANCE(""Currency:BRLPEN"")*D1048"),43.636736)</f>
        <v>43.636736</v>
      </c>
      <c r="G1048" s="2" t="str">
        <f t="array" ref="G1048">_xlfn.XLOOKUP(B1048,Vendedores!$A$2:$A$41,Vendedores!$B$2:$B$41,"No hay datos")</f>
        <v>Silvia Menéndez</v>
      </c>
      <c r="H1048" s="2" t="str">
        <f t="array" ref="H1048">_xlfn.XLOOKUP(B1048,Vendedores!$A$2:$A$41,Vendedores!$C$2:$C$41,"No hay datos")</f>
        <v>San Antonio del Monte</v>
      </c>
      <c r="I1048" s="2" t="str">
        <f t="array" ref="I1048">_xlfn.XLOOKUP(B1048,Vendedores!$A$2:$A$41,Vendedores!$D$2:$D$41,"No hay datos")</f>
        <v>Región Central 2</v>
      </c>
      <c r="J1048" s="2" t="str">
        <f t="array" ref="J1048:N1048">_xlfn.XLOOKUP(A1048,Productos!$A$2:$A$61,Productos!$B$2:$F$61)</f>
        <v>Bermuda</v>
      </c>
      <c r="K1048" s="2" t="s">
        <v>9</v>
      </c>
      <c r="L1048" s="2" t="s">
        <v>10</v>
      </c>
      <c r="M1048" s="2" t="s">
        <v>11</v>
      </c>
      <c r="N1048" s="2" t="s">
        <v>12</v>
      </c>
    </row>
    <row r="1049">
      <c r="A1049" s="2" t="str">
        <f>IFERROR(__xludf.DUMMYFUNCTION("""COMPUTED_VALUE"""),"PR056")</f>
        <v>PR056</v>
      </c>
      <c r="B1049" s="2" t="str">
        <f>IFERROR(__xludf.DUMMYFUNCTION("""COMPUTED_VALUE"""),"VD020")</f>
        <v>VD020</v>
      </c>
      <c r="C1049" s="2">
        <f>IFERROR(__xludf.DUMMYFUNCTION("""COMPUTED_VALUE"""),10.0)</f>
        <v>10</v>
      </c>
      <c r="D1049" s="6">
        <f>IFERROR(__xludf.DUMMYFUNCTION("""COMPUTED_VALUE"""),916.98)</f>
        <v>916.98</v>
      </c>
      <c r="E1049" s="6">
        <f>IFERROR(__xludf.DUMMYFUNCTION("GOOGLEFINANCE(""Currency:BRLMXN"")*D1049"),3115.43955)</f>
        <v>3115.43955</v>
      </c>
      <c r="F1049" s="6">
        <f>IFERROR(__xludf.DUMMYFUNCTION("GOOGLEFINANCE(""Currency:BRLPEN"")*D1049"),601.172088)</f>
        <v>601.172088</v>
      </c>
      <c r="G1049" s="2" t="str">
        <f t="array" ref="G1049">_xlfn.XLOOKUP(B1049,Vendedores!$A$2:$A$41,Vendedores!$B$2:$B$41,"No hay datos")</f>
        <v>Gustavo Morales</v>
      </c>
      <c r="H1049" s="2" t="str">
        <f t="array" ref="H1049">_xlfn.XLOOKUP(B1049,Vendedores!$A$2:$A$41,Vendedores!$C$2:$C$41,"No hay datos")</f>
        <v>Villa del Sol</v>
      </c>
      <c r="I1049" s="2" t="str">
        <f t="array" ref="I1049">_xlfn.XLOOKUP(B1049,Vendedores!$A$2:$A$41,Vendedores!$D$2:$D$41,"No hay datos")</f>
        <v>Región Central 2</v>
      </c>
      <c r="J1049" s="2" t="str">
        <f t="array" ref="J1049:N1049">_xlfn.XLOOKUP(A1049,Productos!$A$2:$A$61,Productos!$B$2:$F$61)</f>
        <v>Sandalia plana</v>
      </c>
      <c r="K1049" s="2">
        <v>36.0</v>
      </c>
      <c r="L1049" s="2" t="s">
        <v>33</v>
      </c>
      <c r="M1049" s="2" t="s">
        <v>106</v>
      </c>
      <c r="N1049" s="2" t="s">
        <v>35</v>
      </c>
    </row>
    <row r="1050">
      <c r="A1050" s="2" t="str">
        <f>IFERROR(__xludf.DUMMYFUNCTION("""COMPUTED_VALUE"""),"PR008")</f>
        <v>PR008</v>
      </c>
      <c r="B1050" s="2" t="str">
        <f>IFERROR(__xludf.DUMMYFUNCTION("""COMPUTED_VALUE"""),"VD023")</f>
        <v>VD023</v>
      </c>
      <c r="C1050" s="2">
        <f>IFERROR(__xludf.DUMMYFUNCTION("""COMPUTED_VALUE"""),2.0)</f>
        <v>2</v>
      </c>
      <c r="D1050" s="6">
        <f>IFERROR(__xludf.DUMMYFUNCTION("""COMPUTED_VALUE"""),194.18)</f>
        <v>194.18</v>
      </c>
      <c r="E1050" s="6">
        <f>IFERROR(__xludf.DUMMYFUNCTION("GOOGLEFINANCE(""Currency:BRLMXN"")*D1050"),659.72655)</f>
        <v>659.72655</v>
      </c>
      <c r="F1050" s="6">
        <f>IFERROR(__xludf.DUMMYFUNCTION("GOOGLEFINANCE(""Currency:BRLPEN"")*D1050"),127.304408)</f>
        <v>127.304408</v>
      </c>
      <c r="G1050" s="2" t="str">
        <f t="array" ref="G1050">_xlfn.XLOOKUP(B1050,Vendedores!$A$2:$A$41,Vendedores!$B$2:$B$41,"No hay datos")</f>
        <v>Juliana Castro</v>
      </c>
      <c r="H1050" s="2" t="str">
        <f t="array" ref="H1050">_xlfn.XLOOKUP(B1050,Vendedores!$A$2:$A$41,Vendedores!$C$2:$C$41,"No hay datos")</f>
        <v>San Miguel de los Pinos</v>
      </c>
      <c r="I1050" s="2" t="str">
        <f t="array" ref="I1050">_xlfn.XLOOKUP(B1050,Vendedores!$A$2:$A$41,Vendedores!$D$2:$D$41,"No hay datos")</f>
        <v>Región Sur</v>
      </c>
      <c r="J1050" s="2" t="str">
        <f t="array" ref="J1050:N1050">_xlfn.XLOOKUP(A1050,Productos!$A$2:$A$61,Productos!$B$2:$F$61)</f>
        <v>Pantalón de mezclilla</v>
      </c>
      <c r="K1050" s="2" t="s">
        <v>17</v>
      </c>
      <c r="L1050" s="2" t="s">
        <v>10</v>
      </c>
      <c r="M1050" s="2" t="s">
        <v>65</v>
      </c>
      <c r="N1050" s="2" t="s">
        <v>35</v>
      </c>
    </row>
    <row r="1051">
      <c r="A1051" s="2" t="str">
        <f>IFERROR(__xludf.DUMMYFUNCTION("""COMPUTED_VALUE"""),"PR051")</f>
        <v>PR051</v>
      </c>
      <c r="B1051" s="2" t="str">
        <f>IFERROR(__xludf.DUMMYFUNCTION("""COMPUTED_VALUE"""),"VD011")</f>
        <v>VD011</v>
      </c>
      <c r="C1051" s="2">
        <f>IFERROR(__xludf.DUMMYFUNCTION("""COMPUTED_VALUE"""),10.0)</f>
        <v>10</v>
      </c>
      <c r="D1051" s="6">
        <f>IFERROR(__xludf.DUMMYFUNCTION("""COMPUTED_VALUE"""),338.87)</f>
        <v>338.87</v>
      </c>
      <c r="E1051" s="6">
        <f>IFERROR(__xludf.DUMMYFUNCTION("GOOGLEFINANCE(""Currency:BRLMXN"")*D1051"),1151.310825)</f>
        <v>1151.310825</v>
      </c>
      <c r="F1051" s="6">
        <f>IFERROR(__xludf.DUMMYFUNCTION("GOOGLEFINANCE(""Currency:BRLPEN"")*D1051"),222.163172)</f>
        <v>222.163172</v>
      </c>
      <c r="G1051" s="2" t="str">
        <f t="array" ref="G1051">_xlfn.XLOOKUP(B1051,Vendedores!$A$2:$A$41,Vendedores!$B$2:$B$41,"No hay datos")</f>
        <v>Juan Santos</v>
      </c>
      <c r="H1051" s="2" t="str">
        <f t="array" ref="H1051">_xlfn.XLOOKUP(B1051,Vendedores!$A$2:$A$41,Vendedores!$C$2:$C$41,"No hay datos")</f>
        <v>Vista Hermosa</v>
      </c>
      <c r="I1051" s="2" t="str">
        <f t="array" ref="I1051">_xlfn.XLOOKUP(B1051,Vendedores!$A$2:$A$41,Vendedores!$D$2:$D$41,"No hay datos")</f>
        <v>Región Central</v>
      </c>
      <c r="J1051" s="2" t="str">
        <f t="array" ref="J1051:N1051">_xlfn.XLOOKUP(A1051,Productos!$A$2:$A$61,Productos!$B$2:$F$61)</f>
        <v>Playera a rayas</v>
      </c>
      <c r="K1051" s="2" t="s">
        <v>22</v>
      </c>
      <c r="L1051" s="2" t="s">
        <v>10</v>
      </c>
      <c r="M1051" s="2" t="s">
        <v>23</v>
      </c>
      <c r="N1051" s="2" t="s">
        <v>24</v>
      </c>
    </row>
    <row r="1052">
      <c r="A1052" s="2" t="str">
        <f>IFERROR(__xludf.DUMMYFUNCTION("""COMPUTED_VALUE"""),"PR037")</f>
        <v>PR037</v>
      </c>
      <c r="B1052" s="2" t="str">
        <f>IFERROR(__xludf.DUMMYFUNCTION("""COMPUTED_VALUE"""),"VD019")</f>
        <v>VD019</v>
      </c>
      <c r="C1052" s="2">
        <f>IFERROR(__xludf.DUMMYFUNCTION("""COMPUTED_VALUE"""),4.0)</f>
        <v>4</v>
      </c>
      <c r="D1052" s="6">
        <f>IFERROR(__xludf.DUMMYFUNCTION("""COMPUTED_VALUE"""),616.0)</f>
        <v>616</v>
      </c>
      <c r="E1052" s="6">
        <f>IFERROR(__xludf.DUMMYFUNCTION("GOOGLEFINANCE(""Currency:BRLMXN"")*D1052"),2092.86)</f>
        <v>2092.86</v>
      </c>
      <c r="F1052" s="6">
        <f>IFERROR(__xludf.DUMMYFUNCTION("GOOGLEFINANCE(""Currency:BRLPEN"")*D1052"),403.84959999999995)</f>
        <v>403.8496</v>
      </c>
      <c r="G1052" s="2" t="str">
        <f t="array" ref="G1052">_xlfn.XLOOKUP(B1052,Vendedores!$A$2:$A$41,Vendedores!$B$2:$B$41,"No hay datos")</f>
        <v>Rafael Sosa</v>
      </c>
      <c r="H1052" s="2" t="str">
        <f t="array" ref="H1052">_xlfn.XLOOKUP(B1052,Vendedores!$A$2:$A$41,Vendedores!$C$2:$C$41,"No hay datos")</f>
        <v>Selva Verde</v>
      </c>
      <c r="I1052" s="2" t="str">
        <f t="array" ref="I1052">_xlfn.XLOOKUP(B1052,Vendedores!$A$2:$A$41,Vendedores!$D$2:$D$41,"No hay datos")</f>
        <v>Región Amazónica</v>
      </c>
      <c r="J1052" s="2" t="str">
        <f t="array" ref="J1052:N1052">_xlfn.XLOOKUP(A1052,Productos!$A$2:$A$61,Productos!$B$2:$F$61)</f>
        <v>Vestido largo</v>
      </c>
      <c r="K1052" s="2" t="s">
        <v>9</v>
      </c>
      <c r="L1052" s="2" t="s">
        <v>10</v>
      </c>
      <c r="M1052" s="2" t="s">
        <v>70</v>
      </c>
      <c r="N1052" s="2" t="s">
        <v>71</v>
      </c>
    </row>
    <row r="1053">
      <c r="A1053" s="2" t="str">
        <f>IFERROR(__xludf.DUMMYFUNCTION("""COMPUTED_VALUE"""),"PR055")</f>
        <v>PR055</v>
      </c>
      <c r="B1053" s="2" t="str">
        <f>IFERROR(__xludf.DUMMYFUNCTION("""COMPUTED_VALUE"""),"VD038")</f>
        <v>VD038</v>
      </c>
      <c r="C1053" s="2">
        <f>IFERROR(__xludf.DUMMYFUNCTION("""COMPUTED_VALUE"""),20.0)</f>
        <v>20</v>
      </c>
      <c r="D1053" s="6">
        <f>IFERROR(__xludf.DUMMYFUNCTION("""COMPUTED_VALUE"""),1923.86)</f>
        <v>1923.86</v>
      </c>
      <c r="E1053" s="6">
        <f>IFERROR(__xludf.DUMMYFUNCTION("GOOGLEFINANCE(""Currency:BRLMXN"")*D1053"),6536.31435)</f>
        <v>6536.31435</v>
      </c>
      <c r="F1053" s="6">
        <f>IFERROR(__xludf.DUMMYFUNCTION("GOOGLEFINANCE(""Currency:BRLPEN"")*D1053"),1261.282616)</f>
        <v>1261.282616</v>
      </c>
      <c r="G1053" s="2" t="str">
        <f t="array" ref="G1053">_xlfn.XLOOKUP(B1053,Vendedores!$A$2:$A$41,Vendedores!$B$2:$B$41,"No hay datos")</f>
        <v>Bruno Olmedo</v>
      </c>
      <c r="H1053" s="2" t="str">
        <f t="array" ref="H1053">_xlfn.XLOOKUP(B1053,Vendedores!$A$2:$A$41,Vendedores!$C$2:$C$41,"No hay datos")</f>
        <v>Tierra Fertil</v>
      </c>
      <c r="I1053" s="2" t="str">
        <f t="array" ref="I1053">_xlfn.XLOOKUP(B1053,Vendedores!$A$2:$A$41,Vendedores!$D$2:$D$41,"No hay datos")</f>
        <v>Región Sur 2</v>
      </c>
      <c r="J1053" s="2" t="str">
        <f t="array" ref="J1053:N1053">_xlfn.XLOOKUP(A1053,Productos!$A$2:$A$61,Productos!$B$2:$F$61)</f>
        <v>Sandalia plana</v>
      </c>
      <c r="K1053" s="2">
        <v>35.0</v>
      </c>
      <c r="L1053" s="2" t="s">
        <v>33</v>
      </c>
      <c r="M1053" s="2" t="s">
        <v>34</v>
      </c>
      <c r="N1053" s="2" t="s">
        <v>35</v>
      </c>
    </row>
    <row r="1054">
      <c r="A1054" s="2" t="str">
        <f>IFERROR(__xludf.DUMMYFUNCTION("""COMPUTED_VALUE"""),"PR005")</f>
        <v>PR005</v>
      </c>
      <c r="B1054" s="2" t="str">
        <f>IFERROR(__xludf.DUMMYFUNCTION("""COMPUTED_VALUE"""),"VD049")</f>
        <v>VD049</v>
      </c>
      <c r="C1054" s="2">
        <f>IFERROR(__xludf.DUMMYFUNCTION("""COMPUTED_VALUE"""),5.0)</f>
        <v>5</v>
      </c>
      <c r="D1054" s="6">
        <f>IFERROR(__xludf.DUMMYFUNCTION("""COMPUTED_VALUE"""),1364.48)</f>
        <v>1364.48</v>
      </c>
      <c r="E1054" s="6">
        <f>IFERROR(__xludf.DUMMYFUNCTION("GOOGLEFINANCE(""Currency:BRLMXN"")*D1054"),4635.8208)</f>
        <v>4635.8208</v>
      </c>
      <c r="F1054" s="6">
        <f>IFERROR(__xludf.DUMMYFUNCTION("GOOGLEFINANCE(""Currency:BRLPEN"")*D1054"),894.553088)</f>
        <v>894.553088</v>
      </c>
      <c r="G1054" s="2" t="str">
        <f t="array" ref="G1054">_xlfn.XLOOKUP(B1054,Vendedores!$A$2:$A$41,Vendedores!$B$2:$B$41,"No hay datos")</f>
        <v>Fernando Navarro</v>
      </c>
      <c r="H1054" s="2" t="str">
        <f t="array" ref="H1054">_xlfn.XLOOKUP(B1054,Vendedores!$A$2:$A$41,Vendedores!$C$2:$C$41,"No hay datos")</f>
        <v>Colinas Verdes</v>
      </c>
      <c r="I1054" s="2" t="str">
        <f t="array" ref="I1054">_xlfn.XLOOKUP(B1054,Vendedores!$A$2:$A$41,Vendedores!$D$2:$D$41,"No hay datos")</f>
        <v>Región Central 2</v>
      </c>
      <c r="J1054" s="2" t="str">
        <f t="array" ref="J1054:N1054">_xlfn.XLOOKUP(A1054,Productos!$A$2:$A$61,Productos!$B$2:$F$61)</f>
        <v>Bolso de cuero</v>
      </c>
      <c r="K1054" s="2" t="s">
        <v>29</v>
      </c>
      <c r="L1054" s="2" t="s">
        <v>30</v>
      </c>
      <c r="M1054" s="2" t="s">
        <v>100</v>
      </c>
      <c r="N1054" s="2" t="s">
        <v>64</v>
      </c>
    </row>
    <row r="1055">
      <c r="A1055" s="2" t="str">
        <f>IFERROR(__xludf.DUMMYFUNCTION("""COMPUTED_VALUE"""),"PR025")</f>
        <v>PR025</v>
      </c>
      <c r="B1055" s="2" t="str">
        <f>IFERROR(__xludf.DUMMYFUNCTION("""COMPUTED_VALUE"""),"VD018")</f>
        <v>VD018</v>
      </c>
      <c r="C1055" s="2">
        <f>IFERROR(__xludf.DUMMYFUNCTION("""COMPUTED_VALUE"""),8.0)</f>
        <v>8</v>
      </c>
      <c r="D1055" s="6">
        <f>IFERROR(__xludf.DUMMYFUNCTION("""COMPUTED_VALUE"""),2519.16)</f>
        <v>2519.16</v>
      </c>
      <c r="E1055" s="6">
        <f>IFERROR(__xludf.DUMMYFUNCTION("GOOGLEFINANCE(""Currency:BRLMXN"")*D1055"),8558.846099999999)</f>
        <v>8558.8461</v>
      </c>
      <c r="F1055" s="6">
        <f>IFERROR(__xludf.DUMMYFUNCTION("GOOGLEFINANCE(""Currency:BRLPEN"")*D1055"),1651.5612959999999)</f>
        <v>1651.561296</v>
      </c>
      <c r="G1055" s="2" t="str">
        <f t="array" ref="G1055">_xlfn.XLOOKUP(B1055,Vendedores!$A$2:$A$41,Vendedores!$B$2:$B$41,"No hay datos")</f>
        <v>Leticia Rodríguez</v>
      </c>
      <c r="H1055" s="2" t="str">
        <f t="array" ref="H1055">_xlfn.XLOOKUP(B1055,Vendedores!$A$2:$A$41,Vendedores!$C$2:$C$41,"No hay datos")</f>
        <v>Playa Blanca</v>
      </c>
      <c r="I1055" s="2" t="str">
        <f t="array" ref="I1055">_xlfn.XLOOKUP(B1055,Vendedores!$A$2:$A$41,Vendedores!$D$2:$D$41,"No hay datos")</f>
        <v>Región Norte</v>
      </c>
      <c r="J1055" s="2" t="str">
        <f t="array" ref="J1055:N1055">_xlfn.XLOOKUP(A1055,Productos!$A$2:$A$61,Productos!$B$2:$F$61)</f>
        <v>Chaqueta de mezclilla</v>
      </c>
      <c r="K1055" s="2" t="s">
        <v>22</v>
      </c>
      <c r="L1055" s="2" t="s">
        <v>10</v>
      </c>
      <c r="M1055" s="2" t="s">
        <v>107</v>
      </c>
      <c r="N1055" s="2" t="s">
        <v>16</v>
      </c>
    </row>
    <row r="1056">
      <c r="A1056" s="2" t="str">
        <f>IFERROR(__xludf.DUMMYFUNCTION("""COMPUTED_VALUE"""),"PR034")</f>
        <v>PR034</v>
      </c>
      <c r="B1056" s="2" t="str">
        <f>IFERROR(__xludf.DUMMYFUNCTION("""COMPUTED_VALUE"""),"VD015")</f>
        <v>VD015</v>
      </c>
      <c r="C1056" s="2">
        <f>IFERROR(__xludf.DUMMYFUNCTION("""COMPUTED_VALUE"""),2.0)</f>
        <v>2</v>
      </c>
      <c r="D1056" s="6">
        <f>IFERROR(__xludf.DUMMYFUNCTION("""COMPUTED_VALUE"""),192.39)</f>
        <v>192.39</v>
      </c>
      <c r="E1056" s="6">
        <f>IFERROR(__xludf.DUMMYFUNCTION("GOOGLEFINANCE(""Currency:BRLMXN"")*D1056"),653.6450249999999)</f>
        <v>653.645025</v>
      </c>
      <c r="F1056" s="6">
        <f>IFERROR(__xludf.DUMMYFUNCTION("GOOGLEFINANCE(""Currency:BRLPEN"")*D1056"),126.13088399999998)</f>
        <v>126.130884</v>
      </c>
      <c r="G1056" s="2" t="str">
        <f t="array" ref="G1056">_xlfn.XLOOKUP(B1056,Vendedores!$A$2:$A$41,Vendedores!$B$2:$B$41,"No hay datos")</f>
        <v>Lucas Castillo</v>
      </c>
      <c r="H1056" s="2" t="str">
        <f t="array" ref="H1056">_xlfn.XLOOKUP(B1056,Vendedores!$A$2:$A$41,Vendedores!$C$2:$C$41,"No hay datos")</f>
        <v>San Miguel de los Pinos</v>
      </c>
      <c r="I1056" s="2" t="str">
        <f t="array" ref="I1056">_xlfn.XLOOKUP(B1056,Vendedores!$A$2:$A$41,Vendedores!$D$2:$D$41,"No hay datos")</f>
        <v>Región Sur</v>
      </c>
      <c r="J1056" s="2" t="str">
        <f t="array" ref="J1056:N1056">_xlfn.XLOOKUP(A1056,Productos!$A$2:$A$61,Productos!$B$2:$F$61)</f>
        <v>Vestido corto</v>
      </c>
      <c r="K1056" s="2" t="s">
        <v>9</v>
      </c>
      <c r="L1056" s="2" t="s">
        <v>10</v>
      </c>
      <c r="M1056" s="2" t="s">
        <v>93</v>
      </c>
      <c r="N1056" s="2" t="s">
        <v>35</v>
      </c>
    </row>
    <row r="1057">
      <c r="A1057" s="2" t="str">
        <f>IFERROR(__xludf.DUMMYFUNCTION("""COMPUTED_VALUE"""),"PR048")</f>
        <v>PR048</v>
      </c>
      <c r="B1057" s="2" t="str">
        <f>IFERROR(__xludf.DUMMYFUNCTION("""COMPUTED_VALUE"""),"VD034")</f>
        <v>VD034</v>
      </c>
      <c r="C1057" s="2">
        <f>IFERROR(__xludf.DUMMYFUNCTION("""COMPUTED_VALUE"""),20.0)</f>
        <v>20</v>
      </c>
      <c r="D1057" s="6">
        <f>IFERROR(__xludf.DUMMYFUNCTION("""COMPUTED_VALUE"""),5855.98)</f>
        <v>5855.98</v>
      </c>
      <c r="E1057" s="6">
        <f>IFERROR(__xludf.DUMMYFUNCTION("GOOGLEFINANCE(""Currency:BRLMXN"")*D1057"),19895.692049999998)</f>
        <v>19895.69205</v>
      </c>
      <c r="F1057" s="6">
        <f>IFERROR(__xludf.DUMMYFUNCTION("GOOGLEFINANCE(""Currency:BRLPEN"")*D1057"),3839.1804879999995)</f>
        <v>3839.180488</v>
      </c>
      <c r="G1057" s="2" t="str">
        <f t="array" ref="G1057">_xlfn.XLOOKUP(B1057,Vendedores!$A$2:$A$41,Vendedores!$B$2:$B$41,"No hay datos")</f>
        <v>Felipe Carvajal</v>
      </c>
      <c r="H1057" s="2" t="str">
        <f t="array" ref="H1057">_xlfn.XLOOKUP(B1057,Vendedores!$A$2:$A$41,Vendedores!$C$2:$C$41,"No hay datos")</f>
        <v>San Pedro del Río</v>
      </c>
      <c r="I1057" s="2" t="str">
        <f t="array" ref="I1057">_xlfn.XLOOKUP(B1057,Vendedores!$A$2:$A$41,Vendedores!$D$2:$D$41,"No hay datos")</f>
        <v>Región Sur 2</v>
      </c>
      <c r="J1057" s="2" t="str">
        <f t="array" ref="J1057:N1057">_xlfn.XLOOKUP(A1057,Productos!$A$2:$A$61,Productos!$B$2:$F$61)</f>
        <v>Chaqueta de cuero</v>
      </c>
      <c r="K1057" s="2" t="s">
        <v>22</v>
      </c>
      <c r="L1057" s="2" t="s">
        <v>10</v>
      </c>
      <c r="M1057" s="2" t="s">
        <v>94</v>
      </c>
      <c r="N1057" s="2" t="s">
        <v>44</v>
      </c>
    </row>
    <row r="1058">
      <c r="A1058" s="2" t="str">
        <f>IFERROR(__xludf.DUMMYFUNCTION("""COMPUTED_VALUE"""),"PR024")</f>
        <v>PR024</v>
      </c>
      <c r="B1058" s="2" t="str">
        <f>IFERROR(__xludf.DUMMYFUNCTION("""COMPUTED_VALUE"""),"VD046")</f>
        <v>VD046</v>
      </c>
      <c r="C1058" s="2">
        <f>IFERROR(__xludf.DUMMYFUNCTION("""COMPUTED_VALUE"""),2.0)</f>
        <v>2</v>
      </c>
      <c r="D1058" s="6">
        <f>IFERROR(__xludf.DUMMYFUNCTION("""COMPUTED_VALUE"""),530.2)</f>
        <v>530.2</v>
      </c>
      <c r="E1058" s="6">
        <f>IFERROR(__xludf.DUMMYFUNCTION("GOOGLEFINANCE(""Currency:BRLMXN"")*D1058"),1801.3545000000001)</f>
        <v>1801.3545</v>
      </c>
      <c r="F1058" s="6">
        <f>IFERROR(__xludf.DUMMYFUNCTION("GOOGLEFINANCE(""Currency:BRLPEN"")*D1058"),347.59912)</f>
        <v>347.59912</v>
      </c>
      <c r="G1058" s="2" t="str">
        <f t="array" ref="G1058">_xlfn.XLOOKUP(B1058,Vendedores!$A$2:$A$41,Vendedores!$B$2:$B$41,"No hay datos")</f>
        <v>Juliana Pérez</v>
      </c>
      <c r="H1058" s="2" t="str">
        <f t="array" ref="H1058">_xlfn.XLOOKUP(B1058,Vendedores!$A$2:$A$41,Vendedores!$C$2:$C$41,"No hay datos")</f>
        <v>Santa Cruz de la Sierra</v>
      </c>
      <c r="I1058" s="2" t="str">
        <f t="array" ref="I1058">_xlfn.XLOOKUP(B1058,Vendedores!$A$2:$A$41,Vendedores!$D$2:$D$41,"No hay datos")</f>
        <v>Región Central 2</v>
      </c>
      <c r="J1058" s="2" t="str">
        <f t="array" ref="J1058:N1058">_xlfn.XLOOKUP(A1058,Productos!$A$2:$A$61,Productos!$B$2:$F$61)</f>
        <v>Chaqueta de mezclilla</v>
      </c>
      <c r="K1058" s="2" t="s">
        <v>17</v>
      </c>
      <c r="L1058" s="2" t="s">
        <v>10</v>
      </c>
      <c r="M1058" s="2" t="s">
        <v>92</v>
      </c>
      <c r="N1058" s="2" t="s">
        <v>64</v>
      </c>
    </row>
    <row r="1059">
      <c r="A1059" s="2" t="str">
        <f>IFERROR(__xludf.DUMMYFUNCTION("""COMPUTED_VALUE"""),"PR028")</f>
        <v>PR028</v>
      </c>
      <c r="B1059" s="2" t="str">
        <f>IFERROR(__xludf.DUMMYFUNCTION("""COMPUTED_VALUE"""),"VD014")</f>
        <v>VD014</v>
      </c>
      <c r="C1059" s="2">
        <f>IFERROR(__xludf.DUMMYFUNCTION("""COMPUTED_VALUE"""),4.0)</f>
        <v>4</v>
      </c>
      <c r="D1059" s="6">
        <f>IFERROR(__xludf.DUMMYFUNCTION("""COMPUTED_VALUE"""),1069.57)</f>
        <v>1069.57</v>
      </c>
      <c r="E1059" s="6">
        <f>IFERROR(__xludf.DUMMYFUNCTION("GOOGLEFINANCE(""Currency:BRLMXN"")*D1059"),3633.864075)</f>
        <v>3633.864075</v>
      </c>
      <c r="F1059" s="6">
        <f>IFERROR(__xludf.DUMMYFUNCTION("GOOGLEFINANCE(""Currency:BRLPEN"")*D1059"),701.2100919999999)</f>
        <v>701.210092</v>
      </c>
      <c r="G1059" s="2" t="str">
        <f t="array" ref="G1059">_xlfn.XLOOKUP(B1059,Vendedores!$A$2:$A$41,Vendedores!$B$2:$B$41,"No hay datos")</f>
        <v>Carla Flores</v>
      </c>
      <c r="H1059" s="2" t="str">
        <f t="array" ref="H1059">_xlfn.XLOOKUP(B1059,Vendedores!$A$2:$A$41,Vendedores!$C$2:$C$41,"No hay datos")</f>
        <v>Valle Escondido</v>
      </c>
      <c r="I1059" s="2" t="str">
        <f t="array" ref="I1059">_xlfn.XLOOKUP(B1059,Vendedores!$A$2:$A$41,Vendedores!$D$2:$D$41,"No hay datos")</f>
        <v>Región Andina</v>
      </c>
      <c r="J1059" s="2" t="str">
        <f t="array" ref="J1059:N1059">_xlfn.XLOOKUP(A1059,Productos!$A$2:$A$61,Productos!$B$2:$F$61)</f>
        <v>Tenis Atitas</v>
      </c>
      <c r="K1059" s="2">
        <v>36.0</v>
      </c>
      <c r="L1059" s="2" t="s">
        <v>33</v>
      </c>
      <c r="M1059" s="2" t="s">
        <v>55</v>
      </c>
      <c r="N1059" s="2" t="s">
        <v>56</v>
      </c>
    </row>
    <row r="1060">
      <c r="A1060" s="2" t="str">
        <f>IFERROR(__xludf.DUMMYFUNCTION("""COMPUTED_VALUE"""),"PR018")</f>
        <v>PR018</v>
      </c>
      <c r="B1060" s="2" t="str">
        <f>IFERROR(__xludf.DUMMYFUNCTION("""COMPUTED_VALUE"""),"VD041")</f>
        <v>VD041</v>
      </c>
      <c r="C1060" s="2">
        <f>IFERROR(__xludf.DUMMYFUNCTION("""COMPUTED_VALUE"""),3.0)</f>
        <v>3</v>
      </c>
      <c r="D1060" s="6">
        <f>IFERROR(__xludf.DUMMYFUNCTION("""COMPUTED_VALUE"""),102.65)</f>
        <v>102.65</v>
      </c>
      <c r="E1060" s="6">
        <f>IFERROR(__xludf.DUMMYFUNCTION("GOOGLEFINANCE(""Currency:BRLMXN"")*D1060"),348.753375)</f>
        <v>348.753375</v>
      </c>
      <c r="F1060" s="6">
        <f>IFERROR(__xludf.DUMMYFUNCTION("GOOGLEFINANCE(""Currency:BRLPEN"")*D1060"),67.29734)</f>
        <v>67.29734</v>
      </c>
      <c r="G1060" s="2" t="str">
        <f t="array" ref="G1060">_xlfn.XLOOKUP(B1060,Vendedores!$A$2:$A$41,Vendedores!$B$2:$B$41,"No hay datos")</f>
        <v>Alejandro Ramos</v>
      </c>
      <c r="H1060" s="2" t="str">
        <f t="array" ref="H1060">_xlfn.XLOOKUP(B1060,Vendedores!$A$2:$A$41,Vendedores!$C$2:$C$41,"No hay datos")</f>
        <v>San Martín de las Rosas</v>
      </c>
      <c r="I1060" s="2" t="str">
        <f t="array" ref="I1060">_xlfn.XLOOKUP(B1060,Vendedores!$A$2:$A$41,Vendedores!$D$2:$D$41,"No hay datos")</f>
        <v>Región Central 2</v>
      </c>
      <c r="J1060" s="2" t="str">
        <f t="array" ref="J1060:N1060">_xlfn.XLOOKUP(A1060,Productos!$A$2:$A$61,Productos!$B$2:$F$61)</f>
        <v>Playera lisa</v>
      </c>
      <c r="K1060" s="2" t="s">
        <v>22</v>
      </c>
      <c r="L1060" s="2" t="s">
        <v>10</v>
      </c>
      <c r="M1060" s="2" t="s">
        <v>57</v>
      </c>
      <c r="N1060" s="2" t="s">
        <v>24</v>
      </c>
    </row>
    <row r="1061">
      <c r="A1061" s="2" t="str">
        <f>IFERROR(__xludf.DUMMYFUNCTION("""COMPUTED_VALUE"""),"PR001")</f>
        <v>PR001</v>
      </c>
      <c r="B1061" s="2" t="str">
        <f>IFERROR(__xludf.DUMMYFUNCTION("""COMPUTED_VALUE"""),"VD027")</f>
        <v>VD027</v>
      </c>
      <c r="C1061" s="2">
        <f>IFERROR(__xludf.DUMMYFUNCTION("""COMPUTED_VALUE"""),18.0)</f>
        <v>18</v>
      </c>
      <c r="D1061" s="6">
        <f>IFERROR(__xludf.DUMMYFUNCTION("""COMPUTED_VALUE"""),1221.79)</f>
        <v>1221.79</v>
      </c>
      <c r="E1061" s="6">
        <f>IFERROR(__xludf.DUMMYFUNCTION("GOOGLEFINANCE(""Currency:BRLMXN"")*D1061"),4151.031524999999)</f>
        <v>4151.031525</v>
      </c>
      <c r="F1061" s="6">
        <f>IFERROR(__xludf.DUMMYFUNCTION("GOOGLEFINANCE(""Currency:BRLPEN"")*D1061"),801.0055239999999)</f>
        <v>801.005524</v>
      </c>
      <c r="G1061" s="2" t="str">
        <f t="array" ref="G1061">_xlfn.XLOOKUP(B1061,Vendedores!$A$2:$A$41,Vendedores!$B$2:$B$41,"No hay datos")</f>
        <v>Patricia Cortés</v>
      </c>
      <c r="H1061" s="2" t="str">
        <f t="array" ref="H1061">_xlfn.XLOOKUP(B1061,Vendedores!$A$2:$A$41,Vendedores!$C$2:$C$41,"No hay datos")</f>
        <v>Costa Azul</v>
      </c>
      <c r="I1061" s="2" t="str">
        <f t="array" ref="I1061">_xlfn.XLOOKUP(B1061,Vendedores!$A$2:$A$41,Vendedores!$D$2:$D$41,"No hay datos")</f>
        <v>Región Norte</v>
      </c>
      <c r="J1061" s="2" t="str">
        <f t="array" ref="J1061:N1061">_xlfn.XLOOKUP(A1061,Productos!$A$2:$A$61,Productos!$B$2:$F$61)</f>
        <v>Bermuda</v>
      </c>
      <c r="K1061" s="2" t="s">
        <v>9</v>
      </c>
      <c r="L1061" s="2" t="s">
        <v>10</v>
      </c>
      <c r="M1061" s="2" t="s">
        <v>11</v>
      </c>
      <c r="N1061" s="2" t="s">
        <v>12</v>
      </c>
    </row>
    <row r="1062">
      <c r="A1062" s="2" t="str">
        <f>IFERROR(__xludf.DUMMYFUNCTION("""COMPUTED_VALUE"""),"PR021")</f>
        <v>PR021</v>
      </c>
      <c r="B1062" s="2" t="str">
        <f>IFERROR(__xludf.DUMMYFUNCTION("""COMPUTED_VALUE"""),"VD048")</f>
        <v>VD048</v>
      </c>
      <c r="C1062" s="2">
        <f>IFERROR(__xludf.DUMMYFUNCTION("""COMPUTED_VALUE"""),2.0)</f>
        <v>2</v>
      </c>
      <c r="D1062" s="6">
        <f>IFERROR(__xludf.DUMMYFUNCTION("""COMPUTED_VALUE"""),617.92)</f>
        <v>617.92</v>
      </c>
      <c r="E1062" s="6">
        <f>IFERROR(__xludf.DUMMYFUNCTION("GOOGLEFINANCE(""Currency:BRLMXN"")*D1062"),2099.3831999999998)</f>
        <v>2099.3832</v>
      </c>
      <c r="F1062" s="6">
        <f>IFERROR(__xludf.DUMMYFUNCTION("GOOGLEFINANCE(""Currency:BRLPEN"")*D1062"),405.10835199999997)</f>
        <v>405.108352</v>
      </c>
      <c r="G1062" s="2" t="str">
        <f t="array" ref="G1062">_xlfn.XLOOKUP(B1062,Vendedores!$A$2:$A$41,Vendedores!$B$2:$B$41,"No hay datos")</f>
        <v>Mariana Castro</v>
      </c>
      <c r="H1062" s="2" t="str">
        <f t="array" ref="H1062">_xlfn.XLOOKUP(B1062,Vendedores!$A$2:$A$41,Vendedores!$C$2:$C$41,"No hay datos")</f>
        <v>San Carlos del Valle</v>
      </c>
      <c r="I1062" s="2" t="str">
        <f t="array" ref="I1062">_xlfn.XLOOKUP(B1062,Vendedores!$A$2:$A$41,Vendedores!$D$2:$D$41,"No hay datos")</f>
        <v>Región Central 2</v>
      </c>
      <c r="J1062" s="2" t="str">
        <f t="array" ref="J1062:N1062">_xlfn.XLOOKUP(A1062,Productos!$A$2:$A$61,Productos!$B$2:$F$61)</f>
        <v>Chaqueta de cuero</v>
      </c>
      <c r="K1062" s="2" t="s">
        <v>17</v>
      </c>
      <c r="L1062" s="2" t="s">
        <v>10</v>
      </c>
      <c r="M1062" s="2" t="s">
        <v>80</v>
      </c>
      <c r="N1062" s="2" t="s">
        <v>81</v>
      </c>
    </row>
    <row r="1063">
      <c r="A1063" s="2" t="str">
        <f>IFERROR(__xludf.DUMMYFUNCTION("""COMPUTED_VALUE"""),"PR012")</f>
        <v>PR012</v>
      </c>
      <c r="B1063" s="2" t="str">
        <f>IFERROR(__xludf.DUMMYFUNCTION("""COMPUTED_VALUE"""),"VD012")</f>
        <v>VD012</v>
      </c>
      <c r="C1063" s="2">
        <f>IFERROR(__xludf.DUMMYFUNCTION("""COMPUTED_VALUE"""),3.0)</f>
        <v>3</v>
      </c>
      <c r="D1063" s="6">
        <f>IFERROR(__xludf.DUMMYFUNCTION("""COMPUTED_VALUE"""),152.57)</f>
        <v>152.57</v>
      </c>
      <c r="E1063" s="6">
        <f>IFERROR(__xludf.DUMMYFUNCTION("GOOGLEFINANCE(""Currency:BRLMXN"")*D1063"),518.356575)</f>
        <v>518.356575</v>
      </c>
      <c r="F1063" s="6">
        <f>IFERROR(__xludf.DUMMYFUNCTION("GOOGLEFINANCE(""Currency:BRLPEN"")*D1063"),100.024892)</f>
        <v>100.024892</v>
      </c>
      <c r="G1063" s="2" t="str">
        <f t="array" ref="G1063">_xlfn.XLOOKUP(B1063,Vendedores!$A$2:$A$41,Vendedores!$B$2:$B$41,"No hay datos")</f>
        <v>Ana Olmedo</v>
      </c>
      <c r="H1063" s="2" t="str">
        <f t="array" ref="H1063">_xlfn.XLOOKUP(B1063,Vendedores!$A$2:$A$41,Vendedores!$C$2:$C$41,"No hay datos")</f>
        <v>Río Claro</v>
      </c>
      <c r="I1063" s="2" t="str">
        <f t="array" ref="I1063">_xlfn.XLOOKUP(B1063,Vendedores!$A$2:$A$41,Vendedores!$D$2:$D$41,"No hay datos")</f>
        <v>Región Central</v>
      </c>
      <c r="J1063" s="2" t="str">
        <f t="array" ref="J1063:N1063">_xlfn.XLOOKUP(A1063,Productos!$A$2:$A$61,Productos!$B$2:$F$61)</f>
        <v>Pantalón legging</v>
      </c>
      <c r="K1063" s="2" t="s">
        <v>22</v>
      </c>
      <c r="L1063" s="2" t="s">
        <v>10</v>
      </c>
      <c r="M1063" s="2" t="s">
        <v>88</v>
      </c>
      <c r="N1063" s="2" t="s">
        <v>89</v>
      </c>
    </row>
    <row r="1064">
      <c r="A1064" s="2" t="str">
        <f>IFERROR(__xludf.DUMMYFUNCTION("""COMPUTED_VALUE"""),"PR035")</f>
        <v>PR035</v>
      </c>
      <c r="B1064" s="2" t="str">
        <f>IFERROR(__xludf.DUMMYFUNCTION("""COMPUTED_VALUE"""),"VD023")</f>
        <v>VD023</v>
      </c>
      <c r="C1064" s="2">
        <f>IFERROR(__xludf.DUMMYFUNCTION("""COMPUTED_VALUE"""),1.0)</f>
        <v>1</v>
      </c>
      <c r="D1064" s="6">
        <f>IFERROR(__xludf.DUMMYFUNCTION("""COMPUTED_VALUE"""),99.63)</f>
        <v>99.63</v>
      </c>
      <c r="E1064" s="6">
        <f>IFERROR(__xludf.DUMMYFUNCTION("GOOGLEFINANCE(""Currency:BRLMXN"")*D1064"),338.49292499999996)</f>
        <v>338.492925</v>
      </c>
      <c r="F1064" s="6">
        <f>IFERROR(__xludf.DUMMYFUNCTION("GOOGLEFINANCE(""Currency:BRLPEN"")*D1064"),65.31742799999999)</f>
        <v>65.317428</v>
      </c>
      <c r="G1064" s="2" t="str">
        <f t="array" ref="G1064">_xlfn.XLOOKUP(B1064,Vendedores!$A$2:$A$41,Vendedores!$B$2:$B$41,"No hay datos")</f>
        <v>Juliana Castro</v>
      </c>
      <c r="H1064" s="2" t="str">
        <f t="array" ref="H1064">_xlfn.XLOOKUP(B1064,Vendedores!$A$2:$A$41,Vendedores!$C$2:$C$41,"No hay datos")</f>
        <v>San Miguel de los Pinos</v>
      </c>
      <c r="I1064" s="2" t="str">
        <f t="array" ref="I1064">_xlfn.XLOOKUP(B1064,Vendedores!$A$2:$A$41,Vendedores!$D$2:$D$41,"No hay datos")</f>
        <v>Región Sur</v>
      </c>
      <c r="J1064" s="2" t="str">
        <f t="array" ref="J1064:N1064">_xlfn.XLOOKUP(A1064,Productos!$A$2:$A$61,Productos!$B$2:$F$61)</f>
        <v>Vestido corto</v>
      </c>
      <c r="K1064" s="2" t="s">
        <v>17</v>
      </c>
      <c r="L1064" s="2" t="s">
        <v>10</v>
      </c>
      <c r="M1064" s="2" t="s">
        <v>18</v>
      </c>
      <c r="N1064" s="2" t="s">
        <v>19</v>
      </c>
    </row>
    <row r="1065">
      <c r="A1065" s="2" t="str">
        <f>IFERROR(__xludf.DUMMYFUNCTION("""COMPUTED_VALUE"""),"PR006")</f>
        <v>PR006</v>
      </c>
      <c r="B1065" s="2" t="str">
        <f>IFERROR(__xludf.DUMMYFUNCTION("""COMPUTED_VALUE"""),"VD030")</f>
        <v>VD030</v>
      </c>
      <c r="C1065" s="2">
        <f>IFERROR(__xludf.DUMMYFUNCTION("""COMPUTED_VALUE"""),16.0)</f>
        <v>16</v>
      </c>
      <c r="D1065" s="6">
        <f>IFERROR(__xludf.DUMMYFUNCTION("""COMPUTED_VALUE"""),689.47)</f>
        <v>689.47</v>
      </c>
      <c r="E1065" s="6">
        <f>IFERROR(__xludf.DUMMYFUNCTION("GOOGLEFINANCE(""Currency:BRLMXN"")*D1065"),2342.474325)</f>
        <v>2342.474325</v>
      </c>
      <c r="F1065" s="6">
        <f>IFERROR(__xludf.DUMMYFUNCTION("GOOGLEFINANCE(""Currency:BRLPEN"")*D1065"),452.016532)</f>
        <v>452.016532</v>
      </c>
      <c r="G1065" s="2" t="str">
        <f t="array" ref="G1065">_xlfn.XLOOKUP(B1065,Vendedores!$A$2:$A$41,Vendedores!$B$2:$B$41,"No hay datos")</f>
        <v>Leonardo Rojas</v>
      </c>
      <c r="H1065" s="2" t="str">
        <f t="array" ref="H1065">_xlfn.XLOOKUP(B1065,Vendedores!$A$2:$A$41,Vendedores!$C$2:$C$41,"No hay datos")</f>
        <v>Villa del Sol</v>
      </c>
      <c r="I1065" s="2" t="str">
        <f t="array" ref="I1065">_xlfn.XLOOKUP(B1065,Vendedores!$A$2:$A$41,Vendedores!$D$2:$D$41,"No hay datos")</f>
        <v>Región Central 2</v>
      </c>
      <c r="J1065" s="2" t="str">
        <f t="array" ref="J1065:N1065">_xlfn.XLOOKUP(A1065,Productos!$A$2:$A$61,Productos!$B$2:$F$61)</f>
        <v>Gorra</v>
      </c>
      <c r="K1065" s="2" t="s">
        <v>29</v>
      </c>
      <c r="L1065" s="2" t="s">
        <v>30</v>
      </c>
      <c r="M1065" s="2" t="s">
        <v>48</v>
      </c>
      <c r="N1065" s="2" t="s">
        <v>38</v>
      </c>
    </row>
    <row r="1066">
      <c r="A1066" s="2" t="str">
        <f>IFERROR(__xludf.DUMMYFUNCTION("""COMPUTED_VALUE"""),"PR053")</f>
        <v>PR053</v>
      </c>
      <c r="B1066" s="2" t="str">
        <f>IFERROR(__xludf.DUMMYFUNCTION("""COMPUTED_VALUE"""),"VD011")</f>
        <v>VD011</v>
      </c>
      <c r="C1066" s="2">
        <f>IFERROR(__xludf.DUMMYFUNCTION("""COMPUTED_VALUE"""),8.0)</f>
        <v>8</v>
      </c>
      <c r="D1066" s="6">
        <f>IFERROR(__xludf.DUMMYFUNCTION("""COMPUTED_VALUE"""),415.17)</f>
        <v>415.17</v>
      </c>
      <c r="E1066" s="6">
        <f>IFERROR(__xludf.DUMMYFUNCTION("GOOGLEFINANCE(""Currency:BRLMXN"")*D1066"),1410.5400750000001)</f>
        <v>1410.540075</v>
      </c>
      <c r="F1066" s="6">
        <f>IFERROR(__xludf.DUMMYFUNCTION("GOOGLEFINANCE(""Currency:BRLPEN"")*D1066"),272.185452)</f>
        <v>272.185452</v>
      </c>
      <c r="G1066" s="2" t="str">
        <f t="array" ref="G1066">_xlfn.XLOOKUP(B1066,Vendedores!$A$2:$A$41,Vendedores!$B$2:$B$41,"No hay datos")</f>
        <v>Juan Santos</v>
      </c>
      <c r="H1066" s="2" t="str">
        <f t="array" ref="H1066">_xlfn.XLOOKUP(B1066,Vendedores!$A$2:$A$41,Vendedores!$C$2:$C$41,"No hay datos")</f>
        <v>Vista Hermosa</v>
      </c>
      <c r="I1066" s="2" t="str">
        <f t="array" ref="I1066">_xlfn.XLOOKUP(B1066,Vendedores!$A$2:$A$41,Vendedores!$D$2:$D$41,"No hay datos")</f>
        <v>Región Central</v>
      </c>
      <c r="J1066" s="2" t="str">
        <f t="array" ref="J1066:N1066">_xlfn.XLOOKUP(A1066,Productos!$A$2:$A$61,Productos!$B$2:$F$61)</f>
        <v>Falda plisada</v>
      </c>
      <c r="K1066" s="2" t="s">
        <v>17</v>
      </c>
      <c r="L1066" s="2" t="s">
        <v>10</v>
      </c>
      <c r="M1066" s="2" t="s">
        <v>41</v>
      </c>
      <c r="N1066" s="2" t="s">
        <v>32</v>
      </c>
    </row>
    <row r="1067">
      <c r="A1067" s="2" t="str">
        <f>IFERROR(__xludf.DUMMYFUNCTION("""COMPUTED_VALUE"""),"PR009")</f>
        <v>PR009</v>
      </c>
      <c r="B1067" s="2" t="str">
        <f>IFERROR(__xludf.DUMMYFUNCTION("""COMPUTED_VALUE"""),"VD028")</f>
        <v>VD028</v>
      </c>
      <c r="C1067" s="2">
        <f>IFERROR(__xludf.DUMMYFUNCTION("""COMPUTED_VALUE"""),8.0)</f>
        <v>8</v>
      </c>
      <c r="D1067" s="6">
        <f>IFERROR(__xludf.DUMMYFUNCTION("""COMPUTED_VALUE"""),765.5)</f>
        <v>765.5</v>
      </c>
      <c r="E1067" s="6">
        <f>IFERROR(__xludf.DUMMYFUNCTION("GOOGLEFINANCE(""Currency:BRLMXN"")*D1067"),2600.78625)</f>
        <v>2600.78625</v>
      </c>
      <c r="F1067" s="6">
        <f>IFERROR(__xludf.DUMMYFUNCTION("GOOGLEFINANCE(""Currency:BRLPEN"")*D1067"),501.86179999999996)</f>
        <v>501.8618</v>
      </c>
      <c r="G1067" s="2" t="str">
        <f t="array" ref="G1067">_xlfn.XLOOKUP(B1067,Vendedores!$A$2:$A$41,Vendedores!$B$2:$B$41,"No hay datos")</f>
        <v>Rodrigo Almonte</v>
      </c>
      <c r="H1067" s="2" t="str">
        <f t="array" ref="H1067">_xlfn.XLOOKUP(B1067,Vendedores!$A$2:$A$41,Vendedores!$C$2:$C$41,"No hay datos")</f>
        <v>Valle Escondido</v>
      </c>
      <c r="I1067" s="2" t="str">
        <f t="array" ref="I1067">_xlfn.XLOOKUP(B1067,Vendedores!$A$2:$A$41,Vendedores!$D$2:$D$41,"No hay datos")</f>
        <v>Región Andina</v>
      </c>
      <c r="J1067" s="2" t="str">
        <f t="array" ref="J1067:N1067">_xlfn.XLOOKUP(A1067,Productos!$A$2:$A$61,Productos!$B$2:$F$61)</f>
        <v>Pantalón de mezclilla</v>
      </c>
      <c r="K1067" s="2" t="s">
        <v>22</v>
      </c>
      <c r="L1067" s="2" t="s">
        <v>10</v>
      </c>
      <c r="M1067" s="2" t="s">
        <v>76</v>
      </c>
      <c r="N1067" s="2" t="s">
        <v>77</v>
      </c>
    </row>
    <row r="1068">
      <c r="A1068" s="2" t="str">
        <f>IFERROR(__xludf.DUMMYFUNCTION("""COMPUTED_VALUE"""),"PR004")</f>
        <v>PR004</v>
      </c>
      <c r="B1068" s="2" t="str">
        <f>IFERROR(__xludf.DUMMYFUNCTION("""COMPUTED_VALUE"""),"VD043")</f>
        <v>VD043</v>
      </c>
      <c r="C1068" s="2">
        <f>IFERROR(__xludf.DUMMYFUNCTION("""COMPUTED_VALUE"""),8.0)</f>
        <v>8</v>
      </c>
      <c r="D1068" s="6">
        <f>IFERROR(__xludf.DUMMYFUNCTION("""COMPUTED_VALUE"""),1194.8)</f>
        <v>1194.8</v>
      </c>
      <c r="E1068" s="6">
        <f>IFERROR(__xludf.DUMMYFUNCTION("GOOGLEFINANCE(""Currency:BRLMXN"")*D1068"),4059.3329999999996)</f>
        <v>4059.333</v>
      </c>
      <c r="F1068" s="6">
        <f>IFERROR(__xludf.DUMMYFUNCTION("GOOGLEFINANCE(""Currency:BRLPEN"")*D1068"),783.3108799999999)</f>
        <v>783.31088</v>
      </c>
      <c r="G1068" s="2" t="str">
        <f t="array" ref="G1068">_xlfn.XLOOKUP(B1068,Vendedores!$A$2:$A$41,Vendedores!$B$2:$B$41,"No hay datos")</f>
        <v>Carlos Henríquez</v>
      </c>
      <c r="H1068" s="2" t="str">
        <f t="array" ref="H1068">_xlfn.XLOOKUP(B1068,Vendedores!$A$2:$A$41,Vendedores!$C$2:$C$41,"No hay datos")</f>
        <v>Ciudad Aeropuerto</v>
      </c>
      <c r="I1068" s="2" t="str">
        <f t="array" ref="I1068">_xlfn.XLOOKUP(B1068,Vendedores!$A$2:$A$41,Vendedores!$D$2:$D$41,"No hay datos")</f>
        <v>Región Central 2</v>
      </c>
      <c r="J1068" s="2" t="str">
        <f t="array" ref="J1068:N1068">_xlfn.XLOOKUP(A1068,Productos!$A$2:$A$61,Productos!$B$2:$F$61)</f>
        <v>Bolso versátil</v>
      </c>
      <c r="K1068" s="2" t="s">
        <v>29</v>
      </c>
      <c r="L1068" s="2" t="s">
        <v>30</v>
      </c>
      <c r="M1068" s="2" t="s">
        <v>59</v>
      </c>
      <c r="N1068" s="2" t="s">
        <v>60</v>
      </c>
    </row>
    <row r="1069">
      <c r="A1069" s="2" t="str">
        <f>IFERROR(__xludf.DUMMYFUNCTION("""COMPUTED_VALUE"""),"PR024")</f>
        <v>PR024</v>
      </c>
      <c r="B1069" s="2" t="str">
        <f>IFERROR(__xludf.DUMMYFUNCTION("""COMPUTED_VALUE"""),"VD027")</f>
        <v>VD027</v>
      </c>
      <c r="C1069" s="2">
        <f>IFERROR(__xludf.DUMMYFUNCTION("""COMPUTED_VALUE"""),4.0)</f>
        <v>4</v>
      </c>
      <c r="D1069" s="6">
        <f>IFERROR(__xludf.DUMMYFUNCTION("""COMPUTED_VALUE"""),1070.79)</f>
        <v>1070.79</v>
      </c>
      <c r="E1069" s="6">
        <f>IFERROR(__xludf.DUMMYFUNCTION("GOOGLEFINANCE(""Currency:BRLMXN"")*D1069"),3638.009025)</f>
        <v>3638.009025</v>
      </c>
      <c r="F1069" s="6">
        <f>IFERROR(__xludf.DUMMYFUNCTION("GOOGLEFINANCE(""Currency:BRLPEN"")*D1069"),702.009924)</f>
        <v>702.009924</v>
      </c>
      <c r="G1069" s="2" t="str">
        <f t="array" ref="G1069">_xlfn.XLOOKUP(B1069,Vendedores!$A$2:$A$41,Vendedores!$B$2:$B$41,"No hay datos")</f>
        <v>Patricia Cortés</v>
      </c>
      <c r="H1069" s="2" t="str">
        <f t="array" ref="H1069">_xlfn.XLOOKUP(B1069,Vendedores!$A$2:$A$41,Vendedores!$C$2:$C$41,"No hay datos")</f>
        <v>Costa Azul</v>
      </c>
      <c r="I1069" s="2" t="str">
        <f t="array" ref="I1069">_xlfn.XLOOKUP(B1069,Vendedores!$A$2:$A$41,Vendedores!$D$2:$D$41,"No hay datos")</f>
        <v>Región Norte</v>
      </c>
      <c r="J1069" s="2" t="str">
        <f t="array" ref="J1069:N1069">_xlfn.XLOOKUP(A1069,Productos!$A$2:$A$61,Productos!$B$2:$F$61)</f>
        <v>Chaqueta de mezclilla</v>
      </c>
      <c r="K1069" s="2" t="s">
        <v>17</v>
      </c>
      <c r="L1069" s="2" t="s">
        <v>10</v>
      </c>
      <c r="M1069" s="2" t="s">
        <v>92</v>
      </c>
      <c r="N1069" s="2" t="s">
        <v>64</v>
      </c>
    </row>
    <row r="1070">
      <c r="A1070" s="2" t="str">
        <f>IFERROR(__xludf.DUMMYFUNCTION("""COMPUTED_VALUE"""),"PR035")</f>
        <v>PR035</v>
      </c>
      <c r="B1070" s="2" t="str">
        <f>IFERROR(__xludf.DUMMYFUNCTION("""COMPUTED_VALUE"""),"VD046")</f>
        <v>VD046</v>
      </c>
      <c r="C1070" s="2">
        <f>IFERROR(__xludf.DUMMYFUNCTION("""COMPUTED_VALUE"""),2.0)</f>
        <v>2</v>
      </c>
      <c r="D1070" s="6">
        <f>IFERROR(__xludf.DUMMYFUNCTION("""COMPUTED_VALUE"""),190.11)</f>
        <v>190.11</v>
      </c>
      <c r="E1070" s="6">
        <f>IFERROR(__xludf.DUMMYFUNCTION("GOOGLEFINANCE(""Currency:BRLMXN"")*D1070"),645.898725)</f>
        <v>645.898725</v>
      </c>
      <c r="F1070" s="6">
        <f>IFERROR(__xludf.DUMMYFUNCTION("GOOGLEFINANCE(""Currency:BRLPEN"")*D1070"),124.636116)</f>
        <v>124.636116</v>
      </c>
      <c r="G1070" s="2" t="str">
        <f t="array" ref="G1070">_xlfn.XLOOKUP(B1070,Vendedores!$A$2:$A$41,Vendedores!$B$2:$B$41,"No hay datos")</f>
        <v>Juliana Pérez</v>
      </c>
      <c r="H1070" s="2" t="str">
        <f t="array" ref="H1070">_xlfn.XLOOKUP(B1070,Vendedores!$A$2:$A$41,Vendedores!$C$2:$C$41,"No hay datos")</f>
        <v>Santa Cruz de la Sierra</v>
      </c>
      <c r="I1070" s="2" t="str">
        <f t="array" ref="I1070">_xlfn.XLOOKUP(B1070,Vendedores!$A$2:$A$41,Vendedores!$D$2:$D$41,"No hay datos")</f>
        <v>Región Central 2</v>
      </c>
      <c r="J1070" s="2" t="str">
        <f t="array" ref="J1070:N1070">_xlfn.XLOOKUP(A1070,Productos!$A$2:$A$61,Productos!$B$2:$F$61)</f>
        <v>Vestido corto</v>
      </c>
      <c r="K1070" s="2" t="s">
        <v>17</v>
      </c>
      <c r="L1070" s="2" t="s">
        <v>10</v>
      </c>
      <c r="M1070" s="2" t="s">
        <v>18</v>
      </c>
      <c r="N1070" s="2" t="s">
        <v>19</v>
      </c>
    </row>
    <row r="1071">
      <c r="A1071" s="2" t="str">
        <f>IFERROR(__xludf.DUMMYFUNCTION("""COMPUTED_VALUE"""),"PR031")</f>
        <v>PR031</v>
      </c>
      <c r="B1071" s="2" t="str">
        <f>IFERROR(__xludf.DUMMYFUNCTION("""COMPUTED_VALUE"""),"VD029")</f>
        <v>VD029</v>
      </c>
      <c r="C1071" s="2">
        <f>IFERROR(__xludf.DUMMYFUNCTION("""COMPUTED_VALUE"""),16.0)</f>
        <v>16</v>
      </c>
      <c r="D1071" s="6">
        <f>IFERROR(__xludf.DUMMYFUNCTION("""COMPUTED_VALUE"""),3998.4)</f>
        <v>3998.4</v>
      </c>
      <c r="E1071" s="6">
        <f>IFERROR(__xludf.DUMMYFUNCTION("GOOGLEFINANCE(""Currency:BRLMXN"")*D1071"),13584.564)</f>
        <v>13584.564</v>
      </c>
      <c r="F1071" s="6">
        <f>IFERROR(__xludf.DUMMYFUNCTION("GOOGLEFINANCE(""Currency:BRLPEN"")*D1071"),2621.35104)</f>
        <v>2621.35104</v>
      </c>
      <c r="G1071" s="2" t="str">
        <f t="array" ref="G1071">_xlfn.XLOOKUP(B1071,Vendedores!$A$2:$A$41,Vendedores!$B$2:$B$41,"No hay datos")</f>
        <v>Gabriela Sosa</v>
      </c>
      <c r="H1071" s="2" t="str">
        <f t="array" ref="H1071">_xlfn.XLOOKUP(B1071,Vendedores!$A$2:$A$41,Vendedores!$C$2:$C$41,"No hay datos")</f>
        <v>Selva Verde</v>
      </c>
      <c r="I1071" s="2" t="str">
        <f t="array" ref="I1071">_xlfn.XLOOKUP(B1071,Vendedores!$A$2:$A$41,Vendedores!$D$2:$D$41,"No hay datos")</f>
        <v>Región Amazónica</v>
      </c>
      <c r="J1071" s="2" t="str">
        <f t="array" ref="J1071:N1071">_xlfn.XLOOKUP(A1071,Productos!$A$2:$A$61,Productos!$B$2:$F$61)</f>
        <v>Tenis Chunky</v>
      </c>
      <c r="K1071" s="2">
        <v>36.0</v>
      </c>
      <c r="L1071" s="2" t="s">
        <v>33</v>
      </c>
      <c r="M1071" s="2" t="s">
        <v>84</v>
      </c>
      <c r="N1071" s="2" t="s">
        <v>85</v>
      </c>
    </row>
    <row r="1072">
      <c r="A1072" s="2" t="str">
        <f>IFERROR(__xludf.DUMMYFUNCTION("""COMPUTED_VALUE"""),"PR052")</f>
        <v>PR052</v>
      </c>
      <c r="B1072" s="2" t="str">
        <f>IFERROR(__xludf.DUMMYFUNCTION("""COMPUTED_VALUE"""),"VD043")</f>
        <v>VD043</v>
      </c>
      <c r="C1072" s="2">
        <f>IFERROR(__xludf.DUMMYFUNCTION("""COMPUTED_VALUE"""),10.0)</f>
        <v>10</v>
      </c>
      <c r="D1072" s="6">
        <f>IFERROR(__xludf.DUMMYFUNCTION("""COMPUTED_VALUE"""),528.94)</f>
        <v>528.94</v>
      </c>
      <c r="E1072" s="6">
        <f>IFERROR(__xludf.DUMMYFUNCTION("GOOGLEFINANCE(""Currency:BRLMXN"")*D1072"),1797.0736500000003)</f>
        <v>1797.07365</v>
      </c>
      <c r="F1072" s="6">
        <f>IFERROR(__xludf.DUMMYFUNCTION("GOOGLEFINANCE(""Currency:BRLPEN"")*D1072"),346.77306400000003)</f>
        <v>346.773064</v>
      </c>
      <c r="G1072" s="2" t="str">
        <f t="array" ref="G1072">_xlfn.XLOOKUP(B1072,Vendedores!$A$2:$A$41,Vendedores!$B$2:$B$41,"No hay datos")</f>
        <v>Carlos Henríquez</v>
      </c>
      <c r="H1072" s="2" t="str">
        <f t="array" ref="H1072">_xlfn.XLOOKUP(B1072,Vendedores!$A$2:$A$41,Vendedores!$C$2:$C$41,"No hay datos")</f>
        <v>Ciudad Aeropuerto</v>
      </c>
      <c r="I1072" s="2" t="str">
        <f t="array" ref="I1072">_xlfn.XLOOKUP(B1072,Vendedores!$A$2:$A$41,Vendedores!$D$2:$D$41,"No hay datos")</f>
        <v>Región Central 2</v>
      </c>
      <c r="J1072" s="2" t="str">
        <f t="array" ref="J1072:N1072">_xlfn.XLOOKUP(A1072,Productos!$A$2:$A$61,Productos!$B$2:$F$61)</f>
        <v>Falda plisada</v>
      </c>
      <c r="K1072" s="2" t="s">
        <v>9</v>
      </c>
      <c r="L1072" s="2" t="s">
        <v>10</v>
      </c>
      <c r="M1072" s="2" t="s">
        <v>36</v>
      </c>
      <c r="N1072" s="2" t="s">
        <v>32</v>
      </c>
    </row>
    <row r="1073">
      <c r="A1073" s="2" t="str">
        <f>IFERROR(__xludf.DUMMYFUNCTION("""COMPUTED_VALUE"""),"PR044")</f>
        <v>PR044</v>
      </c>
      <c r="B1073" s="2" t="str">
        <f>IFERROR(__xludf.DUMMYFUNCTION("""COMPUTED_VALUE"""),"VD023")</f>
        <v>VD023</v>
      </c>
      <c r="C1073" s="2">
        <f>IFERROR(__xludf.DUMMYFUNCTION("""COMPUTED_VALUE"""),1.0)</f>
        <v>1</v>
      </c>
      <c r="D1073" s="6">
        <f>IFERROR(__xludf.DUMMYFUNCTION("""COMPUTED_VALUE"""),77.58)</f>
        <v>77.58</v>
      </c>
      <c r="E1073" s="6">
        <f>IFERROR(__xludf.DUMMYFUNCTION("GOOGLEFINANCE(""Currency:BRLMXN"")*D1073"),263.57805)</f>
        <v>263.57805</v>
      </c>
      <c r="F1073" s="6">
        <f>IFERROR(__xludf.DUMMYFUNCTION("GOOGLEFINANCE(""Currency:BRLPEN"")*D1073"),50.861447999999996)</f>
        <v>50.861448</v>
      </c>
      <c r="G1073" s="2" t="str">
        <f t="array" ref="G1073">_xlfn.XLOOKUP(B1073,Vendedores!$A$2:$A$41,Vendedores!$B$2:$B$41,"No hay datos")</f>
        <v>Juliana Castro</v>
      </c>
      <c r="H1073" s="2" t="str">
        <f t="array" ref="H1073">_xlfn.XLOOKUP(B1073,Vendedores!$A$2:$A$41,Vendedores!$C$2:$C$41,"No hay datos")</f>
        <v>San Miguel de los Pinos</v>
      </c>
      <c r="I1073" s="2" t="str">
        <f t="array" ref="I1073">_xlfn.XLOOKUP(B1073,Vendedores!$A$2:$A$41,Vendedores!$D$2:$D$41,"No hay datos")</f>
        <v>Región Sur</v>
      </c>
      <c r="J1073" s="2" t="str">
        <f t="array" ref="J1073:N1073">_xlfn.XLOOKUP(A1073,Productos!$A$2:$A$61,Productos!$B$2:$F$61)</f>
        <v>Vestido floral</v>
      </c>
      <c r="K1073" s="2" t="s">
        <v>17</v>
      </c>
      <c r="L1073" s="2" t="s">
        <v>10</v>
      </c>
      <c r="M1073" s="2" t="s">
        <v>105</v>
      </c>
      <c r="N1073" s="2" t="s">
        <v>40</v>
      </c>
    </row>
    <row r="1074">
      <c r="A1074" s="2" t="str">
        <f>IFERROR(__xludf.DUMMYFUNCTION("""COMPUTED_VALUE"""),"PR047")</f>
        <v>PR047</v>
      </c>
      <c r="B1074" s="2" t="str">
        <f>IFERROR(__xludf.DUMMYFUNCTION("""COMPUTED_VALUE"""),"VD041")</f>
        <v>VD041</v>
      </c>
      <c r="C1074" s="2">
        <f>IFERROR(__xludf.DUMMYFUNCTION("""COMPUTED_VALUE"""),9.0)</f>
        <v>9</v>
      </c>
      <c r="D1074" s="6">
        <f>IFERROR(__xludf.DUMMYFUNCTION("""COMPUTED_VALUE"""),2870.01)</f>
        <v>2870.01</v>
      </c>
      <c r="E1074" s="6">
        <f>IFERROR(__xludf.DUMMYFUNCTION("GOOGLEFINANCE(""Currency:BRLMXN"")*D1074"),9750.858975000001)</f>
        <v>9750.858975</v>
      </c>
      <c r="F1074" s="6">
        <f>IFERROR(__xludf.DUMMYFUNCTION("GOOGLEFINANCE(""Currency:BRLPEN"")*D1074"),1881.578556)</f>
        <v>1881.578556</v>
      </c>
      <c r="G1074" s="2" t="str">
        <f t="array" ref="G1074">_xlfn.XLOOKUP(B1074,Vendedores!$A$2:$A$41,Vendedores!$B$2:$B$41,"No hay datos")</f>
        <v>Alejandro Ramos</v>
      </c>
      <c r="H1074" s="2" t="str">
        <f t="array" ref="H1074">_xlfn.XLOOKUP(B1074,Vendedores!$A$2:$A$41,Vendedores!$C$2:$C$41,"No hay datos")</f>
        <v>San Martín de las Rosas</v>
      </c>
      <c r="I1074" s="2" t="str">
        <f t="array" ref="I1074">_xlfn.XLOOKUP(B1074,Vendedores!$A$2:$A$41,Vendedores!$D$2:$D$41,"No hay datos")</f>
        <v>Región Central 2</v>
      </c>
      <c r="J1074" s="2" t="str">
        <f t="array" ref="J1074:N1074">_xlfn.XLOOKUP(A1074,Productos!$A$2:$A$61,Productos!$B$2:$F$61)</f>
        <v>Chaqueta de cuero</v>
      </c>
      <c r="K1074" s="2" t="s">
        <v>17</v>
      </c>
      <c r="L1074" s="2" t="s">
        <v>10</v>
      </c>
      <c r="M1074" s="2" t="s">
        <v>43</v>
      </c>
      <c r="N1074" s="2" t="s">
        <v>44</v>
      </c>
    </row>
    <row r="1075">
      <c r="A1075" s="2" t="str">
        <f>IFERROR(__xludf.DUMMYFUNCTION("""COMPUTED_VALUE"""),"PR023")</f>
        <v>PR023</v>
      </c>
      <c r="B1075" s="2" t="str">
        <f>IFERROR(__xludf.DUMMYFUNCTION("""COMPUTED_VALUE"""),"VD021")</f>
        <v>VD021</v>
      </c>
      <c r="C1075" s="2">
        <f>IFERROR(__xludf.DUMMYFUNCTION("""COMPUTED_VALUE"""),3.0)</f>
        <v>3</v>
      </c>
      <c r="D1075" s="6">
        <f>IFERROR(__xludf.DUMMYFUNCTION("""COMPUTED_VALUE"""),764.69)</f>
        <v>764.69</v>
      </c>
      <c r="E1075" s="6">
        <f>IFERROR(__xludf.DUMMYFUNCTION("GOOGLEFINANCE(""Currency:BRLMXN"")*D1075"),2598.034275)</f>
        <v>2598.034275</v>
      </c>
      <c r="F1075" s="6">
        <f>IFERROR(__xludf.DUMMYFUNCTION("GOOGLEFINANCE(""Currency:BRLPEN"")*D1075"),501.330764)</f>
        <v>501.330764</v>
      </c>
      <c r="G1075" s="2" t="str">
        <f t="array" ref="G1075">_xlfn.XLOOKUP(B1075,Vendedores!$A$2:$A$41,Vendedores!$B$2:$B$41,"No hay datos")</f>
        <v>Fernanda Méndez</v>
      </c>
      <c r="H1075" s="2" t="str">
        <f t="array" ref="H1075">_xlfn.XLOOKUP(B1075,Vendedores!$A$2:$A$41,Vendedores!$C$2:$C$41,"No hay datos")</f>
        <v>San Juan de la Sierra</v>
      </c>
      <c r="I1075" s="2" t="str">
        <f t="array" ref="I1075">_xlfn.XLOOKUP(B1075,Vendedores!$A$2:$A$41,Vendedores!$D$2:$D$41,"No hay datos")</f>
        <v>Región Central</v>
      </c>
      <c r="J1075" s="2" t="str">
        <f t="array" ref="J1075:N1075">_xlfn.XLOOKUP(A1075,Productos!$A$2:$A$61,Productos!$B$2:$F$61)</f>
        <v>Chaqueta de mezclilla</v>
      </c>
      <c r="K1075" s="2" t="s">
        <v>9</v>
      </c>
      <c r="L1075" s="2" t="s">
        <v>10</v>
      </c>
      <c r="M1075" s="2" t="s">
        <v>72</v>
      </c>
      <c r="N1075" s="2" t="s">
        <v>56</v>
      </c>
    </row>
    <row r="1076">
      <c r="A1076" s="2" t="str">
        <f>IFERROR(__xludf.DUMMYFUNCTION("""COMPUTED_VALUE"""),"PR036")</f>
        <v>PR036</v>
      </c>
      <c r="B1076" s="2" t="str">
        <f>IFERROR(__xludf.DUMMYFUNCTION("""COMPUTED_VALUE"""),"VD022")</f>
        <v>VD022</v>
      </c>
      <c r="C1076" s="2">
        <f>IFERROR(__xludf.DUMMYFUNCTION("""COMPUTED_VALUE"""),20.0)</f>
        <v>20</v>
      </c>
      <c r="D1076" s="6">
        <f>IFERROR(__xludf.DUMMYFUNCTION("""COMPUTED_VALUE"""),1926.1)</f>
        <v>1926.1</v>
      </c>
      <c r="E1076" s="6">
        <f>IFERROR(__xludf.DUMMYFUNCTION("GOOGLEFINANCE(""Currency:BRLMXN"")*D1076"),6543.924749999999)</f>
        <v>6543.92475</v>
      </c>
      <c r="F1076" s="6">
        <f>IFERROR(__xludf.DUMMYFUNCTION("GOOGLEFINANCE(""Currency:BRLPEN"")*D1076"),1262.7511599999998)</f>
        <v>1262.75116</v>
      </c>
      <c r="G1076" s="2" t="str">
        <f t="array" ref="G1076">_xlfn.XLOOKUP(B1076,Vendedores!$A$2:$A$41,Vendedores!$B$2:$B$41,"No hay datos")</f>
        <v>Santiago Linares</v>
      </c>
      <c r="H1076" s="2" t="str">
        <f t="array" ref="H1076">_xlfn.XLOOKUP(B1076,Vendedores!$A$2:$A$41,Vendedores!$C$2:$C$41,"No hay datos")</f>
        <v>Vista Hermosa</v>
      </c>
      <c r="I1076" s="2" t="str">
        <f t="array" ref="I1076">_xlfn.XLOOKUP(B1076,Vendedores!$A$2:$A$41,Vendedores!$D$2:$D$41,"No hay datos")</f>
        <v>Región Central</v>
      </c>
      <c r="J1076" s="2" t="str">
        <f t="array" ref="J1076:N1076">_xlfn.XLOOKUP(A1076,Productos!$A$2:$A$61,Productos!$B$2:$F$61)</f>
        <v>Vestido corto</v>
      </c>
      <c r="K1076" s="2" t="s">
        <v>22</v>
      </c>
      <c r="L1076" s="2" t="s">
        <v>10</v>
      </c>
      <c r="M1076" s="2" t="s">
        <v>82</v>
      </c>
      <c r="N1076" s="2" t="s">
        <v>83</v>
      </c>
    </row>
    <row r="1077">
      <c r="A1077" s="2" t="str">
        <f>IFERROR(__xludf.DUMMYFUNCTION("""COMPUTED_VALUE"""),"PR048")</f>
        <v>PR048</v>
      </c>
      <c r="B1077" s="2" t="str">
        <f>IFERROR(__xludf.DUMMYFUNCTION("""COMPUTED_VALUE"""),"VD013")</f>
        <v>VD013</v>
      </c>
      <c r="C1077" s="2">
        <f>IFERROR(__xludf.DUMMYFUNCTION("""COMPUTED_VALUE"""),10.0)</f>
        <v>10</v>
      </c>
      <c r="D1077" s="6">
        <f>IFERROR(__xludf.DUMMYFUNCTION("""COMPUTED_VALUE"""),3043.95)</f>
        <v>3043.95</v>
      </c>
      <c r="E1077" s="6">
        <f>IFERROR(__xludf.DUMMYFUNCTION("GOOGLEFINANCE(""Currency:BRLMXN"")*D1077"),10341.820124999998)</f>
        <v>10341.82013</v>
      </c>
      <c r="F1077" s="6">
        <f>IFERROR(__xludf.DUMMYFUNCTION("GOOGLEFINANCE(""Currency:BRLPEN"")*D1077"),1995.6136199999999)</f>
        <v>1995.61362</v>
      </c>
      <c r="G1077" s="2" t="str">
        <f t="array" ref="G1077">_xlfn.XLOOKUP(B1077,Vendedores!$A$2:$A$41,Vendedores!$B$2:$B$41,"No hay datos")</f>
        <v>Pedro Almonte</v>
      </c>
      <c r="H1077" s="2" t="str">
        <f t="array" ref="H1077">_xlfn.XLOOKUP(B1077,Vendedores!$A$2:$A$41,Vendedores!$C$2:$C$41,"No hay datos")</f>
        <v>Santa Rosa del Valle</v>
      </c>
      <c r="I1077" s="2" t="str">
        <f t="array" ref="I1077">_xlfn.XLOOKUP(B1077,Vendedores!$A$2:$A$41,Vendedores!$D$2:$D$41,"No hay datos")</f>
        <v>Región Norte</v>
      </c>
      <c r="J1077" s="2" t="str">
        <f t="array" ref="J1077:N1077">_xlfn.XLOOKUP(A1077,Productos!$A$2:$A$61,Productos!$B$2:$F$61)</f>
        <v>Chaqueta de cuero</v>
      </c>
      <c r="K1077" s="2" t="s">
        <v>22</v>
      </c>
      <c r="L1077" s="2" t="s">
        <v>10</v>
      </c>
      <c r="M1077" s="2" t="s">
        <v>94</v>
      </c>
      <c r="N1077" s="2" t="s">
        <v>44</v>
      </c>
    </row>
    <row r="1078">
      <c r="A1078" s="2" t="str">
        <f>IFERROR(__xludf.DUMMYFUNCTION("""COMPUTED_VALUE"""),"PR056")</f>
        <v>PR056</v>
      </c>
      <c r="B1078" s="2" t="str">
        <f>IFERROR(__xludf.DUMMYFUNCTION("""COMPUTED_VALUE"""),"VD036")</f>
        <v>VD036</v>
      </c>
      <c r="C1078" s="2">
        <f>IFERROR(__xludf.DUMMYFUNCTION("""COMPUTED_VALUE"""),10.0)</f>
        <v>10</v>
      </c>
      <c r="D1078" s="6">
        <f>IFERROR(__xludf.DUMMYFUNCTION("""COMPUTED_VALUE"""),943.95)</f>
        <v>943.95</v>
      </c>
      <c r="E1078" s="6">
        <f>IFERROR(__xludf.DUMMYFUNCTION("GOOGLEFINANCE(""Currency:BRLMXN"")*D1078"),3207.070125)</f>
        <v>3207.070125</v>
      </c>
      <c r="F1078" s="6">
        <f>IFERROR(__xludf.DUMMYFUNCTION("GOOGLEFINANCE(""Currency:BRLPEN"")*D1078"),618.85362)</f>
        <v>618.85362</v>
      </c>
      <c r="G1078" s="2" t="str">
        <f t="array" ref="G1078">_xlfn.XLOOKUP(B1078,Vendedores!$A$2:$A$41,Vendedores!$B$2:$B$41,"No hay datos")</f>
        <v>Ricardo Sosa</v>
      </c>
      <c r="H1078" s="2" t="str">
        <f t="array" ref="H1078">_xlfn.XLOOKUP(B1078,Vendedores!$A$2:$A$41,Vendedores!$C$2:$C$41,"No hay datos")</f>
        <v>Puerto Nuevo</v>
      </c>
      <c r="I1078" s="2" t="str">
        <f t="array" ref="I1078">_xlfn.XLOOKUP(B1078,Vendedores!$A$2:$A$41,Vendedores!$D$2:$D$41,"No hay datos")</f>
        <v>Región Central 2</v>
      </c>
      <c r="J1078" s="2" t="str">
        <f t="array" ref="J1078:N1078">_xlfn.XLOOKUP(A1078,Productos!$A$2:$A$61,Productos!$B$2:$F$61)</f>
        <v>Sandalia plana</v>
      </c>
      <c r="K1078" s="2">
        <v>36.0</v>
      </c>
      <c r="L1078" s="2" t="s">
        <v>33</v>
      </c>
      <c r="M1078" s="2" t="s">
        <v>106</v>
      </c>
      <c r="N1078" s="2" t="s">
        <v>35</v>
      </c>
    </row>
    <row r="1079">
      <c r="A1079" s="2" t="str">
        <f>IFERROR(__xludf.DUMMYFUNCTION("""COMPUTED_VALUE"""),"PR018")</f>
        <v>PR018</v>
      </c>
      <c r="B1079" s="2" t="str">
        <f>IFERROR(__xludf.DUMMYFUNCTION("""COMPUTED_VALUE"""),"VD011")</f>
        <v>VD011</v>
      </c>
      <c r="C1079" s="2">
        <f>IFERROR(__xludf.DUMMYFUNCTION("""COMPUTED_VALUE"""),9.0)</f>
        <v>9</v>
      </c>
      <c r="D1079" s="6">
        <f>IFERROR(__xludf.DUMMYFUNCTION("""COMPUTED_VALUE"""),319.79)</f>
        <v>319.79</v>
      </c>
      <c r="E1079" s="6">
        <f>IFERROR(__xludf.DUMMYFUNCTION("GOOGLEFINANCE(""Currency:BRLMXN"")*D1079"),1086.486525)</f>
        <v>1086.486525</v>
      </c>
      <c r="F1079" s="6">
        <f>IFERROR(__xludf.DUMMYFUNCTION("GOOGLEFINANCE(""Currency:BRLPEN"")*D1079"),209.654324)</f>
        <v>209.654324</v>
      </c>
      <c r="G1079" s="2" t="str">
        <f t="array" ref="G1079">_xlfn.XLOOKUP(B1079,Vendedores!$A$2:$A$41,Vendedores!$B$2:$B$41,"No hay datos")</f>
        <v>Juan Santos</v>
      </c>
      <c r="H1079" s="2" t="str">
        <f t="array" ref="H1079">_xlfn.XLOOKUP(B1079,Vendedores!$A$2:$A$41,Vendedores!$C$2:$C$41,"No hay datos")</f>
        <v>Vista Hermosa</v>
      </c>
      <c r="I1079" s="2" t="str">
        <f t="array" ref="I1079">_xlfn.XLOOKUP(B1079,Vendedores!$A$2:$A$41,Vendedores!$D$2:$D$41,"No hay datos")</f>
        <v>Región Central</v>
      </c>
      <c r="J1079" s="2" t="str">
        <f t="array" ref="J1079:N1079">_xlfn.XLOOKUP(A1079,Productos!$A$2:$A$61,Productos!$B$2:$F$61)</f>
        <v>Playera lisa</v>
      </c>
      <c r="K1079" s="2" t="s">
        <v>22</v>
      </c>
      <c r="L1079" s="2" t="s">
        <v>10</v>
      </c>
      <c r="M1079" s="2" t="s">
        <v>57</v>
      </c>
      <c r="N1079" s="2" t="s">
        <v>24</v>
      </c>
    </row>
    <row r="1080">
      <c r="A1080" s="2" t="str">
        <f>IFERROR(__xludf.DUMMYFUNCTION("""COMPUTED_VALUE"""),"PR017")</f>
        <v>PR017</v>
      </c>
      <c r="B1080" s="2" t="str">
        <f>IFERROR(__xludf.DUMMYFUNCTION("""COMPUTED_VALUE"""),"VD020")</f>
        <v>VD020</v>
      </c>
      <c r="C1080" s="2">
        <f>IFERROR(__xludf.DUMMYFUNCTION("""COMPUTED_VALUE"""),8.0)</f>
        <v>8</v>
      </c>
      <c r="D1080" s="6">
        <f>IFERROR(__xludf.DUMMYFUNCTION("""COMPUTED_VALUE"""),241.59)</f>
        <v>241.59</v>
      </c>
      <c r="E1080" s="6">
        <f>IFERROR(__xludf.DUMMYFUNCTION("GOOGLEFINANCE(""Currency:BRLMXN"")*D1080"),820.802025)</f>
        <v>820.802025</v>
      </c>
      <c r="F1080" s="6">
        <f>IFERROR(__xludf.DUMMYFUNCTION("GOOGLEFINANCE(""Currency:BRLPEN"")*D1080"),158.386404)</f>
        <v>158.386404</v>
      </c>
      <c r="G1080" s="2" t="str">
        <f t="array" ref="G1080">_xlfn.XLOOKUP(B1080,Vendedores!$A$2:$A$41,Vendedores!$B$2:$B$41,"No hay datos")</f>
        <v>Gustavo Morales</v>
      </c>
      <c r="H1080" s="2" t="str">
        <f t="array" ref="H1080">_xlfn.XLOOKUP(B1080,Vendedores!$A$2:$A$41,Vendedores!$C$2:$C$41,"No hay datos")</f>
        <v>Villa del Sol</v>
      </c>
      <c r="I1080" s="2" t="str">
        <f t="array" ref="I1080">_xlfn.XLOOKUP(B1080,Vendedores!$A$2:$A$41,Vendedores!$D$2:$D$41,"No hay datos")</f>
        <v>Región Central 2</v>
      </c>
      <c r="J1080" s="2" t="str">
        <f t="array" ref="J1080:N1080">_xlfn.XLOOKUP(A1080,Productos!$A$2:$A$61,Productos!$B$2:$F$61)</f>
        <v>Playera lisa</v>
      </c>
      <c r="K1080" s="2" t="s">
        <v>17</v>
      </c>
      <c r="L1080" s="2" t="s">
        <v>10</v>
      </c>
      <c r="M1080" s="2" t="s">
        <v>98</v>
      </c>
      <c r="N1080" s="2" t="s">
        <v>99</v>
      </c>
    </row>
    <row r="1081">
      <c r="A1081" s="2" t="str">
        <f>IFERROR(__xludf.DUMMYFUNCTION("""COMPUTED_VALUE"""),"PR048")</f>
        <v>PR048</v>
      </c>
      <c r="B1081" s="2" t="str">
        <f>IFERROR(__xludf.DUMMYFUNCTION("""COMPUTED_VALUE"""),"VD046")</f>
        <v>VD046</v>
      </c>
      <c r="C1081" s="2">
        <f>IFERROR(__xludf.DUMMYFUNCTION("""COMPUTED_VALUE"""),10.0)</f>
        <v>10</v>
      </c>
      <c r="D1081" s="6">
        <f>IFERROR(__xludf.DUMMYFUNCTION("""COMPUTED_VALUE"""),3101.93)</f>
        <v>3101.93</v>
      </c>
      <c r="E1081" s="6">
        <f>IFERROR(__xludf.DUMMYFUNCTION("GOOGLEFINANCE(""Currency:BRLMXN"")*D1081"),10538.807175)</f>
        <v>10538.80718</v>
      </c>
      <c r="F1081" s="6">
        <f>IFERROR(__xludf.DUMMYFUNCTION("GOOGLEFINANCE(""Currency:BRLPEN"")*D1081"),2033.6253079999997)</f>
        <v>2033.625308</v>
      </c>
      <c r="G1081" s="2" t="str">
        <f t="array" ref="G1081">_xlfn.XLOOKUP(B1081,Vendedores!$A$2:$A$41,Vendedores!$B$2:$B$41,"No hay datos")</f>
        <v>Juliana Pérez</v>
      </c>
      <c r="H1081" s="2" t="str">
        <f t="array" ref="H1081">_xlfn.XLOOKUP(B1081,Vendedores!$A$2:$A$41,Vendedores!$C$2:$C$41,"No hay datos")</f>
        <v>Santa Cruz de la Sierra</v>
      </c>
      <c r="I1081" s="2" t="str">
        <f t="array" ref="I1081">_xlfn.XLOOKUP(B1081,Vendedores!$A$2:$A$41,Vendedores!$D$2:$D$41,"No hay datos")</f>
        <v>Región Central 2</v>
      </c>
      <c r="J1081" s="2" t="str">
        <f t="array" ref="J1081:N1081">_xlfn.XLOOKUP(A1081,Productos!$A$2:$A$61,Productos!$B$2:$F$61)</f>
        <v>Chaqueta de cuero</v>
      </c>
      <c r="K1081" s="2" t="s">
        <v>22</v>
      </c>
      <c r="L1081" s="2" t="s">
        <v>10</v>
      </c>
      <c r="M1081" s="2" t="s">
        <v>94</v>
      </c>
      <c r="N1081" s="2" t="s">
        <v>44</v>
      </c>
    </row>
    <row r="1082">
      <c r="A1082" s="2" t="str">
        <f>IFERROR(__xludf.DUMMYFUNCTION("""COMPUTED_VALUE"""),"PR014")</f>
        <v>PR014</v>
      </c>
      <c r="B1082" s="2" t="str">
        <f>IFERROR(__xludf.DUMMYFUNCTION("""COMPUTED_VALUE"""),"VD029")</f>
        <v>VD029</v>
      </c>
      <c r="C1082" s="2">
        <f>IFERROR(__xludf.DUMMYFUNCTION("""COMPUTED_VALUE"""),18.0)</f>
        <v>18</v>
      </c>
      <c r="D1082" s="6">
        <f>IFERROR(__xludf.DUMMYFUNCTION("""COMPUTED_VALUE"""),718.2)</f>
        <v>718.2</v>
      </c>
      <c r="E1082" s="6">
        <f>IFERROR(__xludf.DUMMYFUNCTION("GOOGLEFINANCE(""Currency:BRLMXN"")*D1082"),2440.0845)</f>
        <v>2440.0845</v>
      </c>
      <c r="F1082" s="6">
        <f>IFERROR(__xludf.DUMMYFUNCTION("GOOGLEFINANCE(""Currency:BRLPEN"")*D1082"),470.85192)</f>
        <v>470.85192</v>
      </c>
      <c r="G1082" s="2" t="str">
        <f t="array" ref="G1082">_xlfn.XLOOKUP(B1082,Vendedores!$A$2:$A$41,Vendedores!$B$2:$B$41,"No hay datos")</f>
        <v>Gabriela Sosa</v>
      </c>
      <c r="H1082" s="2" t="str">
        <f t="array" ref="H1082">_xlfn.XLOOKUP(B1082,Vendedores!$A$2:$A$41,Vendedores!$C$2:$C$41,"No hay datos")</f>
        <v>Selva Verde</v>
      </c>
      <c r="I1082" s="2" t="str">
        <f t="array" ref="I1082">_xlfn.XLOOKUP(B1082,Vendedores!$A$2:$A$41,Vendedores!$D$2:$D$41,"No hay datos")</f>
        <v>Región Amazónica</v>
      </c>
      <c r="J1082" s="2" t="str">
        <f t="array" ref="J1082:N1082">_xlfn.XLOOKUP(A1082,Productos!$A$2:$A$61,Productos!$B$2:$F$61)</f>
        <v>Playera estampada</v>
      </c>
      <c r="K1082" s="2" t="s">
        <v>17</v>
      </c>
      <c r="L1082" s="2" t="s">
        <v>10</v>
      </c>
      <c r="M1082" s="2" t="s">
        <v>37</v>
      </c>
      <c r="N1082" s="2" t="s">
        <v>38</v>
      </c>
    </row>
    <row r="1083">
      <c r="A1083" s="2" t="str">
        <f>IFERROR(__xludf.DUMMYFUNCTION("""COMPUTED_VALUE"""),"PR008")</f>
        <v>PR008</v>
      </c>
      <c r="B1083" s="2" t="str">
        <f>IFERROR(__xludf.DUMMYFUNCTION("""COMPUTED_VALUE"""),"VD020")</f>
        <v>VD020</v>
      </c>
      <c r="C1083" s="2">
        <f>IFERROR(__xludf.DUMMYFUNCTION("""COMPUTED_VALUE"""),1.0)</f>
        <v>1</v>
      </c>
      <c r="D1083" s="6">
        <f>IFERROR(__xludf.DUMMYFUNCTION("""COMPUTED_VALUE"""),90.8)</f>
        <v>90.8</v>
      </c>
      <c r="E1083" s="6">
        <f>IFERROR(__xludf.DUMMYFUNCTION("GOOGLEFINANCE(""Currency:BRLMXN"")*D1083"),308.493)</f>
        <v>308.493</v>
      </c>
      <c r="F1083" s="6">
        <f>IFERROR(__xludf.DUMMYFUNCTION("GOOGLEFINANCE(""Currency:BRLPEN"")*D1083"),59.528479999999995)</f>
        <v>59.52848</v>
      </c>
      <c r="G1083" s="2" t="str">
        <f t="array" ref="G1083">_xlfn.XLOOKUP(B1083,Vendedores!$A$2:$A$41,Vendedores!$B$2:$B$41,"No hay datos")</f>
        <v>Gustavo Morales</v>
      </c>
      <c r="H1083" s="2" t="str">
        <f t="array" ref="H1083">_xlfn.XLOOKUP(B1083,Vendedores!$A$2:$A$41,Vendedores!$C$2:$C$41,"No hay datos")</f>
        <v>Villa del Sol</v>
      </c>
      <c r="I1083" s="2" t="str">
        <f t="array" ref="I1083">_xlfn.XLOOKUP(B1083,Vendedores!$A$2:$A$41,Vendedores!$D$2:$D$41,"No hay datos")</f>
        <v>Región Central 2</v>
      </c>
      <c r="J1083" s="2" t="str">
        <f t="array" ref="J1083:N1083">_xlfn.XLOOKUP(A1083,Productos!$A$2:$A$61,Productos!$B$2:$F$61)</f>
        <v>Pantalón de mezclilla</v>
      </c>
      <c r="K1083" s="2" t="s">
        <v>17</v>
      </c>
      <c r="L1083" s="2" t="s">
        <v>10</v>
      </c>
      <c r="M1083" s="2" t="s">
        <v>65</v>
      </c>
      <c r="N1083" s="2" t="s">
        <v>35</v>
      </c>
    </row>
    <row r="1084">
      <c r="A1084" s="2" t="str">
        <f>IFERROR(__xludf.DUMMYFUNCTION("""COMPUTED_VALUE"""),"PR032")</f>
        <v>PR032</v>
      </c>
      <c r="B1084" s="2" t="str">
        <f>IFERROR(__xludf.DUMMYFUNCTION("""COMPUTED_VALUE"""),"VD042")</f>
        <v>VD042</v>
      </c>
      <c r="C1084" s="2">
        <f>IFERROR(__xludf.DUMMYFUNCTION("""COMPUTED_VALUE"""),7.0)</f>
        <v>7</v>
      </c>
      <c r="D1084" s="6">
        <f>IFERROR(__xludf.DUMMYFUNCTION("""COMPUTED_VALUE"""),1872.5)</f>
        <v>1872.5</v>
      </c>
      <c r="E1084" s="6">
        <f>IFERROR(__xludf.DUMMYFUNCTION("GOOGLEFINANCE(""Currency:BRLMXN"")*D1084"),6361.81875)</f>
        <v>6361.81875</v>
      </c>
      <c r="F1084" s="6">
        <f>IFERROR(__xludf.DUMMYFUNCTION("GOOGLEFINANCE(""Currency:BRLPEN"")*D1084"),1227.6109999999999)</f>
        <v>1227.611</v>
      </c>
      <c r="G1084" s="2" t="str">
        <f t="array" ref="G1084">_xlfn.XLOOKUP(B1084,Vendedores!$A$2:$A$41,Vendedores!$B$2:$B$41,"No hay datos")</f>
        <v>Priscila Duarte</v>
      </c>
      <c r="H1084" s="2" t="str">
        <f t="array" ref="H1084">_xlfn.XLOOKUP(B1084,Vendedores!$A$2:$A$41,Vendedores!$C$2:$C$41,"No hay datos")</f>
        <v>Villa Comercial</v>
      </c>
      <c r="I1084" s="2" t="str">
        <f t="array" ref="I1084">_xlfn.XLOOKUP(B1084,Vendedores!$A$2:$A$41,Vendedores!$D$2:$D$41,"No hay datos")</f>
        <v>Región Central 2</v>
      </c>
      <c r="J1084" s="2" t="str">
        <f t="array" ref="J1084:N1084">_xlfn.XLOOKUP(A1084,Productos!$A$2:$A$61,Productos!$B$2:$F$61)</f>
        <v>Tenis Chunky</v>
      </c>
      <c r="K1084" s="2">
        <v>37.0</v>
      </c>
      <c r="L1084" s="2" t="s">
        <v>33</v>
      </c>
      <c r="M1084" s="2" t="s">
        <v>61</v>
      </c>
      <c r="N1084" s="2" t="s">
        <v>62</v>
      </c>
    </row>
    <row r="1085">
      <c r="A1085" s="2" t="str">
        <f>IFERROR(__xludf.DUMMYFUNCTION("""COMPUTED_VALUE"""),"PR024")</f>
        <v>PR024</v>
      </c>
      <c r="B1085" s="2" t="str">
        <f>IFERROR(__xludf.DUMMYFUNCTION("""COMPUTED_VALUE"""),"VD028")</f>
        <v>VD028</v>
      </c>
      <c r="C1085" s="2">
        <f>IFERROR(__xludf.DUMMYFUNCTION("""COMPUTED_VALUE"""),20.0)</f>
        <v>20</v>
      </c>
      <c r="D1085" s="6">
        <f>IFERROR(__xludf.DUMMYFUNCTION("""COMPUTED_VALUE"""),5561.86)</f>
        <v>5561.86</v>
      </c>
      <c r="E1085" s="6">
        <f>IFERROR(__xludf.DUMMYFUNCTION("GOOGLEFINANCE(""Currency:BRLMXN"")*D1085"),18896.41935)</f>
        <v>18896.41935</v>
      </c>
      <c r="F1085" s="6">
        <f>IFERROR(__xludf.DUMMYFUNCTION("GOOGLEFINANCE(""Currency:BRLPEN"")*D1085"),3646.3554159999994)</f>
        <v>3646.355416</v>
      </c>
      <c r="G1085" s="2" t="str">
        <f t="array" ref="G1085">_xlfn.XLOOKUP(B1085,Vendedores!$A$2:$A$41,Vendedores!$B$2:$B$41,"No hay datos")</f>
        <v>Rodrigo Almonte</v>
      </c>
      <c r="H1085" s="2" t="str">
        <f t="array" ref="H1085">_xlfn.XLOOKUP(B1085,Vendedores!$A$2:$A$41,Vendedores!$C$2:$C$41,"No hay datos")</f>
        <v>Valle Escondido</v>
      </c>
      <c r="I1085" s="2" t="str">
        <f t="array" ref="I1085">_xlfn.XLOOKUP(B1085,Vendedores!$A$2:$A$41,Vendedores!$D$2:$D$41,"No hay datos")</f>
        <v>Región Andina</v>
      </c>
      <c r="J1085" s="2" t="str">
        <f t="array" ref="J1085:N1085">_xlfn.XLOOKUP(A1085,Productos!$A$2:$A$61,Productos!$B$2:$F$61)</f>
        <v>Chaqueta de mezclilla</v>
      </c>
      <c r="K1085" s="2" t="s">
        <v>17</v>
      </c>
      <c r="L1085" s="2" t="s">
        <v>10</v>
      </c>
      <c r="M1085" s="2" t="s">
        <v>92</v>
      </c>
      <c r="N1085" s="2" t="s">
        <v>64</v>
      </c>
    </row>
    <row r="1086">
      <c r="A1086" s="2" t="str">
        <f>IFERROR(__xludf.DUMMYFUNCTION("""COMPUTED_VALUE"""),"PR047")</f>
        <v>PR047</v>
      </c>
      <c r="B1086" s="2" t="str">
        <f>IFERROR(__xludf.DUMMYFUNCTION("""COMPUTED_VALUE"""),"VD020")</f>
        <v>VD020</v>
      </c>
      <c r="C1086" s="2">
        <f>IFERROR(__xludf.DUMMYFUNCTION("""COMPUTED_VALUE"""),12.0)</f>
        <v>12</v>
      </c>
      <c r="D1086" s="6">
        <f>IFERROR(__xludf.DUMMYFUNCTION("""COMPUTED_VALUE"""),3722.32)</f>
        <v>3722.32</v>
      </c>
      <c r="E1086" s="6">
        <f>IFERROR(__xludf.DUMMYFUNCTION("GOOGLEFINANCE(""Currency:BRLMXN"")*D1086"),12646.5822)</f>
        <v>12646.5822</v>
      </c>
      <c r="F1086" s="6">
        <f>IFERROR(__xludf.DUMMYFUNCTION("GOOGLEFINANCE(""Currency:BRLPEN"")*D1086"),2440.352992)</f>
        <v>2440.352992</v>
      </c>
      <c r="G1086" s="2" t="str">
        <f t="array" ref="G1086">_xlfn.XLOOKUP(B1086,Vendedores!$A$2:$A$41,Vendedores!$B$2:$B$41,"No hay datos")</f>
        <v>Gustavo Morales</v>
      </c>
      <c r="H1086" s="2" t="str">
        <f t="array" ref="H1086">_xlfn.XLOOKUP(B1086,Vendedores!$A$2:$A$41,Vendedores!$C$2:$C$41,"No hay datos")</f>
        <v>Villa del Sol</v>
      </c>
      <c r="I1086" s="2" t="str">
        <f t="array" ref="I1086">_xlfn.XLOOKUP(B1086,Vendedores!$A$2:$A$41,Vendedores!$D$2:$D$41,"No hay datos")</f>
        <v>Región Central 2</v>
      </c>
      <c r="J1086" s="2" t="str">
        <f t="array" ref="J1086:N1086">_xlfn.XLOOKUP(A1086,Productos!$A$2:$A$61,Productos!$B$2:$F$61)</f>
        <v>Chaqueta de cuero</v>
      </c>
      <c r="K1086" s="2" t="s">
        <v>17</v>
      </c>
      <c r="L1086" s="2" t="s">
        <v>10</v>
      </c>
      <c r="M1086" s="2" t="s">
        <v>43</v>
      </c>
      <c r="N1086" s="2" t="s">
        <v>44</v>
      </c>
    </row>
    <row r="1087">
      <c r="A1087" s="2" t="str">
        <f>IFERROR(__xludf.DUMMYFUNCTION("""COMPUTED_VALUE"""),"PR033")</f>
        <v>PR033</v>
      </c>
      <c r="B1087" s="2" t="str">
        <f>IFERROR(__xludf.DUMMYFUNCTION("""COMPUTED_VALUE"""),"VD031")</f>
        <v>VD031</v>
      </c>
      <c r="C1087" s="2">
        <f>IFERROR(__xludf.DUMMYFUNCTION("""COMPUTED_VALUE"""),4.0)</f>
        <v>4</v>
      </c>
      <c r="D1087" s="6">
        <f>IFERROR(__xludf.DUMMYFUNCTION("""COMPUTED_VALUE"""),1091.58)</f>
        <v>1091.58</v>
      </c>
      <c r="E1087" s="6">
        <f>IFERROR(__xludf.DUMMYFUNCTION("GOOGLEFINANCE(""Currency:BRLMXN"")*D1087"),3708.6430499999997)</f>
        <v>3708.64305</v>
      </c>
      <c r="F1087" s="6">
        <f>IFERROR(__xludf.DUMMYFUNCTION("GOOGLEFINANCE(""Currency:BRLPEN"")*D1087"),715.6398479999999)</f>
        <v>715.639848</v>
      </c>
      <c r="G1087" s="2" t="str">
        <f t="array" ref="G1087">_xlfn.XLOOKUP(B1087,Vendedores!$A$2:$A$41,Vendedores!$B$2:$B$41,"No hay datos")</f>
        <v>Vanessa Martínez</v>
      </c>
      <c r="H1087" s="2" t="str">
        <f t="array" ref="H1087">_xlfn.XLOOKUP(B1087,Vendedores!$A$2:$A$41,Vendedores!$C$2:$C$41,"No hay datos")</f>
        <v>Monte Verde</v>
      </c>
      <c r="I1087" s="2" t="str">
        <f t="array" ref="I1087">_xlfn.XLOOKUP(B1087,Vendedores!$A$2:$A$41,Vendedores!$D$2:$D$41,"No hay datos")</f>
        <v>Región Central 2</v>
      </c>
      <c r="J1087" s="2" t="str">
        <f t="array" ref="J1087:N1087">_xlfn.XLOOKUP(A1087,Productos!$A$2:$A$61,Productos!$B$2:$F$61)</f>
        <v>Tenis Chunky</v>
      </c>
      <c r="K1087" s="2">
        <v>38.0</v>
      </c>
      <c r="L1087" s="2" t="s">
        <v>33</v>
      </c>
      <c r="M1087" s="2" t="s">
        <v>63</v>
      </c>
      <c r="N1087" s="2" t="s">
        <v>64</v>
      </c>
    </row>
    <row r="1088">
      <c r="A1088" s="2" t="str">
        <f>IFERROR(__xludf.DUMMYFUNCTION("""COMPUTED_VALUE"""),"PR017")</f>
        <v>PR017</v>
      </c>
      <c r="B1088" s="2" t="str">
        <f>IFERROR(__xludf.DUMMYFUNCTION("""COMPUTED_VALUE"""),"VD024")</f>
        <v>VD024</v>
      </c>
      <c r="C1088" s="2">
        <f>IFERROR(__xludf.DUMMYFUNCTION("""COMPUTED_VALUE"""),2.0)</f>
        <v>2</v>
      </c>
      <c r="D1088" s="6">
        <f>IFERROR(__xludf.DUMMYFUNCTION("""COMPUTED_VALUE"""),65.18)</f>
        <v>65.18</v>
      </c>
      <c r="E1088" s="6">
        <f>IFERROR(__xludf.DUMMYFUNCTION("GOOGLEFINANCE(""Currency:BRLMXN"")*D1088"),221.44905000000003)</f>
        <v>221.44905</v>
      </c>
      <c r="F1088" s="6">
        <f>IFERROR(__xludf.DUMMYFUNCTION("GOOGLEFINANCE(""Currency:BRLPEN"")*D1088"),42.732008)</f>
        <v>42.732008</v>
      </c>
      <c r="G1088" s="2" t="str">
        <f t="array" ref="G1088">_xlfn.XLOOKUP(B1088,Vendedores!$A$2:$A$41,Vendedores!$B$2:$B$41,"No hay datos")</f>
        <v>Marcos Rivera</v>
      </c>
      <c r="H1088" s="2" t="str">
        <f t="array" ref="H1088">_xlfn.XLOOKUP(B1088,Vendedores!$A$2:$A$41,Vendedores!$C$2:$C$41,"No hay datos")</f>
        <v>Santa Rosa del Valle</v>
      </c>
      <c r="I1088" s="2" t="str">
        <f t="array" ref="I1088">_xlfn.XLOOKUP(B1088,Vendedores!$A$2:$A$41,Vendedores!$D$2:$D$41,"No hay datos")</f>
        <v>Región Norte</v>
      </c>
      <c r="J1088" s="2" t="str">
        <f t="array" ref="J1088:N1088">_xlfn.XLOOKUP(A1088,Productos!$A$2:$A$61,Productos!$B$2:$F$61)</f>
        <v>Playera lisa</v>
      </c>
      <c r="K1088" s="2" t="s">
        <v>17</v>
      </c>
      <c r="L1088" s="2" t="s">
        <v>10</v>
      </c>
      <c r="M1088" s="2" t="s">
        <v>98</v>
      </c>
      <c r="N1088" s="2" t="s">
        <v>99</v>
      </c>
    </row>
    <row r="1089">
      <c r="A1089" s="2" t="str">
        <f>IFERROR(__xludf.DUMMYFUNCTION("""COMPUTED_VALUE"""),"PR022")</f>
        <v>PR022</v>
      </c>
      <c r="B1089" s="2" t="str">
        <f>IFERROR(__xludf.DUMMYFUNCTION("""COMPUTED_VALUE"""),"VD029")</f>
        <v>VD029</v>
      </c>
      <c r="C1089" s="2">
        <f>IFERROR(__xludf.DUMMYFUNCTION("""COMPUTED_VALUE"""),18.0)</f>
        <v>18</v>
      </c>
      <c r="D1089" s="6">
        <f>IFERROR(__xludf.DUMMYFUNCTION("""COMPUTED_VALUE"""),5832.0)</f>
        <v>5832</v>
      </c>
      <c r="E1089" s="6">
        <f>IFERROR(__xludf.DUMMYFUNCTION("GOOGLEFINANCE(""Currency:BRLMXN"")*D1089"),19814.22)</f>
        <v>19814.22</v>
      </c>
      <c r="F1089" s="6">
        <f>IFERROR(__xludf.DUMMYFUNCTION("GOOGLEFINANCE(""Currency:BRLPEN"")*D1089"),3823.4592)</f>
        <v>3823.4592</v>
      </c>
      <c r="G1089" s="2" t="str">
        <f t="array" ref="G1089">_xlfn.XLOOKUP(B1089,Vendedores!$A$2:$A$41,Vendedores!$B$2:$B$41,"No hay datos")</f>
        <v>Gabriela Sosa</v>
      </c>
      <c r="H1089" s="2" t="str">
        <f t="array" ref="H1089">_xlfn.XLOOKUP(B1089,Vendedores!$A$2:$A$41,Vendedores!$C$2:$C$41,"No hay datos")</f>
        <v>Selva Verde</v>
      </c>
      <c r="I1089" s="2" t="str">
        <f t="array" ref="I1089">_xlfn.XLOOKUP(B1089,Vendedores!$A$2:$A$41,Vendedores!$D$2:$D$41,"No hay datos")</f>
        <v>Región Amazónica</v>
      </c>
      <c r="J1089" s="2" t="str">
        <f t="array" ref="J1089:N1089">_xlfn.XLOOKUP(A1089,Productos!$A$2:$A$61,Productos!$B$2:$F$61)</f>
        <v>Chaqueta de cuero</v>
      </c>
      <c r="K1089" s="2" t="s">
        <v>22</v>
      </c>
      <c r="L1089" s="2" t="s">
        <v>10</v>
      </c>
      <c r="M1089" s="2" t="s">
        <v>78</v>
      </c>
      <c r="N1089" s="2" t="s">
        <v>79</v>
      </c>
    </row>
    <row r="1090">
      <c r="A1090" s="2" t="str">
        <f>IFERROR(__xludf.DUMMYFUNCTION("""COMPUTED_VALUE"""),"PR022")</f>
        <v>PR022</v>
      </c>
      <c r="B1090" s="2" t="str">
        <f>IFERROR(__xludf.DUMMYFUNCTION("""COMPUTED_VALUE"""),"VD011")</f>
        <v>VD011</v>
      </c>
      <c r="C1090" s="2">
        <f>IFERROR(__xludf.DUMMYFUNCTION("""COMPUTED_VALUE"""),2.0)</f>
        <v>2</v>
      </c>
      <c r="D1090" s="6">
        <f>IFERROR(__xludf.DUMMYFUNCTION("""COMPUTED_VALUE"""),624.0)</f>
        <v>624</v>
      </c>
      <c r="E1090" s="6">
        <f>IFERROR(__xludf.DUMMYFUNCTION("GOOGLEFINANCE(""Currency:BRLMXN"")*D1090"),2120.04)</f>
        <v>2120.04</v>
      </c>
      <c r="F1090" s="6">
        <f>IFERROR(__xludf.DUMMYFUNCTION("GOOGLEFINANCE(""Currency:BRLPEN"")*D1090"),409.09439999999995)</f>
        <v>409.0944</v>
      </c>
      <c r="G1090" s="2" t="str">
        <f t="array" ref="G1090">_xlfn.XLOOKUP(B1090,Vendedores!$A$2:$A$41,Vendedores!$B$2:$B$41,"No hay datos")</f>
        <v>Juan Santos</v>
      </c>
      <c r="H1090" s="2" t="str">
        <f t="array" ref="H1090">_xlfn.XLOOKUP(B1090,Vendedores!$A$2:$A$41,Vendedores!$C$2:$C$41,"No hay datos")</f>
        <v>Vista Hermosa</v>
      </c>
      <c r="I1090" s="2" t="str">
        <f t="array" ref="I1090">_xlfn.XLOOKUP(B1090,Vendedores!$A$2:$A$41,Vendedores!$D$2:$D$41,"No hay datos")</f>
        <v>Región Central</v>
      </c>
      <c r="J1090" s="2" t="str">
        <f t="array" ref="J1090:N1090">_xlfn.XLOOKUP(A1090,Productos!$A$2:$A$61,Productos!$B$2:$F$61)</f>
        <v>Chaqueta de cuero</v>
      </c>
      <c r="K1090" s="2" t="s">
        <v>22</v>
      </c>
      <c r="L1090" s="2" t="s">
        <v>10</v>
      </c>
      <c r="M1090" s="2" t="s">
        <v>78</v>
      </c>
      <c r="N1090" s="2" t="s">
        <v>79</v>
      </c>
    </row>
    <row r="1091">
      <c r="A1091" s="2" t="str">
        <f>IFERROR(__xludf.DUMMYFUNCTION("""COMPUTED_VALUE"""),"PR038")</f>
        <v>PR038</v>
      </c>
      <c r="B1091" s="2" t="str">
        <f>IFERROR(__xludf.DUMMYFUNCTION("""COMPUTED_VALUE"""),"VD032")</f>
        <v>VD032</v>
      </c>
      <c r="C1091" s="2">
        <f>IFERROR(__xludf.DUMMYFUNCTION("""COMPUTED_VALUE"""),8.0)</f>
        <v>8</v>
      </c>
      <c r="D1091" s="6">
        <f>IFERROR(__xludf.DUMMYFUNCTION("""COMPUTED_VALUE"""),1188.93)</f>
        <v>1188.93</v>
      </c>
      <c r="E1091" s="6">
        <f>IFERROR(__xludf.DUMMYFUNCTION("GOOGLEFINANCE(""Currency:BRLMXN"")*D1091"),4039.3896750000004)</f>
        <v>4039.389675</v>
      </c>
      <c r="F1091" s="6">
        <f>IFERROR(__xludf.DUMMYFUNCTION("GOOGLEFINANCE(""Currency:BRLPEN"")*D1091"),779.462508)</f>
        <v>779.462508</v>
      </c>
      <c r="G1091" s="2" t="str">
        <f t="array" ref="G1091">_xlfn.XLOOKUP(B1091,Vendedores!$A$2:$A$41,Vendedores!$B$2:$B$41,"No hay datos")</f>
        <v>Eduardo Almonte</v>
      </c>
      <c r="H1091" s="2" t="str">
        <f t="array" ref="H1091">_xlfn.XLOOKUP(B1091,Vendedores!$A$2:$A$41,Vendedores!$C$2:$C$41,"No hay datos")</f>
        <v>Tierra Colorada</v>
      </c>
      <c r="I1091" s="2" t="str">
        <f t="array" ref="I1091">_xlfn.XLOOKUP(B1091,Vendedores!$A$2:$A$41,Vendedores!$D$2:$D$41,"No hay datos")</f>
        <v>Región Central 2</v>
      </c>
      <c r="J1091" s="2" t="str">
        <f t="array" ref="J1091:N1091">_xlfn.XLOOKUP(A1091,Productos!$A$2:$A$61,Productos!$B$2:$F$61)</f>
        <v>Vestido largo</v>
      </c>
      <c r="K1091" s="2" t="s">
        <v>17</v>
      </c>
      <c r="L1091" s="2" t="s">
        <v>10</v>
      </c>
      <c r="M1091" s="2" t="s">
        <v>51</v>
      </c>
      <c r="N1091" s="2" t="s">
        <v>52</v>
      </c>
    </row>
    <row r="1092">
      <c r="A1092" s="2" t="str">
        <f>IFERROR(__xludf.DUMMYFUNCTION("""COMPUTED_VALUE"""),"PR060")</f>
        <v>PR060</v>
      </c>
      <c r="B1092" s="2" t="str">
        <f>IFERROR(__xludf.DUMMYFUNCTION("""COMPUTED_VALUE"""),"VD047")</f>
        <v>VD047</v>
      </c>
      <c r="C1092" s="2">
        <f>IFERROR(__xludf.DUMMYFUNCTION("""COMPUTED_VALUE"""),16.0)</f>
        <v>16</v>
      </c>
      <c r="D1092" s="6">
        <f>IFERROR(__xludf.DUMMYFUNCTION("""COMPUTED_VALUE"""),3139.2)</f>
        <v>3139.2</v>
      </c>
      <c r="E1092" s="6">
        <f>IFERROR(__xludf.DUMMYFUNCTION("GOOGLEFINANCE(""Currency:BRLMXN"")*D1092"),10665.431999999999)</f>
        <v>10665.432</v>
      </c>
      <c r="F1092" s="6">
        <f>IFERROR(__xludf.DUMMYFUNCTION("GOOGLEFINANCE(""Currency:BRLPEN"")*D1092"),2058.05952)</f>
        <v>2058.05952</v>
      </c>
      <c r="G1092" s="2" t="str">
        <f t="array" ref="G1092">_xlfn.XLOOKUP(B1092,Vendedores!$A$2:$A$41,Vendedores!$B$2:$B$41,"No hay datos")</f>
        <v>Andrés López</v>
      </c>
      <c r="H1092" s="2" t="str">
        <f t="array" ref="H1092">_xlfn.XLOOKUP(B1092,Vendedores!$A$2:$A$41,Vendedores!$C$2:$C$41,"No hay datos")</f>
        <v>Villa Progreso</v>
      </c>
      <c r="I1092" s="2" t="str">
        <f t="array" ref="I1092">_xlfn.XLOOKUP(B1092,Vendedores!$A$2:$A$41,Vendedores!$D$2:$D$41,"No hay datos")</f>
        <v>Región Central 2</v>
      </c>
      <c r="J1092" s="2" t="str">
        <f t="array" ref="J1092:N1092">_xlfn.XLOOKUP(A1092,Productos!$A$2:$A$61,Productos!$B$2:$F$61)</f>
        <v>Pantalón de sastre</v>
      </c>
      <c r="K1092" s="2" t="s">
        <v>22</v>
      </c>
      <c r="L1092" s="2" t="s">
        <v>10</v>
      </c>
      <c r="M1092" s="2" t="s">
        <v>75</v>
      </c>
      <c r="N1092" s="2" t="s">
        <v>14</v>
      </c>
    </row>
    <row r="1093">
      <c r="A1093" s="2" t="str">
        <f>IFERROR(__xludf.DUMMYFUNCTION("""COMPUTED_VALUE"""),"PR049")</f>
        <v>PR049</v>
      </c>
      <c r="B1093" s="2" t="str">
        <f>IFERROR(__xludf.DUMMYFUNCTION("""COMPUTED_VALUE"""),"VD035")</f>
        <v>VD035</v>
      </c>
      <c r="C1093" s="2">
        <f>IFERROR(__xludf.DUMMYFUNCTION("""COMPUTED_VALUE"""),3.0)</f>
        <v>3</v>
      </c>
      <c r="D1093" s="6">
        <f>IFERROR(__xludf.DUMMYFUNCTION("""COMPUTED_VALUE"""),102.65)</f>
        <v>102.65</v>
      </c>
      <c r="E1093" s="6">
        <f>IFERROR(__xludf.DUMMYFUNCTION("GOOGLEFINANCE(""Currency:BRLMXN"")*D1093"),348.753375)</f>
        <v>348.753375</v>
      </c>
      <c r="F1093" s="6">
        <f>IFERROR(__xludf.DUMMYFUNCTION("GOOGLEFINANCE(""Currency:BRLPEN"")*D1093"),67.29734)</f>
        <v>67.29734</v>
      </c>
      <c r="G1093" s="2" t="str">
        <f t="array" ref="G1093">_xlfn.XLOOKUP(B1093,Vendedores!$A$2:$A$41,Vendedores!$B$2:$B$41,"No hay datos")</f>
        <v>Carolina Méndez</v>
      </c>
      <c r="H1093" s="2" t="str">
        <f t="array" ref="H1093">_xlfn.XLOOKUP(B1093,Vendedores!$A$2:$A$41,Vendedores!$C$2:$C$41,"No hay datos")</f>
        <v>Valle de los Robles</v>
      </c>
      <c r="I1093" s="2" t="str">
        <f t="array" ref="I1093">_xlfn.XLOOKUP(B1093,Vendedores!$A$2:$A$41,Vendedores!$D$2:$D$41,"No hay datos")</f>
        <v>Región Central 2</v>
      </c>
      <c r="J1093" s="2" t="str">
        <f t="array" ref="J1093:N1093">_xlfn.XLOOKUP(A1093,Productos!$A$2:$A$61,Productos!$B$2:$F$61)</f>
        <v>Playera a rayas</v>
      </c>
      <c r="K1093" s="2" t="s">
        <v>9</v>
      </c>
      <c r="L1093" s="2" t="s">
        <v>10</v>
      </c>
      <c r="M1093" s="2" t="s">
        <v>47</v>
      </c>
      <c r="N1093" s="2" t="s">
        <v>24</v>
      </c>
    </row>
    <row r="1094">
      <c r="A1094" s="2" t="str">
        <f>IFERROR(__xludf.DUMMYFUNCTION("""COMPUTED_VALUE"""),"PR035")</f>
        <v>PR035</v>
      </c>
      <c r="B1094" s="2" t="str">
        <f>IFERROR(__xludf.DUMMYFUNCTION("""COMPUTED_VALUE"""),"VD045")</f>
        <v>VD045</v>
      </c>
      <c r="C1094" s="2">
        <f>IFERROR(__xludf.DUMMYFUNCTION("""COMPUTED_VALUE"""),5.0)</f>
        <v>5</v>
      </c>
      <c r="D1094" s="6">
        <f>IFERROR(__xludf.DUMMYFUNCTION("""COMPUTED_VALUE"""),466.14)</f>
        <v>466.14</v>
      </c>
      <c r="E1094" s="6">
        <f>IFERROR(__xludf.DUMMYFUNCTION("GOOGLEFINANCE(""Currency:BRLMXN"")*D1094"),1583.71065)</f>
        <v>1583.71065</v>
      </c>
      <c r="F1094" s="6">
        <f>IFERROR(__xludf.DUMMYFUNCTION("GOOGLEFINANCE(""Currency:BRLPEN"")*D1094"),305.601384)</f>
        <v>305.601384</v>
      </c>
      <c r="G1094" s="2" t="str">
        <f t="array" ref="G1094">_xlfn.XLOOKUP(B1094,Vendedores!$A$2:$A$41,Vendedores!$B$2:$B$41,"No hay datos")</f>
        <v>Rafael Morales</v>
      </c>
      <c r="H1094" s="2" t="str">
        <f t="array" ref="H1094">_xlfn.XLOOKUP(B1094,Vendedores!$A$2:$A$41,Vendedores!$C$2:$C$41,"No hay datos")</f>
        <v>Valle Dorado</v>
      </c>
      <c r="I1094" s="2" t="str">
        <f t="array" ref="I1094">_xlfn.XLOOKUP(B1094,Vendedores!$A$2:$A$41,Vendedores!$D$2:$D$41,"No hay datos")</f>
        <v>Región Central 2</v>
      </c>
      <c r="J1094" s="2" t="str">
        <f t="array" ref="J1094:N1094">_xlfn.XLOOKUP(A1094,Productos!$A$2:$A$61,Productos!$B$2:$F$61)</f>
        <v>Vestido corto</v>
      </c>
      <c r="K1094" s="2" t="s">
        <v>17</v>
      </c>
      <c r="L1094" s="2" t="s">
        <v>10</v>
      </c>
      <c r="M1094" s="2" t="s">
        <v>18</v>
      </c>
      <c r="N1094" s="2" t="s">
        <v>19</v>
      </c>
    </row>
    <row r="1095">
      <c r="A1095" s="2" t="str">
        <f>IFERROR(__xludf.DUMMYFUNCTION("""COMPUTED_VALUE"""),"PR017")</f>
        <v>PR017</v>
      </c>
      <c r="B1095" s="2" t="str">
        <f>IFERROR(__xludf.DUMMYFUNCTION("""COMPUTED_VALUE"""),"VD032")</f>
        <v>VD032</v>
      </c>
      <c r="C1095" s="2">
        <f>IFERROR(__xludf.DUMMYFUNCTION("""COMPUTED_VALUE"""),18.0)</f>
        <v>18</v>
      </c>
      <c r="D1095" s="6">
        <f>IFERROR(__xludf.DUMMYFUNCTION("""COMPUTED_VALUE"""),559.73)</f>
        <v>559.73</v>
      </c>
      <c r="E1095" s="6">
        <f>IFERROR(__xludf.DUMMYFUNCTION("GOOGLEFINANCE(""Currency:BRLMXN"")*D1095"),1901.682675)</f>
        <v>1901.682675</v>
      </c>
      <c r="F1095" s="6">
        <f>IFERROR(__xludf.DUMMYFUNCTION("GOOGLEFINANCE(""Currency:BRLPEN"")*D1095"),366.958988)</f>
        <v>366.958988</v>
      </c>
      <c r="G1095" s="2" t="str">
        <f t="array" ref="G1095">_xlfn.XLOOKUP(B1095,Vendedores!$A$2:$A$41,Vendedores!$B$2:$B$41,"No hay datos")</f>
        <v>Eduardo Almonte</v>
      </c>
      <c r="H1095" s="2" t="str">
        <f t="array" ref="H1095">_xlfn.XLOOKUP(B1095,Vendedores!$A$2:$A$41,Vendedores!$C$2:$C$41,"No hay datos")</f>
        <v>Tierra Colorada</v>
      </c>
      <c r="I1095" s="2" t="str">
        <f t="array" ref="I1095">_xlfn.XLOOKUP(B1095,Vendedores!$A$2:$A$41,Vendedores!$D$2:$D$41,"No hay datos")</f>
        <v>Región Central 2</v>
      </c>
      <c r="J1095" s="2" t="str">
        <f t="array" ref="J1095:N1095">_xlfn.XLOOKUP(A1095,Productos!$A$2:$A$61,Productos!$B$2:$F$61)</f>
        <v>Playera lisa</v>
      </c>
      <c r="K1095" s="2" t="s">
        <v>17</v>
      </c>
      <c r="L1095" s="2" t="s">
        <v>10</v>
      </c>
      <c r="M1095" s="2" t="s">
        <v>98</v>
      </c>
      <c r="N1095" s="2" t="s">
        <v>99</v>
      </c>
    </row>
    <row r="1096">
      <c r="A1096" s="2" t="str">
        <f>IFERROR(__xludf.DUMMYFUNCTION("""COMPUTED_VALUE"""),"PR060")</f>
        <v>PR060</v>
      </c>
      <c r="B1096" s="2" t="str">
        <f>IFERROR(__xludf.DUMMYFUNCTION("""COMPUTED_VALUE"""),"VD020")</f>
        <v>VD020</v>
      </c>
      <c r="C1096" s="2">
        <f>IFERROR(__xludf.DUMMYFUNCTION("""COMPUTED_VALUE"""),9.0)</f>
        <v>9</v>
      </c>
      <c r="D1096" s="6">
        <f>IFERROR(__xludf.DUMMYFUNCTION("""COMPUTED_VALUE"""),1684.8)</f>
        <v>1684.8</v>
      </c>
      <c r="E1096" s="6">
        <f>IFERROR(__xludf.DUMMYFUNCTION("GOOGLEFINANCE(""Currency:BRLMXN"")*D1096"),5724.108)</f>
        <v>5724.108</v>
      </c>
      <c r="F1096" s="6">
        <f>IFERROR(__xludf.DUMMYFUNCTION("GOOGLEFINANCE(""Currency:BRLPEN"")*D1096"),1104.55488)</f>
        <v>1104.55488</v>
      </c>
      <c r="G1096" s="2" t="str">
        <f t="array" ref="G1096">_xlfn.XLOOKUP(B1096,Vendedores!$A$2:$A$41,Vendedores!$B$2:$B$41,"No hay datos")</f>
        <v>Gustavo Morales</v>
      </c>
      <c r="H1096" s="2" t="str">
        <f t="array" ref="H1096">_xlfn.XLOOKUP(B1096,Vendedores!$A$2:$A$41,Vendedores!$C$2:$C$41,"No hay datos")</f>
        <v>Villa del Sol</v>
      </c>
      <c r="I1096" s="2" t="str">
        <f t="array" ref="I1096">_xlfn.XLOOKUP(B1096,Vendedores!$A$2:$A$41,Vendedores!$D$2:$D$41,"No hay datos")</f>
        <v>Región Central 2</v>
      </c>
      <c r="J1096" s="2" t="str">
        <f t="array" ref="J1096:N1096">_xlfn.XLOOKUP(A1096,Productos!$A$2:$A$61,Productos!$B$2:$F$61)</f>
        <v>Pantalón de sastre</v>
      </c>
      <c r="K1096" s="2" t="s">
        <v>22</v>
      </c>
      <c r="L1096" s="2" t="s">
        <v>10</v>
      </c>
      <c r="M1096" s="2" t="s">
        <v>75</v>
      </c>
      <c r="N1096" s="2" t="s">
        <v>14</v>
      </c>
    </row>
    <row r="1097">
      <c r="A1097" s="2" t="str">
        <f>IFERROR(__xludf.DUMMYFUNCTION("""COMPUTED_VALUE"""),"PR036")</f>
        <v>PR036</v>
      </c>
      <c r="B1097" s="2" t="str">
        <f>IFERROR(__xludf.DUMMYFUNCTION("""COMPUTED_VALUE"""),"VD046")</f>
        <v>VD046</v>
      </c>
      <c r="C1097" s="2">
        <f>IFERROR(__xludf.DUMMYFUNCTION("""COMPUTED_VALUE"""),10.0)</f>
        <v>10</v>
      </c>
      <c r="D1097" s="6">
        <f>IFERROR(__xludf.DUMMYFUNCTION("""COMPUTED_VALUE"""),1028.5)</f>
        <v>1028.5</v>
      </c>
      <c r="E1097" s="6">
        <f>IFERROR(__xludf.DUMMYFUNCTION("GOOGLEFINANCE(""Currency:BRLMXN"")*D1097"),3494.32875)</f>
        <v>3494.32875</v>
      </c>
      <c r="F1097" s="6">
        <f>IFERROR(__xludf.DUMMYFUNCTION("GOOGLEFINANCE(""Currency:BRLPEN"")*D1097"),674.2846)</f>
        <v>674.2846</v>
      </c>
      <c r="G1097" s="2" t="str">
        <f t="array" ref="G1097">_xlfn.XLOOKUP(B1097,Vendedores!$A$2:$A$41,Vendedores!$B$2:$B$41,"No hay datos")</f>
        <v>Juliana Pérez</v>
      </c>
      <c r="H1097" s="2" t="str">
        <f t="array" ref="H1097">_xlfn.XLOOKUP(B1097,Vendedores!$A$2:$A$41,Vendedores!$C$2:$C$41,"No hay datos")</f>
        <v>Santa Cruz de la Sierra</v>
      </c>
      <c r="I1097" s="2" t="str">
        <f t="array" ref="I1097">_xlfn.XLOOKUP(B1097,Vendedores!$A$2:$A$41,Vendedores!$D$2:$D$41,"No hay datos")</f>
        <v>Región Central 2</v>
      </c>
      <c r="J1097" s="2" t="str">
        <f t="array" ref="J1097:N1097">_xlfn.XLOOKUP(A1097,Productos!$A$2:$A$61,Productos!$B$2:$F$61)</f>
        <v>Vestido corto</v>
      </c>
      <c r="K1097" s="2" t="s">
        <v>22</v>
      </c>
      <c r="L1097" s="2" t="s">
        <v>10</v>
      </c>
      <c r="M1097" s="2" t="s">
        <v>82</v>
      </c>
      <c r="N1097" s="2" t="s">
        <v>83</v>
      </c>
    </row>
    <row r="1098">
      <c r="A1098" s="2" t="str">
        <f>IFERROR(__xludf.DUMMYFUNCTION("""COMPUTED_VALUE"""),"PR043")</f>
        <v>PR043</v>
      </c>
      <c r="B1098" s="2" t="str">
        <f>IFERROR(__xludf.DUMMYFUNCTION("""COMPUTED_VALUE"""),"VD022")</f>
        <v>VD022</v>
      </c>
      <c r="C1098" s="2">
        <f>IFERROR(__xludf.DUMMYFUNCTION("""COMPUTED_VALUE"""),2.0)</f>
        <v>2</v>
      </c>
      <c r="D1098" s="6">
        <f>IFERROR(__xludf.DUMMYFUNCTION("""COMPUTED_VALUE"""),153.7)</f>
        <v>153.7</v>
      </c>
      <c r="E1098" s="6">
        <f>IFERROR(__xludf.DUMMYFUNCTION("GOOGLEFINANCE(""Currency:BRLMXN"")*D1098"),522.19575)</f>
        <v>522.19575</v>
      </c>
      <c r="F1098" s="6">
        <f>IFERROR(__xludf.DUMMYFUNCTION("GOOGLEFINANCE(""Currency:BRLPEN"")*D1098"),100.76571999999999)</f>
        <v>100.76572</v>
      </c>
      <c r="G1098" s="2" t="str">
        <f t="array" ref="G1098">_xlfn.XLOOKUP(B1098,Vendedores!$A$2:$A$41,Vendedores!$B$2:$B$41,"No hay datos")</f>
        <v>Santiago Linares</v>
      </c>
      <c r="H1098" s="2" t="str">
        <f t="array" ref="H1098">_xlfn.XLOOKUP(B1098,Vendedores!$A$2:$A$41,Vendedores!$C$2:$C$41,"No hay datos")</f>
        <v>Vista Hermosa</v>
      </c>
      <c r="I1098" s="2" t="str">
        <f t="array" ref="I1098">_xlfn.XLOOKUP(B1098,Vendedores!$A$2:$A$41,Vendedores!$D$2:$D$41,"No hay datos")</f>
        <v>Región Central</v>
      </c>
      <c r="J1098" s="2" t="str">
        <f t="array" ref="J1098:N1098">_xlfn.XLOOKUP(A1098,Productos!$A$2:$A$61,Productos!$B$2:$F$61)</f>
        <v>Vestido floral</v>
      </c>
      <c r="K1098" s="2" t="s">
        <v>9</v>
      </c>
      <c r="L1098" s="2" t="s">
        <v>10</v>
      </c>
      <c r="M1098" s="2" t="s">
        <v>69</v>
      </c>
      <c r="N1098" s="2" t="s">
        <v>40</v>
      </c>
    </row>
    <row r="1099">
      <c r="A1099" s="2" t="str">
        <f>IFERROR(__xludf.DUMMYFUNCTION("""COMPUTED_VALUE"""),"PR007")</f>
        <v>PR007</v>
      </c>
      <c r="B1099" s="2" t="str">
        <f>IFERROR(__xludf.DUMMYFUNCTION("""COMPUTED_VALUE"""),"VD041")</f>
        <v>VD041</v>
      </c>
      <c r="C1099" s="2">
        <f>IFERROR(__xludf.DUMMYFUNCTION("""COMPUTED_VALUE"""),2.0)</f>
        <v>2</v>
      </c>
      <c r="D1099" s="6">
        <f>IFERROR(__xludf.DUMMYFUNCTION("""COMPUTED_VALUE"""),187.26)</f>
        <v>187.26</v>
      </c>
      <c r="E1099" s="6">
        <f>IFERROR(__xludf.DUMMYFUNCTION("GOOGLEFINANCE(""Currency:BRLMXN"")*D1099"),636.2158499999999)</f>
        <v>636.21585</v>
      </c>
      <c r="F1099" s="6">
        <f>IFERROR(__xludf.DUMMYFUNCTION("GOOGLEFINANCE(""Currency:BRLPEN"")*D1099"),122.76765599999999)</f>
        <v>122.767656</v>
      </c>
      <c r="G1099" s="2" t="str">
        <f t="array" ref="G1099">_xlfn.XLOOKUP(B1099,Vendedores!$A$2:$A$41,Vendedores!$B$2:$B$41,"No hay datos")</f>
        <v>Alejandro Ramos</v>
      </c>
      <c r="H1099" s="2" t="str">
        <f t="array" ref="H1099">_xlfn.XLOOKUP(B1099,Vendedores!$A$2:$A$41,Vendedores!$C$2:$C$41,"No hay datos")</f>
        <v>San Martín de las Rosas</v>
      </c>
      <c r="I1099" s="2" t="str">
        <f t="array" ref="I1099">_xlfn.XLOOKUP(B1099,Vendedores!$A$2:$A$41,Vendedores!$D$2:$D$41,"No hay datos")</f>
        <v>Región Central 2</v>
      </c>
      <c r="J1099" s="2" t="str">
        <f t="array" ref="J1099:N1099">_xlfn.XLOOKUP(A1099,Productos!$A$2:$A$61,Productos!$B$2:$F$61)</f>
        <v>Pantalón de mezclilla</v>
      </c>
      <c r="K1099" s="2" t="s">
        <v>9</v>
      </c>
      <c r="L1099" s="2" t="s">
        <v>10</v>
      </c>
      <c r="M1099" s="2" t="s">
        <v>103</v>
      </c>
      <c r="N1099" s="2" t="s">
        <v>104</v>
      </c>
    </row>
    <row r="1100">
      <c r="A1100" s="2" t="str">
        <f>IFERROR(__xludf.DUMMYFUNCTION("""COMPUTED_VALUE"""),"PR037")</f>
        <v>PR037</v>
      </c>
      <c r="B1100" s="2" t="str">
        <f>IFERROR(__xludf.DUMMYFUNCTION("""COMPUTED_VALUE"""),"VD043")</f>
        <v>VD043</v>
      </c>
      <c r="C1100" s="2">
        <f>IFERROR(__xludf.DUMMYFUNCTION("""COMPUTED_VALUE"""),9.0)</f>
        <v>9</v>
      </c>
      <c r="D1100" s="6">
        <f>IFERROR(__xludf.DUMMYFUNCTION("""COMPUTED_VALUE"""),1297.8)</f>
        <v>1297.8</v>
      </c>
      <c r="E1100" s="6">
        <f>IFERROR(__xludf.DUMMYFUNCTION("GOOGLEFINANCE(""Currency:BRLMXN"")*D1100"),4409.2755)</f>
        <v>4409.2755</v>
      </c>
      <c r="F1100" s="6">
        <f>IFERROR(__xludf.DUMMYFUNCTION("GOOGLEFINANCE(""Currency:BRLPEN"")*D1100"),850.8376799999999)</f>
        <v>850.83768</v>
      </c>
      <c r="G1100" s="2" t="str">
        <f t="array" ref="G1100">_xlfn.XLOOKUP(B1100,Vendedores!$A$2:$A$41,Vendedores!$B$2:$B$41,"No hay datos")</f>
        <v>Carlos Henríquez</v>
      </c>
      <c r="H1100" s="2" t="str">
        <f t="array" ref="H1100">_xlfn.XLOOKUP(B1100,Vendedores!$A$2:$A$41,Vendedores!$C$2:$C$41,"No hay datos")</f>
        <v>Ciudad Aeropuerto</v>
      </c>
      <c r="I1100" s="2" t="str">
        <f t="array" ref="I1100">_xlfn.XLOOKUP(B1100,Vendedores!$A$2:$A$41,Vendedores!$D$2:$D$41,"No hay datos")</f>
        <v>Región Central 2</v>
      </c>
      <c r="J1100" s="2" t="str">
        <f t="array" ref="J1100:N1100">_xlfn.XLOOKUP(A1100,Productos!$A$2:$A$61,Productos!$B$2:$F$61)</f>
        <v>Vestido largo</v>
      </c>
      <c r="K1100" s="2" t="s">
        <v>9</v>
      </c>
      <c r="L1100" s="2" t="s">
        <v>10</v>
      </c>
      <c r="M1100" s="2" t="s">
        <v>70</v>
      </c>
      <c r="N1100" s="2" t="s">
        <v>71</v>
      </c>
    </row>
    <row r="1101">
      <c r="A1101" s="2" t="str">
        <f>IFERROR(__xludf.DUMMYFUNCTION("""COMPUTED_VALUE"""),"PR030")</f>
        <v>PR030</v>
      </c>
      <c r="B1101" s="2" t="str">
        <f>IFERROR(__xludf.DUMMYFUNCTION("""COMPUTED_VALUE"""),"VD010")</f>
        <v>VD010</v>
      </c>
      <c r="C1101" s="2">
        <f>IFERROR(__xludf.DUMMYFUNCTION("""COMPUTED_VALUE"""),18.0)</f>
        <v>18</v>
      </c>
      <c r="D1101" s="6">
        <f>IFERROR(__xludf.DUMMYFUNCTION("""COMPUTED_VALUE"""),5146.02)</f>
        <v>5146.02</v>
      </c>
      <c r="E1101" s="6">
        <f>IFERROR(__xludf.DUMMYFUNCTION("GOOGLEFINANCE(""Currency:BRLMXN"")*D1101"),17483.60295)</f>
        <v>17483.60295</v>
      </c>
      <c r="F1101" s="6">
        <f>IFERROR(__xludf.DUMMYFUNCTION("GOOGLEFINANCE(""Currency:BRLPEN"")*D1101"),3373.730712)</f>
        <v>3373.730712</v>
      </c>
      <c r="G1101" s="2" t="str">
        <f t="array" ref="G1101">_xlfn.XLOOKUP(B1101,Vendedores!$A$2:$A$41,Vendedores!$B$2:$B$41,"No hay datos")</f>
        <v>María Silva</v>
      </c>
      <c r="H1101" s="2" t="str">
        <f t="array" ref="H1101">_xlfn.XLOOKUP(B1101,Vendedores!$A$2:$A$41,Vendedores!$C$2:$C$41,"No hay datos")</f>
        <v>San Juan de la Sierra</v>
      </c>
      <c r="I1101" s="2" t="str">
        <f t="array" ref="I1101">_xlfn.XLOOKUP(B1101,Vendedores!$A$2:$A$41,Vendedores!$D$2:$D$41,"No hay datos")</f>
        <v>Región Central</v>
      </c>
      <c r="J1101" s="2" t="str">
        <f t="array" ref="J1101:N1101">_xlfn.XLOOKUP(A1101,Productos!$A$2:$A$61,Productos!$B$2:$F$61)</f>
        <v>Tenis Atitas</v>
      </c>
      <c r="K1101" s="2">
        <v>38.0</v>
      </c>
      <c r="L1101" s="2" t="s">
        <v>33</v>
      </c>
      <c r="M1101" s="2" t="s">
        <v>63</v>
      </c>
      <c r="N1101" s="2" t="s">
        <v>64</v>
      </c>
    </row>
    <row r="1102">
      <c r="A1102" s="2" t="str">
        <f>IFERROR(__xludf.DUMMYFUNCTION("""COMPUTED_VALUE"""),"PR049")</f>
        <v>PR049</v>
      </c>
      <c r="B1102" s="2" t="str">
        <f>IFERROR(__xludf.DUMMYFUNCTION("""COMPUTED_VALUE"""),"VD049")</f>
        <v>VD049</v>
      </c>
      <c r="C1102" s="2">
        <f>IFERROR(__xludf.DUMMYFUNCTION("""COMPUTED_VALUE"""),4.0)</f>
        <v>4</v>
      </c>
      <c r="D1102" s="6">
        <f>IFERROR(__xludf.DUMMYFUNCTION("""COMPUTED_VALUE"""),142.13)</f>
        <v>142.13</v>
      </c>
      <c r="E1102" s="6">
        <f>IFERROR(__xludf.DUMMYFUNCTION("GOOGLEFINANCE(""Currency:BRLMXN"")*D1102"),482.88667499999997)</f>
        <v>482.886675</v>
      </c>
      <c r="F1102" s="6">
        <f>IFERROR(__xludf.DUMMYFUNCTION("GOOGLEFINANCE(""Currency:BRLPEN"")*D1102"),93.18042799999999)</f>
        <v>93.180428</v>
      </c>
      <c r="G1102" s="2" t="str">
        <f t="array" ref="G1102">_xlfn.XLOOKUP(B1102,Vendedores!$A$2:$A$41,Vendedores!$B$2:$B$41,"No hay datos")</f>
        <v>Fernando Navarro</v>
      </c>
      <c r="H1102" s="2" t="str">
        <f t="array" ref="H1102">_xlfn.XLOOKUP(B1102,Vendedores!$A$2:$A$41,Vendedores!$C$2:$C$41,"No hay datos")</f>
        <v>Colinas Verdes</v>
      </c>
      <c r="I1102" s="2" t="str">
        <f t="array" ref="I1102">_xlfn.XLOOKUP(B1102,Vendedores!$A$2:$A$41,Vendedores!$D$2:$D$41,"No hay datos")</f>
        <v>Región Central 2</v>
      </c>
      <c r="J1102" s="2" t="str">
        <f t="array" ref="J1102:N1102">_xlfn.XLOOKUP(A1102,Productos!$A$2:$A$61,Productos!$B$2:$F$61)</f>
        <v>Playera a rayas</v>
      </c>
      <c r="K1102" s="2" t="s">
        <v>9</v>
      </c>
      <c r="L1102" s="2" t="s">
        <v>10</v>
      </c>
      <c r="M1102" s="2" t="s">
        <v>47</v>
      </c>
      <c r="N1102" s="2" t="s">
        <v>24</v>
      </c>
    </row>
    <row r="1103">
      <c r="A1103" s="2" t="str">
        <f>IFERROR(__xludf.DUMMYFUNCTION("""COMPUTED_VALUE"""),"PR024")</f>
        <v>PR024</v>
      </c>
      <c r="B1103" s="2" t="str">
        <f>IFERROR(__xludf.DUMMYFUNCTION("""COMPUTED_VALUE"""),"VD033")</f>
        <v>VD033</v>
      </c>
      <c r="C1103" s="2">
        <f>IFERROR(__xludf.DUMMYFUNCTION("""COMPUTED_VALUE"""),5.0)</f>
        <v>5</v>
      </c>
      <c r="D1103" s="6">
        <f>IFERROR(__xludf.DUMMYFUNCTION("""COMPUTED_VALUE"""),1312.5)</f>
        <v>1312.5</v>
      </c>
      <c r="E1103" s="6">
        <f>IFERROR(__xludf.DUMMYFUNCTION("GOOGLEFINANCE(""Currency:BRLMXN"")*D1103"),4459.21875)</f>
        <v>4459.21875</v>
      </c>
      <c r="F1103" s="6">
        <f>IFERROR(__xludf.DUMMYFUNCTION("GOOGLEFINANCE(""Currency:BRLPEN"")*D1103"),860.4749999999999)</f>
        <v>860.475</v>
      </c>
      <c r="G1103" s="2" t="str">
        <f t="array" ref="G1103">_xlfn.XLOOKUP(B1103,Vendedores!$A$2:$A$41,Vendedores!$B$2:$B$41,"No hay datos")</f>
        <v>Renata Flores</v>
      </c>
      <c r="H1103" s="2" t="str">
        <f t="array" ref="H1103">_xlfn.XLOOKUP(B1103,Vendedores!$A$2:$A$41,Vendedores!$C$2:$C$41,"No hay datos")</f>
        <v>Altos del Sur</v>
      </c>
      <c r="I1103" s="2" t="str">
        <f t="array" ref="I1103">_xlfn.XLOOKUP(B1103,Vendedores!$A$2:$A$41,Vendedores!$D$2:$D$41,"No hay datos")</f>
        <v>Región Central 2</v>
      </c>
      <c r="J1103" s="2" t="str">
        <f t="array" ref="J1103:N1103">_xlfn.XLOOKUP(A1103,Productos!$A$2:$A$61,Productos!$B$2:$F$61)</f>
        <v>Chaqueta de mezclilla</v>
      </c>
      <c r="K1103" s="2" t="s">
        <v>17</v>
      </c>
      <c r="L1103" s="2" t="s">
        <v>10</v>
      </c>
      <c r="M1103" s="2" t="s">
        <v>92</v>
      </c>
      <c r="N1103" s="2" t="s">
        <v>64</v>
      </c>
    </row>
    <row r="1104">
      <c r="A1104" s="2" t="str">
        <f>IFERROR(__xludf.DUMMYFUNCTION("""COMPUTED_VALUE"""),"PR025")</f>
        <v>PR025</v>
      </c>
      <c r="B1104" s="2" t="str">
        <f>IFERROR(__xludf.DUMMYFUNCTION("""COMPUTED_VALUE"""),"VD027")</f>
        <v>VD027</v>
      </c>
      <c r="C1104" s="2">
        <f>IFERROR(__xludf.DUMMYFUNCTION("""COMPUTED_VALUE"""),16.0)</f>
        <v>16</v>
      </c>
      <c r="D1104" s="6">
        <f>IFERROR(__xludf.DUMMYFUNCTION("""COMPUTED_VALUE"""),5278.24)</f>
        <v>5278.24</v>
      </c>
      <c r="E1104" s="6">
        <f>IFERROR(__xludf.DUMMYFUNCTION("GOOGLEFINANCE(""Currency:BRLMXN"")*D1104"),17932.8204)</f>
        <v>17932.8204</v>
      </c>
      <c r="F1104" s="6">
        <f>IFERROR(__xludf.DUMMYFUNCTION("GOOGLEFINANCE(""Currency:BRLPEN"")*D1104"),3460.414144)</f>
        <v>3460.414144</v>
      </c>
      <c r="G1104" s="2" t="str">
        <f t="array" ref="G1104">_xlfn.XLOOKUP(B1104,Vendedores!$A$2:$A$41,Vendedores!$B$2:$B$41,"No hay datos")</f>
        <v>Patricia Cortés</v>
      </c>
      <c r="H1104" s="2" t="str">
        <f t="array" ref="H1104">_xlfn.XLOOKUP(B1104,Vendedores!$A$2:$A$41,Vendedores!$C$2:$C$41,"No hay datos")</f>
        <v>Costa Azul</v>
      </c>
      <c r="I1104" s="2" t="str">
        <f t="array" ref="I1104">_xlfn.XLOOKUP(B1104,Vendedores!$A$2:$A$41,Vendedores!$D$2:$D$41,"No hay datos")</f>
        <v>Región Norte</v>
      </c>
      <c r="J1104" s="2" t="str">
        <f t="array" ref="J1104:N1104">_xlfn.XLOOKUP(A1104,Productos!$A$2:$A$61,Productos!$B$2:$F$61)</f>
        <v>Chaqueta de mezclilla</v>
      </c>
      <c r="K1104" s="2" t="s">
        <v>22</v>
      </c>
      <c r="L1104" s="2" t="s">
        <v>10</v>
      </c>
      <c r="M1104" s="2" t="s">
        <v>107</v>
      </c>
      <c r="N1104" s="2" t="s">
        <v>16</v>
      </c>
    </row>
    <row r="1105">
      <c r="A1105" s="2" t="str">
        <f>IFERROR(__xludf.DUMMYFUNCTION("""COMPUTED_VALUE"""),"PR040")</f>
        <v>PR040</v>
      </c>
      <c r="B1105" s="2" t="str">
        <f>IFERROR(__xludf.DUMMYFUNCTION("""COMPUTED_VALUE"""),"VD020")</f>
        <v>VD020</v>
      </c>
      <c r="C1105" s="2">
        <f>IFERROR(__xludf.DUMMYFUNCTION("""COMPUTED_VALUE"""),5.0)</f>
        <v>5</v>
      </c>
      <c r="D1105" s="6">
        <f>IFERROR(__xludf.DUMMYFUNCTION("""COMPUTED_VALUE"""),385.0)</f>
        <v>385</v>
      </c>
      <c r="E1105" s="6">
        <f>IFERROR(__xludf.DUMMYFUNCTION("GOOGLEFINANCE(""Currency:BRLMXN"")*D1105"),1308.0375)</f>
        <v>1308.0375</v>
      </c>
      <c r="F1105" s="6">
        <f>IFERROR(__xludf.DUMMYFUNCTION("GOOGLEFINANCE(""Currency:BRLPEN"")*D1105"),252.40599999999998)</f>
        <v>252.406</v>
      </c>
      <c r="G1105" s="2" t="str">
        <f t="array" ref="G1105">_xlfn.XLOOKUP(B1105,Vendedores!$A$2:$A$41,Vendedores!$B$2:$B$41,"No hay datos")</f>
        <v>Gustavo Morales</v>
      </c>
      <c r="H1105" s="2" t="str">
        <f t="array" ref="H1105">_xlfn.XLOOKUP(B1105,Vendedores!$A$2:$A$41,Vendedores!$C$2:$C$41,"No hay datos")</f>
        <v>Villa del Sol</v>
      </c>
      <c r="I1105" s="2" t="str">
        <f t="array" ref="I1105">_xlfn.XLOOKUP(B1105,Vendedores!$A$2:$A$41,Vendedores!$D$2:$D$41,"No hay datos")</f>
        <v>Región Central 2</v>
      </c>
      <c r="J1105" s="2" t="str">
        <f t="array" ref="J1105:N1105">_xlfn.XLOOKUP(A1105,Productos!$A$2:$A$61,Productos!$B$2:$F$61)</f>
        <v>Playera confort</v>
      </c>
      <c r="K1105" s="2" t="s">
        <v>9</v>
      </c>
      <c r="L1105" s="2" t="s">
        <v>10</v>
      </c>
      <c r="M1105" s="2" t="s">
        <v>68</v>
      </c>
      <c r="N1105" s="2" t="s">
        <v>70</v>
      </c>
    </row>
    <row r="1106">
      <c r="A1106" s="2" t="str">
        <f>IFERROR(__xludf.DUMMYFUNCTION("""COMPUTED_VALUE"""),"PR012")</f>
        <v>PR012</v>
      </c>
      <c r="B1106" s="2" t="str">
        <f>IFERROR(__xludf.DUMMYFUNCTION("""COMPUTED_VALUE"""),"VD042")</f>
        <v>VD042</v>
      </c>
      <c r="C1106" s="2">
        <f>IFERROR(__xludf.DUMMYFUNCTION("""COMPUTED_VALUE"""),6.0)</f>
        <v>6</v>
      </c>
      <c r="D1106" s="6">
        <f>IFERROR(__xludf.DUMMYFUNCTION("""COMPUTED_VALUE"""),316.87)</f>
        <v>316.87</v>
      </c>
      <c r="E1106" s="6">
        <f>IFERROR(__xludf.DUMMYFUNCTION("GOOGLEFINANCE(""Currency:BRLMXN"")*D1106"),1076.565825)</f>
        <v>1076.565825</v>
      </c>
      <c r="F1106" s="6">
        <f>IFERROR(__xludf.DUMMYFUNCTION("GOOGLEFINANCE(""Currency:BRLPEN"")*D1106"),207.739972)</f>
        <v>207.739972</v>
      </c>
      <c r="G1106" s="2" t="str">
        <f t="array" ref="G1106">_xlfn.XLOOKUP(B1106,Vendedores!$A$2:$A$41,Vendedores!$B$2:$B$41,"No hay datos")</f>
        <v>Priscila Duarte</v>
      </c>
      <c r="H1106" s="2" t="str">
        <f t="array" ref="H1106">_xlfn.XLOOKUP(B1106,Vendedores!$A$2:$A$41,Vendedores!$C$2:$C$41,"No hay datos")</f>
        <v>Villa Comercial</v>
      </c>
      <c r="I1106" s="2" t="str">
        <f t="array" ref="I1106">_xlfn.XLOOKUP(B1106,Vendedores!$A$2:$A$41,Vendedores!$D$2:$D$41,"No hay datos")</f>
        <v>Región Central 2</v>
      </c>
      <c r="J1106" s="2" t="str">
        <f t="array" ref="J1106:N1106">_xlfn.XLOOKUP(A1106,Productos!$A$2:$A$61,Productos!$B$2:$F$61)</f>
        <v>Pantalón legging</v>
      </c>
      <c r="K1106" s="2" t="s">
        <v>22</v>
      </c>
      <c r="L1106" s="2" t="s">
        <v>10</v>
      </c>
      <c r="M1106" s="2" t="s">
        <v>88</v>
      </c>
      <c r="N1106" s="2" t="s">
        <v>89</v>
      </c>
    </row>
    <row r="1107">
      <c r="A1107" s="2" t="str">
        <f>IFERROR(__xludf.DUMMYFUNCTION("""COMPUTED_VALUE"""),"PR050")</f>
        <v>PR050</v>
      </c>
      <c r="B1107" s="2" t="str">
        <f>IFERROR(__xludf.DUMMYFUNCTION("""COMPUTED_VALUE"""),"VD039")</f>
        <v>VD039</v>
      </c>
      <c r="C1107" s="2">
        <f>IFERROR(__xludf.DUMMYFUNCTION("""COMPUTED_VALUE"""),2.0)</f>
        <v>2</v>
      </c>
      <c r="D1107" s="6">
        <f>IFERROR(__xludf.DUMMYFUNCTION("""COMPUTED_VALUE"""),65.8)</f>
        <v>65.8</v>
      </c>
      <c r="E1107" s="6">
        <f>IFERROR(__xludf.DUMMYFUNCTION("GOOGLEFINANCE(""Currency:BRLMXN"")*D1107"),223.5555)</f>
        <v>223.5555</v>
      </c>
      <c r="F1107" s="6">
        <f>IFERROR(__xludf.DUMMYFUNCTION("GOOGLEFINANCE(""Currency:BRLPEN"")*D1107"),43.138479999999994)</f>
        <v>43.13848</v>
      </c>
      <c r="G1107" s="2" t="str">
        <f t="array" ref="G1107">_xlfn.XLOOKUP(B1107,Vendedores!$A$2:$A$41,Vendedores!$B$2:$B$41,"No hay datos")</f>
        <v>Daniela Rodríguez</v>
      </c>
      <c r="H1107" s="2" t="str">
        <f t="array" ref="H1107">_xlfn.XLOOKUP(B1107,Vendedores!$A$2:$A$41,Vendedores!$C$2:$C$41,"No hay datos")</f>
        <v>Bahía del Sol</v>
      </c>
      <c r="I1107" s="2" t="str">
        <f t="array" ref="I1107">_xlfn.XLOOKUP(B1107,Vendedores!$A$2:$A$41,Vendedores!$D$2:$D$41,"No hay datos")</f>
        <v>Región Central 2</v>
      </c>
      <c r="J1107" s="2" t="str">
        <f t="array" ref="J1107:N1107">_xlfn.XLOOKUP(A1107,Productos!$A$2:$A$61,Productos!$B$2:$F$61)</f>
        <v>Playera a rayas</v>
      </c>
      <c r="K1107" s="2" t="s">
        <v>17</v>
      </c>
      <c r="L1107" s="2" t="s">
        <v>10</v>
      </c>
      <c r="M1107" s="2" t="s">
        <v>27</v>
      </c>
      <c r="N1107" s="2" t="s">
        <v>24</v>
      </c>
    </row>
    <row r="1108">
      <c r="A1108" s="2" t="str">
        <f>IFERROR(__xludf.DUMMYFUNCTION("""COMPUTED_VALUE"""),"PR036")</f>
        <v>PR036</v>
      </c>
      <c r="B1108" s="2" t="str">
        <f>IFERROR(__xludf.DUMMYFUNCTION("""COMPUTED_VALUE"""),"VD010")</f>
        <v>VD010</v>
      </c>
      <c r="C1108" s="2">
        <f>IFERROR(__xludf.DUMMYFUNCTION("""COMPUTED_VALUE"""),8.0)</f>
        <v>8</v>
      </c>
      <c r="D1108" s="6">
        <f>IFERROR(__xludf.DUMMYFUNCTION("""COMPUTED_VALUE"""),755.48)</f>
        <v>755.48</v>
      </c>
      <c r="E1108" s="6">
        <f>IFERROR(__xludf.DUMMYFUNCTION("GOOGLEFINANCE(""Currency:BRLMXN"")*D1108"),2566.7433)</f>
        <v>2566.7433</v>
      </c>
      <c r="F1108" s="6">
        <f>IFERROR(__xludf.DUMMYFUNCTION("GOOGLEFINANCE(""Currency:BRLPEN"")*D1108"),495.292688)</f>
        <v>495.292688</v>
      </c>
      <c r="G1108" s="2" t="str">
        <f t="array" ref="G1108">_xlfn.XLOOKUP(B1108,Vendedores!$A$2:$A$41,Vendedores!$B$2:$B$41,"No hay datos")</f>
        <v>María Silva</v>
      </c>
      <c r="H1108" s="2" t="str">
        <f t="array" ref="H1108">_xlfn.XLOOKUP(B1108,Vendedores!$A$2:$A$41,Vendedores!$C$2:$C$41,"No hay datos")</f>
        <v>San Juan de la Sierra</v>
      </c>
      <c r="I1108" s="2" t="str">
        <f t="array" ref="I1108">_xlfn.XLOOKUP(B1108,Vendedores!$A$2:$A$41,Vendedores!$D$2:$D$41,"No hay datos")</f>
        <v>Región Central</v>
      </c>
      <c r="J1108" s="2" t="str">
        <f t="array" ref="J1108:N1108">_xlfn.XLOOKUP(A1108,Productos!$A$2:$A$61,Productos!$B$2:$F$61)</f>
        <v>Vestido corto</v>
      </c>
      <c r="K1108" s="2" t="s">
        <v>22</v>
      </c>
      <c r="L1108" s="2" t="s">
        <v>10</v>
      </c>
      <c r="M1108" s="2" t="s">
        <v>82</v>
      </c>
      <c r="N1108" s="2" t="s">
        <v>83</v>
      </c>
    </row>
    <row r="1109">
      <c r="A1109" s="2" t="str">
        <f>IFERROR(__xludf.DUMMYFUNCTION("""COMPUTED_VALUE"""),"PR031")</f>
        <v>PR031</v>
      </c>
      <c r="B1109" s="2" t="str">
        <f>IFERROR(__xludf.DUMMYFUNCTION("""COMPUTED_VALUE"""),"VD030")</f>
        <v>VD030</v>
      </c>
      <c r="C1109" s="2">
        <f>IFERROR(__xludf.DUMMYFUNCTION("""COMPUTED_VALUE"""),9.0)</f>
        <v>9</v>
      </c>
      <c r="D1109" s="6">
        <f>IFERROR(__xludf.DUMMYFUNCTION("""COMPUTED_VALUE"""),2227.05)</f>
        <v>2227.05</v>
      </c>
      <c r="E1109" s="6">
        <f>IFERROR(__xludf.DUMMYFUNCTION("GOOGLEFINANCE(""Currency:BRLMXN"")*D1109"),7566.402375000001)</f>
        <v>7566.402375</v>
      </c>
      <c r="F1109" s="6">
        <f>IFERROR(__xludf.DUMMYFUNCTION("GOOGLEFINANCE(""Currency:BRLPEN"")*D1109"),1460.0539800000001)</f>
        <v>1460.05398</v>
      </c>
      <c r="G1109" s="2" t="str">
        <f t="array" ref="G1109">_xlfn.XLOOKUP(B1109,Vendedores!$A$2:$A$41,Vendedores!$B$2:$B$41,"No hay datos")</f>
        <v>Leonardo Rojas</v>
      </c>
      <c r="H1109" s="2" t="str">
        <f t="array" ref="H1109">_xlfn.XLOOKUP(B1109,Vendedores!$A$2:$A$41,Vendedores!$C$2:$C$41,"No hay datos")</f>
        <v>Villa del Sol</v>
      </c>
      <c r="I1109" s="2" t="str">
        <f t="array" ref="I1109">_xlfn.XLOOKUP(B1109,Vendedores!$A$2:$A$41,Vendedores!$D$2:$D$41,"No hay datos")</f>
        <v>Región Central 2</v>
      </c>
      <c r="J1109" s="2" t="str">
        <f t="array" ref="J1109:N1109">_xlfn.XLOOKUP(A1109,Productos!$A$2:$A$61,Productos!$B$2:$F$61)</f>
        <v>Tenis Chunky</v>
      </c>
      <c r="K1109" s="2">
        <v>36.0</v>
      </c>
      <c r="L1109" s="2" t="s">
        <v>33</v>
      </c>
      <c r="M1109" s="2" t="s">
        <v>84</v>
      </c>
      <c r="N1109" s="2" t="s">
        <v>85</v>
      </c>
    </row>
    <row r="1110">
      <c r="A1110" s="2" t="str">
        <f>IFERROR(__xludf.DUMMYFUNCTION("""COMPUTED_VALUE"""),"PR060")</f>
        <v>PR060</v>
      </c>
      <c r="B1110" s="2" t="str">
        <f>IFERROR(__xludf.DUMMYFUNCTION("""COMPUTED_VALUE"""),"VD045")</f>
        <v>VD045</v>
      </c>
      <c r="C1110" s="2">
        <f>IFERROR(__xludf.DUMMYFUNCTION("""COMPUTED_VALUE"""),3.0)</f>
        <v>3</v>
      </c>
      <c r="D1110" s="6">
        <f>IFERROR(__xludf.DUMMYFUNCTION("""COMPUTED_VALUE"""),556.2)</f>
        <v>556.2</v>
      </c>
      <c r="E1110" s="6">
        <f>IFERROR(__xludf.DUMMYFUNCTION("GOOGLEFINANCE(""Currency:BRLMXN"")*D1110"),1889.6895000000002)</f>
        <v>1889.6895</v>
      </c>
      <c r="F1110" s="6">
        <f>IFERROR(__xludf.DUMMYFUNCTION("GOOGLEFINANCE(""Currency:BRLPEN"")*D1110"),364.64472)</f>
        <v>364.64472</v>
      </c>
      <c r="G1110" s="2" t="str">
        <f t="array" ref="G1110">_xlfn.XLOOKUP(B1110,Vendedores!$A$2:$A$41,Vendedores!$B$2:$B$41,"No hay datos")</f>
        <v>Rafael Morales</v>
      </c>
      <c r="H1110" s="2" t="str">
        <f t="array" ref="H1110">_xlfn.XLOOKUP(B1110,Vendedores!$A$2:$A$41,Vendedores!$C$2:$C$41,"No hay datos")</f>
        <v>Valle Dorado</v>
      </c>
      <c r="I1110" s="2" t="str">
        <f t="array" ref="I1110">_xlfn.XLOOKUP(B1110,Vendedores!$A$2:$A$41,Vendedores!$D$2:$D$41,"No hay datos")</f>
        <v>Región Central 2</v>
      </c>
      <c r="J1110" s="2" t="str">
        <f t="array" ref="J1110:N1110">_xlfn.XLOOKUP(A1110,Productos!$A$2:$A$61,Productos!$B$2:$F$61)</f>
        <v>Pantalón de sastre</v>
      </c>
      <c r="K1110" s="2" t="s">
        <v>22</v>
      </c>
      <c r="L1110" s="2" t="s">
        <v>10</v>
      </c>
      <c r="M1110" s="2" t="s">
        <v>75</v>
      </c>
      <c r="N1110" s="2" t="s">
        <v>14</v>
      </c>
    </row>
    <row r="1111">
      <c r="A1111" s="2" t="str">
        <f>IFERROR(__xludf.DUMMYFUNCTION("""COMPUTED_VALUE"""),"PR028")</f>
        <v>PR028</v>
      </c>
      <c r="B1111" s="2" t="str">
        <f>IFERROR(__xludf.DUMMYFUNCTION("""COMPUTED_VALUE"""),"VD038")</f>
        <v>VD038</v>
      </c>
      <c r="C1111" s="2">
        <f>IFERROR(__xludf.DUMMYFUNCTION("""COMPUTED_VALUE"""),1.0)</f>
        <v>1</v>
      </c>
      <c r="D1111" s="6">
        <f>IFERROR(__xludf.DUMMYFUNCTION("""COMPUTED_VALUE"""),249.9)</f>
        <v>249.9</v>
      </c>
      <c r="E1111" s="6">
        <f>IFERROR(__xludf.DUMMYFUNCTION("GOOGLEFINANCE(""Currency:BRLMXN"")*D1111"),849.03525)</f>
        <v>849.03525</v>
      </c>
      <c r="F1111" s="6">
        <f>IFERROR(__xludf.DUMMYFUNCTION("GOOGLEFINANCE(""Currency:BRLPEN"")*D1111"),163.83444)</f>
        <v>163.83444</v>
      </c>
      <c r="G1111" s="2" t="str">
        <f t="array" ref="G1111">_xlfn.XLOOKUP(B1111,Vendedores!$A$2:$A$41,Vendedores!$B$2:$B$41,"No hay datos")</f>
        <v>Bruno Olmedo</v>
      </c>
      <c r="H1111" s="2" t="str">
        <f t="array" ref="H1111">_xlfn.XLOOKUP(B1111,Vendedores!$A$2:$A$41,Vendedores!$C$2:$C$41,"No hay datos")</f>
        <v>Tierra Fertil</v>
      </c>
      <c r="I1111" s="2" t="str">
        <f t="array" ref="I1111">_xlfn.XLOOKUP(B1111,Vendedores!$A$2:$A$41,Vendedores!$D$2:$D$41,"No hay datos")</f>
        <v>Región Sur 2</v>
      </c>
      <c r="J1111" s="2" t="str">
        <f t="array" ref="J1111:N1111">_xlfn.XLOOKUP(A1111,Productos!$A$2:$A$61,Productos!$B$2:$F$61)</f>
        <v>Tenis Atitas</v>
      </c>
      <c r="K1111" s="2">
        <v>36.0</v>
      </c>
      <c r="L1111" s="2" t="s">
        <v>33</v>
      </c>
      <c r="M1111" s="2" t="s">
        <v>55</v>
      </c>
      <c r="N1111" s="2" t="s">
        <v>56</v>
      </c>
    </row>
    <row r="1112">
      <c r="A1112" s="2" t="str">
        <f>IFERROR(__xludf.DUMMYFUNCTION("""COMPUTED_VALUE"""),"PR056")</f>
        <v>PR056</v>
      </c>
      <c r="B1112" s="2" t="str">
        <f>IFERROR(__xludf.DUMMYFUNCTION("""COMPUTED_VALUE"""),"VD031")</f>
        <v>VD031</v>
      </c>
      <c r="C1112" s="2">
        <f>IFERROR(__xludf.DUMMYFUNCTION("""COMPUTED_VALUE"""),18.0)</f>
        <v>18</v>
      </c>
      <c r="D1112" s="6">
        <f>IFERROR(__xludf.DUMMYFUNCTION("""COMPUTED_VALUE"""),1747.66)</f>
        <v>1747.66</v>
      </c>
      <c r="E1112" s="6">
        <f>IFERROR(__xludf.DUMMYFUNCTION("GOOGLEFINANCE(""Currency:BRLMXN"")*D1112"),5937.67485)</f>
        <v>5937.67485</v>
      </c>
      <c r="F1112" s="6">
        <f>IFERROR(__xludf.DUMMYFUNCTION("GOOGLEFINANCE(""Currency:BRLPEN"")*D1112"),1145.7658959999999)</f>
        <v>1145.765896</v>
      </c>
      <c r="G1112" s="2" t="str">
        <f t="array" ref="G1112">_xlfn.XLOOKUP(B1112,Vendedores!$A$2:$A$41,Vendedores!$B$2:$B$41,"No hay datos")</f>
        <v>Vanessa Martínez</v>
      </c>
      <c r="H1112" s="2" t="str">
        <f t="array" ref="H1112">_xlfn.XLOOKUP(B1112,Vendedores!$A$2:$A$41,Vendedores!$C$2:$C$41,"No hay datos")</f>
        <v>Monte Verde</v>
      </c>
      <c r="I1112" s="2" t="str">
        <f t="array" ref="I1112">_xlfn.XLOOKUP(B1112,Vendedores!$A$2:$A$41,Vendedores!$D$2:$D$41,"No hay datos")</f>
        <v>Región Central 2</v>
      </c>
      <c r="J1112" s="2" t="str">
        <f t="array" ref="J1112:N1112">_xlfn.XLOOKUP(A1112,Productos!$A$2:$A$61,Productos!$B$2:$F$61)</f>
        <v>Sandalia plana</v>
      </c>
      <c r="K1112" s="2">
        <v>36.0</v>
      </c>
      <c r="L1112" s="2" t="s">
        <v>33</v>
      </c>
      <c r="M1112" s="2" t="s">
        <v>106</v>
      </c>
      <c r="N1112" s="2" t="s">
        <v>35</v>
      </c>
    </row>
    <row r="1113">
      <c r="A1113" s="2" t="str">
        <f>IFERROR(__xludf.DUMMYFUNCTION("""COMPUTED_VALUE"""),"PR055")</f>
        <v>PR055</v>
      </c>
      <c r="B1113" s="2" t="str">
        <f>IFERROR(__xludf.DUMMYFUNCTION("""COMPUTED_VALUE"""),"VD041")</f>
        <v>VD041</v>
      </c>
      <c r="C1113" s="2">
        <f>IFERROR(__xludf.DUMMYFUNCTION("""COMPUTED_VALUE"""),6.0)</f>
        <v>6</v>
      </c>
      <c r="D1113" s="6">
        <f>IFERROR(__xludf.DUMMYFUNCTION("""COMPUTED_VALUE"""),550.19)</f>
        <v>550.19</v>
      </c>
      <c r="E1113" s="6">
        <f>IFERROR(__xludf.DUMMYFUNCTION("GOOGLEFINANCE(""Currency:BRLMXN"")*D1113"),1869.2705250000001)</f>
        <v>1869.270525</v>
      </c>
      <c r="F1113" s="6">
        <f>IFERROR(__xludf.DUMMYFUNCTION("GOOGLEFINANCE(""Currency:BRLPEN"")*D1113"),360.704564)</f>
        <v>360.704564</v>
      </c>
      <c r="G1113" s="2" t="str">
        <f t="array" ref="G1113">_xlfn.XLOOKUP(B1113,Vendedores!$A$2:$A$41,Vendedores!$B$2:$B$41,"No hay datos")</f>
        <v>Alejandro Ramos</v>
      </c>
      <c r="H1113" s="2" t="str">
        <f t="array" ref="H1113">_xlfn.XLOOKUP(B1113,Vendedores!$A$2:$A$41,Vendedores!$C$2:$C$41,"No hay datos")</f>
        <v>San Martín de las Rosas</v>
      </c>
      <c r="I1113" s="2" t="str">
        <f t="array" ref="I1113">_xlfn.XLOOKUP(B1113,Vendedores!$A$2:$A$41,Vendedores!$D$2:$D$41,"No hay datos")</f>
        <v>Región Central 2</v>
      </c>
      <c r="J1113" s="2" t="str">
        <f t="array" ref="J1113:N1113">_xlfn.XLOOKUP(A1113,Productos!$A$2:$A$61,Productos!$B$2:$F$61)</f>
        <v>Sandalia plana</v>
      </c>
      <c r="K1113" s="2">
        <v>35.0</v>
      </c>
      <c r="L1113" s="2" t="s">
        <v>33</v>
      </c>
      <c r="M1113" s="2" t="s">
        <v>34</v>
      </c>
      <c r="N1113" s="2" t="s">
        <v>35</v>
      </c>
    </row>
    <row r="1114">
      <c r="A1114" s="2" t="str">
        <f>IFERROR(__xludf.DUMMYFUNCTION("""COMPUTED_VALUE"""),"PR058")</f>
        <v>PR058</v>
      </c>
      <c r="B1114" s="2" t="str">
        <f>IFERROR(__xludf.DUMMYFUNCTION("""COMPUTED_VALUE"""),"VD027")</f>
        <v>VD027</v>
      </c>
      <c r="C1114" s="2">
        <f>IFERROR(__xludf.DUMMYFUNCTION("""COMPUTED_VALUE"""),18.0)</f>
        <v>18</v>
      </c>
      <c r="D1114" s="6">
        <f>IFERROR(__xludf.DUMMYFUNCTION("""COMPUTED_VALUE"""),3531.6)</f>
        <v>3531.6</v>
      </c>
      <c r="E1114" s="6">
        <f>IFERROR(__xludf.DUMMYFUNCTION("GOOGLEFINANCE(""Currency:BRLMXN"")*D1114"),11998.610999999999)</f>
        <v>11998.611</v>
      </c>
      <c r="F1114" s="6">
        <f>IFERROR(__xludf.DUMMYFUNCTION("GOOGLEFINANCE(""Currency:BRLPEN"")*D1114"),2315.3169599999997)</f>
        <v>2315.31696</v>
      </c>
      <c r="G1114" s="2" t="str">
        <f t="array" ref="G1114">_xlfn.XLOOKUP(B1114,Vendedores!$A$2:$A$41,Vendedores!$B$2:$B$41,"No hay datos")</f>
        <v>Patricia Cortés</v>
      </c>
      <c r="H1114" s="2" t="str">
        <f t="array" ref="H1114">_xlfn.XLOOKUP(B1114,Vendedores!$A$2:$A$41,Vendedores!$C$2:$C$41,"No hay datos")</f>
        <v>Costa Azul</v>
      </c>
      <c r="I1114" s="2" t="str">
        <f t="array" ref="I1114">_xlfn.XLOOKUP(B1114,Vendedores!$A$2:$A$41,Vendedores!$D$2:$D$41,"No hay datos")</f>
        <v>Región Norte</v>
      </c>
      <c r="J1114" s="2" t="str">
        <f t="array" ref="J1114:N1114">_xlfn.XLOOKUP(A1114,Productos!$A$2:$A$61,Productos!$B$2:$F$61)</f>
        <v>Pantalón de sastre</v>
      </c>
      <c r="K1114" s="2" t="s">
        <v>9</v>
      </c>
      <c r="L1114" s="2" t="s">
        <v>10</v>
      </c>
      <c r="M1114" s="2" t="s">
        <v>13</v>
      </c>
      <c r="N1114" s="2" t="s">
        <v>14</v>
      </c>
    </row>
    <row r="1115">
      <c r="A1115" s="2" t="str">
        <f>IFERROR(__xludf.DUMMYFUNCTION("""COMPUTED_VALUE"""),"PR021")</f>
        <v>PR021</v>
      </c>
      <c r="B1115" s="2" t="str">
        <f>IFERROR(__xludf.DUMMYFUNCTION("""COMPUTED_VALUE"""),"VD025")</f>
        <v>VD025</v>
      </c>
      <c r="C1115" s="2">
        <f>IFERROR(__xludf.DUMMYFUNCTION("""COMPUTED_VALUE"""),10.0)</f>
        <v>10</v>
      </c>
      <c r="D1115" s="6">
        <f>IFERROR(__xludf.DUMMYFUNCTION("""COMPUTED_VALUE"""),3271.32)</f>
        <v>3271.32</v>
      </c>
      <c r="E1115" s="6">
        <f>IFERROR(__xludf.DUMMYFUNCTION("GOOGLEFINANCE(""Currency:BRLMXN"")*D1115"),11114.3097)</f>
        <v>11114.3097</v>
      </c>
      <c r="F1115" s="6">
        <f>IFERROR(__xludf.DUMMYFUNCTION("GOOGLEFINANCE(""Currency:BRLPEN"")*D1115"),2144.677392)</f>
        <v>2144.677392</v>
      </c>
      <c r="G1115" s="2" t="str">
        <f t="array" ref="G1115">_xlfn.XLOOKUP(B1115,Vendedores!$A$2:$A$41,Vendedores!$B$2:$B$41,"No hay datos")</f>
        <v>Alina Santana</v>
      </c>
      <c r="H1115" s="2" t="str">
        <f t="array" ref="H1115">_xlfn.XLOOKUP(B1115,Vendedores!$A$2:$A$41,Vendedores!$C$2:$C$41,"No hay datos")</f>
        <v>Playa Blanca</v>
      </c>
      <c r="I1115" s="2" t="str">
        <f t="array" ref="I1115">_xlfn.XLOOKUP(B1115,Vendedores!$A$2:$A$41,Vendedores!$D$2:$D$41,"No hay datos")</f>
        <v>Región Norte</v>
      </c>
      <c r="J1115" s="2" t="str">
        <f t="array" ref="J1115:N1115">_xlfn.XLOOKUP(A1115,Productos!$A$2:$A$61,Productos!$B$2:$F$61)</f>
        <v>Chaqueta de cuero</v>
      </c>
      <c r="K1115" s="2" t="s">
        <v>17</v>
      </c>
      <c r="L1115" s="2" t="s">
        <v>10</v>
      </c>
      <c r="M1115" s="2" t="s">
        <v>80</v>
      </c>
      <c r="N1115" s="2" t="s">
        <v>81</v>
      </c>
    </row>
    <row r="1116">
      <c r="A1116" s="2" t="str">
        <f>IFERROR(__xludf.DUMMYFUNCTION("""COMPUTED_VALUE"""),"PR019")</f>
        <v>PR019</v>
      </c>
      <c r="B1116" s="2" t="str">
        <f>IFERROR(__xludf.DUMMYFUNCTION("""COMPUTED_VALUE"""),"VD033")</f>
        <v>VD033</v>
      </c>
      <c r="C1116" s="2">
        <f>IFERROR(__xludf.DUMMYFUNCTION("""COMPUTED_VALUE"""),6.0)</f>
        <v>6</v>
      </c>
      <c r="D1116" s="6">
        <f>IFERROR(__xludf.DUMMYFUNCTION("""COMPUTED_VALUE"""),314.37)</f>
        <v>314.37</v>
      </c>
      <c r="E1116" s="6">
        <f>IFERROR(__xludf.DUMMYFUNCTION("GOOGLEFINANCE(""Currency:BRLMXN"")*D1116"),1068.072075)</f>
        <v>1068.072075</v>
      </c>
      <c r="F1116" s="6">
        <f>IFERROR(__xludf.DUMMYFUNCTION("GOOGLEFINANCE(""Currency:BRLPEN"")*D1116"),206.10097199999998)</f>
        <v>206.100972</v>
      </c>
      <c r="G1116" s="2" t="str">
        <f t="array" ref="G1116">_xlfn.XLOOKUP(B1116,Vendedores!$A$2:$A$41,Vendedores!$B$2:$B$41,"No hay datos")</f>
        <v>Renata Flores</v>
      </c>
      <c r="H1116" s="2" t="str">
        <f t="array" ref="H1116">_xlfn.XLOOKUP(B1116,Vendedores!$A$2:$A$41,Vendedores!$C$2:$C$41,"No hay datos")</f>
        <v>Altos del Sur</v>
      </c>
      <c r="I1116" s="2" t="str">
        <f t="array" ref="I1116">_xlfn.XLOOKUP(B1116,Vendedores!$A$2:$A$41,Vendedores!$D$2:$D$41,"No hay datos")</f>
        <v>Región Central 2</v>
      </c>
      <c r="J1116" s="2" t="str">
        <f t="array" ref="J1116:N1116">_xlfn.XLOOKUP(A1116,Productos!$A$2:$A$61,Productos!$B$2:$F$61)</f>
        <v>Cinturón</v>
      </c>
      <c r="K1116" s="2" t="s">
        <v>29</v>
      </c>
      <c r="L1116" s="2" t="s">
        <v>30</v>
      </c>
      <c r="M1116" s="2" t="s">
        <v>31</v>
      </c>
      <c r="N1116" s="2" t="s">
        <v>32</v>
      </c>
    </row>
    <row r="1117">
      <c r="A1117" s="2" t="str">
        <f>IFERROR(__xludf.DUMMYFUNCTION("""COMPUTED_VALUE"""),"PR024")</f>
        <v>PR024</v>
      </c>
      <c r="B1117" s="2" t="str">
        <f>IFERROR(__xludf.DUMMYFUNCTION("""COMPUTED_VALUE"""),"VD014")</f>
        <v>VD014</v>
      </c>
      <c r="C1117" s="2">
        <f>IFERROR(__xludf.DUMMYFUNCTION("""COMPUTED_VALUE"""),20.0)</f>
        <v>20</v>
      </c>
      <c r="D1117" s="6">
        <f>IFERROR(__xludf.DUMMYFUNCTION("""COMPUTED_VALUE"""),5613.84)</f>
        <v>5613.84</v>
      </c>
      <c r="E1117" s="6">
        <f>IFERROR(__xludf.DUMMYFUNCTION("GOOGLEFINANCE(""Currency:BRLMXN"")*D1117"),19073.0214)</f>
        <v>19073.0214</v>
      </c>
      <c r="F1117" s="6">
        <f>IFERROR(__xludf.DUMMYFUNCTION("GOOGLEFINANCE(""Currency:BRLPEN"")*D1117"),3680.433504)</f>
        <v>3680.433504</v>
      </c>
      <c r="G1117" s="2" t="str">
        <f t="array" ref="G1117">_xlfn.XLOOKUP(B1117,Vendedores!$A$2:$A$41,Vendedores!$B$2:$B$41,"No hay datos")</f>
        <v>Carla Flores</v>
      </c>
      <c r="H1117" s="2" t="str">
        <f t="array" ref="H1117">_xlfn.XLOOKUP(B1117,Vendedores!$A$2:$A$41,Vendedores!$C$2:$C$41,"No hay datos")</f>
        <v>Valle Escondido</v>
      </c>
      <c r="I1117" s="2" t="str">
        <f t="array" ref="I1117">_xlfn.XLOOKUP(B1117,Vendedores!$A$2:$A$41,Vendedores!$D$2:$D$41,"No hay datos")</f>
        <v>Región Andina</v>
      </c>
      <c r="J1117" s="2" t="str">
        <f t="array" ref="J1117:N1117">_xlfn.XLOOKUP(A1117,Productos!$A$2:$A$61,Productos!$B$2:$F$61)</f>
        <v>Chaqueta de mezclilla</v>
      </c>
      <c r="K1117" s="2" t="s">
        <v>17</v>
      </c>
      <c r="L1117" s="2" t="s">
        <v>10</v>
      </c>
      <c r="M1117" s="2" t="s">
        <v>92</v>
      </c>
      <c r="N1117" s="2" t="s">
        <v>64</v>
      </c>
    </row>
    <row r="1118">
      <c r="A1118" s="2" t="str">
        <f>IFERROR(__xludf.DUMMYFUNCTION("""COMPUTED_VALUE"""),"PR042")</f>
        <v>PR042</v>
      </c>
      <c r="B1118" s="2" t="str">
        <f>IFERROR(__xludf.DUMMYFUNCTION("""COMPUTED_VALUE"""),"VD042")</f>
        <v>VD042</v>
      </c>
      <c r="C1118" s="2">
        <f>IFERROR(__xludf.DUMMYFUNCTION("""COMPUTED_VALUE"""),3.0)</f>
        <v>3</v>
      </c>
      <c r="D1118" s="6">
        <f>IFERROR(__xludf.DUMMYFUNCTION("""COMPUTED_VALUE"""),171.29)</f>
        <v>171.29</v>
      </c>
      <c r="E1118" s="6">
        <f>IFERROR(__xludf.DUMMYFUNCTION("GOOGLEFINANCE(""Currency:BRLMXN"")*D1118"),581.957775)</f>
        <v>581.957775</v>
      </c>
      <c r="F1118" s="6">
        <f>IFERROR(__xludf.DUMMYFUNCTION("GOOGLEFINANCE(""Currency:BRLPEN"")*D1118"),112.29772399999999)</f>
        <v>112.297724</v>
      </c>
      <c r="G1118" s="2" t="str">
        <f t="array" ref="G1118">_xlfn.XLOOKUP(B1118,Vendedores!$A$2:$A$41,Vendedores!$B$2:$B$41,"No hay datos")</f>
        <v>Priscila Duarte</v>
      </c>
      <c r="H1118" s="2" t="str">
        <f t="array" ref="H1118">_xlfn.XLOOKUP(B1118,Vendedores!$A$2:$A$41,Vendedores!$C$2:$C$41,"No hay datos")</f>
        <v>Villa Comercial</v>
      </c>
      <c r="I1118" s="2" t="str">
        <f t="array" ref="I1118">_xlfn.XLOOKUP(B1118,Vendedores!$A$2:$A$41,Vendedores!$D$2:$D$41,"No hay datos")</f>
        <v>Región Central 2</v>
      </c>
      <c r="J1118" s="2" t="str">
        <f t="array" ref="J1118:N1118">_xlfn.XLOOKUP(A1118,Productos!$A$2:$A$61,Productos!$B$2:$F$61)</f>
        <v>Playera confort</v>
      </c>
      <c r="K1118" s="2" t="s">
        <v>22</v>
      </c>
      <c r="L1118" s="2" t="s">
        <v>10</v>
      </c>
      <c r="M1118" s="2" t="s">
        <v>25</v>
      </c>
      <c r="N1118" s="2" t="s">
        <v>26</v>
      </c>
    </row>
    <row r="1119">
      <c r="A1119" s="2" t="str">
        <f>IFERROR(__xludf.DUMMYFUNCTION("""COMPUTED_VALUE"""),"PR041")</f>
        <v>PR041</v>
      </c>
      <c r="B1119" s="2" t="str">
        <f>IFERROR(__xludf.DUMMYFUNCTION("""COMPUTED_VALUE"""),"VD012")</f>
        <v>VD012</v>
      </c>
      <c r="C1119" s="2">
        <f>IFERROR(__xludf.DUMMYFUNCTION("""COMPUTED_VALUE"""),1.0)</f>
        <v>1</v>
      </c>
      <c r="D1119" s="6">
        <f>IFERROR(__xludf.DUMMYFUNCTION("""COMPUTED_VALUE"""),55.45)</f>
        <v>55.45</v>
      </c>
      <c r="E1119" s="6">
        <f>IFERROR(__xludf.DUMMYFUNCTION("GOOGLEFINANCE(""Currency:BRLMXN"")*D1119"),188.391375)</f>
        <v>188.391375</v>
      </c>
      <c r="F1119" s="6">
        <f>IFERROR(__xludf.DUMMYFUNCTION("GOOGLEFINANCE(""Currency:BRLPEN"")*D1119"),36.35302)</f>
        <v>36.35302</v>
      </c>
      <c r="G1119" s="2" t="str">
        <f t="array" ref="G1119">_xlfn.XLOOKUP(B1119,Vendedores!$A$2:$A$41,Vendedores!$B$2:$B$41,"No hay datos")</f>
        <v>Ana Olmedo</v>
      </c>
      <c r="H1119" s="2" t="str">
        <f t="array" ref="H1119">_xlfn.XLOOKUP(B1119,Vendedores!$A$2:$A$41,Vendedores!$C$2:$C$41,"No hay datos")</f>
        <v>Río Claro</v>
      </c>
      <c r="I1119" s="2" t="str">
        <f t="array" ref="I1119">_xlfn.XLOOKUP(B1119,Vendedores!$A$2:$A$41,Vendedores!$D$2:$D$41,"No hay datos")</f>
        <v>Región Central</v>
      </c>
      <c r="J1119" s="2" t="str">
        <f t="array" ref="J1119:N1119">_xlfn.XLOOKUP(A1119,Productos!$A$2:$A$61,Productos!$B$2:$F$61)</f>
        <v>Playera confort</v>
      </c>
      <c r="K1119" s="2" t="s">
        <v>17</v>
      </c>
      <c r="L1119" s="2" t="s">
        <v>10</v>
      </c>
      <c r="M1119" s="2" t="s">
        <v>95</v>
      </c>
      <c r="N1119" s="2" t="s">
        <v>26</v>
      </c>
    </row>
    <row r="1120">
      <c r="A1120" s="2" t="str">
        <f>IFERROR(__xludf.DUMMYFUNCTION("""COMPUTED_VALUE"""),"PR055")</f>
        <v>PR055</v>
      </c>
      <c r="B1120" s="2" t="str">
        <f>IFERROR(__xludf.DUMMYFUNCTION("""COMPUTED_VALUE"""),"VD040")</f>
        <v>VD040</v>
      </c>
      <c r="C1120" s="2">
        <f>IFERROR(__xludf.DUMMYFUNCTION("""COMPUTED_VALUE"""),4.0)</f>
        <v>4</v>
      </c>
      <c r="D1120" s="6">
        <f>IFERROR(__xludf.DUMMYFUNCTION("""COMPUTED_VALUE"""),373.98)</f>
        <v>373.98</v>
      </c>
      <c r="E1120" s="6">
        <f>IFERROR(__xludf.DUMMYFUNCTION("GOOGLEFINANCE(""Currency:BRLMXN"")*D1120"),1270.59705)</f>
        <v>1270.59705</v>
      </c>
      <c r="F1120" s="6">
        <f>IFERROR(__xludf.DUMMYFUNCTION("GOOGLEFINANCE(""Currency:BRLPEN"")*D1120"),245.181288)</f>
        <v>245.181288</v>
      </c>
      <c r="G1120" s="2" t="str">
        <f t="array" ref="G1120">_xlfn.XLOOKUP(B1120,Vendedores!$A$2:$A$41,Vendedores!$B$2:$B$41,"No hay datos")</f>
        <v>Tatiana Montero</v>
      </c>
      <c r="H1120" s="2" t="str">
        <f t="array" ref="H1120">_xlfn.XLOOKUP(B1120,Vendedores!$A$2:$A$41,Vendedores!$C$2:$C$41,"No hay datos")</f>
        <v>Ciudad Industrial</v>
      </c>
      <c r="I1120" s="2" t="str">
        <f t="array" ref="I1120">_xlfn.XLOOKUP(B1120,Vendedores!$A$2:$A$41,Vendedores!$D$2:$D$41,"No hay datos")</f>
        <v>Región Central 2</v>
      </c>
      <c r="J1120" s="2" t="str">
        <f t="array" ref="J1120:N1120">_xlfn.XLOOKUP(A1120,Productos!$A$2:$A$61,Productos!$B$2:$F$61)</f>
        <v>Sandalia plana</v>
      </c>
      <c r="K1120" s="2">
        <v>35.0</v>
      </c>
      <c r="L1120" s="2" t="s">
        <v>33</v>
      </c>
      <c r="M1120" s="2" t="s">
        <v>34</v>
      </c>
      <c r="N1120" s="2" t="s">
        <v>35</v>
      </c>
    </row>
    <row r="1121">
      <c r="A1121" s="2" t="str">
        <f>IFERROR(__xludf.DUMMYFUNCTION("""COMPUTED_VALUE"""),"PR011")</f>
        <v>PR011</v>
      </c>
      <c r="B1121" s="2" t="str">
        <f>IFERROR(__xludf.DUMMYFUNCTION("""COMPUTED_VALUE"""),"VD018")</f>
        <v>VD018</v>
      </c>
      <c r="C1121" s="2">
        <f>IFERROR(__xludf.DUMMYFUNCTION("""COMPUTED_VALUE"""),8.0)</f>
        <v>8</v>
      </c>
      <c r="D1121" s="6">
        <f>IFERROR(__xludf.DUMMYFUNCTION("""COMPUTED_VALUE"""),378.95)</f>
        <v>378.95</v>
      </c>
      <c r="E1121" s="6">
        <f>IFERROR(__xludf.DUMMYFUNCTION("GOOGLEFINANCE(""Currency:BRLMXN"")*D1121"),1287.4826249999999)</f>
        <v>1287.482625</v>
      </c>
      <c r="F1121" s="6">
        <f>IFERROR(__xludf.DUMMYFUNCTION("GOOGLEFINANCE(""Currency:BRLPEN"")*D1121"),248.43962)</f>
        <v>248.43962</v>
      </c>
      <c r="G1121" s="2" t="str">
        <f t="array" ref="G1121">_xlfn.XLOOKUP(B1121,Vendedores!$A$2:$A$41,Vendedores!$B$2:$B$41,"No hay datos")</f>
        <v>Leticia Rodríguez</v>
      </c>
      <c r="H1121" s="2" t="str">
        <f t="array" ref="H1121">_xlfn.XLOOKUP(B1121,Vendedores!$A$2:$A$41,Vendedores!$C$2:$C$41,"No hay datos")</f>
        <v>Playa Blanca</v>
      </c>
      <c r="I1121" s="2" t="str">
        <f t="array" ref="I1121">_xlfn.XLOOKUP(B1121,Vendedores!$A$2:$A$41,Vendedores!$D$2:$D$41,"No hay datos")</f>
        <v>Región Norte</v>
      </c>
      <c r="J1121" s="2" t="str">
        <f t="array" ref="J1121:N1121">_xlfn.XLOOKUP(A1121,Productos!$A$2:$A$61,Productos!$B$2:$F$61)</f>
        <v>Pantalón legging</v>
      </c>
      <c r="K1121" s="2" t="s">
        <v>17</v>
      </c>
      <c r="L1121" s="2" t="s">
        <v>10</v>
      </c>
      <c r="M1121" s="2" t="s">
        <v>67</v>
      </c>
      <c r="N1121" s="2" t="s">
        <v>68</v>
      </c>
    </row>
    <row r="1122">
      <c r="A1122" s="2" t="str">
        <f>IFERROR(__xludf.DUMMYFUNCTION("""COMPUTED_VALUE"""),"PR053")</f>
        <v>PR053</v>
      </c>
      <c r="B1122" s="2" t="str">
        <f>IFERROR(__xludf.DUMMYFUNCTION("""COMPUTED_VALUE"""),"VD016")</f>
        <v>VD016</v>
      </c>
      <c r="C1122" s="2">
        <f>IFERROR(__xludf.DUMMYFUNCTION("""COMPUTED_VALUE"""),16.0)</f>
        <v>16</v>
      </c>
      <c r="D1122" s="6">
        <f>IFERROR(__xludf.DUMMYFUNCTION("""COMPUTED_VALUE"""),830.34)</f>
        <v>830.34</v>
      </c>
      <c r="E1122" s="6">
        <f>IFERROR(__xludf.DUMMYFUNCTION("GOOGLEFINANCE(""Currency:BRLMXN"")*D1122"),2821.0801500000002)</f>
        <v>2821.08015</v>
      </c>
      <c r="F1122" s="6">
        <f>IFERROR(__xludf.DUMMYFUNCTION("GOOGLEFINANCE(""Currency:BRLPEN"")*D1122"),544.370904)</f>
        <v>544.370904</v>
      </c>
      <c r="G1122" s="2" t="str">
        <f t="array" ref="G1122">_xlfn.XLOOKUP(B1122,Vendedores!$A$2:$A$41,Vendedores!$B$2:$B$41,"No hay datos")</f>
        <v>Beatriz Linares</v>
      </c>
      <c r="H1122" s="2" t="str">
        <f t="array" ref="H1122">_xlfn.XLOOKUP(B1122,Vendedores!$A$2:$A$41,Vendedores!$C$2:$C$41,"No hay datos")</f>
        <v>Puerto Esperanza</v>
      </c>
      <c r="I1122" s="2" t="str">
        <f t="array" ref="I1122">_xlfn.XLOOKUP(B1122,Vendedores!$A$2:$A$41,Vendedores!$D$2:$D$41,"No hay datos")</f>
        <v>Región Sur</v>
      </c>
      <c r="J1122" s="2" t="str">
        <f t="array" ref="J1122:N1122">_xlfn.XLOOKUP(A1122,Productos!$A$2:$A$61,Productos!$B$2:$F$61)</f>
        <v>Falda plisada</v>
      </c>
      <c r="K1122" s="2" t="s">
        <v>17</v>
      </c>
      <c r="L1122" s="2" t="s">
        <v>10</v>
      </c>
      <c r="M1122" s="2" t="s">
        <v>41</v>
      </c>
      <c r="N1122" s="2" t="s">
        <v>32</v>
      </c>
    </row>
    <row r="1123">
      <c r="A1123" s="2" t="str">
        <f>IFERROR(__xludf.DUMMYFUNCTION("""COMPUTED_VALUE"""),"PR044")</f>
        <v>PR044</v>
      </c>
      <c r="B1123" s="2" t="str">
        <f>IFERROR(__xludf.DUMMYFUNCTION("""COMPUTED_VALUE"""),"VD012")</f>
        <v>VD012</v>
      </c>
      <c r="C1123" s="2">
        <f>IFERROR(__xludf.DUMMYFUNCTION("""COMPUTED_VALUE"""),8.0)</f>
        <v>8</v>
      </c>
      <c r="D1123" s="6">
        <f>IFERROR(__xludf.DUMMYFUNCTION("""COMPUTED_VALUE"""),614.8)</f>
        <v>614.8</v>
      </c>
      <c r="E1123" s="6">
        <f>IFERROR(__xludf.DUMMYFUNCTION("GOOGLEFINANCE(""Currency:BRLMXN"")*D1123"),2088.783)</f>
        <v>2088.783</v>
      </c>
      <c r="F1123" s="6">
        <f>IFERROR(__xludf.DUMMYFUNCTION("GOOGLEFINANCE(""Currency:BRLPEN"")*D1123"),403.06287999999995)</f>
        <v>403.06288</v>
      </c>
      <c r="G1123" s="2" t="str">
        <f t="array" ref="G1123">_xlfn.XLOOKUP(B1123,Vendedores!$A$2:$A$41,Vendedores!$B$2:$B$41,"No hay datos")</f>
        <v>Ana Olmedo</v>
      </c>
      <c r="H1123" s="2" t="str">
        <f t="array" ref="H1123">_xlfn.XLOOKUP(B1123,Vendedores!$A$2:$A$41,Vendedores!$C$2:$C$41,"No hay datos")</f>
        <v>Río Claro</v>
      </c>
      <c r="I1123" s="2" t="str">
        <f t="array" ref="I1123">_xlfn.XLOOKUP(B1123,Vendedores!$A$2:$A$41,Vendedores!$D$2:$D$41,"No hay datos")</f>
        <v>Región Central</v>
      </c>
      <c r="J1123" s="2" t="str">
        <f t="array" ref="J1123:N1123">_xlfn.XLOOKUP(A1123,Productos!$A$2:$A$61,Productos!$B$2:$F$61)</f>
        <v>Vestido floral</v>
      </c>
      <c r="K1123" s="2" t="s">
        <v>17</v>
      </c>
      <c r="L1123" s="2" t="s">
        <v>10</v>
      </c>
      <c r="M1123" s="2" t="s">
        <v>105</v>
      </c>
      <c r="N1123" s="2" t="s">
        <v>40</v>
      </c>
    </row>
    <row r="1124">
      <c r="A1124" s="2" t="str">
        <f>IFERROR(__xludf.DUMMYFUNCTION("""COMPUTED_VALUE"""),"PR024")</f>
        <v>PR024</v>
      </c>
      <c r="B1124" s="2" t="str">
        <f>IFERROR(__xludf.DUMMYFUNCTION("""COMPUTED_VALUE"""),"VD036")</f>
        <v>VD036</v>
      </c>
      <c r="C1124" s="2">
        <f>IFERROR(__xludf.DUMMYFUNCTION("""COMPUTED_VALUE"""),16.0)</f>
        <v>16</v>
      </c>
      <c r="D1124" s="6">
        <f>IFERROR(__xludf.DUMMYFUNCTION("""COMPUTED_VALUE"""),4283.15)</f>
        <v>4283.15</v>
      </c>
      <c r="E1124" s="6">
        <f>IFERROR(__xludf.DUMMYFUNCTION("GOOGLEFINANCE(""Currency:BRLMXN"")*D1124"),14552.002124999999)</f>
        <v>14552.00213</v>
      </c>
      <c r="F1124" s="6">
        <f>IFERROR(__xludf.DUMMYFUNCTION("GOOGLEFINANCE(""Currency:BRLPEN"")*D1124"),2808.0331399999995)</f>
        <v>2808.03314</v>
      </c>
      <c r="G1124" s="2" t="str">
        <f t="array" ref="G1124">_xlfn.XLOOKUP(B1124,Vendedores!$A$2:$A$41,Vendedores!$B$2:$B$41,"No hay datos")</f>
        <v>Ricardo Sosa</v>
      </c>
      <c r="H1124" s="2" t="str">
        <f t="array" ref="H1124">_xlfn.XLOOKUP(B1124,Vendedores!$A$2:$A$41,Vendedores!$C$2:$C$41,"No hay datos")</f>
        <v>Puerto Nuevo</v>
      </c>
      <c r="I1124" s="2" t="str">
        <f t="array" ref="I1124">_xlfn.XLOOKUP(B1124,Vendedores!$A$2:$A$41,Vendedores!$D$2:$D$41,"No hay datos")</f>
        <v>Región Central 2</v>
      </c>
      <c r="J1124" s="2" t="str">
        <f t="array" ref="J1124:N1124">_xlfn.XLOOKUP(A1124,Productos!$A$2:$A$61,Productos!$B$2:$F$61)</f>
        <v>Chaqueta de mezclilla</v>
      </c>
      <c r="K1124" s="2" t="s">
        <v>17</v>
      </c>
      <c r="L1124" s="2" t="s">
        <v>10</v>
      </c>
      <c r="M1124" s="2" t="s">
        <v>92</v>
      </c>
      <c r="N1124" s="2" t="s">
        <v>64</v>
      </c>
    </row>
    <row r="1125">
      <c r="A1125" s="2" t="str">
        <f>IFERROR(__xludf.DUMMYFUNCTION("""COMPUTED_VALUE"""),"PR029")</f>
        <v>PR029</v>
      </c>
      <c r="B1125" s="2" t="str">
        <f>IFERROR(__xludf.DUMMYFUNCTION("""COMPUTED_VALUE"""),"VD017")</f>
        <v>VD017</v>
      </c>
      <c r="C1125" s="2">
        <f>IFERROR(__xludf.DUMMYFUNCTION("""COMPUTED_VALUE"""),8.0)</f>
        <v>8</v>
      </c>
      <c r="D1125" s="6">
        <f>IFERROR(__xludf.DUMMYFUNCTION("""COMPUTED_VALUE"""),2182.8)</f>
        <v>2182.8</v>
      </c>
      <c r="E1125" s="6">
        <f>IFERROR(__xludf.DUMMYFUNCTION("GOOGLEFINANCE(""Currency:BRLMXN"")*D1125"),7416.063)</f>
        <v>7416.063</v>
      </c>
      <c r="F1125" s="6">
        <f>IFERROR(__xludf.DUMMYFUNCTION("GOOGLEFINANCE(""Currency:BRLPEN"")*D1125"),1431.04368)</f>
        <v>1431.04368</v>
      </c>
      <c r="G1125" s="2" t="str">
        <f t="array" ref="G1125">_xlfn.XLOOKUP(B1125,Vendedores!$A$2:$A$41,Vendedores!$B$2:$B$41,"No hay datos")</f>
        <v>Bruno Peralta</v>
      </c>
      <c r="H1125" s="2" t="str">
        <f t="array" ref="H1125">_xlfn.XLOOKUP(B1125,Vendedores!$A$2:$A$41,Vendedores!$C$2:$C$41,"No hay datos")</f>
        <v>Costa Azul</v>
      </c>
      <c r="I1125" s="2" t="str">
        <f t="array" ref="I1125">_xlfn.XLOOKUP(B1125,Vendedores!$A$2:$A$41,Vendedores!$D$2:$D$41,"No hay datos")</f>
        <v>Región Norte</v>
      </c>
      <c r="J1125" s="2" t="str">
        <f t="array" ref="J1125:N1125">_xlfn.XLOOKUP(A1125,Productos!$A$2:$A$61,Productos!$B$2:$F$61)</f>
        <v>Tenis Atitas</v>
      </c>
      <c r="K1125" s="2">
        <v>37.0</v>
      </c>
      <c r="L1125" s="2" t="s">
        <v>33</v>
      </c>
      <c r="M1125" s="2" t="s">
        <v>96</v>
      </c>
      <c r="N1125" s="2" t="s">
        <v>97</v>
      </c>
    </row>
    <row r="1126">
      <c r="A1126" s="2" t="str">
        <f>IFERROR(__xludf.DUMMYFUNCTION("""COMPUTED_VALUE"""),"PR039")</f>
        <v>PR039</v>
      </c>
      <c r="B1126" s="2" t="str">
        <f>IFERROR(__xludf.DUMMYFUNCTION("""COMPUTED_VALUE"""),"VD037")</f>
        <v>VD037</v>
      </c>
      <c r="C1126" s="2">
        <f>IFERROR(__xludf.DUMMYFUNCTION("""COMPUTED_VALUE"""),16.0)</f>
        <v>16</v>
      </c>
      <c r="D1126" s="6">
        <f>IFERROR(__xludf.DUMMYFUNCTION("""COMPUTED_VALUE"""),2429.44)</f>
        <v>2429.44</v>
      </c>
      <c r="E1126" s="6">
        <f>IFERROR(__xludf.DUMMYFUNCTION("GOOGLEFINANCE(""Currency:BRLMXN"")*D1126"),8254.0224)</f>
        <v>8254.0224</v>
      </c>
      <c r="F1126" s="6">
        <f>IFERROR(__xludf.DUMMYFUNCTION("GOOGLEFINANCE(""Currency:BRLPEN"")*D1126"),1592.7408639999999)</f>
        <v>1592.740864</v>
      </c>
      <c r="G1126" s="2" t="str">
        <f t="array" ref="G1126">_xlfn.XLOOKUP(B1126,Vendedores!$A$2:$A$41,Vendedores!$B$2:$B$41,"No hay datos")</f>
        <v>Amanda Silva</v>
      </c>
      <c r="H1126" s="2" t="str">
        <f t="array" ref="H1126">_xlfn.XLOOKUP(B1126,Vendedores!$A$2:$A$41,Vendedores!$C$2:$C$41,"No hay datos")</f>
        <v>Villa Esperanza</v>
      </c>
      <c r="I1126" s="2" t="str">
        <f t="array" ref="I1126">_xlfn.XLOOKUP(B1126,Vendedores!$A$2:$A$41,Vendedores!$D$2:$D$41,"No hay datos")</f>
        <v>Región Sur 2</v>
      </c>
      <c r="J1126" s="2" t="str">
        <f t="array" ref="J1126:N1126">_xlfn.XLOOKUP(A1126,Productos!$A$2:$A$61,Productos!$B$2:$F$61)</f>
        <v>Vestido largo</v>
      </c>
      <c r="K1126" s="2" t="s">
        <v>22</v>
      </c>
      <c r="L1126" s="2" t="s">
        <v>10</v>
      </c>
      <c r="M1126" s="2" t="s">
        <v>73</v>
      </c>
      <c r="N1126" s="2" t="s">
        <v>74</v>
      </c>
    </row>
    <row r="1127">
      <c r="A1127" s="2" t="str">
        <f>IFERROR(__xludf.DUMMYFUNCTION("""COMPUTED_VALUE"""),"PR002")</f>
        <v>PR002</v>
      </c>
      <c r="B1127" s="2" t="str">
        <f>IFERROR(__xludf.DUMMYFUNCTION("""COMPUTED_VALUE"""),"VD015")</f>
        <v>VD015</v>
      </c>
      <c r="C1127" s="2">
        <f>IFERROR(__xludf.DUMMYFUNCTION("""COMPUTED_VALUE"""),1.0)</f>
        <v>1</v>
      </c>
      <c r="D1127" s="6">
        <f>IFERROR(__xludf.DUMMYFUNCTION("""COMPUTED_VALUE"""),72.0)</f>
        <v>72</v>
      </c>
      <c r="E1127" s="6">
        <f>IFERROR(__xludf.DUMMYFUNCTION("GOOGLEFINANCE(""Currency:BRLMXN"")*D1127"),244.62)</f>
        <v>244.62</v>
      </c>
      <c r="F1127" s="6">
        <f>IFERROR(__xludf.DUMMYFUNCTION("GOOGLEFINANCE(""Currency:BRLPEN"")*D1127"),47.203199999999995)</f>
        <v>47.2032</v>
      </c>
      <c r="G1127" s="2" t="str">
        <f t="array" ref="G1127">_xlfn.XLOOKUP(B1127,Vendedores!$A$2:$A$41,Vendedores!$B$2:$B$41,"No hay datos")</f>
        <v>Lucas Castillo</v>
      </c>
      <c r="H1127" s="2" t="str">
        <f t="array" ref="H1127">_xlfn.XLOOKUP(B1127,Vendedores!$A$2:$A$41,Vendedores!$C$2:$C$41,"No hay datos")</f>
        <v>San Miguel de los Pinos</v>
      </c>
      <c r="I1127" s="2" t="str">
        <f t="array" ref="I1127">_xlfn.XLOOKUP(B1127,Vendedores!$A$2:$A$41,Vendedores!$D$2:$D$41,"No hay datos")</f>
        <v>Región Sur</v>
      </c>
      <c r="J1127" s="2" t="str">
        <f t="array" ref="J1127:N1127">_xlfn.XLOOKUP(A1127,Productos!$A$2:$A$61,Productos!$B$2:$F$61)</f>
        <v>Bermuda</v>
      </c>
      <c r="K1127" s="2" t="s">
        <v>17</v>
      </c>
      <c r="L1127" s="2" t="s">
        <v>10</v>
      </c>
      <c r="M1127" s="2" t="s">
        <v>49</v>
      </c>
      <c r="N1127" s="2" t="s">
        <v>50</v>
      </c>
    </row>
    <row r="1128">
      <c r="A1128" s="2" t="str">
        <f>IFERROR(__xludf.DUMMYFUNCTION("""COMPUTED_VALUE"""),"PR007")</f>
        <v>PR007</v>
      </c>
      <c r="B1128" s="2" t="str">
        <f>IFERROR(__xludf.DUMMYFUNCTION("""COMPUTED_VALUE"""),"VD035")</f>
        <v>VD035</v>
      </c>
      <c r="C1128" s="2">
        <f>IFERROR(__xludf.DUMMYFUNCTION("""COMPUTED_VALUE"""),2.0)</f>
        <v>2</v>
      </c>
      <c r="D1128" s="6">
        <f>IFERROR(__xludf.DUMMYFUNCTION("""COMPUTED_VALUE"""),185.54)</f>
        <v>185.54</v>
      </c>
      <c r="E1128" s="6">
        <f>IFERROR(__xludf.DUMMYFUNCTION("GOOGLEFINANCE(""Currency:BRLMXN"")*D1128"),630.3721499999999)</f>
        <v>630.37215</v>
      </c>
      <c r="F1128" s="6">
        <f>IFERROR(__xludf.DUMMYFUNCTION("GOOGLEFINANCE(""Currency:BRLPEN"")*D1128"),121.64002399999998)</f>
        <v>121.640024</v>
      </c>
      <c r="G1128" s="2" t="str">
        <f t="array" ref="G1128">_xlfn.XLOOKUP(B1128,Vendedores!$A$2:$A$41,Vendedores!$B$2:$B$41,"No hay datos")</f>
        <v>Carolina Méndez</v>
      </c>
      <c r="H1128" s="2" t="str">
        <f t="array" ref="H1128">_xlfn.XLOOKUP(B1128,Vendedores!$A$2:$A$41,Vendedores!$C$2:$C$41,"No hay datos")</f>
        <v>Valle de los Robles</v>
      </c>
      <c r="I1128" s="2" t="str">
        <f t="array" ref="I1128">_xlfn.XLOOKUP(B1128,Vendedores!$A$2:$A$41,Vendedores!$D$2:$D$41,"No hay datos")</f>
        <v>Región Central 2</v>
      </c>
      <c r="J1128" s="2" t="str">
        <f t="array" ref="J1128:N1128">_xlfn.XLOOKUP(A1128,Productos!$A$2:$A$61,Productos!$B$2:$F$61)</f>
        <v>Pantalón de mezclilla</v>
      </c>
      <c r="K1128" s="2" t="s">
        <v>9</v>
      </c>
      <c r="L1128" s="2" t="s">
        <v>10</v>
      </c>
      <c r="M1128" s="2" t="s">
        <v>103</v>
      </c>
      <c r="N1128" s="2" t="s">
        <v>104</v>
      </c>
    </row>
    <row r="1129">
      <c r="A1129" s="2" t="str">
        <f>IFERROR(__xludf.DUMMYFUNCTION("""COMPUTED_VALUE"""),"PR012")</f>
        <v>PR012</v>
      </c>
      <c r="B1129" s="2" t="str">
        <f>IFERROR(__xludf.DUMMYFUNCTION("""COMPUTED_VALUE"""),"VD027")</f>
        <v>VD027</v>
      </c>
      <c r="C1129" s="2">
        <f>IFERROR(__xludf.DUMMYFUNCTION("""COMPUTED_VALUE"""),6.0)</f>
        <v>6</v>
      </c>
      <c r="D1129" s="6">
        <f>IFERROR(__xludf.DUMMYFUNCTION("""COMPUTED_VALUE"""),296.33)</f>
        <v>296.33</v>
      </c>
      <c r="E1129" s="6">
        <f>IFERROR(__xludf.DUMMYFUNCTION("GOOGLEFINANCE(""Currency:BRLMXN"")*D1129"),1006.781175)</f>
        <v>1006.781175</v>
      </c>
      <c r="F1129" s="6">
        <f>IFERROR(__xludf.DUMMYFUNCTION("GOOGLEFINANCE(""Currency:BRLPEN"")*D1129"),194.273948)</f>
        <v>194.273948</v>
      </c>
      <c r="G1129" s="2" t="str">
        <f t="array" ref="G1129">_xlfn.XLOOKUP(B1129,Vendedores!$A$2:$A$41,Vendedores!$B$2:$B$41,"No hay datos")</f>
        <v>Patricia Cortés</v>
      </c>
      <c r="H1129" s="2" t="str">
        <f t="array" ref="H1129">_xlfn.XLOOKUP(B1129,Vendedores!$A$2:$A$41,Vendedores!$C$2:$C$41,"No hay datos")</f>
        <v>Costa Azul</v>
      </c>
      <c r="I1129" s="2" t="str">
        <f t="array" ref="I1129">_xlfn.XLOOKUP(B1129,Vendedores!$A$2:$A$41,Vendedores!$D$2:$D$41,"No hay datos")</f>
        <v>Región Norte</v>
      </c>
      <c r="J1129" s="2" t="str">
        <f t="array" ref="J1129:N1129">_xlfn.XLOOKUP(A1129,Productos!$A$2:$A$61,Productos!$B$2:$F$61)</f>
        <v>Pantalón legging</v>
      </c>
      <c r="K1129" s="2" t="s">
        <v>22</v>
      </c>
      <c r="L1129" s="2" t="s">
        <v>10</v>
      </c>
      <c r="M1129" s="2" t="s">
        <v>88</v>
      </c>
      <c r="N1129" s="2" t="s">
        <v>89</v>
      </c>
    </row>
    <row r="1130">
      <c r="A1130" s="2" t="str">
        <f>IFERROR(__xludf.DUMMYFUNCTION("""COMPUTED_VALUE"""),"PR034")</f>
        <v>PR034</v>
      </c>
      <c r="B1130" s="2" t="str">
        <f>IFERROR(__xludf.DUMMYFUNCTION("""COMPUTED_VALUE"""),"VD017")</f>
        <v>VD017</v>
      </c>
      <c r="C1130" s="2">
        <f>IFERROR(__xludf.DUMMYFUNCTION("""COMPUTED_VALUE"""),3.0)</f>
        <v>3</v>
      </c>
      <c r="D1130" s="6">
        <f>IFERROR(__xludf.DUMMYFUNCTION("""COMPUTED_VALUE"""),275.09)</f>
        <v>275.09</v>
      </c>
      <c r="E1130" s="6">
        <f>IFERROR(__xludf.DUMMYFUNCTION("GOOGLEFINANCE(""Currency:BRLMXN"")*D1130"),934.6182749999999)</f>
        <v>934.618275</v>
      </c>
      <c r="F1130" s="6">
        <f>IFERROR(__xludf.DUMMYFUNCTION("GOOGLEFINANCE(""Currency:BRLPEN"")*D1130"),180.34900399999998)</f>
        <v>180.349004</v>
      </c>
      <c r="G1130" s="2" t="str">
        <f t="array" ref="G1130">_xlfn.XLOOKUP(B1130,Vendedores!$A$2:$A$41,Vendedores!$B$2:$B$41,"No hay datos")</f>
        <v>Bruno Peralta</v>
      </c>
      <c r="H1130" s="2" t="str">
        <f t="array" ref="H1130">_xlfn.XLOOKUP(B1130,Vendedores!$A$2:$A$41,Vendedores!$C$2:$C$41,"No hay datos")</f>
        <v>Costa Azul</v>
      </c>
      <c r="I1130" s="2" t="str">
        <f t="array" ref="I1130">_xlfn.XLOOKUP(B1130,Vendedores!$A$2:$A$41,Vendedores!$D$2:$D$41,"No hay datos")</f>
        <v>Región Norte</v>
      </c>
      <c r="J1130" s="2" t="str">
        <f t="array" ref="J1130:N1130">_xlfn.XLOOKUP(A1130,Productos!$A$2:$A$61,Productos!$B$2:$F$61)</f>
        <v>Vestido corto</v>
      </c>
      <c r="K1130" s="2" t="s">
        <v>9</v>
      </c>
      <c r="L1130" s="2" t="s">
        <v>10</v>
      </c>
      <c r="M1130" s="2" t="s">
        <v>93</v>
      </c>
      <c r="N1130" s="2" t="s">
        <v>35</v>
      </c>
    </row>
    <row r="1131">
      <c r="A1131" s="2" t="str">
        <f>IFERROR(__xludf.DUMMYFUNCTION("""COMPUTED_VALUE"""),"PR039")</f>
        <v>PR039</v>
      </c>
      <c r="B1131" s="2" t="str">
        <f>IFERROR(__xludf.DUMMYFUNCTION("""COMPUTED_VALUE"""),"VD020")</f>
        <v>VD020</v>
      </c>
      <c r="C1131" s="2">
        <f>IFERROR(__xludf.DUMMYFUNCTION("""COMPUTED_VALUE"""),14.0)</f>
        <v>14</v>
      </c>
      <c r="D1131" s="6">
        <f>IFERROR(__xludf.DUMMYFUNCTION("""COMPUTED_VALUE"""),2125.76)</f>
        <v>2125.76</v>
      </c>
      <c r="E1131" s="6">
        <f>IFERROR(__xludf.DUMMYFUNCTION("GOOGLEFINANCE(""Currency:BRLMXN"")*D1131"),7222.2696000000005)</f>
        <v>7222.2696</v>
      </c>
      <c r="F1131" s="6">
        <f>IFERROR(__xludf.DUMMYFUNCTION("GOOGLEFINANCE(""Currency:BRLPEN"")*D1131"),1393.648256)</f>
        <v>1393.648256</v>
      </c>
      <c r="G1131" s="2" t="str">
        <f t="array" ref="G1131">_xlfn.XLOOKUP(B1131,Vendedores!$A$2:$A$41,Vendedores!$B$2:$B$41,"No hay datos")</f>
        <v>Gustavo Morales</v>
      </c>
      <c r="H1131" s="2" t="str">
        <f t="array" ref="H1131">_xlfn.XLOOKUP(B1131,Vendedores!$A$2:$A$41,Vendedores!$C$2:$C$41,"No hay datos")</f>
        <v>Villa del Sol</v>
      </c>
      <c r="I1131" s="2" t="str">
        <f t="array" ref="I1131">_xlfn.XLOOKUP(B1131,Vendedores!$A$2:$A$41,Vendedores!$D$2:$D$41,"No hay datos")</f>
        <v>Región Central 2</v>
      </c>
      <c r="J1131" s="2" t="str">
        <f t="array" ref="J1131:N1131">_xlfn.XLOOKUP(A1131,Productos!$A$2:$A$61,Productos!$B$2:$F$61)</f>
        <v>Vestido largo</v>
      </c>
      <c r="K1131" s="2" t="s">
        <v>22</v>
      </c>
      <c r="L1131" s="2" t="s">
        <v>10</v>
      </c>
      <c r="M1131" s="2" t="s">
        <v>73</v>
      </c>
      <c r="N1131" s="2" t="s">
        <v>74</v>
      </c>
    </row>
    <row r="1132">
      <c r="A1132" s="2" t="str">
        <f>IFERROR(__xludf.DUMMYFUNCTION("""COMPUTED_VALUE"""),"PR015")</f>
        <v>PR015</v>
      </c>
      <c r="B1132" s="2" t="str">
        <f>IFERROR(__xludf.DUMMYFUNCTION("""COMPUTED_VALUE"""),"VD048")</f>
        <v>VD048</v>
      </c>
      <c r="C1132" s="2">
        <f>IFERROR(__xludf.DUMMYFUNCTION("""COMPUTED_VALUE"""),6.0)</f>
        <v>6</v>
      </c>
      <c r="D1132" s="6">
        <f>IFERROR(__xludf.DUMMYFUNCTION("""COMPUTED_VALUE"""),267.75)</f>
        <v>267.75</v>
      </c>
      <c r="E1132" s="6">
        <f>IFERROR(__xludf.DUMMYFUNCTION("GOOGLEFINANCE(""Currency:BRLMXN"")*D1132"),909.680625)</f>
        <v>909.680625</v>
      </c>
      <c r="F1132" s="6">
        <f>IFERROR(__xludf.DUMMYFUNCTION("GOOGLEFINANCE(""Currency:BRLPEN"")*D1132"),175.5369)</f>
        <v>175.5369</v>
      </c>
      <c r="G1132" s="2" t="str">
        <f t="array" ref="G1132">_xlfn.XLOOKUP(B1132,Vendedores!$A$2:$A$41,Vendedores!$B$2:$B$41,"No hay datos")</f>
        <v>Mariana Castro</v>
      </c>
      <c r="H1132" s="2" t="str">
        <f t="array" ref="H1132">_xlfn.XLOOKUP(B1132,Vendedores!$A$2:$A$41,Vendedores!$C$2:$C$41,"No hay datos")</f>
        <v>San Carlos del Valle</v>
      </c>
      <c r="I1132" s="2" t="str">
        <f t="array" ref="I1132">_xlfn.XLOOKUP(B1132,Vendedores!$A$2:$A$41,Vendedores!$D$2:$D$41,"No hay datos")</f>
        <v>Región Central 2</v>
      </c>
      <c r="J1132" s="2" t="str">
        <f t="array" ref="J1132:N1132">_xlfn.XLOOKUP(A1132,Productos!$A$2:$A$61,Productos!$B$2:$F$61)</f>
        <v>Playera estampada</v>
      </c>
      <c r="K1132" s="2" t="s">
        <v>22</v>
      </c>
      <c r="L1132" s="2" t="s">
        <v>10</v>
      </c>
      <c r="M1132" s="2" t="s">
        <v>101</v>
      </c>
      <c r="N1132" s="2" t="s">
        <v>102</v>
      </c>
    </row>
    <row r="1133">
      <c r="A1133" s="2" t="str">
        <f>IFERROR(__xludf.DUMMYFUNCTION("""COMPUTED_VALUE"""),"PR029")</f>
        <v>PR029</v>
      </c>
      <c r="B1133" s="2" t="str">
        <f>IFERROR(__xludf.DUMMYFUNCTION("""COMPUTED_VALUE"""),"VD043")</f>
        <v>VD043</v>
      </c>
      <c r="C1133" s="2">
        <f>IFERROR(__xludf.DUMMYFUNCTION("""COMPUTED_VALUE"""),5.0)</f>
        <v>5</v>
      </c>
      <c r="D1133" s="6">
        <f>IFERROR(__xludf.DUMMYFUNCTION("""COMPUTED_VALUE"""),1300.5)</f>
        <v>1300.5</v>
      </c>
      <c r="E1133" s="6">
        <f>IFERROR(__xludf.DUMMYFUNCTION("GOOGLEFINANCE(""Currency:BRLMXN"")*D1133"),4418.44875)</f>
        <v>4418.44875</v>
      </c>
      <c r="F1133" s="6">
        <f>IFERROR(__xludf.DUMMYFUNCTION("GOOGLEFINANCE(""Currency:BRLPEN"")*D1133"),852.6078)</f>
        <v>852.6078</v>
      </c>
      <c r="G1133" s="2" t="str">
        <f t="array" ref="G1133">_xlfn.XLOOKUP(B1133,Vendedores!$A$2:$A$41,Vendedores!$B$2:$B$41,"No hay datos")</f>
        <v>Carlos Henríquez</v>
      </c>
      <c r="H1133" s="2" t="str">
        <f t="array" ref="H1133">_xlfn.XLOOKUP(B1133,Vendedores!$A$2:$A$41,Vendedores!$C$2:$C$41,"No hay datos")</f>
        <v>Ciudad Aeropuerto</v>
      </c>
      <c r="I1133" s="2" t="str">
        <f t="array" ref="I1133">_xlfn.XLOOKUP(B1133,Vendedores!$A$2:$A$41,Vendedores!$D$2:$D$41,"No hay datos")</f>
        <v>Región Central 2</v>
      </c>
      <c r="J1133" s="2" t="str">
        <f t="array" ref="J1133:N1133">_xlfn.XLOOKUP(A1133,Productos!$A$2:$A$61,Productos!$B$2:$F$61)</f>
        <v>Tenis Atitas</v>
      </c>
      <c r="K1133" s="2">
        <v>37.0</v>
      </c>
      <c r="L1133" s="2" t="s">
        <v>33</v>
      </c>
      <c r="M1133" s="2" t="s">
        <v>96</v>
      </c>
      <c r="N1133" s="2" t="s">
        <v>97</v>
      </c>
    </row>
    <row r="1134">
      <c r="A1134" s="2" t="str">
        <f>IFERROR(__xludf.DUMMYFUNCTION("""COMPUTED_VALUE"""),"PR016")</f>
        <v>PR016</v>
      </c>
      <c r="B1134" s="2" t="str">
        <f>IFERROR(__xludf.DUMMYFUNCTION("""COMPUTED_VALUE"""),"VD039")</f>
        <v>VD039</v>
      </c>
      <c r="C1134" s="2">
        <f>IFERROR(__xludf.DUMMYFUNCTION("""COMPUTED_VALUE"""),4.0)</f>
        <v>4</v>
      </c>
      <c r="D1134" s="6">
        <f>IFERROR(__xludf.DUMMYFUNCTION("""COMPUTED_VALUE"""),111.89)</f>
        <v>111.89</v>
      </c>
      <c r="E1134" s="6">
        <f>IFERROR(__xludf.DUMMYFUNCTION("GOOGLEFINANCE(""Currency:BRLMXN"")*D1134"),380.146275)</f>
        <v>380.146275</v>
      </c>
      <c r="F1134" s="6">
        <f>IFERROR(__xludf.DUMMYFUNCTION("GOOGLEFINANCE(""Currency:BRLPEN"")*D1134"),73.35508399999999)</f>
        <v>73.355084</v>
      </c>
      <c r="G1134" s="2" t="str">
        <f t="array" ref="G1134">_xlfn.XLOOKUP(B1134,Vendedores!$A$2:$A$41,Vendedores!$B$2:$B$41,"No hay datos")</f>
        <v>Daniela Rodríguez</v>
      </c>
      <c r="H1134" s="2" t="str">
        <f t="array" ref="H1134">_xlfn.XLOOKUP(B1134,Vendedores!$A$2:$A$41,Vendedores!$C$2:$C$41,"No hay datos")</f>
        <v>Bahía del Sol</v>
      </c>
      <c r="I1134" s="2" t="str">
        <f t="array" ref="I1134">_xlfn.XLOOKUP(B1134,Vendedores!$A$2:$A$41,Vendedores!$D$2:$D$41,"No hay datos")</f>
        <v>Región Central 2</v>
      </c>
      <c r="J1134" s="2" t="str">
        <f t="array" ref="J1134:N1134">_xlfn.XLOOKUP(A1134,Productos!$A$2:$A$61,Productos!$B$2:$F$61)</f>
        <v>Playera lisa</v>
      </c>
      <c r="K1134" s="2" t="s">
        <v>9</v>
      </c>
      <c r="L1134" s="2" t="s">
        <v>10</v>
      </c>
      <c r="M1134" s="2" t="s">
        <v>20</v>
      </c>
      <c r="N1134" s="2" t="s">
        <v>21</v>
      </c>
    </row>
    <row r="1135">
      <c r="A1135" s="2" t="str">
        <f>IFERROR(__xludf.DUMMYFUNCTION("""COMPUTED_VALUE"""),"PR012")</f>
        <v>PR012</v>
      </c>
      <c r="B1135" s="2" t="str">
        <f>IFERROR(__xludf.DUMMYFUNCTION("""COMPUTED_VALUE"""),"VD037")</f>
        <v>VD037</v>
      </c>
      <c r="C1135" s="2">
        <f>IFERROR(__xludf.DUMMYFUNCTION("""COMPUTED_VALUE"""),2.0)</f>
        <v>2</v>
      </c>
      <c r="D1135" s="6">
        <f>IFERROR(__xludf.DUMMYFUNCTION("""COMPUTED_VALUE"""),99.76)</f>
        <v>99.76</v>
      </c>
      <c r="E1135" s="6">
        <f>IFERROR(__xludf.DUMMYFUNCTION("GOOGLEFINANCE(""Currency:BRLMXN"")*D1135"),338.9346)</f>
        <v>338.9346</v>
      </c>
      <c r="F1135" s="6">
        <f>IFERROR(__xludf.DUMMYFUNCTION("GOOGLEFINANCE(""Currency:BRLPEN"")*D1135"),65.402656)</f>
        <v>65.402656</v>
      </c>
      <c r="G1135" s="2" t="str">
        <f t="array" ref="G1135">_xlfn.XLOOKUP(B1135,Vendedores!$A$2:$A$41,Vendedores!$B$2:$B$41,"No hay datos")</f>
        <v>Amanda Silva</v>
      </c>
      <c r="H1135" s="2" t="str">
        <f t="array" ref="H1135">_xlfn.XLOOKUP(B1135,Vendedores!$A$2:$A$41,Vendedores!$C$2:$C$41,"No hay datos")</f>
        <v>Villa Esperanza</v>
      </c>
      <c r="I1135" s="2" t="str">
        <f t="array" ref="I1135">_xlfn.XLOOKUP(B1135,Vendedores!$A$2:$A$41,Vendedores!$D$2:$D$41,"No hay datos")</f>
        <v>Región Sur 2</v>
      </c>
      <c r="J1135" s="2" t="str">
        <f t="array" ref="J1135:N1135">_xlfn.XLOOKUP(A1135,Productos!$A$2:$A$61,Productos!$B$2:$F$61)</f>
        <v>Pantalón legging</v>
      </c>
      <c r="K1135" s="2" t="s">
        <v>22</v>
      </c>
      <c r="L1135" s="2" t="s">
        <v>10</v>
      </c>
      <c r="M1135" s="2" t="s">
        <v>88</v>
      </c>
      <c r="N1135" s="2" t="s">
        <v>89</v>
      </c>
    </row>
    <row r="1136">
      <c r="A1136" s="2" t="str">
        <f>IFERROR(__xludf.DUMMYFUNCTION("""COMPUTED_VALUE"""),"PR020")</f>
        <v>PR020</v>
      </c>
      <c r="B1136" s="2" t="str">
        <f>IFERROR(__xludf.DUMMYFUNCTION("""COMPUTED_VALUE"""),"VD014")</f>
        <v>VD014</v>
      </c>
      <c r="C1136" s="2">
        <f>IFERROR(__xludf.DUMMYFUNCTION("""COMPUTED_VALUE"""),2.0)</f>
        <v>2</v>
      </c>
      <c r="D1136" s="6">
        <f>IFERROR(__xludf.DUMMYFUNCTION("""COMPUTED_VALUE"""),659.78)</f>
        <v>659.78</v>
      </c>
      <c r="E1136" s="6">
        <f>IFERROR(__xludf.DUMMYFUNCTION("GOOGLEFINANCE(""Currency:BRLMXN"")*D1136"),2241.60255)</f>
        <v>2241.60255</v>
      </c>
      <c r="F1136" s="6">
        <f>IFERROR(__xludf.DUMMYFUNCTION("GOOGLEFINANCE(""Currency:BRLPEN"")*D1136"),432.551768)</f>
        <v>432.551768</v>
      </c>
      <c r="G1136" s="2" t="str">
        <f t="array" ref="G1136">_xlfn.XLOOKUP(B1136,Vendedores!$A$2:$A$41,Vendedores!$B$2:$B$41,"No hay datos")</f>
        <v>Carla Flores</v>
      </c>
      <c r="H1136" s="2" t="str">
        <f t="array" ref="H1136">_xlfn.XLOOKUP(B1136,Vendedores!$A$2:$A$41,Vendedores!$C$2:$C$41,"No hay datos")</f>
        <v>Valle Escondido</v>
      </c>
      <c r="I1136" s="2" t="str">
        <f t="array" ref="I1136">_xlfn.XLOOKUP(B1136,Vendedores!$A$2:$A$41,Vendedores!$D$2:$D$41,"No hay datos")</f>
        <v>Región Andina</v>
      </c>
      <c r="J1136" s="2" t="str">
        <f t="array" ref="J1136:N1136">_xlfn.XLOOKUP(A1136,Productos!$A$2:$A$61,Productos!$B$2:$F$61)</f>
        <v>Chaqueta de cuero</v>
      </c>
      <c r="K1136" s="2" t="s">
        <v>9</v>
      </c>
      <c r="L1136" s="2" t="s">
        <v>10</v>
      </c>
      <c r="M1136" s="2" t="s">
        <v>15</v>
      </c>
      <c r="N1136" s="2" t="s">
        <v>16</v>
      </c>
    </row>
    <row r="1137">
      <c r="A1137" s="2" t="str">
        <f>IFERROR(__xludf.DUMMYFUNCTION("""COMPUTED_VALUE"""),"PR043")</f>
        <v>PR043</v>
      </c>
      <c r="B1137" s="2" t="str">
        <f>IFERROR(__xludf.DUMMYFUNCTION("""COMPUTED_VALUE"""),"VD039")</f>
        <v>VD039</v>
      </c>
      <c r="C1137" s="2">
        <f>IFERROR(__xludf.DUMMYFUNCTION("""COMPUTED_VALUE"""),8.0)</f>
        <v>8</v>
      </c>
      <c r="D1137" s="6">
        <f>IFERROR(__xludf.DUMMYFUNCTION("""COMPUTED_VALUE"""),585.8)</f>
        <v>585.8</v>
      </c>
      <c r="E1137" s="6">
        <f>IFERROR(__xludf.DUMMYFUNCTION("GOOGLEFINANCE(""Currency:BRLMXN"")*D1137"),1990.2554999999998)</f>
        <v>1990.2555</v>
      </c>
      <c r="F1137" s="6">
        <f>IFERROR(__xludf.DUMMYFUNCTION("GOOGLEFINANCE(""Currency:BRLPEN"")*D1137"),384.05047999999994)</f>
        <v>384.05048</v>
      </c>
      <c r="G1137" s="2" t="str">
        <f t="array" ref="G1137">_xlfn.XLOOKUP(B1137,Vendedores!$A$2:$A$41,Vendedores!$B$2:$B$41,"No hay datos")</f>
        <v>Daniela Rodríguez</v>
      </c>
      <c r="H1137" s="2" t="str">
        <f t="array" ref="H1137">_xlfn.XLOOKUP(B1137,Vendedores!$A$2:$A$41,Vendedores!$C$2:$C$41,"No hay datos")</f>
        <v>Bahía del Sol</v>
      </c>
      <c r="I1137" s="2" t="str">
        <f t="array" ref="I1137">_xlfn.XLOOKUP(B1137,Vendedores!$A$2:$A$41,Vendedores!$D$2:$D$41,"No hay datos")</f>
        <v>Región Central 2</v>
      </c>
      <c r="J1137" s="2" t="str">
        <f t="array" ref="J1137:N1137">_xlfn.XLOOKUP(A1137,Productos!$A$2:$A$61,Productos!$B$2:$F$61)</f>
        <v>Vestido floral</v>
      </c>
      <c r="K1137" s="2" t="s">
        <v>9</v>
      </c>
      <c r="L1137" s="2" t="s">
        <v>10</v>
      </c>
      <c r="M1137" s="2" t="s">
        <v>69</v>
      </c>
      <c r="N1137" s="2" t="s">
        <v>40</v>
      </c>
    </row>
    <row r="1138">
      <c r="A1138" s="2" t="str">
        <f>IFERROR(__xludf.DUMMYFUNCTION("""COMPUTED_VALUE"""),"PR059")</f>
        <v>PR059</v>
      </c>
      <c r="B1138" s="2" t="str">
        <f>IFERROR(__xludf.DUMMYFUNCTION("""COMPUTED_VALUE"""),"VD039")</f>
        <v>VD039</v>
      </c>
      <c r="C1138" s="2">
        <f>IFERROR(__xludf.DUMMYFUNCTION("""COMPUTED_VALUE"""),14.0)</f>
        <v>14</v>
      </c>
      <c r="D1138" s="6">
        <f>IFERROR(__xludf.DUMMYFUNCTION("""COMPUTED_VALUE"""),2620.8)</f>
        <v>2620.8</v>
      </c>
      <c r="E1138" s="6">
        <f>IFERROR(__xludf.DUMMYFUNCTION("GOOGLEFINANCE(""Currency:BRLMXN"")*D1138"),8904.168)</f>
        <v>8904.168</v>
      </c>
      <c r="F1138" s="6">
        <f>IFERROR(__xludf.DUMMYFUNCTION("GOOGLEFINANCE(""Currency:BRLPEN"")*D1138"),1718.19648)</f>
        <v>1718.19648</v>
      </c>
      <c r="G1138" s="2" t="str">
        <f t="array" ref="G1138">_xlfn.XLOOKUP(B1138,Vendedores!$A$2:$A$41,Vendedores!$B$2:$B$41,"No hay datos")</f>
        <v>Daniela Rodríguez</v>
      </c>
      <c r="H1138" s="2" t="str">
        <f t="array" ref="H1138">_xlfn.XLOOKUP(B1138,Vendedores!$A$2:$A$41,Vendedores!$C$2:$C$41,"No hay datos")</f>
        <v>Bahía del Sol</v>
      </c>
      <c r="I1138" s="2" t="str">
        <f t="array" ref="I1138">_xlfn.XLOOKUP(B1138,Vendedores!$A$2:$A$41,Vendedores!$D$2:$D$41,"No hay datos")</f>
        <v>Región Central 2</v>
      </c>
      <c r="J1138" s="2" t="str">
        <f t="array" ref="J1138:N1138">_xlfn.XLOOKUP(A1138,Productos!$A$2:$A$61,Productos!$B$2:$F$61)</f>
        <v>Pantalón de sastre</v>
      </c>
      <c r="K1138" s="2" t="s">
        <v>17</v>
      </c>
      <c r="L1138" s="2" t="s">
        <v>10</v>
      </c>
      <c r="M1138" s="2" t="s">
        <v>28</v>
      </c>
      <c r="N1138" s="2" t="s">
        <v>14</v>
      </c>
    </row>
    <row r="1139">
      <c r="A1139" s="2" t="str">
        <f>IFERROR(__xludf.DUMMYFUNCTION("""COMPUTED_VALUE"""),"PR053")</f>
        <v>PR053</v>
      </c>
      <c r="B1139" s="2" t="str">
        <f>IFERROR(__xludf.DUMMYFUNCTION("""COMPUTED_VALUE"""),"VD035")</f>
        <v>VD035</v>
      </c>
      <c r="C1139" s="2">
        <f>IFERROR(__xludf.DUMMYFUNCTION("""COMPUTED_VALUE"""),1.0)</f>
        <v>1</v>
      </c>
      <c r="D1139" s="6">
        <f>IFERROR(__xludf.DUMMYFUNCTION("""COMPUTED_VALUE"""),51.4)</f>
        <v>51.4</v>
      </c>
      <c r="E1139" s="6">
        <f>IFERROR(__xludf.DUMMYFUNCTION("GOOGLEFINANCE(""Currency:BRLMXN"")*D1139"),174.6315)</f>
        <v>174.6315</v>
      </c>
      <c r="F1139" s="6">
        <f>IFERROR(__xludf.DUMMYFUNCTION("GOOGLEFINANCE(""Currency:BRLPEN"")*D1139"),33.69784)</f>
        <v>33.69784</v>
      </c>
      <c r="G1139" s="2" t="str">
        <f t="array" ref="G1139">_xlfn.XLOOKUP(B1139,Vendedores!$A$2:$A$41,Vendedores!$B$2:$B$41,"No hay datos")</f>
        <v>Carolina Méndez</v>
      </c>
      <c r="H1139" s="2" t="str">
        <f t="array" ref="H1139">_xlfn.XLOOKUP(B1139,Vendedores!$A$2:$A$41,Vendedores!$C$2:$C$41,"No hay datos")</f>
        <v>Valle de los Robles</v>
      </c>
      <c r="I1139" s="2" t="str">
        <f t="array" ref="I1139">_xlfn.XLOOKUP(B1139,Vendedores!$A$2:$A$41,Vendedores!$D$2:$D$41,"No hay datos")</f>
        <v>Región Central 2</v>
      </c>
      <c r="J1139" s="2" t="str">
        <f t="array" ref="J1139:N1139">_xlfn.XLOOKUP(A1139,Productos!$A$2:$A$61,Productos!$B$2:$F$61)</f>
        <v>Falda plisada</v>
      </c>
      <c r="K1139" s="2" t="s">
        <v>17</v>
      </c>
      <c r="L1139" s="2" t="s">
        <v>10</v>
      </c>
      <c r="M1139" s="2" t="s">
        <v>41</v>
      </c>
      <c r="N1139" s="2" t="s">
        <v>32</v>
      </c>
    </row>
    <row r="1140">
      <c r="A1140" s="2" t="str">
        <f>IFERROR(__xludf.DUMMYFUNCTION("""COMPUTED_VALUE"""),"PR016")</f>
        <v>PR016</v>
      </c>
      <c r="B1140" s="2" t="str">
        <f>IFERROR(__xludf.DUMMYFUNCTION("""COMPUTED_VALUE"""),"VD041")</f>
        <v>VD041</v>
      </c>
      <c r="C1140" s="2">
        <f>IFERROR(__xludf.DUMMYFUNCTION("""COMPUTED_VALUE"""),10.0)</f>
        <v>10</v>
      </c>
      <c r="D1140" s="6">
        <f>IFERROR(__xludf.DUMMYFUNCTION("""COMPUTED_VALUE"""),271.95)</f>
        <v>271.95</v>
      </c>
      <c r="E1140" s="6">
        <f>IFERROR(__xludf.DUMMYFUNCTION("GOOGLEFINANCE(""Currency:BRLMXN"")*D1140"),923.950125)</f>
        <v>923.950125</v>
      </c>
      <c r="F1140" s="6">
        <f>IFERROR(__xludf.DUMMYFUNCTION("GOOGLEFINANCE(""Currency:BRLPEN"")*D1140"),178.29041999999998)</f>
        <v>178.29042</v>
      </c>
      <c r="G1140" s="2" t="str">
        <f t="array" ref="G1140">_xlfn.XLOOKUP(B1140,Vendedores!$A$2:$A$41,Vendedores!$B$2:$B$41,"No hay datos")</f>
        <v>Alejandro Ramos</v>
      </c>
      <c r="H1140" s="2" t="str">
        <f t="array" ref="H1140">_xlfn.XLOOKUP(B1140,Vendedores!$A$2:$A$41,Vendedores!$C$2:$C$41,"No hay datos")</f>
        <v>San Martín de las Rosas</v>
      </c>
      <c r="I1140" s="2" t="str">
        <f t="array" ref="I1140">_xlfn.XLOOKUP(B1140,Vendedores!$A$2:$A$41,Vendedores!$D$2:$D$41,"No hay datos")</f>
        <v>Región Central 2</v>
      </c>
      <c r="J1140" s="2" t="str">
        <f t="array" ref="J1140:N1140">_xlfn.XLOOKUP(A1140,Productos!$A$2:$A$61,Productos!$B$2:$F$61)</f>
        <v>Playera lisa</v>
      </c>
      <c r="K1140" s="2" t="s">
        <v>9</v>
      </c>
      <c r="L1140" s="2" t="s">
        <v>10</v>
      </c>
      <c r="M1140" s="2" t="s">
        <v>20</v>
      </c>
      <c r="N1140" s="2" t="s">
        <v>21</v>
      </c>
    </row>
    <row r="1141">
      <c r="A1141" s="2" t="str">
        <f>IFERROR(__xludf.DUMMYFUNCTION("""COMPUTED_VALUE"""),"PR038")</f>
        <v>PR038</v>
      </c>
      <c r="B1141" s="2" t="str">
        <f>IFERROR(__xludf.DUMMYFUNCTION("""COMPUTED_VALUE"""),"VD031")</f>
        <v>VD031</v>
      </c>
      <c r="C1141" s="2">
        <f>IFERROR(__xludf.DUMMYFUNCTION("""COMPUTED_VALUE"""),8.0)</f>
        <v>8</v>
      </c>
      <c r="D1141" s="6">
        <f>IFERROR(__xludf.DUMMYFUNCTION("""COMPUTED_VALUE"""),1177.5)</f>
        <v>1177.5</v>
      </c>
      <c r="E1141" s="6">
        <f>IFERROR(__xludf.DUMMYFUNCTION("GOOGLEFINANCE(""Currency:BRLMXN"")*D1141"),4000.55625)</f>
        <v>4000.55625</v>
      </c>
      <c r="F1141" s="6">
        <f>IFERROR(__xludf.DUMMYFUNCTION("GOOGLEFINANCE(""Currency:BRLPEN"")*D1141"),771.9689999999999)</f>
        <v>771.969</v>
      </c>
      <c r="G1141" s="2" t="str">
        <f t="array" ref="G1141">_xlfn.XLOOKUP(B1141,Vendedores!$A$2:$A$41,Vendedores!$B$2:$B$41,"No hay datos")</f>
        <v>Vanessa Martínez</v>
      </c>
      <c r="H1141" s="2" t="str">
        <f t="array" ref="H1141">_xlfn.XLOOKUP(B1141,Vendedores!$A$2:$A$41,Vendedores!$C$2:$C$41,"No hay datos")</f>
        <v>Monte Verde</v>
      </c>
      <c r="I1141" s="2" t="str">
        <f t="array" ref="I1141">_xlfn.XLOOKUP(B1141,Vendedores!$A$2:$A$41,Vendedores!$D$2:$D$41,"No hay datos")</f>
        <v>Región Central 2</v>
      </c>
      <c r="J1141" s="2" t="str">
        <f t="array" ref="J1141:N1141">_xlfn.XLOOKUP(A1141,Productos!$A$2:$A$61,Productos!$B$2:$F$61)</f>
        <v>Vestido largo</v>
      </c>
      <c r="K1141" s="2" t="s">
        <v>17</v>
      </c>
      <c r="L1141" s="2" t="s">
        <v>10</v>
      </c>
      <c r="M1141" s="2" t="s">
        <v>51</v>
      </c>
      <c r="N1141" s="2" t="s">
        <v>52</v>
      </c>
    </row>
    <row r="1142">
      <c r="A1142" s="2" t="str">
        <f>IFERROR(__xludf.DUMMYFUNCTION("""COMPUTED_VALUE"""),"PR059")</f>
        <v>PR059</v>
      </c>
      <c r="B1142" s="2" t="str">
        <f>IFERROR(__xludf.DUMMYFUNCTION("""COMPUTED_VALUE"""),"VD045")</f>
        <v>VD045</v>
      </c>
      <c r="C1142" s="2">
        <f>IFERROR(__xludf.DUMMYFUNCTION("""COMPUTED_VALUE"""),2.0)</f>
        <v>2</v>
      </c>
      <c r="D1142" s="6">
        <f>IFERROR(__xludf.DUMMYFUNCTION("""COMPUTED_VALUE"""),378.0)</f>
        <v>378</v>
      </c>
      <c r="E1142" s="6">
        <f>IFERROR(__xludf.DUMMYFUNCTION("GOOGLEFINANCE(""Currency:BRLMXN"")*D1142"),1284.2549999999999)</f>
        <v>1284.255</v>
      </c>
      <c r="F1142" s="6">
        <f>IFERROR(__xludf.DUMMYFUNCTION("GOOGLEFINANCE(""Currency:BRLPEN"")*D1142"),247.81679999999997)</f>
        <v>247.8168</v>
      </c>
      <c r="G1142" s="2" t="str">
        <f t="array" ref="G1142">_xlfn.XLOOKUP(B1142,Vendedores!$A$2:$A$41,Vendedores!$B$2:$B$41,"No hay datos")</f>
        <v>Rafael Morales</v>
      </c>
      <c r="H1142" s="2" t="str">
        <f t="array" ref="H1142">_xlfn.XLOOKUP(B1142,Vendedores!$A$2:$A$41,Vendedores!$C$2:$C$41,"No hay datos")</f>
        <v>Valle Dorado</v>
      </c>
      <c r="I1142" s="2" t="str">
        <f t="array" ref="I1142">_xlfn.XLOOKUP(B1142,Vendedores!$A$2:$A$41,Vendedores!$D$2:$D$41,"No hay datos")</f>
        <v>Región Central 2</v>
      </c>
      <c r="J1142" s="2" t="str">
        <f t="array" ref="J1142:N1142">_xlfn.XLOOKUP(A1142,Productos!$A$2:$A$61,Productos!$B$2:$F$61)</f>
        <v>Pantalón de sastre</v>
      </c>
      <c r="K1142" s="2" t="s">
        <v>17</v>
      </c>
      <c r="L1142" s="2" t="s">
        <v>10</v>
      </c>
      <c r="M1142" s="2" t="s">
        <v>28</v>
      </c>
      <c r="N1142" s="2" t="s">
        <v>14</v>
      </c>
    </row>
    <row r="1143">
      <c r="A1143" s="2" t="str">
        <f>IFERROR(__xludf.DUMMYFUNCTION("""COMPUTED_VALUE"""),"PR047")</f>
        <v>PR047</v>
      </c>
      <c r="B1143" s="2" t="str">
        <f>IFERROR(__xludf.DUMMYFUNCTION("""COMPUTED_VALUE"""),"VD018")</f>
        <v>VD018</v>
      </c>
      <c r="C1143" s="2">
        <f>IFERROR(__xludf.DUMMYFUNCTION("""COMPUTED_VALUE"""),16.0)</f>
        <v>16</v>
      </c>
      <c r="D1143" s="6">
        <f>IFERROR(__xludf.DUMMYFUNCTION("""COMPUTED_VALUE"""),4731.17)</f>
        <v>4731.17</v>
      </c>
      <c r="E1143" s="6">
        <f>IFERROR(__xludf.DUMMYFUNCTION("GOOGLEFINANCE(""Currency:BRLMXN"")*D1143"),16074.150075)</f>
        <v>16074.15008</v>
      </c>
      <c r="F1143" s="6">
        <f>IFERROR(__xludf.DUMMYFUNCTION("GOOGLEFINANCE(""Currency:BRLPEN"")*D1143"),3101.755052)</f>
        <v>3101.755052</v>
      </c>
      <c r="G1143" s="2" t="str">
        <f t="array" ref="G1143">_xlfn.XLOOKUP(B1143,Vendedores!$A$2:$A$41,Vendedores!$B$2:$B$41,"No hay datos")</f>
        <v>Leticia Rodríguez</v>
      </c>
      <c r="H1143" s="2" t="str">
        <f t="array" ref="H1143">_xlfn.XLOOKUP(B1143,Vendedores!$A$2:$A$41,Vendedores!$C$2:$C$41,"No hay datos")</f>
        <v>Playa Blanca</v>
      </c>
      <c r="I1143" s="2" t="str">
        <f t="array" ref="I1143">_xlfn.XLOOKUP(B1143,Vendedores!$A$2:$A$41,Vendedores!$D$2:$D$41,"No hay datos")</f>
        <v>Región Norte</v>
      </c>
      <c r="J1143" s="2" t="str">
        <f t="array" ref="J1143:N1143">_xlfn.XLOOKUP(A1143,Productos!$A$2:$A$61,Productos!$B$2:$F$61)</f>
        <v>Chaqueta de cuero</v>
      </c>
      <c r="K1143" s="2" t="s">
        <v>17</v>
      </c>
      <c r="L1143" s="2" t="s">
        <v>10</v>
      </c>
      <c r="M1143" s="2" t="s">
        <v>43</v>
      </c>
      <c r="N1143" s="2" t="s">
        <v>44</v>
      </c>
    </row>
    <row r="1144">
      <c r="A1144" s="2" t="str">
        <f>IFERROR(__xludf.DUMMYFUNCTION("""COMPUTED_VALUE"""),"PR011")</f>
        <v>PR011</v>
      </c>
      <c r="B1144" s="2" t="str">
        <f>IFERROR(__xludf.DUMMYFUNCTION("""COMPUTED_VALUE"""),"VD032")</f>
        <v>VD032</v>
      </c>
      <c r="C1144" s="2">
        <f>IFERROR(__xludf.DUMMYFUNCTION("""COMPUTED_VALUE"""),2.0)</f>
        <v>2</v>
      </c>
      <c r="D1144" s="6">
        <f>IFERROR(__xludf.DUMMYFUNCTION("""COMPUTED_VALUE"""),95.68)</f>
        <v>95.68</v>
      </c>
      <c r="E1144" s="6">
        <f>IFERROR(__xludf.DUMMYFUNCTION("GOOGLEFINANCE(""Currency:BRLMXN"")*D1144"),325.07280000000003)</f>
        <v>325.0728</v>
      </c>
      <c r="F1144" s="6">
        <f>IFERROR(__xludf.DUMMYFUNCTION("GOOGLEFINANCE(""Currency:BRLPEN"")*D1144"),62.727808)</f>
        <v>62.727808</v>
      </c>
      <c r="G1144" s="2" t="str">
        <f t="array" ref="G1144">_xlfn.XLOOKUP(B1144,Vendedores!$A$2:$A$41,Vendedores!$B$2:$B$41,"No hay datos")</f>
        <v>Eduardo Almonte</v>
      </c>
      <c r="H1144" s="2" t="str">
        <f t="array" ref="H1144">_xlfn.XLOOKUP(B1144,Vendedores!$A$2:$A$41,Vendedores!$C$2:$C$41,"No hay datos")</f>
        <v>Tierra Colorada</v>
      </c>
      <c r="I1144" s="2" t="str">
        <f t="array" ref="I1144">_xlfn.XLOOKUP(B1144,Vendedores!$A$2:$A$41,Vendedores!$D$2:$D$41,"No hay datos")</f>
        <v>Región Central 2</v>
      </c>
      <c r="J1144" s="2" t="str">
        <f t="array" ref="J1144:N1144">_xlfn.XLOOKUP(A1144,Productos!$A$2:$A$61,Productos!$B$2:$F$61)</f>
        <v>Pantalón legging</v>
      </c>
      <c r="K1144" s="2" t="s">
        <v>17</v>
      </c>
      <c r="L1144" s="2" t="s">
        <v>10</v>
      </c>
      <c r="M1144" s="2" t="s">
        <v>67</v>
      </c>
      <c r="N1144" s="2" t="s">
        <v>68</v>
      </c>
    </row>
    <row r="1145">
      <c r="A1145" s="2" t="str">
        <f>IFERROR(__xludf.DUMMYFUNCTION("""COMPUTED_VALUE"""),"PR054")</f>
        <v>PR054</v>
      </c>
      <c r="B1145" s="2" t="str">
        <f>IFERROR(__xludf.DUMMYFUNCTION("""COMPUTED_VALUE"""),"VD046")</f>
        <v>VD046</v>
      </c>
      <c r="C1145" s="2">
        <f>IFERROR(__xludf.DUMMYFUNCTION("""COMPUTED_VALUE"""),8.0)</f>
        <v>8</v>
      </c>
      <c r="D1145" s="6">
        <f>IFERROR(__xludf.DUMMYFUNCTION("""COMPUTED_VALUE"""),431.14)</f>
        <v>431.14</v>
      </c>
      <c r="E1145" s="6">
        <f>IFERROR(__xludf.DUMMYFUNCTION("GOOGLEFINANCE(""Currency:BRLMXN"")*D1145"),1464.7981499999999)</f>
        <v>1464.79815</v>
      </c>
      <c r="F1145" s="6">
        <f>IFERROR(__xludf.DUMMYFUNCTION("GOOGLEFINANCE(""Currency:BRLPEN"")*D1145"),282.65538399999997)</f>
        <v>282.655384</v>
      </c>
      <c r="G1145" s="2" t="str">
        <f t="array" ref="G1145">_xlfn.XLOOKUP(B1145,Vendedores!$A$2:$A$41,Vendedores!$B$2:$B$41,"No hay datos")</f>
        <v>Juliana Pérez</v>
      </c>
      <c r="H1145" s="2" t="str">
        <f t="array" ref="H1145">_xlfn.XLOOKUP(B1145,Vendedores!$A$2:$A$41,Vendedores!$C$2:$C$41,"No hay datos")</f>
        <v>Santa Cruz de la Sierra</v>
      </c>
      <c r="I1145" s="2" t="str">
        <f t="array" ref="I1145">_xlfn.XLOOKUP(B1145,Vendedores!$A$2:$A$41,Vendedores!$D$2:$D$41,"No hay datos")</f>
        <v>Región Central 2</v>
      </c>
      <c r="J1145" s="2" t="str">
        <f t="array" ref="J1145:N1145">_xlfn.XLOOKUP(A1145,Productos!$A$2:$A$61,Productos!$B$2:$F$61)</f>
        <v>Falda plisada</v>
      </c>
      <c r="K1145" s="2" t="s">
        <v>22</v>
      </c>
      <c r="L1145" s="2" t="s">
        <v>10</v>
      </c>
      <c r="M1145" s="2" t="s">
        <v>42</v>
      </c>
      <c r="N1145" s="2" t="s">
        <v>32</v>
      </c>
    </row>
    <row r="1146">
      <c r="A1146" s="2" t="str">
        <f>IFERROR(__xludf.DUMMYFUNCTION("""COMPUTED_VALUE"""),"PR058")</f>
        <v>PR058</v>
      </c>
      <c r="B1146" s="2" t="str">
        <f>IFERROR(__xludf.DUMMYFUNCTION("""COMPUTED_VALUE"""),"VD033")</f>
        <v>VD033</v>
      </c>
      <c r="C1146" s="2">
        <f>IFERROR(__xludf.DUMMYFUNCTION("""COMPUTED_VALUE"""),10.0)</f>
        <v>10</v>
      </c>
      <c r="D1146" s="6">
        <f>IFERROR(__xludf.DUMMYFUNCTION("""COMPUTED_VALUE"""),1980.0)</f>
        <v>1980</v>
      </c>
      <c r="E1146" s="6">
        <f>IFERROR(__xludf.DUMMYFUNCTION("GOOGLEFINANCE(""Currency:BRLMXN"")*D1146"),6727.05)</f>
        <v>6727.05</v>
      </c>
      <c r="F1146" s="6">
        <f>IFERROR(__xludf.DUMMYFUNCTION("GOOGLEFINANCE(""Currency:BRLPEN"")*D1146"),1298.088)</f>
        <v>1298.088</v>
      </c>
      <c r="G1146" s="2" t="str">
        <f t="array" ref="G1146">_xlfn.XLOOKUP(B1146,Vendedores!$A$2:$A$41,Vendedores!$B$2:$B$41,"No hay datos")</f>
        <v>Renata Flores</v>
      </c>
      <c r="H1146" s="2" t="str">
        <f t="array" ref="H1146">_xlfn.XLOOKUP(B1146,Vendedores!$A$2:$A$41,Vendedores!$C$2:$C$41,"No hay datos")</f>
        <v>Altos del Sur</v>
      </c>
      <c r="I1146" s="2" t="str">
        <f t="array" ref="I1146">_xlfn.XLOOKUP(B1146,Vendedores!$A$2:$A$41,Vendedores!$D$2:$D$41,"No hay datos")</f>
        <v>Región Central 2</v>
      </c>
      <c r="J1146" s="2" t="str">
        <f t="array" ref="J1146:N1146">_xlfn.XLOOKUP(A1146,Productos!$A$2:$A$61,Productos!$B$2:$F$61)</f>
        <v>Pantalón de sastre</v>
      </c>
      <c r="K1146" s="2" t="s">
        <v>9</v>
      </c>
      <c r="L1146" s="2" t="s">
        <v>10</v>
      </c>
      <c r="M1146" s="2" t="s">
        <v>13</v>
      </c>
      <c r="N1146" s="2" t="s">
        <v>14</v>
      </c>
    </row>
    <row r="1147">
      <c r="A1147" s="2" t="str">
        <f>IFERROR(__xludf.DUMMYFUNCTION("""COMPUTED_VALUE"""),"PR002")</f>
        <v>PR002</v>
      </c>
      <c r="B1147" s="2" t="str">
        <f>IFERROR(__xludf.DUMMYFUNCTION("""COMPUTED_VALUE"""),"VD043")</f>
        <v>VD043</v>
      </c>
      <c r="C1147" s="2">
        <f>IFERROR(__xludf.DUMMYFUNCTION("""COMPUTED_VALUE"""),16.0)</f>
        <v>16</v>
      </c>
      <c r="D1147" s="6">
        <f>IFERROR(__xludf.DUMMYFUNCTION("""COMPUTED_VALUE"""),1118.4)</f>
        <v>1118.4</v>
      </c>
      <c r="E1147" s="6">
        <f>IFERROR(__xludf.DUMMYFUNCTION("GOOGLEFINANCE(""Currency:BRLMXN"")*D1147"),3799.764)</f>
        <v>3799.764</v>
      </c>
      <c r="F1147" s="6">
        <f>IFERROR(__xludf.DUMMYFUNCTION("GOOGLEFINANCE(""Currency:BRLPEN"")*D1147"),733.22304)</f>
        <v>733.22304</v>
      </c>
      <c r="G1147" s="2" t="str">
        <f t="array" ref="G1147">_xlfn.XLOOKUP(B1147,Vendedores!$A$2:$A$41,Vendedores!$B$2:$B$41,"No hay datos")</f>
        <v>Carlos Henríquez</v>
      </c>
      <c r="H1147" s="2" t="str">
        <f t="array" ref="H1147">_xlfn.XLOOKUP(B1147,Vendedores!$A$2:$A$41,Vendedores!$C$2:$C$41,"No hay datos")</f>
        <v>Ciudad Aeropuerto</v>
      </c>
      <c r="I1147" s="2" t="str">
        <f t="array" ref="I1147">_xlfn.XLOOKUP(B1147,Vendedores!$A$2:$A$41,Vendedores!$D$2:$D$41,"No hay datos")</f>
        <v>Región Central 2</v>
      </c>
      <c r="J1147" s="2" t="str">
        <f t="array" ref="J1147:N1147">_xlfn.XLOOKUP(A1147,Productos!$A$2:$A$61,Productos!$B$2:$F$61)</f>
        <v>Bermuda</v>
      </c>
      <c r="K1147" s="2" t="s">
        <v>17</v>
      </c>
      <c r="L1147" s="2" t="s">
        <v>10</v>
      </c>
      <c r="M1147" s="2" t="s">
        <v>49</v>
      </c>
      <c r="N1147" s="2" t="s">
        <v>50</v>
      </c>
    </row>
    <row r="1148">
      <c r="A1148" s="2" t="str">
        <f>IFERROR(__xludf.DUMMYFUNCTION("""COMPUTED_VALUE"""),"PR052")</f>
        <v>PR052</v>
      </c>
      <c r="B1148" s="2" t="str">
        <f>IFERROR(__xludf.DUMMYFUNCTION("""COMPUTED_VALUE"""),"VD025")</f>
        <v>VD025</v>
      </c>
      <c r="C1148" s="2">
        <f>IFERROR(__xludf.DUMMYFUNCTION("""COMPUTED_VALUE"""),8.0)</f>
        <v>8</v>
      </c>
      <c r="D1148" s="6">
        <f>IFERROR(__xludf.DUMMYFUNCTION("""COMPUTED_VALUE"""),439.12)</f>
        <v>439.12</v>
      </c>
      <c r="E1148" s="6">
        <f>IFERROR(__xludf.DUMMYFUNCTION("GOOGLEFINANCE(""Currency:BRLMXN"")*D1148"),1491.9102)</f>
        <v>1491.9102</v>
      </c>
      <c r="F1148" s="6">
        <f>IFERROR(__xludf.DUMMYFUNCTION("GOOGLEFINANCE(""Currency:BRLPEN"")*D1148"),287.887072)</f>
        <v>287.887072</v>
      </c>
      <c r="G1148" s="2" t="str">
        <f t="array" ref="G1148">_xlfn.XLOOKUP(B1148,Vendedores!$A$2:$A$41,Vendedores!$B$2:$B$41,"No hay datos")</f>
        <v>Alina Santana</v>
      </c>
      <c r="H1148" s="2" t="str">
        <f t="array" ref="H1148">_xlfn.XLOOKUP(B1148,Vendedores!$A$2:$A$41,Vendedores!$C$2:$C$41,"No hay datos")</f>
        <v>Playa Blanca</v>
      </c>
      <c r="I1148" s="2" t="str">
        <f t="array" ref="I1148">_xlfn.XLOOKUP(B1148,Vendedores!$A$2:$A$41,Vendedores!$D$2:$D$41,"No hay datos")</f>
        <v>Región Norte</v>
      </c>
      <c r="J1148" s="2" t="str">
        <f t="array" ref="J1148:N1148">_xlfn.XLOOKUP(A1148,Productos!$A$2:$A$61,Productos!$B$2:$F$61)</f>
        <v>Falda plisada</v>
      </c>
      <c r="K1148" s="2" t="s">
        <v>9</v>
      </c>
      <c r="L1148" s="2" t="s">
        <v>10</v>
      </c>
      <c r="M1148" s="2" t="s">
        <v>36</v>
      </c>
      <c r="N1148" s="2" t="s">
        <v>32</v>
      </c>
    </row>
    <row r="1149">
      <c r="A1149" s="2" t="str">
        <f>IFERROR(__xludf.DUMMYFUNCTION("""COMPUTED_VALUE"""),"PR002")</f>
        <v>PR002</v>
      </c>
      <c r="B1149" s="2" t="str">
        <f>IFERROR(__xludf.DUMMYFUNCTION("""COMPUTED_VALUE"""),"VD029")</f>
        <v>VD029</v>
      </c>
      <c r="C1149" s="2">
        <f>IFERROR(__xludf.DUMMYFUNCTION("""COMPUTED_VALUE"""),8.0)</f>
        <v>8</v>
      </c>
      <c r="D1149" s="6">
        <f>IFERROR(__xludf.DUMMYFUNCTION("""COMPUTED_VALUE"""),559.2)</f>
        <v>559.2</v>
      </c>
      <c r="E1149" s="6">
        <f>IFERROR(__xludf.DUMMYFUNCTION("GOOGLEFINANCE(""Currency:BRLMXN"")*D1149"),1899.882)</f>
        <v>1899.882</v>
      </c>
      <c r="F1149" s="6">
        <f>IFERROR(__xludf.DUMMYFUNCTION("GOOGLEFINANCE(""Currency:BRLPEN"")*D1149"),366.61152)</f>
        <v>366.61152</v>
      </c>
      <c r="G1149" s="2" t="str">
        <f t="array" ref="G1149">_xlfn.XLOOKUP(B1149,Vendedores!$A$2:$A$41,Vendedores!$B$2:$B$41,"No hay datos")</f>
        <v>Gabriela Sosa</v>
      </c>
      <c r="H1149" s="2" t="str">
        <f t="array" ref="H1149">_xlfn.XLOOKUP(B1149,Vendedores!$A$2:$A$41,Vendedores!$C$2:$C$41,"No hay datos")</f>
        <v>Selva Verde</v>
      </c>
      <c r="I1149" s="2" t="str">
        <f t="array" ref="I1149">_xlfn.XLOOKUP(B1149,Vendedores!$A$2:$A$41,Vendedores!$D$2:$D$41,"No hay datos")</f>
        <v>Región Amazónica</v>
      </c>
      <c r="J1149" s="2" t="str">
        <f t="array" ref="J1149:N1149">_xlfn.XLOOKUP(A1149,Productos!$A$2:$A$61,Productos!$B$2:$F$61)</f>
        <v>Bermuda</v>
      </c>
      <c r="K1149" s="2" t="s">
        <v>17</v>
      </c>
      <c r="L1149" s="2" t="s">
        <v>10</v>
      </c>
      <c r="M1149" s="2" t="s">
        <v>49</v>
      </c>
      <c r="N1149" s="2" t="s">
        <v>50</v>
      </c>
    </row>
    <row r="1150">
      <c r="A1150" s="2" t="str">
        <f>IFERROR(__xludf.DUMMYFUNCTION("""COMPUTED_VALUE"""),"PR050")</f>
        <v>PR050</v>
      </c>
      <c r="B1150" s="2" t="str">
        <f>IFERROR(__xludf.DUMMYFUNCTION("""COMPUTED_VALUE"""),"VD026")</f>
        <v>VD026</v>
      </c>
      <c r="C1150" s="2">
        <f>IFERROR(__xludf.DUMMYFUNCTION("""COMPUTED_VALUE"""),18.0)</f>
        <v>18</v>
      </c>
      <c r="D1150" s="6">
        <f>IFERROR(__xludf.DUMMYFUNCTION("""COMPUTED_VALUE"""),604.04)</f>
        <v>604.04</v>
      </c>
      <c r="E1150" s="6">
        <f>IFERROR(__xludf.DUMMYFUNCTION("GOOGLEFINANCE(""Currency:BRLMXN"")*D1150"),2052.2259)</f>
        <v>2052.2259</v>
      </c>
      <c r="F1150" s="6">
        <f>IFERROR(__xludf.DUMMYFUNCTION("GOOGLEFINANCE(""Currency:BRLPEN"")*D1150"),396.00862399999994)</f>
        <v>396.008624</v>
      </c>
      <c r="G1150" s="2" t="str">
        <f t="array" ref="G1150">_xlfn.XLOOKUP(B1150,Vendedores!$A$2:$A$41,Vendedores!$B$2:$B$41,"No hay datos")</f>
        <v>Daniel Fernández</v>
      </c>
      <c r="H1150" s="2" t="str">
        <f t="array" ref="H1150">_xlfn.XLOOKUP(B1150,Vendedores!$A$2:$A$41,Vendedores!$C$2:$C$41,"No hay datos")</f>
        <v>Puerto Esperanza</v>
      </c>
      <c r="I1150" s="2" t="str">
        <f t="array" ref="I1150">_xlfn.XLOOKUP(B1150,Vendedores!$A$2:$A$41,Vendedores!$D$2:$D$41,"No hay datos")</f>
        <v>Región Sur</v>
      </c>
      <c r="J1150" s="2" t="str">
        <f t="array" ref="J1150:N1150">_xlfn.XLOOKUP(A1150,Productos!$A$2:$A$61,Productos!$B$2:$F$61)</f>
        <v>Playera a rayas</v>
      </c>
      <c r="K1150" s="2" t="s">
        <v>17</v>
      </c>
      <c r="L1150" s="2" t="s">
        <v>10</v>
      </c>
      <c r="M1150" s="2" t="s">
        <v>27</v>
      </c>
      <c r="N1150" s="2" t="s">
        <v>24</v>
      </c>
    </row>
    <row r="1151">
      <c r="A1151" s="2" t="str">
        <f>IFERROR(__xludf.DUMMYFUNCTION("""COMPUTED_VALUE"""),"PR040")</f>
        <v>PR040</v>
      </c>
      <c r="B1151" s="2" t="str">
        <f>IFERROR(__xludf.DUMMYFUNCTION("""COMPUTED_VALUE"""),"VD031")</f>
        <v>VD031</v>
      </c>
      <c r="C1151" s="2">
        <f>IFERROR(__xludf.DUMMYFUNCTION("""COMPUTED_VALUE"""),4.0)</f>
        <v>4</v>
      </c>
      <c r="D1151" s="6">
        <f>IFERROR(__xludf.DUMMYFUNCTION("""COMPUTED_VALUE"""),282.8)</f>
        <v>282.8</v>
      </c>
      <c r="E1151" s="6">
        <f>IFERROR(__xludf.DUMMYFUNCTION("GOOGLEFINANCE(""Currency:BRLMXN"")*D1151"),960.813)</f>
        <v>960.813</v>
      </c>
      <c r="F1151" s="6">
        <f>IFERROR(__xludf.DUMMYFUNCTION("GOOGLEFINANCE(""Currency:BRLPEN"")*D1151"),185.40368)</f>
        <v>185.40368</v>
      </c>
      <c r="G1151" s="2" t="str">
        <f t="array" ref="G1151">_xlfn.XLOOKUP(B1151,Vendedores!$A$2:$A$41,Vendedores!$B$2:$B$41,"No hay datos")</f>
        <v>Vanessa Martínez</v>
      </c>
      <c r="H1151" s="2" t="str">
        <f t="array" ref="H1151">_xlfn.XLOOKUP(B1151,Vendedores!$A$2:$A$41,Vendedores!$C$2:$C$41,"No hay datos")</f>
        <v>Monte Verde</v>
      </c>
      <c r="I1151" s="2" t="str">
        <f t="array" ref="I1151">_xlfn.XLOOKUP(B1151,Vendedores!$A$2:$A$41,Vendedores!$D$2:$D$41,"No hay datos")</f>
        <v>Región Central 2</v>
      </c>
      <c r="J1151" s="2" t="str">
        <f t="array" ref="J1151:N1151">_xlfn.XLOOKUP(A1151,Productos!$A$2:$A$61,Productos!$B$2:$F$61)</f>
        <v>Playera confort</v>
      </c>
      <c r="K1151" s="2" t="s">
        <v>9</v>
      </c>
      <c r="L1151" s="2" t="s">
        <v>10</v>
      </c>
      <c r="M1151" s="2" t="s">
        <v>68</v>
      </c>
      <c r="N1151" s="2" t="s">
        <v>70</v>
      </c>
    </row>
    <row r="1152">
      <c r="A1152" s="2" t="str">
        <f>IFERROR(__xludf.DUMMYFUNCTION("""COMPUTED_VALUE"""),"PR021")</f>
        <v>PR021</v>
      </c>
      <c r="B1152" s="2" t="str">
        <f>IFERROR(__xludf.DUMMYFUNCTION("""COMPUTED_VALUE"""),"VD049")</f>
        <v>VD049</v>
      </c>
      <c r="C1152" s="2">
        <f>IFERROR(__xludf.DUMMYFUNCTION("""COMPUTED_VALUE"""),2.0)</f>
        <v>2</v>
      </c>
      <c r="D1152" s="6">
        <f>IFERROR(__xludf.DUMMYFUNCTION("""COMPUTED_VALUE"""),623.97)</f>
        <v>623.97</v>
      </c>
      <c r="E1152" s="6">
        <f>IFERROR(__xludf.DUMMYFUNCTION("GOOGLEFINANCE(""Currency:BRLMXN"")*D1152"),2119.938075)</f>
        <v>2119.938075</v>
      </c>
      <c r="F1152" s="6">
        <f>IFERROR(__xludf.DUMMYFUNCTION("GOOGLEFINANCE(""Currency:BRLPEN"")*D1152"),409.074732)</f>
        <v>409.074732</v>
      </c>
      <c r="G1152" s="2" t="str">
        <f t="array" ref="G1152">_xlfn.XLOOKUP(B1152,Vendedores!$A$2:$A$41,Vendedores!$B$2:$B$41,"No hay datos")</f>
        <v>Fernando Navarro</v>
      </c>
      <c r="H1152" s="2" t="str">
        <f t="array" ref="H1152">_xlfn.XLOOKUP(B1152,Vendedores!$A$2:$A$41,Vendedores!$C$2:$C$41,"No hay datos")</f>
        <v>Colinas Verdes</v>
      </c>
      <c r="I1152" s="2" t="str">
        <f t="array" ref="I1152">_xlfn.XLOOKUP(B1152,Vendedores!$A$2:$A$41,Vendedores!$D$2:$D$41,"No hay datos")</f>
        <v>Región Central 2</v>
      </c>
      <c r="J1152" s="2" t="str">
        <f t="array" ref="J1152:N1152">_xlfn.XLOOKUP(A1152,Productos!$A$2:$A$61,Productos!$B$2:$F$61)</f>
        <v>Chaqueta de cuero</v>
      </c>
      <c r="K1152" s="2" t="s">
        <v>17</v>
      </c>
      <c r="L1152" s="2" t="s">
        <v>10</v>
      </c>
      <c r="M1152" s="2" t="s">
        <v>80</v>
      </c>
      <c r="N1152" s="2" t="s">
        <v>81</v>
      </c>
    </row>
    <row r="1153">
      <c r="A1153" s="2" t="str">
        <f>IFERROR(__xludf.DUMMYFUNCTION("""COMPUTED_VALUE"""),"PR028")</f>
        <v>PR028</v>
      </c>
      <c r="B1153" s="2" t="str">
        <f>IFERROR(__xludf.DUMMYFUNCTION("""COMPUTED_VALUE"""),"VD011")</f>
        <v>VD011</v>
      </c>
      <c r="C1153" s="2">
        <f>IFERROR(__xludf.DUMMYFUNCTION("""COMPUTED_VALUE"""),2.0)</f>
        <v>2</v>
      </c>
      <c r="D1153" s="6">
        <f>IFERROR(__xludf.DUMMYFUNCTION("""COMPUTED_VALUE"""),504.8)</f>
        <v>504.8</v>
      </c>
      <c r="E1153" s="6">
        <f>IFERROR(__xludf.DUMMYFUNCTION("GOOGLEFINANCE(""Currency:BRLMXN"")*D1153"),1715.058)</f>
        <v>1715.058</v>
      </c>
      <c r="F1153" s="6">
        <f>IFERROR(__xludf.DUMMYFUNCTION("GOOGLEFINANCE(""Currency:BRLPEN"")*D1153"),330.94687999999996)</f>
        <v>330.94688</v>
      </c>
      <c r="G1153" s="2" t="str">
        <f t="array" ref="G1153">_xlfn.XLOOKUP(B1153,Vendedores!$A$2:$A$41,Vendedores!$B$2:$B$41,"No hay datos")</f>
        <v>Juan Santos</v>
      </c>
      <c r="H1153" s="2" t="str">
        <f t="array" ref="H1153">_xlfn.XLOOKUP(B1153,Vendedores!$A$2:$A$41,Vendedores!$C$2:$C$41,"No hay datos")</f>
        <v>Vista Hermosa</v>
      </c>
      <c r="I1153" s="2" t="str">
        <f t="array" ref="I1153">_xlfn.XLOOKUP(B1153,Vendedores!$A$2:$A$41,Vendedores!$D$2:$D$41,"No hay datos")</f>
        <v>Región Central</v>
      </c>
      <c r="J1153" s="2" t="str">
        <f t="array" ref="J1153:N1153">_xlfn.XLOOKUP(A1153,Productos!$A$2:$A$61,Productos!$B$2:$F$61)</f>
        <v>Tenis Atitas</v>
      </c>
      <c r="K1153" s="2">
        <v>36.0</v>
      </c>
      <c r="L1153" s="2" t="s">
        <v>33</v>
      </c>
      <c r="M1153" s="2" t="s">
        <v>55</v>
      </c>
      <c r="N1153" s="2" t="s">
        <v>56</v>
      </c>
    </row>
    <row r="1154">
      <c r="A1154" s="2" t="str">
        <f>IFERROR(__xludf.DUMMYFUNCTION("""COMPUTED_VALUE"""),"PR020")</f>
        <v>PR020</v>
      </c>
      <c r="B1154" s="2" t="str">
        <f>IFERROR(__xludf.DUMMYFUNCTION("""COMPUTED_VALUE"""),"VD019")</f>
        <v>VD019</v>
      </c>
      <c r="C1154" s="2">
        <f>IFERROR(__xludf.DUMMYFUNCTION("""COMPUTED_VALUE"""),6.0)</f>
        <v>6</v>
      </c>
      <c r="D1154" s="6">
        <f>IFERROR(__xludf.DUMMYFUNCTION("""COMPUTED_VALUE"""),1907.36)</f>
        <v>1907.36</v>
      </c>
      <c r="E1154" s="6">
        <f>IFERROR(__xludf.DUMMYFUNCTION("GOOGLEFINANCE(""Currency:BRLMXN"")*D1154"),6480.2555999999995)</f>
        <v>6480.2556</v>
      </c>
      <c r="F1154" s="6">
        <f>IFERROR(__xludf.DUMMYFUNCTION("GOOGLEFINANCE(""Currency:BRLPEN"")*D1154"),1250.4652159999998)</f>
        <v>1250.465216</v>
      </c>
      <c r="G1154" s="2" t="str">
        <f t="array" ref="G1154">_xlfn.XLOOKUP(B1154,Vendedores!$A$2:$A$41,Vendedores!$B$2:$B$41,"No hay datos")</f>
        <v>Rafael Sosa</v>
      </c>
      <c r="H1154" s="2" t="str">
        <f t="array" ref="H1154">_xlfn.XLOOKUP(B1154,Vendedores!$A$2:$A$41,Vendedores!$C$2:$C$41,"No hay datos")</f>
        <v>Selva Verde</v>
      </c>
      <c r="I1154" s="2" t="str">
        <f t="array" ref="I1154">_xlfn.XLOOKUP(B1154,Vendedores!$A$2:$A$41,Vendedores!$D$2:$D$41,"No hay datos")</f>
        <v>Región Amazónica</v>
      </c>
      <c r="J1154" s="2" t="str">
        <f t="array" ref="J1154:N1154">_xlfn.XLOOKUP(A1154,Productos!$A$2:$A$61,Productos!$B$2:$F$61)</f>
        <v>Chaqueta de cuero</v>
      </c>
      <c r="K1154" s="2" t="s">
        <v>9</v>
      </c>
      <c r="L1154" s="2" t="s">
        <v>10</v>
      </c>
      <c r="M1154" s="2" t="s">
        <v>15</v>
      </c>
      <c r="N1154" s="2" t="s">
        <v>16</v>
      </c>
    </row>
    <row r="1155">
      <c r="A1155" s="2" t="str">
        <f>IFERROR(__xludf.DUMMYFUNCTION("""COMPUTED_VALUE"""),"PR052")</f>
        <v>PR052</v>
      </c>
      <c r="B1155" s="2" t="str">
        <f>IFERROR(__xludf.DUMMYFUNCTION("""COMPUTED_VALUE"""),"VD030")</f>
        <v>VD030</v>
      </c>
      <c r="C1155" s="2">
        <f>IFERROR(__xludf.DUMMYFUNCTION("""COMPUTED_VALUE"""),20.0)</f>
        <v>20</v>
      </c>
      <c r="D1155" s="6">
        <f>IFERROR(__xludf.DUMMYFUNCTION("""COMPUTED_VALUE"""),1097.8)</f>
        <v>1097.8</v>
      </c>
      <c r="E1155" s="6">
        <f>IFERROR(__xludf.DUMMYFUNCTION("GOOGLEFINANCE(""Currency:BRLMXN"")*D1155"),3729.7754999999997)</f>
        <v>3729.7755</v>
      </c>
      <c r="F1155" s="6">
        <f>IFERROR(__xludf.DUMMYFUNCTION("GOOGLEFINANCE(""Currency:BRLPEN"")*D1155"),719.71768)</f>
        <v>719.71768</v>
      </c>
      <c r="G1155" s="2" t="str">
        <f t="array" ref="G1155">_xlfn.XLOOKUP(B1155,Vendedores!$A$2:$A$41,Vendedores!$B$2:$B$41,"No hay datos")</f>
        <v>Leonardo Rojas</v>
      </c>
      <c r="H1155" s="2" t="str">
        <f t="array" ref="H1155">_xlfn.XLOOKUP(B1155,Vendedores!$A$2:$A$41,Vendedores!$C$2:$C$41,"No hay datos")</f>
        <v>Villa del Sol</v>
      </c>
      <c r="I1155" s="2" t="str">
        <f t="array" ref="I1155">_xlfn.XLOOKUP(B1155,Vendedores!$A$2:$A$41,Vendedores!$D$2:$D$41,"No hay datos")</f>
        <v>Región Central 2</v>
      </c>
      <c r="J1155" s="2" t="str">
        <f t="array" ref="J1155:N1155">_xlfn.XLOOKUP(A1155,Productos!$A$2:$A$61,Productos!$B$2:$F$61)</f>
        <v>Falda plisada</v>
      </c>
      <c r="K1155" s="2" t="s">
        <v>9</v>
      </c>
      <c r="L1155" s="2" t="s">
        <v>10</v>
      </c>
      <c r="M1155" s="2" t="s">
        <v>36</v>
      </c>
      <c r="N1155" s="2" t="s">
        <v>32</v>
      </c>
    </row>
    <row r="1156">
      <c r="A1156" s="2" t="str">
        <f>IFERROR(__xludf.DUMMYFUNCTION("""COMPUTED_VALUE"""),"PR033")</f>
        <v>PR033</v>
      </c>
      <c r="B1156" s="2" t="str">
        <f>IFERROR(__xludf.DUMMYFUNCTION("""COMPUTED_VALUE"""),"VD017")</f>
        <v>VD017</v>
      </c>
      <c r="C1156" s="2">
        <f>IFERROR(__xludf.DUMMYFUNCTION("""COMPUTED_VALUE"""),9.0)</f>
        <v>9</v>
      </c>
      <c r="D1156" s="6">
        <f>IFERROR(__xludf.DUMMYFUNCTION("""COMPUTED_VALUE"""),2479.45)</f>
        <v>2479.45</v>
      </c>
      <c r="E1156" s="6">
        <f>IFERROR(__xludf.DUMMYFUNCTION("GOOGLEFINANCE(""Currency:BRLMXN"")*D1156"),8423.931375)</f>
        <v>8423.931375</v>
      </c>
      <c r="F1156" s="6">
        <f>IFERROR(__xludf.DUMMYFUNCTION("GOOGLEFINANCE(""Currency:BRLPEN"")*D1156"),1625.52742)</f>
        <v>1625.52742</v>
      </c>
      <c r="G1156" s="2" t="str">
        <f t="array" ref="G1156">_xlfn.XLOOKUP(B1156,Vendedores!$A$2:$A$41,Vendedores!$B$2:$B$41,"No hay datos")</f>
        <v>Bruno Peralta</v>
      </c>
      <c r="H1156" s="2" t="str">
        <f t="array" ref="H1156">_xlfn.XLOOKUP(B1156,Vendedores!$A$2:$A$41,Vendedores!$C$2:$C$41,"No hay datos")</f>
        <v>Costa Azul</v>
      </c>
      <c r="I1156" s="2" t="str">
        <f t="array" ref="I1156">_xlfn.XLOOKUP(B1156,Vendedores!$A$2:$A$41,Vendedores!$D$2:$D$41,"No hay datos")</f>
        <v>Región Norte</v>
      </c>
      <c r="J1156" s="2" t="str">
        <f t="array" ref="J1156:N1156">_xlfn.XLOOKUP(A1156,Productos!$A$2:$A$61,Productos!$B$2:$F$61)</f>
        <v>Tenis Chunky</v>
      </c>
      <c r="K1156" s="2">
        <v>38.0</v>
      </c>
      <c r="L1156" s="2" t="s">
        <v>33</v>
      </c>
      <c r="M1156" s="2" t="s">
        <v>63</v>
      </c>
      <c r="N1156" s="2" t="s">
        <v>64</v>
      </c>
    </row>
    <row r="1157">
      <c r="A1157" s="2" t="str">
        <f>IFERROR(__xludf.DUMMYFUNCTION("""COMPUTED_VALUE"""),"PR016")</f>
        <v>PR016</v>
      </c>
      <c r="B1157" s="2" t="str">
        <f>IFERROR(__xludf.DUMMYFUNCTION("""COMPUTED_VALUE"""),"VD039")</f>
        <v>VD039</v>
      </c>
      <c r="C1157" s="2">
        <f>IFERROR(__xludf.DUMMYFUNCTION("""COMPUTED_VALUE"""),4.0)</f>
        <v>4</v>
      </c>
      <c r="D1157" s="6">
        <f>IFERROR(__xludf.DUMMYFUNCTION("""COMPUTED_VALUE"""),103.6)</f>
        <v>103.6</v>
      </c>
      <c r="E1157" s="6">
        <f>IFERROR(__xludf.DUMMYFUNCTION("GOOGLEFINANCE(""Currency:BRLMXN"")*D1157"),351.981)</f>
        <v>351.981</v>
      </c>
      <c r="F1157" s="6">
        <f>IFERROR(__xludf.DUMMYFUNCTION("GOOGLEFINANCE(""Currency:BRLPEN"")*D1157"),67.92016)</f>
        <v>67.92016</v>
      </c>
      <c r="G1157" s="2" t="str">
        <f t="array" ref="G1157">_xlfn.XLOOKUP(B1157,Vendedores!$A$2:$A$41,Vendedores!$B$2:$B$41,"No hay datos")</f>
        <v>Daniela Rodríguez</v>
      </c>
      <c r="H1157" s="2" t="str">
        <f t="array" ref="H1157">_xlfn.XLOOKUP(B1157,Vendedores!$A$2:$A$41,Vendedores!$C$2:$C$41,"No hay datos")</f>
        <v>Bahía del Sol</v>
      </c>
      <c r="I1157" s="2" t="str">
        <f t="array" ref="I1157">_xlfn.XLOOKUP(B1157,Vendedores!$A$2:$A$41,Vendedores!$D$2:$D$41,"No hay datos")</f>
        <v>Región Central 2</v>
      </c>
      <c r="J1157" s="2" t="str">
        <f t="array" ref="J1157:N1157">_xlfn.XLOOKUP(A1157,Productos!$A$2:$A$61,Productos!$B$2:$F$61)</f>
        <v>Playera lisa</v>
      </c>
      <c r="K1157" s="2" t="s">
        <v>9</v>
      </c>
      <c r="L1157" s="2" t="s">
        <v>10</v>
      </c>
      <c r="M1157" s="2" t="s">
        <v>20</v>
      </c>
      <c r="N1157" s="2" t="s">
        <v>21</v>
      </c>
    </row>
    <row r="1158">
      <c r="A1158" s="2" t="str">
        <f>IFERROR(__xludf.DUMMYFUNCTION("""COMPUTED_VALUE"""),"PR034")</f>
        <v>PR034</v>
      </c>
      <c r="B1158" s="2" t="str">
        <f>IFERROR(__xludf.DUMMYFUNCTION("""COMPUTED_VALUE"""),"VD028")</f>
        <v>VD028</v>
      </c>
      <c r="C1158" s="2">
        <f>IFERROR(__xludf.DUMMYFUNCTION("""COMPUTED_VALUE"""),20.0)</f>
        <v>20</v>
      </c>
      <c r="D1158" s="6">
        <f>IFERROR(__xludf.DUMMYFUNCTION("""COMPUTED_VALUE"""),1905.88)</f>
        <v>1905.88</v>
      </c>
      <c r="E1158" s="6">
        <f>IFERROR(__xludf.DUMMYFUNCTION("GOOGLEFINANCE(""Currency:BRLMXN"")*D1158"),6475.2273000000005)</f>
        <v>6475.2273</v>
      </c>
      <c r="F1158" s="6">
        <f>IFERROR(__xludf.DUMMYFUNCTION("GOOGLEFINANCE(""Currency:BRLPEN"")*D1158"),1249.494928)</f>
        <v>1249.494928</v>
      </c>
      <c r="G1158" s="2" t="str">
        <f t="array" ref="G1158">_xlfn.XLOOKUP(B1158,Vendedores!$A$2:$A$41,Vendedores!$B$2:$B$41,"No hay datos")</f>
        <v>Rodrigo Almonte</v>
      </c>
      <c r="H1158" s="2" t="str">
        <f t="array" ref="H1158">_xlfn.XLOOKUP(B1158,Vendedores!$A$2:$A$41,Vendedores!$C$2:$C$41,"No hay datos")</f>
        <v>Valle Escondido</v>
      </c>
      <c r="I1158" s="2" t="str">
        <f t="array" ref="I1158">_xlfn.XLOOKUP(B1158,Vendedores!$A$2:$A$41,Vendedores!$D$2:$D$41,"No hay datos")</f>
        <v>Región Andina</v>
      </c>
      <c r="J1158" s="2" t="str">
        <f t="array" ref="J1158:N1158">_xlfn.XLOOKUP(A1158,Productos!$A$2:$A$61,Productos!$B$2:$F$61)</f>
        <v>Vestido corto</v>
      </c>
      <c r="K1158" s="2" t="s">
        <v>9</v>
      </c>
      <c r="L1158" s="2" t="s">
        <v>10</v>
      </c>
      <c r="M1158" s="2" t="s">
        <v>93</v>
      </c>
      <c r="N1158" s="2" t="s">
        <v>35</v>
      </c>
    </row>
    <row r="1159">
      <c r="A1159" s="2" t="str">
        <f>IFERROR(__xludf.DUMMYFUNCTION("""COMPUTED_VALUE"""),"PR014")</f>
        <v>PR014</v>
      </c>
      <c r="B1159" s="2" t="str">
        <f>IFERROR(__xludf.DUMMYFUNCTION("""COMPUTED_VALUE"""),"VD047")</f>
        <v>VD047</v>
      </c>
      <c r="C1159" s="2">
        <f>IFERROR(__xludf.DUMMYFUNCTION("""COMPUTED_VALUE"""),4.0)</f>
        <v>4</v>
      </c>
      <c r="D1159" s="6">
        <f>IFERROR(__xludf.DUMMYFUNCTION("""COMPUTED_VALUE"""),165.98)</f>
        <v>165.98</v>
      </c>
      <c r="E1159" s="6">
        <f>IFERROR(__xludf.DUMMYFUNCTION("GOOGLEFINANCE(""Currency:BRLMXN"")*D1159"),563.9170499999999)</f>
        <v>563.91705</v>
      </c>
      <c r="F1159" s="6">
        <f>IFERROR(__xludf.DUMMYFUNCTION("GOOGLEFINANCE(""Currency:BRLPEN"")*D1159"),108.81648799999999)</f>
        <v>108.816488</v>
      </c>
      <c r="G1159" s="2" t="str">
        <f t="array" ref="G1159">_xlfn.XLOOKUP(B1159,Vendedores!$A$2:$A$41,Vendedores!$B$2:$B$41,"No hay datos")</f>
        <v>Andrés López</v>
      </c>
      <c r="H1159" s="2" t="str">
        <f t="array" ref="H1159">_xlfn.XLOOKUP(B1159,Vendedores!$A$2:$A$41,Vendedores!$C$2:$C$41,"No hay datos")</f>
        <v>Villa Progreso</v>
      </c>
      <c r="I1159" s="2" t="str">
        <f t="array" ref="I1159">_xlfn.XLOOKUP(B1159,Vendedores!$A$2:$A$41,Vendedores!$D$2:$D$41,"No hay datos")</f>
        <v>Región Central 2</v>
      </c>
      <c r="J1159" s="2" t="str">
        <f t="array" ref="J1159:N1159">_xlfn.XLOOKUP(A1159,Productos!$A$2:$A$61,Productos!$B$2:$F$61)</f>
        <v>Playera estampada</v>
      </c>
      <c r="K1159" s="2" t="s">
        <v>17</v>
      </c>
      <c r="L1159" s="2" t="s">
        <v>10</v>
      </c>
      <c r="M1159" s="2" t="s">
        <v>37</v>
      </c>
      <c r="N1159" s="2" t="s">
        <v>38</v>
      </c>
    </row>
    <row r="1160">
      <c r="A1160" s="2" t="str">
        <f>IFERROR(__xludf.DUMMYFUNCTION("""COMPUTED_VALUE"""),"PR048")</f>
        <v>PR048</v>
      </c>
      <c r="B1160" s="2" t="str">
        <f>IFERROR(__xludf.DUMMYFUNCTION("""COMPUTED_VALUE"""),"VD034")</f>
        <v>VD034</v>
      </c>
      <c r="C1160" s="2">
        <f>IFERROR(__xludf.DUMMYFUNCTION("""COMPUTED_VALUE"""),4.0)</f>
        <v>4</v>
      </c>
      <c r="D1160" s="6">
        <f>IFERROR(__xludf.DUMMYFUNCTION("""COMPUTED_VALUE"""),1171.2)</f>
        <v>1171.2</v>
      </c>
      <c r="E1160" s="6">
        <f>IFERROR(__xludf.DUMMYFUNCTION("GOOGLEFINANCE(""Currency:BRLMXN"")*D1160"),3979.152)</f>
        <v>3979.152</v>
      </c>
      <c r="F1160" s="6">
        <f>IFERROR(__xludf.DUMMYFUNCTION("GOOGLEFINANCE(""Currency:BRLPEN"")*D1160"),767.83872)</f>
        <v>767.83872</v>
      </c>
      <c r="G1160" s="2" t="str">
        <f t="array" ref="G1160">_xlfn.XLOOKUP(B1160,Vendedores!$A$2:$A$41,Vendedores!$B$2:$B$41,"No hay datos")</f>
        <v>Felipe Carvajal</v>
      </c>
      <c r="H1160" s="2" t="str">
        <f t="array" ref="H1160">_xlfn.XLOOKUP(B1160,Vendedores!$A$2:$A$41,Vendedores!$C$2:$C$41,"No hay datos")</f>
        <v>San Pedro del Río</v>
      </c>
      <c r="I1160" s="2" t="str">
        <f t="array" ref="I1160">_xlfn.XLOOKUP(B1160,Vendedores!$A$2:$A$41,Vendedores!$D$2:$D$41,"No hay datos")</f>
        <v>Región Sur 2</v>
      </c>
      <c r="J1160" s="2" t="str">
        <f t="array" ref="J1160:N1160">_xlfn.XLOOKUP(A1160,Productos!$A$2:$A$61,Productos!$B$2:$F$61)</f>
        <v>Chaqueta de cuero</v>
      </c>
      <c r="K1160" s="2" t="s">
        <v>22</v>
      </c>
      <c r="L1160" s="2" t="s">
        <v>10</v>
      </c>
      <c r="M1160" s="2" t="s">
        <v>94</v>
      </c>
      <c r="N1160" s="2" t="s">
        <v>44</v>
      </c>
    </row>
    <row r="1161">
      <c r="A1161" s="2" t="str">
        <f>IFERROR(__xludf.DUMMYFUNCTION("""COMPUTED_VALUE"""),"PR040")</f>
        <v>PR040</v>
      </c>
      <c r="B1161" s="2" t="str">
        <f>IFERROR(__xludf.DUMMYFUNCTION("""COMPUTED_VALUE"""),"VD021")</f>
        <v>VD021</v>
      </c>
      <c r="C1161" s="2">
        <f>IFERROR(__xludf.DUMMYFUNCTION("""COMPUTED_VALUE"""),4.0)</f>
        <v>4</v>
      </c>
      <c r="D1161" s="6">
        <f>IFERROR(__xludf.DUMMYFUNCTION("""COMPUTED_VALUE"""),282.8)</f>
        <v>282.8</v>
      </c>
      <c r="E1161" s="6">
        <f>IFERROR(__xludf.DUMMYFUNCTION("GOOGLEFINANCE(""Currency:BRLMXN"")*D1161"),960.813)</f>
        <v>960.813</v>
      </c>
      <c r="F1161" s="6">
        <f>IFERROR(__xludf.DUMMYFUNCTION("GOOGLEFINANCE(""Currency:BRLPEN"")*D1161"),185.40368)</f>
        <v>185.40368</v>
      </c>
      <c r="G1161" s="2" t="str">
        <f t="array" ref="G1161">_xlfn.XLOOKUP(B1161,Vendedores!$A$2:$A$41,Vendedores!$B$2:$B$41,"No hay datos")</f>
        <v>Fernanda Méndez</v>
      </c>
      <c r="H1161" s="2" t="str">
        <f t="array" ref="H1161">_xlfn.XLOOKUP(B1161,Vendedores!$A$2:$A$41,Vendedores!$C$2:$C$41,"No hay datos")</f>
        <v>San Juan de la Sierra</v>
      </c>
      <c r="I1161" s="2" t="str">
        <f t="array" ref="I1161">_xlfn.XLOOKUP(B1161,Vendedores!$A$2:$A$41,Vendedores!$D$2:$D$41,"No hay datos")</f>
        <v>Región Central</v>
      </c>
      <c r="J1161" s="2" t="str">
        <f t="array" ref="J1161:N1161">_xlfn.XLOOKUP(A1161,Productos!$A$2:$A$61,Productos!$B$2:$F$61)</f>
        <v>Playera confort</v>
      </c>
      <c r="K1161" s="2" t="s">
        <v>9</v>
      </c>
      <c r="L1161" s="2" t="s">
        <v>10</v>
      </c>
      <c r="M1161" s="2" t="s">
        <v>68</v>
      </c>
      <c r="N1161" s="2" t="s">
        <v>70</v>
      </c>
    </row>
    <row r="1162">
      <c r="A1162" s="2" t="str">
        <f>IFERROR(__xludf.DUMMYFUNCTION("""COMPUTED_VALUE"""),"PR055")</f>
        <v>PR055</v>
      </c>
      <c r="B1162" s="2" t="str">
        <f>IFERROR(__xludf.DUMMYFUNCTION("""COMPUTED_VALUE"""),"VD041")</f>
        <v>VD041</v>
      </c>
      <c r="C1162" s="2">
        <f>IFERROR(__xludf.DUMMYFUNCTION("""COMPUTED_VALUE"""),8.0)</f>
        <v>8</v>
      </c>
      <c r="D1162" s="6">
        <f>IFERROR(__xludf.DUMMYFUNCTION("""COMPUTED_VALUE"""),740.78)</f>
        <v>740.78</v>
      </c>
      <c r="E1162" s="6">
        <f>IFERROR(__xludf.DUMMYFUNCTION("GOOGLEFINANCE(""Currency:BRLMXN"")*D1162"),2516.80005)</f>
        <v>2516.80005</v>
      </c>
      <c r="F1162" s="6">
        <f>IFERROR(__xludf.DUMMYFUNCTION("GOOGLEFINANCE(""Currency:BRLPEN"")*D1162"),485.65536799999995)</f>
        <v>485.655368</v>
      </c>
      <c r="G1162" s="2" t="str">
        <f t="array" ref="G1162">_xlfn.XLOOKUP(B1162,Vendedores!$A$2:$A$41,Vendedores!$B$2:$B$41,"No hay datos")</f>
        <v>Alejandro Ramos</v>
      </c>
      <c r="H1162" s="2" t="str">
        <f t="array" ref="H1162">_xlfn.XLOOKUP(B1162,Vendedores!$A$2:$A$41,Vendedores!$C$2:$C$41,"No hay datos")</f>
        <v>San Martín de las Rosas</v>
      </c>
      <c r="I1162" s="2" t="str">
        <f t="array" ref="I1162">_xlfn.XLOOKUP(B1162,Vendedores!$A$2:$A$41,Vendedores!$D$2:$D$41,"No hay datos")</f>
        <v>Región Central 2</v>
      </c>
      <c r="J1162" s="2" t="str">
        <f t="array" ref="J1162:N1162">_xlfn.XLOOKUP(A1162,Productos!$A$2:$A$61,Productos!$B$2:$F$61)</f>
        <v>Sandalia plana</v>
      </c>
      <c r="K1162" s="2">
        <v>35.0</v>
      </c>
      <c r="L1162" s="2" t="s">
        <v>33</v>
      </c>
      <c r="M1162" s="2" t="s">
        <v>34</v>
      </c>
      <c r="N1162" s="2" t="s">
        <v>35</v>
      </c>
    </row>
    <row r="1163">
      <c r="A1163" s="2" t="str">
        <f>IFERROR(__xludf.DUMMYFUNCTION("""COMPUTED_VALUE"""),"PR035")</f>
        <v>PR035</v>
      </c>
      <c r="B1163" s="2" t="str">
        <f>IFERROR(__xludf.DUMMYFUNCTION("""COMPUTED_VALUE"""),"VD039")</f>
        <v>VD039</v>
      </c>
      <c r="C1163" s="2">
        <f>IFERROR(__xludf.DUMMYFUNCTION("""COMPUTED_VALUE"""),6.0)</f>
        <v>6</v>
      </c>
      <c r="D1163" s="6">
        <f>IFERROR(__xludf.DUMMYFUNCTION("""COMPUTED_VALUE"""),581.3)</f>
        <v>581.3</v>
      </c>
      <c r="E1163" s="6">
        <f>IFERROR(__xludf.DUMMYFUNCTION("GOOGLEFINANCE(""Currency:BRLMXN"")*D1163"),1974.9667499999998)</f>
        <v>1974.96675</v>
      </c>
      <c r="F1163" s="6">
        <f>IFERROR(__xludf.DUMMYFUNCTION("GOOGLEFINANCE(""Currency:BRLPEN"")*D1163"),381.10027999999994)</f>
        <v>381.10028</v>
      </c>
      <c r="G1163" s="2" t="str">
        <f t="array" ref="G1163">_xlfn.XLOOKUP(B1163,Vendedores!$A$2:$A$41,Vendedores!$B$2:$B$41,"No hay datos")</f>
        <v>Daniela Rodríguez</v>
      </c>
      <c r="H1163" s="2" t="str">
        <f t="array" ref="H1163">_xlfn.XLOOKUP(B1163,Vendedores!$A$2:$A$41,Vendedores!$C$2:$C$41,"No hay datos")</f>
        <v>Bahía del Sol</v>
      </c>
      <c r="I1163" s="2" t="str">
        <f t="array" ref="I1163">_xlfn.XLOOKUP(B1163,Vendedores!$A$2:$A$41,Vendedores!$D$2:$D$41,"No hay datos")</f>
        <v>Región Central 2</v>
      </c>
      <c r="J1163" s="2" t="str">
        <f t="array" ref="J1163:N1163">_xlfn.XLOOKUP(A1163,Productos!$A$2:$A$61,Productos!$B$2:$F$61)</f>
        <v>Vestido corto</v>
      </c>
      <c r="K1163" s="2" t="s">
        <v>17</v>
      </c>
      <c r="L1163" s="2" t="s">
        <v>10</v>
      </c>
      <c r="M1163" s="2" t="s">
        <v>18</v>
      </c>
      <c r="N1163" s="2" t="s">
        <v>19</v>
      </c>
    </row>
    <row r="1164">
      <c r="A1164" s="2" t="str">
        <f>IFERROR(__xludf.DUMMYFUNCTION("""COMPUTED_VALUE"""),"PR007")</f>
        <v>PR007</v>
      </c>
      <c r="B1164" s="2" t="str">
        <f>IFERROR(__xludf.DUMMYFUNCTION("""COMPUTED_VALUE"""),"VD021")</f>
        <v>VD021</v>
      </c>
      <c r="C1164" s="2">
        <f>IFERROR(__xludf.DUMMYFUNCTION("""COMPUTED_VALUE"""),8.0)</f>
        <v>8</v>
      </c>
      <c r="D1164" s="6">
        <f>IFERROR(__xludf.DUMMYFUNCTION("""COMPUTED_VALUE"""),755.92)</f>
        <v>755.92</v>
      </c>
      <c r="E1164" s="6">
        <f>IFERROR(__xludf.DUMMYFUNCTION("GOOGLEFINANCE(""Currency:BRLMXN"")*D1164"),2568.2382)</f>
        <v>2568.2382</v>
      </c>
      <c r="F1164" s="6">
        <f>IFERROR(__xludf.DUMMYFUNCTION("GOOGLEFINANCE(""Currency:BRLPEN"")*D1164"),495.5811519999999)</f>
        <v>495.581152</v>
      </c>
      <c r="G1164" s="2" t="str">
        <f t="array" ref="G1164">_xlfn.XLOOKUP(B1164,Vendedores!$A$2:$A$41,Vendedores!$B$2:$B$41,"No hay datos")</f>
        <v>Fernanda Méndez</v>
      </c>
      <c r="H1164" s="2" t="str">
        <f t="array" ref="H1164">_xlfn.XLOOKUP(B1164,Vendedores!$A$2:$A$41,Vendedores!$C$2:$C$41,"No hay datos")</f>
        <v>San Juan de la Sierra</v>
      </c>
      <c r="I1164" s="2" t="str">
        <f t="array" ref="I1164">_xlfn.XLOOKUP(B1164,Vendedores!$A$2:$A$41,Vendedores!$D$2:$D$41,"No hay datos")</f>
        <v>Región Central</v>
      </c>
      <c r="J1164" s="2" t="str">
        <f t="array" ref="J1164:N1164">_xlfn.XLOOKUP(A1164,Productos!$A$2:$A$61,Productos!$B$2:$F$61)</f>
        <v>Pantalón de mezclilla</v>
      </c>
      <c r="K1164" s="2" t="s">
        <v>9</v>
      </c>
      <c r="L1164" s="2" t="s">
        <v>10</v>
      </c>
      <c r="M1164" s="2" t="s">
        <v>103</v>
      </c>
      <c r="N1164" s="2" t="s">
        <v>104</v>
      </c>
    </row>
    <row r="1165">
      <c r="A1165" s="2" t="str">
        <f>IFERROR(__xludf.DUMMYFUNCTION("""COMPUTED_VALUE"""),"PR020")</f>
        <v>PR020</v>
      </c>
      <c r="B1165" s="2" t="str">
        <f>IFERROR(__xludf.DUMMYFUNCTION("""COMPUTED_VALUE"""),"VD024")</f>
        <v>VD024</v>
      </c>
      <c r="C1165" s="2">
        <f>IFERROR(__xludf.DUMMYFUNCTION("""COMPUTED_VALUE"""),2.0)</f>
        <v>2</v>
      </c>
      <c r="D1165" s="6">
        <f>IFERROR(__xludf.DUMMYFUNCTION("""COMPUTED_VALUE"""),599.8)</f>
        <v>599.8</v>
      </c>
      <c r="E1165" s="6">
        <f>IFERROR(__xludf.DUMMYFUNCTION("GOOGLEFINANCE(""Currency:BRLMXN"")*D1165"),2037.8204999999998)</f>
        <v>2037.8205</v>
      </c>
      <c r="F1165" s="6">
        <f>IFERROR(__xludf.DUMMYFUNCTION("GOOGLEFINANCE(""Currency:BRLPEN"")*D1165"),393.22887999999995)</f>
        <v>393.22888</v>
      </c>
      <c r="G1165" s="2" t="str">
        <f t="array" ref="G1165">_xlfn.XLOOKUP(B1165,Vendedores!$A$2:$A$41,Vendedores!$B$2:$B$41,"No hay datos")</f>
        <v>Marcos Rivera</v>
      </c>
      <c r="H1165" s="2" t="str">
        <f t="array" ref="H1165">_xlfn.XLOOKUP(B1165,Vendedores!$A$2:$A$41,Vendedores!$C$2:$C$41,"No hay datos")</f>
        <v>Santa Rosa del Valle</v>
      </c>
      <c r="I1165" s="2" t="str">
        <f t="array" ref="I1165">_xlfn.XLOOKUP(B1165,Vendedores!$A$2:$A$41,Vendedores!$D$2:$D$41,"No hay datos")</f>
        <v>Región Norte</v>
      </c>
      <c r="J1165" s="2" t="str">
        <f t="array" ref="J1165:N1165">_xlfn.XLOOKUP(A1165,Productos!$A$2:$A$61,Productos!$B$2:$F$61)</f>
        <v>Chaqueta de cuero</v>
      </c>
      <c r="K1165" s="2" t="s">
        <v>9</v>
      </c>
      <c r="L1165" s="2" t="s">
        <v>10</v>
      </c>
      <c r="M1165" s="2" t="s">
        <v>15</v>
      </c>
      <c r="N1165" s="2" t="s">
        <v>16</v>
      </c>
    </row>
    <row r="1166">
      <c r="A1166" s="2" t="str">
        <f>IFERROR(__xludf.DUMMYFUNCTION("""COMPUTED_VALUE"""),"PR052")</f>
        <v>PR052</v>
      </c>
      <c r="B1166" s="2" t="str">
        <f>IFERROR(__xludf.DUMMYFUNCTION("""COMPUTED_VALUE"""),"VD040")</f>
        <v>VD040</v>
      </c>
      <c r="C1166" s="2">
        <f>IFERROR(__xludf.DUMMYFUNCTION("""COMPUTED_VALUE"""),10.0)</f>
        <v>10</v>
      </c>
      <c r="D1166" s="6">
        <f>IFERROR(__xludf.DUMMYFUNCTION("""COMPUTED_VALUE"""),508.98)</f>
        <v>508.98</v>
      </c>
      <c r="E1166" s="6">
        <f>IFERROR(__xludf.DUMMYFUNCTION("GOOGLEFINANCE(""Currency:BRLMXN"")*D1166"),1729.25955)</f>
        <v>1729.25955</v>
      </c>
      <c r="F1166" s="6">
        <f>IFERROR(__xludf.DUMMYFUNCTION("GOOGLEFINANCE(""Currency:BRLPEN"")*D1166"),333.68728799999997)</f>
        <v>333.687288</v>
      </c>
      <c r="G1166" s="2" t="str">
        <f t="array" ref="G1166">_xlfn.XLOOKUP(B1166,Vendedores!$A$2:$A$41,Vendedores!$B$2:$B$41,"No hay datos")</f>
        <v>Tatiana Montero</v>
      </c>
      <c r="H1166" s="2" t="str">
        <f t="array" ref="H1166">_xlfn.XLOOKUP(B1166,Vendedores!$A$2:$A$41,Vendedores!$C$2:$C$41,"No hay datos")</f>
        <v>Ciudad Industrial</v>
      </c>
      <c r="I1166" s="2" t="str">
        <f t="array" ref="I1166">_xlfn.XLOOKUP(B1166,Vendedores!$A$2:$A$41,Vendedores!$D$2:$D$41,"No hay datos")</f>
        <v>Región Central 2</v>
      </c>
      <c r="J1166" s="2" t="str">
        <f t="array" ref="J1166:N1166">_xlfn.XLOOKUP(A1166,Productos!$A$2:$A$61,Productos!$B$2:$F$61)</f>
        <v>Falda plisada</v>
      </c>
      <c r="K1166" s="2" t="s">
        <v>9</v>
      </c>
      <c r="L1166" s="2" t="s">
        <v>10</v>
      </c>
      <c r="M1166" s="2" t="s">
        <v>36</v>
      </c>
      <c r="N1166" s="2" t="s">
        <v>32</v>
      </c>
    </row>
    <row r="1167">
      <c r="A1167" s="2" t="str">
        <f>IFERROR(__xludf.DUMMYFUNCTION("""COMPUTED_VALUE"""),"PR003")</f>
        <v>PR003</v>
      </c>
      <c r="B1167" s="2" t="str">
        <f>IFERROR(__xludf.DUMMYFUNCTION("""COMPUTED_VALUE"""),"VD017")</f>
        <v>VD017</v>
      </c>
      <c r="C1167" s="2">
        <f>IFERROR(__xludf.DUMMYFUNCTION("""COMPUTED_VALUE"""),20.0)</f>
        <v>20</v>
      </c>
      <c r="D1167" s="6">
        <f>IFERROR(__xludf.DUMMYFUNCTION("""COMPUTED_VALUE"""),1559.8)</f>
        <v>1559.8</v>
      </c>
      <c r="E1167" s="6">
        <f>IFERROR(__xludf.DUMMYFUNCTION("GOOGLEFINANCE(""Currency:BRLMXN"")*D1167"),5299.4205)</f>
        <v>5299.4205</v>
      </c>
      <c r="F1167" s="6">
        <f>IFERROR(__xludf.DUMMYFUNCTION("GOOGLEFINANCE(""Currency:BRLPEN"")*D1167"),1022.6048799999999)</f>
        <v>1022.60488</v>
      </c>
      <c r="G1167" s="2" t="str">
        <f t="array" ref="G1167">_xlfn.XLOOKUP(B1167,Vendedores!$A$2:$A$41,Vendedores!$B$2:$B$41,"No hay datos")</f>
        <v>Bruno Peralta</v>
      </c>
      <c r="H1167" s="2" t="str">
        <f t="array" ref="H1167">_xlfn.XLOOKUP(B1167,Vendedores!$A$2:$A$41,Vendedores!$C$2:$C$41,"No hay datos")</f>
        <v>Costa Azul</v>
      </c>
      <c r="I1167" s="2" t="str">
        <f t="array" ref="I1167">_xlfn.XLOOKUP(B1167,Vendedores!$A$2:$A$41,Vendedores!$D$2:$D$41,"No hay datos")</f>
        <v>Región Norte</v>
      </c>
      <c r="J1167" s="2" t="str">
        <f t="array" ref="J1167:N1167">_xlfn.XLOOKUP(A1167,Productos!$A$2:$A$61,Productos!$B$2:$F$61)</f>
        <v>Bermuda</v>
      </c>
      <c r="K1167" s="2" t="s">
        <v>22</v>
      </c>
      <c r="L1167" s="2" t="s">
        <v>10</v>
      </c>
      <c r="M1167" s="2" t="s">
        <v>45</v>
      </c>
      <c r="N1167" s="2" t="s">
        <v>46</v>
      </c>
    </row>
    <row r="1168">
      <c r="A1168" s="2" t="str">
        <f>IFERROR(__xludf.DUMMYFUNCTION("""COMPUTED_VALUE"""),"PR018")</f>
        <v>PR018</v>
      </c>
      <c r="B1168" s="2" t="str">
        <f>IFERROR(__xludf.DUMMYFUNCTION("""COMPUTED_VALUE"""),"VD011")</f>
        <v>VD011</v>
      </c>
      <c r="C1168" s="2">
        <f>IFERROR(__xludf.DUMMYFUNCTION("""COMPUTED_VALUE"""),16.0)</f>
        <v>16</v>
      </c>
      <c r="D1168" s="6">
        <f>IFERROR(__xludf.DUMMYFUNCTION("""COMPUTED_VALUE"""),568.51)</f>
        <v>568.51</v>
      </c>
      <c r="E1168" s="6">
        <f>IFERROR(__xludf.DUMMYFUNCTION("GOOGLEFINANCE(""Currency:BRLMXN"")*D1168"),1931.512725)</f>
        <v>1931.512725</v>
      </c>
      <c r="F1168" s="6">
        <f>IFERROR(__xludf.DUMMYFUNCTION("GOOGLEFINANCE(""Currency:BRLPEN"")*D1168"),372.715156)</f>
        <v>372.715156</v>
      </c>
      <c r="G1168" s="2" t="str">
        <f t="array" ref="G1168">_xlfn.XLOOKUP(B1168,Vendedores!$A$2:$A$41,Vendedores!$B$2:$B$41,"No hay datos")</f>
        <v>Juan Santos</v>
      </c>
      <c r="H1168" s="2" t="str">
        <f t="array" ref="H1168">_xlfn.XLOOKUP(B1168,Vendedores!$A$2:$A$41,Vendedores!$C$2:$C$41,"No hay datos")</f>
        <v>Vista Hermosa</v>
      </c>
      <c r="I1168" s="2" t="str">
        <f t="array" ref="I1168">_xlfn.XLOOKUP(B1168,Vendedores!$A$2:$A$41,Vendedores!$D$2:$D$41,"No hay datos")</f>
        <v>Región Central</v>
      </c>
      <c r="J1168" s="2" t="str">
        <f t="array" ref="J1168:N1168">_xlfn.XLOOKUP(A1168,Productos!$A$2:$A$61,Productos!$B$2:$F$61)</f>
        <v>Playera lisa</v>
      </c>
      <c r="K1168" s="2" t="s">
        <v>22</v>
      </c>
      <c r="L1168" s="2" t="s">
        <v>10</v>
      </c>
      <c r="M1168" s="2" t="s">
        <v>57</v>
      </c>
      <c r="N1168" s="2" t="s">
        <v>24</v>
      </c>
    </row>
    <row r="1169">
      <c r="A1169" s="2" t="str">
        <f>IFERROR(__xludf.DUMMYFUNCTION("""COMPUTED_VALUE"""),"PR012")</f>
        <v>PR012</v>
      </c>
      <c r="B1169" s="2" t="str">
        <f>IFERROR(__xludf.DUMMYFUNCTION("""COMPUTED_VALUE"""),"VD035")</f>
        <v>VD035</v>
      </c>
      <c r="C1169" s="2">
        <f>IFERROR(__xludf.DUMMYFUNCTION("""COMPUTED_VALUE"""),14.0)</f>
        <v>14</v>
      </c>
      <c r="D1169" s="6">
        <f>IFERROR(__xludf.DUMMYFUNCTION("""COMPUTED_VALUE"""),684.6)</f>
        <v>684.6</v>
      </c>
      <c r="E1169" s="6">
        <f>IFERROR(__xludf.DUMMYFUNCTION("GOOGLEFINANCE(""Currency:BRLMXN"")*D1169"),2325.9285)</f>
        <v>2325.9285</v>
      </c>
      <c r="F1169" s="6">
        <f>IFERROR(__xludf.DUMMYFUNCTION("GOOGLEFINANCE(""Currency:BRLPEN"")*D1169"),448.82376)</f>
        <v>448.82376</v>
      </c>
      <c r="G1169" s="2" t="str">
        <f t="array" ref="G1169">_xlfn.XLOOKUP(B1169,Vendedores!$A$2:$A$41,Vendedores!$B$2:$B$41,"No hay datos")</f>
        <v>Carolina Méndez</v>
      </c>
      <c r="H1169" s="2" t="str">
        <f t="array" ref="H1169">_xlfn.XLOOKUP(B1169,Vendedores!$A$2:$A$41,Vendedores!$C$2:$C$41,"No hay datos")</f>
        <v>Valle de los Robles</v>
      </c>
      <c r="I1169" s="2" t="str">
        <f t="array" ref="I1169">_xlfn.XLOOKUP(B1169,Vendedores!$A$2:$A$41,Vendedores!$D$2:$D$41,"No hay datos")</f>
        <v>Región Central 2</v>
      </c>
      <c r="J1169" s="2" t="str">
        <f t="array" ref="J1169:N1169">_xlfn.XLOOKUP(A1169,Productos!$A$2:$A$61,Productos!$B$2:$F$61)</f>
        <v>Pantalón legging</v>
      </c>
      <c r="K1169" s="2" t="s">
        <v>22</v>
      </c>
      <c r="L1169" s="2" t="s">
        <v>10</v>
      </c>
      <c r="M1169" s="2" t="s">
        <v>88</v>
      </c>
      <c r="N1169" s="2" t="s">
        <v>89</v>
      </c>
    </row>
    <row r="1170">
      <c r="A1170" s="2" t="str">
        <f>IFERROR(__xludf.DUMMYFUNCTION("""COMPUTED_VALUE"""),"PR019")</f>
        <v>PR019</v>
      </c>
      <c r="B1170" s="2" t="str">
        <f>IFERROR(__xludf.DUMMYFUNCTION("""COMPUTED_VALUE"""),"VD032")</f>
        <v>VD032</v>
      </c>
      <c r="C1170" s="2">
        <f>IFERROR(__xludf.DUMMYFUNCTION("""COMPUTED_VALUE"""),14.0)</f>
        <v>14</v>
      </c>
      <c r="D1170" s="6">
        <f>IFERROR(__xludf.DUMMYFUNCTION("""COMPUTED_VALUE"""),761.47)</f>
        <v>761.47</v>
      </c>
      <c r="E1170" s="6">
        <f>IFERROR(__xludf.DUMMYFUNCTION("GOOGLEFINANCE(""Currency:BRLMXN"")*D1170"),2587.094325)</f>
        <v>2587.094325</v>
      </c>
      <c r="F1170" s="6">
        <f>IFERROR(__xludf.DUMMYFUNCTION("GOOGLEFINANCE(""Currency:BRLPEN"")*D1170"),499.21973199999996)</f>
        <v>499.219732</v>
      </c>
      <c r="G1170" s="2" t="str">
        <f t="array" ref="G1170">_xlfn.XLOOKUP(B1170,Vendedores!$A$2:$A$41,Vendedores!$B$2:$B$41,"No hay datos")</f>
        <v>Eduardo Almonte</v>
      </c>
      <c r="H1170" s="2" t="str">
        <f t="array" ref="H1170">_xlfn.XLOOKUP(B1170,Vendedores!$A$2:$A$41,Vendedores!$C$2:$C$41,"No hay datos")</f>
        <v>Tierra Colorada</v>
      </c>
      <c r="I1170" s="2" t="str">
        <f t="array" ref="I1170">_xlfn.XLOOKUP(B1170,Vendedores!$A$2:$A$41,Vendedores!$D$2:$D$41,"No hay datos")</f>
        <v>Región Central 2</v>
      </c>
      <c r="J1170" s="2" t="str">
        <f t="array" ref="J1170:N1170">_xlfn.XLOOKUP(A1170,Productos!$A$2:$A$61,Productos!$B$2:$F$61)</f>
        <v>Cinturón</v>
      </c>
      <c r="K1170" s="2" t="s">
        <v>29</v>
      </c>
      <c r="L1170" s="2" t="s">
        <v>30</v>
      </c>
      <c r="M1170" s="2" t="s">
        <v>31</v>
      </c>
      <c r="N1170" s="2" t="s">
        <v>32</v>
      </c>
    </row>
    <row r="1171">
      <c r="A1171" s="2" t="str">
        <f>IFERROR(__xludf.DUMMYFUNCTION("""COMPUTED_VALUE"""),"PR026")</f>
        <v>PR026</v>
      </c>
      <c r="B1171" s="2" t="str">
        <f>IFERROR(__xludf.DUMMYFUNCTION("""COMPUTED_VALUE"""),"VD021")</f>
        <v>VD021</v>
      </c>
      <c r="C1171" s="2">
        <f>IFERROR(__xludf.DUMMYFUNCTION("""COMPUTED_VALUE"""),14.0)</f>
        <v>14</v>
      </c>
      <c r="D1171" s="6">
        <f>IFERROR(__xludf.DUMMYFUNCTION("""COMPUTED_VALUE"""),5339.47)</f>
        <v>5339.47</v>
      </c>
      <c r="E1171" s="6">
        <f>IFERROR(__xludf.DUMMYFUNCTION("GOOGLEFINANCE(""Currency:BRLMXN"")*D1171"),18140.849325)</f>
        <v>18140.84933</v>
      </c>
      <c r="F1171" s="6">
        <f>IFERROR(__xludf.DUMMYFUNCTION("GOOGLEFINANCE(""Currency:BRLPEN"")*D1171"),3500.556532)</f>
        <v>3500.556532</v>
      </c>
      <c r="G1171" s="2" t="str">
        <f t="array" ref="G1171">_xlfn.XLOOKUP(B1171,Vendedores!$A$2:$A$41,Vendedores!$B$2:$B$41,"No hay datos")</f>
        <v>Fernanda Méndez</v>
      </c>
      <c r="H1171" s="2" t="str">
        <f t="array" ref="H1171">_xlfn.XLOOKUP(B1171,Vendedores!$A$2:$A$41,Vendedores!$C$2:$C$41,"No hay datos")</f>
        <v>San Juan de la Sierra</v>
      </c>
      <c r="I1171" s="2" t="str">
        <f t="array" ref="I1171">_xlfn.XLOOKUP(B1171,Vendedores!$A$2:$A$41,Vendedores!$D$2:$D$41,"No hay datos")</f>
        <v>Región Central</v>
      </c>
      <c r="J1171" s="2" t="str">
        <f t="array" ref="J1171:N1171">_xlfn.XLOOKUP(A1171,Productos!$A$2:$A$61,Productos!$B$2:$F$61)</f>
        <v>Gafas cuadradas</v>
      </c>
      <c r="K1171" s="2" t="s">
        <v>29</v>
      </c>
      <c r="L1171" s="2" t="s">
        <v>30</v>
      </c>
      <c r="M1171" s="2" t="s">
        <v>90</v>
      </c>
      <c r="N1171" s="2" t="s">
        <v>91</v>
      </c>
    </row>
    <row r="1172">
      <c r="A1172" s="2" t="str">
        <f>IFERROR(__xludf.DUMMYFUNCTION("""COMPUTED_VALUE"""),"PR049")</f>
        <v>PR049</v>
      </c>
      <c r="B1172" s="2" t="str">
        <f>IFERROR(__xludf.DUMMYFUNCTION("""COMPUTED_VALUE"""),"VD031")</f>
        <v>VD031</v>
      </c>
      <c r="C1172" s="2">
        <f>IFERROR(__xludf.DUMMYFUNCTION("""COMPUTED_VALUE"""),18.0)</f>
        <v>18</v>
      </c>
      <c r="D1172" s="6">
        <f>IFERROR(__xludf.DUMMYFUNCTION("""COMPUTED_VALUE"""),633.65)</f>
        <v>633.65</v>
      </c>
      <c r="E1172" s="6">
        <f>IFERROR(__xludf.DUMMYFUNCTION("GOOGLEFINANCE(""Currency:BRLMXN"")*D1172"),2152.825875)</f>
        <v>2152.825875</v>
      </c>
      <c r="F1172" s="6">
        <f>IFERROR(__xludf.DUMMYFUNCTION("GOOGLEFINANCE(""Currency:BRLPEN"")*D1172"),415.42094)</f>
        <v>415.42094</v>
      </c>
      <c r="G1172" s="2" t="str">
        <f t="array" ref="G1172">_xlfn.XLOOKUP(B1172,Vendedores!$A$2:$A$41,Vendedores!$B$2:$B$41,"No hay datos")</f>
        <v>Vanessa Martínez</v>
      </c>
      <c r="H1172" s="2" t="str">
        <f t="array" ref="H1172">_xlfn.XLOOKUP(B1172,Vendedores!$A$2:$A$41,Vendedores!$C$2:$C$41,"No hay datos")</f>
        <v>Monte Verde</v>
      </c>
      <c r="I1172" s="2" t="str">
        <f t="array" ref="I1172">_xlfn.XLOOKUP(B1172,Vendedores!$A$2:$A$41,Vendedores!$D$2:$D$41,"No hay datos")</f>
        <v>Región Central 2</v>
      </c>
      <c r="J1172" s="2" t="str">
        <f t="array" ref="J1172:N1172">_xlfn.XLOOKUP(A1172,Productos!$A$2:$A$61,Productos!$B$2:$F$61)</f>
        <v>Playera a rayas</v>
      </c>
      <c r="K1172" s="2" t="s">
        <v>9</v>
      </c>
      <c r="L1172" s="2" t="s">
        <v>10</v>
      </c>
      <c r="M1172" s="2" t="s">
        <v>47</v>
      </c>
      <c r="N1172" s="2" t="s">
        <v>24</v>
      </c>
    </row>
    <row r="1173">
      <c r="A1173" s="2" t="str">
        <f>IFERROR(__xludf.DUMMYFUNCTION("""COMPUTED_VALUE"""),"PR012")</f>
        <v>PR012</v>
      </c>
      <c r="B1173" s="2" t="str">
        <f>IFERROR(__xludf.DUMMYFUNCTION("""COMPUTED_VALUE"""),"VD026")</f>
        <v>VD026</v>
      </c>
      <c r="C1173" s="2">
        <f>IFERROR(__xludf.DUMMYFUNCTION("""COMPUTED_VALUE"""),5.0)</f>
        <v>5</v>
      </c>
      <c r="D1173" s="6">
        <f>IFERROR(__xludf.DUMMYFUNCTION("""COMPUTED_VALUE"""),244.5)</f>
        <v>244.5</v>
      </c>
      <c r="E1173" s="6">
        <f>IFERROR(__xludf.DUMMYFUNCTION("GOOGLEFINANCE(""Currency:BRLMXN"")*D1173"),830.68875)</f>
        <v>830.68875</v>
      </c>
      <c r="F1173" s="6">
        <f>IFERROR(__xludf.DUMMYFUNCTION("GOOGLEFINANCE(""Currency:BRLPEN"")*D1173"),160.2942)</f>
        <v>160.2942</v>
      </c>
      <c r="G1173" s="2" t="str">
        <f t="array" ref="G1173">_xlfn.XLOOKUP(B1173,Vendedores!$A$2:$A$41,Vendedores!$B$2:$B$41,"No hay datos")</f>
        <v>Daniel Fernández</v>
      </c>
      <c r="H1173" s="2" t="str">
        <f t="array" ref="H1173">_xlfn.XLOOKUP(B1173,Vendedores!$A$2:$A$41,Vendedores!$C$2:$C$41,"No hay datos")</f>
        <v>Puerto Esperanza</v>
      </c>
      <c r="I1173" s="2" t="str">
        <f t="array" ref="I1173">_xlfn.XLOOKUP(B1173,Vendedores!$A$2:$A$41,Vendedores!$D$2:$D$41,"No hay datos")</f>
        <v>Región Sur</v>
      </c>
      <c r="J1173" s="2" t="str">
        <f t="array" ref="J1173:N1173">_xlfn.XLOOKUP(A1173,Productos!$A$2:$A$61,Productos!$B$2:$F$61)</f>
        <v>Pantalón legging</v>
      </c>
      <c r="K1173" s="2" t="s">
        <v>22</v>
      </c>
      <c r="L1173" s="2" t="s">
        <v>10</v>
      </c>
      <c r="M1173" s="2" t="s">
        <v>88</v>
      </c>
      <c r="N1173" s="2" t="s">
        <v>89</v>
      </c>
    </row>
    <row r="1174">
      <c r="A1174" s="2" t="str">
        <f>IFERROR(__xludf.DUMMYFUNCTION("""COMPUTED_VALUE"""),"PR015")</f>
        <v>PR015</v>
      </c>
      <c r="B1174" s="2" t="str">
        <f>IFERROR(__xludf.DUMMYFUNCTION("""COMPUTED_VALUE"""),"VD033")</f>
        <v>VD033</v>
      </c>
      <c r="C1174" s="2">
        <f>IFERROR(__xludf.DUMMYFUNCTION("""COMPUTED_VALUE"""),20.0)</f>
        <v>20</v>
      </c>
      <c r="D1174" s="6">
        <f>IFERROR(__xludf.DUMMYFUNCTION("""COMPUTED_VALUE"""),918.0)</f>
        <v>918</v>
      </c>
      <c r="E1174" s="6">
        <f>IFERROR(__xludf.DUMMYFUNCTION("GOOGLEFINANCE(""Currency:BRLMXN"")*D1174"),3118.9049999999997)</f>
        <v>3118.905</v>
      </c>
      <c r="F1174" s="6">
        <f>IFERROR(__xludf.DUMMYFUNCTION("GOOGLEFINANCE(""Currency:BRLPEN"")*D1174"),601.8408)</f>
        <v>601.8408</v>
      </c>
      <c r="G1174" s="2" t="str">
        <f t="array" ref="G1174">_xlfn.XLOOKUP(B1174,Vendedores!$A$2:$A$41,Vendedores!$B$2:$B$41,"No hay datos")</f>
        <v>Renata Flores</v>
      </c>
      <c r="H1174" s="2" t="str">
        <f t="array" ref="H1174">_xlfn.XLOOKUP(B1174,Vendedores!$A$2:$A$41,Vendedores!$C$2:$C$41,"No hay datos")</f>
        <v>Altos del Sur</v>
      </c>
      <c r="I1174" s="2" t="str">
        <f t="array" ref="I1174">_xlfn.XLOOKUP(B1174,Vendedores!$A$2:$A$41,Vendedores!$D$2:$D$41,"No hay datos")</f>
        <v>Región Central 2</v>
      </c>
      <c r="J1174" s="2" t="str">
        <f t="array" ref="J1174:N1174">_xlfn.XLOOKUP(A1174,Productos!$A$2:$A$61,Productos!$B$2:$F$61)</f>
        <v>Playera estampada</v>
      </c>
      <c r="K1174" s="2" t="s">
        <v>22</v>
      </c>
      <c r="L1174" s="2" t="s">
        <v>10</v>
      </c>
      <c r="M1174" s="2" t="s">
        <v>101</v>
      </c>
      <c r="N1174" s="2" t="s">
        <v>102</v>
      </c>
    </row>
    <row r="1175">
      <c r="A1175" s="2" t="str">
        <f>IFERROR(__xludf.DUMMYFUNCTION("""COMPUTED_VALUE"""),"PR036")</f>
        <v>PR036</v>
      </c>
      <c r="B1175" s="2" t="str">
        <f>IFERROR(__xludf.DUMMYFUNCTION("""COMPUTED_VALUE"""),"VD017")</f>
        <v>VD017</v>
      </c>
      <c r="C1175" s="2">
        <f>IFERROR(__xludf.DUMMYFUNCTION("""COMPUTED_VALUE"""),5.0)</f>
        <v>5</v>
      </c>
      <c r="D1175" s="6">
        <f>IFERROR(__xludf.DUMMYFUNCTION("""COMPUTED_VALUE"""),467.5)</f>
        <v>467.5</v>
      </c>
      <c r="E1175" s="6">
        <f>IFERROR(__xludf.DUMMYFUNCTION("GOOGLEFINANCE(""Currency:BRLMXN"")*D1175"),1588.33125)</f>
        <v>1588.33125</v>
      </c>
      <c r="F1175" s="6">
        <f>IFERROR(__xludf.DUMMYFUNCTION("GOOGLEFINANCE(""Currency:BRLPEN"")*D1175"),306.493)</f>
        <v>306.493</v>
      </c>
      <c r="G1175" s="2" t="str">
        <f t="array" ref="G1175">_xlfn.XLOOKUP(B1175,Vendedores!$A$2:$A$41,Vendedores!$B$2:$B$41,"No hay datos")</f>
        <v>Bruno Peralta</v>
      </c>
      <c r="H1175" s="2" t="str">
        <f t="array" ref="H1175">_xlfn.XLOOKUP(B1175,Vendedores!$A$2:$A$41,Vendedores!$C$2:$C$41,"No hay datos")</f>
        <v>Costa Azul</v>
      </c>
      <c r="I1175" s="2" t="str">
        <f t="array" ref="I1175">_xlfn.XLOOKUP(B1175,Vendedores!$A$2:$A$41,Vendedores!$D$2:$D$41,"No hay datos")</f>
        <v>Región Norte</v>
      </c>
      <c r="J1175" s="2" t="str">
        <f t="array" ref="J1175:N1175">_xlfn.XLOOKUP(A1175,Productos!$A$2:$A$61,Productos!$B$2:$F$61)</f>
        <v>Vestido corto</v>
      </c>
      <c r="K1175" s="2" t="s">
        <v>22</v>
      </c>
      <c r="L1175" s="2" t="s">
        <v>10</v>
      </c>
      <c r="M1175" s="2" t="s">
        <v>82</v>
      </c>
      <c r="N1175" s="2" t="s">
        <v>83</v>
      </c>
    </row>
    <row r="1176">
      <c r="A1176" s="2" t="str">
        <f>IFERROR(__xludf.DUMMYFUNCTION("""COMPUTED_VALUE"""),"PR013")</f>
        <v>PR013</v>
      </c>
      <c r="B1176" s="2" t="str">
        <f>IFERROR(__xludf.DUMMYFUNCTION("""COMPUTED_VALUE"""),"VD041")</f>
        <v>VD041</v>
      </c>
      <c r="C1176" s="2">
        <f>IFERROR(__xludf.DUMMYFUNCTION("""COMPUTED_VALUE"""),8.0)</f>
        <v>8</v>
      </c>
      <c r="D1176" s="6">
        <f>IFERROR(__xludf.DUMMYFUNCTION("""COMPUTED_VALUE"""),322.39)</f>
        <v>322.39</v>
      </c>
      <c r="E1176" s="6">
        <f>IFERROR(__xludf.DUMMYFUNCTION("GOOGLEFINANCE(""Currency:BRLMXN"")*D1176"),1095.320025)</f>
        <v>1095.320025</v>
      </c>
      <c r="F1176" s="6">
        <f>IFERROR(__xludf.DUMMYFUNCTION("GOOGLEFINANCE(""Currency:BRLPEN"")*D1176"),211.358884)</f>
        <v>211.358884</v>
      </c>
      <c r="G1176" s="2" t="str">
        <f t="array" ref="G1176">_xlfn.XLOOKUP(B1176,Vendedores!$A$2:$A$41,Vendedores!$B$2:$B$41,"No hay datos")</f>
        <v>Alejandro Ramos</v>
      </c>
      <c r="H1176" s="2" t="str">
        <f t="array" ref="H1176">_xlfn.XLOOKUP(B1176,Vendedores!$A$2:$A$41,Vendedores!$C$2:$C$41,"No hay datos")</f>
        <v>San Martín de las Rosas</v>
      </c>
      <c r="I1176" s="2" t="str">
        <f t="array" ref="I1176">_xlfn.XLOOKUP(B1176,Vendedores!$A$2:$A$41,Vendedores!$D$2:$D$41,"No hay datos")</f>
        <v>Región Central 2</v>
      </c>
      <c r="J1176" s="2" t="str">
        <f t="array" ref="J1176:N1176">_xlfn.XLOOKUP(A1176,Productos!$A$2:$A$61,Productos!$B$2:$F$61)</f>
        <v>Playera estampada</v>
      </c>
      <c r="K1176" s="2" t="s">
        <v>9</v>
      </c>
      <c r="L1176" s="2" t="s">
        <v>10</v>
      </c>
      <c r="M1176" s="2" t="s">
        <v>66</v>
      </c>
      <c r="N1176" s="2" t="s">
        <v>38</v>
      </c>
    </row>
    <row r="1177">
      <c r="A1177" s="2" t="str">
        <f>IFERROR(__xludf.DUMMYFUNCTION("""COMPUTED_VALUE"""),"PR015")</f>
        <v>PR015</v>
      </c>
      <c r="B1177" s="2" t="str">
        <f>IFERROR(__xludf.DUMMYFUNCTION("""COMPUTED_VALUE"""),"VD027")</f>
        <v>VD027</v>
      </c>
      <c r="C1177" s="2">
        <f>IFERROR(__xludf.DUMMYFUNCTION("""COMPUTED_VALUE"""),2.0)</f>
        <v>2</v>
      </c>
      <c r="D1177" s="6">
        <f>IFERROR(__xludf.DUMMYFUNCTION("""COMPUTED_VALUE"""),89.25)</f>
        <v>89.25</v>
      </c>
      <c r="E1177" s="6">
        <f>IFERROR(__xludf.DUMMYFUNCTION("GOOGLEFINANCE(""Currency:BRLMXN"")*D1177"),303.226875)</f>
        <v>303.226875</v>
      </c>
      <c r="F1177" s="6">
        <f>IFERROR(__xludf.DUMMYFUNCTION("GOOGLEFINANCE(""Currency:BRLPEN"")*D1177"),58.512299999999996)</f>
        <v>58.5123</v>
      </c>
      <c r="G1177" s="2" t="str">
        <f t="array" ref="G1177">_xlfn.XLOOKUP(B1177,Vendedores!$A$2:$A$41,Vendedores!$B$2:$B$41,"No hay datos")</f>
        <v>Patricia Cortés</v>
      </c>
      <c r="H1177" s="2" t="str">
        <f t="array" ref="H1177">_xlfn.XLOOKUP(B1177,Vendedores!$A$2:$A$41,Vendedores!$C$2:$C$41,"No hay datos")</f>
        <v>Costa Azul</v>
      </c>
      <c r="I1177" s="2" t="str">
        <f t="array" ref="I1177">_xlfn.XLOOKUP(B1177,Vendedores!$A$2:$A$41,Vendedores!$D$2:$D$41,"No hay datos")</f>
        <v>Región Norte</v>
      </c>
      <c r="J1177" s="2" t="str">
        <f t="array" ref="J1177:N1177">_xlfn.XLOOKUP(A1177,Productos!$A$2:$A$61,Productos!$B$2:$F$61)</f>
        <v>Playera estampada</v>
      </c>
      <c r="K1177" s="2" t="s">
        <v>22</v>
      </c>
      <c r="L1177" s="2" t="s">
        <v>10</v>
      </c>
      <c r="M1177" s="2" t="s">
        <v>101</v>
      </c>
      <c r="N1177" s="2" t="s">
        <v>102</v>
      </c>
    </row>
    <row r="1178">
      <c r="A1178" s="2" t="str">
        <f>IFERROR(__xludf.DUMMYFUNCTION("""COMPUTED_VALUE"""),"PR024")</f>
        <v>PR024</v>
      </c>
      <c r="B1178" s="2" t="str">
        <f>IFERROR(__xludf.DUMMYFUNCTION("""COMPUTED_VALUE"""),"VD049")</f>
        <v>VD049</v>
      </c>
      <c r="C1178" s="2">
        <f>IFERROR(__xludf.DUMMYFUNCTION("""COMPUTED_VALUE"""),2.0)</f>
        <v>2</v>
      </c>
      <c r="D1178" s="6">
        <f>IFERROR(__xludf.DUMMYFUNCTION("""COMPUTED_VALUE"""),556.19)</f>
        <v>556.19</v>
      </c>
      <c r="E1178" s="6">
        <f>IFERROR(__xludf.DUMMYFUNCTION("GOOGLEFINANCE(""Currency:BRLMXN"")*D1178"),1889.6555250000001)</f>
        <v>1889.655525</v>
      </c>
      <c r="F1178" s="6">
        <f>IFERROR(__xludf.DUMMYFUNCTION("GOOGLEFINANCE(""Currency:BRLPEN"")*D1178"),364.638164)</f>
        <v>364.638164</v>
      </c>
      <c r="G1178" s="2" t="str">
        <f t="array" ref="G1178">_xlfn.XLOOKUP(B1178,Vendedores!$A$2:$A$41,Vendedores!$B$2:$B$41,"No hay datos")</f>
        <v>Fernando Navarro</v>
      </c>
      <c r="H1178" s="2" t="str">
        <f t="array" ref="H1178">_xlfn.XLOOKUP(B1178,Vendedores!$A$2:$A$41,Vendedores!$C$2:$C$41,"No hay datos")</f>
        <v>Colinas Verdes</v>
      </c>
      <c r="I1178" s="2" t="str">
        <f t="array" ref="I1178">_xlfn.XLOOKUP(B1178,Vendedores!$A$2:$A$41,Vendedores!$D$2:$D$41,"No hay datos")</f>
        <v>Región Central 2</v>
      </c>
      <c r="J1178" s="2" t="str">
        <f t="array" ref="J1178:N1178">_xlfn.XLOOKUP(A1178,Productos!$A$2:$A$61,Productos!$B$2:$F$61)</f>
        <v>Chaqueta de mezclilla</v>
      </c>
      <c r="K1178" s="2" t="s">
        <v>17</v>
      </c>
      <c r="L1178" s="2" t="s">
        <v>10</v>
      </c>
      <c r="M1178" s="2" t="s">
        <v>92</v>
      </c>
      <c r="N1178" s="2" t="s">
        <v>64</v>
      </c>
    </row>
    <row r="1179">
      <c r="A1179" s="2" t="str">
        <f>IFERROR(__xludf.DUMMYFUNCTION("""COMPUTED_VALUE"""),"PR042")</f>
        <v>PR042</v>
      </c>
      <c r="B1179" s="2" t="str">
        <f>IFERROR(__xludf.DUMMYFUNCTION("""COMPUTED_VALUE"""),"VD025")</f>
        <v>VD025</v>
      </c>
      <c r="C1179" s="2">
        <f>IFERROR(__xludf.DUMMYFUNCTION("""COMPUTED_VALUE"""),2.0)</f>
        <v>2</v>
      </c>
      <c r="D1179" s="6">
        <f>IFERROR(__xludf.DUMMYFUNCTION("""COMPUTED_VALUE"""),116.39)</f>
        <v>116.39</v>
      </c>
      <c r="E1179" s="6">
        <f>IFERROR(__xludf.DUMMYFUNCTION("GOOGLEFINANCE(""Currency:BRLMXN"")*D1179"),395.435025)</f>
        <v>395.435025</v>
      </c>
      <c r="F1179" s="6">
        <f>IFERROR(__xludf.DUMMYFUNCTION("GOOGLEFINANCE(""Currency:BRLPEN"")*D1179"),76.305284)</f>
        <v>76.305284</v>
      </c>
      <c r="G1179" s="2" t="str">
        <f t="array" ref="G1179">_xlfn.XLOOKUP(B1179,Vendedores!$A$2:$A$41,Vendedores!$B$2:$B$41,"No hay datos")</f>
        <v>Alina Santana</v>
      </c>
      <c r="H1179" s="2" t="str">
        <f t="array" ref="H1179">_xlfn.XLOOKUP(B1179,Vendedores!$A$2:$A$41,Vendedores!$C$2:$C$41,"No hay datos")</f>
        <v>Playa Blanca</v>
      </c>
      <c r="I1179" s="2" t="str">
        <f t="array" ref="I1179">_xlfn.XLOOKUP(B1179,Vendedores!$A$2:$A$41,Vendedores!$D$2:$D$41,"No hay datos")</f>
        <v>Región Norte</v>
      </c>
      <c r="J1179" s="2" t="str">
        <f t="array" ref="J1179:N1179">_xlfn.XLOOKUP(A1179,Productos!$A$2:$A$61,Productos!$B$2:$F$61)</f>
        <v>Playera confort</v>
      </c>
      <c r="K1179" s="2" t="s">
        <v>22</v>
      </c>
      <c r="L1179" s="2" t="s">
        <v>10</v>
      </c>
      <c r="M1179" s="2" t="s">
        <v>25</v>
      </c>
      <c r="N1179" s="2" t="s">
        <v>26</v>
      </c>
    </row>
    <row r="1180">
      <c r="A1180" s="2" t="str">
        <f>IFERROR(__xludf.DUMMYFUNCTION("""COMPUTED_VALUE"""),"PR047")</f>
        <v>PR047</v>
      </c>
      <c r="B1180" s="2" t="str">
        <f>IFERROR(__xludf.DUMMYFUNCTION("""COMPUTED_VALUE"""),"VD039")</f>
        <v>VD039</v>
      </c>
      <c r="C1180" s="2">
        <f>IFERROR(__xludf.DUMMYFUNCTION("""COMPUTED_VALUE"""),20.0)</f>
        <v>20</v>
      </c>
      <c r="D1180" s="6">
        <f>IFERROR(__xludf.DUMMYFUNCTION("""COMPUTED_VALUE"""),5913.96)</f>
        <v>5913.96</v>
      </c>
      <c r="E1180" s="6">
        <f>IFERROR(__xludf.DUMMYFUNCTION("GOOGLEFINANCE(""Currency:BRLMXN"")*D1180"),20092.6791)</f>
        <v>20092.6791</v>
      </c>
      <c r="F1180" s="6">
        <f>IFERROR(__xludf.DUMMYFUNCTION("GOOGLEFINANCE(""Currency:BRLPEN"")*D1180"),3877.192176)</f>
        <v>3877.192176</v>
      </c>
      <c r="G1180" s="2" t="str">
        <f t="array" ref="G1180">_xlfn.XLOOKUP(B1180,Vendedores!$A$2:$A$41,Vendedores!$B$2:$B$41,"No hay datos")</f>
        <v>Daniela Rodríguez</v>
      </c>
      <c r="H1180" s="2" t="str">
        <f t="array" ref="H1180">_xlfn.XLOOKUP(B1180,Vendedores!$A$2:$A$41,Vendedores!$C$2:$C$41,"No hay datos")</f>
        <v>Bahía del Sol</v>
      </c>
      <c r="I1180" s="2" t="str">
        <f t="array" ref="I1180">_xlfn.XLOOKUP(B1180,Vendedores!$A$2:$A$41,Vendedores!$D$2:$D$41,"No hay datos")</f>
        <v>Región Central 2</v>
      </c>
      <c r="J1180" s="2" t="str">
        <f t="array" ref="J1180:N1180">_xlfn.XLOOKUP(A1180,Productos!$A$2:$A$61,Productos!$B$2:$F$61)</f>
        <v>Chaqueta de cuero</v>
      </c>
      <c r="K1180" s="2" t="s">
        <v>17</v>
      </c>
      <c r="L1180" s="2" t="s">
        <v>10</v>
      </c>
      <c r="M1180" s="2" t="s">
        <v>43</v>
      </c>
      <c r="N1180" s="2" t="s">
        <v>44</v>
      </c>
    </row>
    <row r="1181">
      <c r="A1181" s="2" t="str">
        <f>IFERROR(__xludf.DUMMYFUNCTION("""COMPUTED_VALUE"""),"PR010")</f>
        <v>PR010</v>
      </c>
      <c r="B1181" s="2" t="str">
        <f>IFERROR(__xludf.DUMMYFUNCTION("""COMPUTED_VALUE"""),"VD045")</f>
        <v>VD045</v>
      </c>
      <c r="C1181" s="2">
        <f>IFERROR(__xludf.DUMMYFUNCTION("""COMPUTED_VALUE"""),8.0)</f>
        <v>8</v>
      </c>
      <c r="D1181" s="6">
        <f>IFERROR(__xludf.DUMMYFUNCTION("""COMPUTED_VALUE"""),373.57)</f>
        <v>373.57</v>
      </c>
      <c r="E1181" s="6">
        <f>IFERROR(__xludf.DUMMYFUNCTION("GOOGLEFINANCE(""Currency:BRLMXN"")*D1181"),1269.2040749999999)</f>
        <v>1269.204075</v>
      </c>
      <c r="F1181" s="6">
        <f>IFERROR(__xludf.DUMMYFUNCTION("GOOGLEFINANCE(""Currency:BRLPEN"")*D1181"),244.912492)</f>
        <v>244.912492</v>
      </c>
      <c r="G1181" s="2" t="str">
        <f t="array" ref="G1181">_xlfn.XLOOKUP(B1181,Vendedores!$A$2:$A$41,Vendedores!$B$2:$B$41,"No hay datos")</f>
        <v>Rafael Morales</v>
      </c>
      <c r="H1181" s="2" t="str">
        <f t="array" ref="H1181">_xlfn.XLOOKUP(B1181,Vendedores!$A$2:$A$41,Vendedores!$C$2:$C$41,"No hay datos")</f>
        <v>Valle Dorado</v>
      </c>
      <c r="I1181" s="2" t="str">
        <f t="array" ref="I1181">_xlfn.XLOOKUP(B1181,Vendedores!$A$2:$A$41,Vendedores!$D$2:$D$41,"No hay datos")</f>
        <v>Región Central 2</v>
      </c>
      <c r="J1181" s="2" t="str">
        <f t="array" ref="J1181:N1181">_xlfn.XLOOKUP(A1181,Productos!$A$2:$A$61,Productos!$B$2:$F$61)</f>
        <v>Pantalón legging</v>
      </c>
      <c r="K1181" s="2" t="s">
        <v>9</v>
      </c>
      <c r="L1181" s="2" t="s">
        <v>10</v>
      </c>
      <c r="M1181" s="2" t="s">
        <v>86</v>
      </c>
      <c r="N1181" s="2" t="s">
        <v>87</v>
      </c>
    </row>
    <row r="1182">
      <c r="A1182" s="2" t="str">
        <f>IFERROR(__xludf.DUMMYFUNCTION("""COMPUTED_VALUE"""),"PR004")</f>
        <v>PR004</v>
      </c>
      <c r="B1182" s="2" t="str">
        <f>IFERROR(__xludf.DUMMYFUNCTION("""COMPUTED_VALUE"""),"VD047")</f>
        <v>VD047</v>
      </c>
      <c r="C1182" s="2">
        <f>IFERROR(__xludf.DUMMYFUNCTION("""COMPUTED_VALUE"""),2.0)</f>
        <v>2</v>
      </c>
      <c r="D1182" s="6">
        <f>IFERROR(__xludf.DUMMYFUNCTION("""COMPUTED_VALUE"""),290.0)</f>
        <v>290</v>
      </c>
      <c r="E1182" s="6">
        <f>IFERROR(__xludf.DUMMYFUNCTION("GOOGLEFINANCE(""Currency:BRLMXN"")*D1182"),985.275)</f>
        <v>985.275</v>
      </c>
      <c r="F1182" s="6">
        <f>IFERROR(__xludf.DUMMYFUNCTION("GOOGLEFINANCE(""Currency:BRLPEN"")*D1182"),190.124)</f>
        <v>190.124</v>
      </c>
      <c r="G1182" s="2" t="str">
        <f t="array" ref="G1182">_xlfn.XLOOKUP(B1182,Vendedores!$A$2:$A$41,Vendedores!$B$2:$B$41,"No hay datos")</f>
        <v>Andrés López</v>
      </c>
      <c r="H1182" s="2" t="str">
        <f t="array" ref="H1182">_xlfn.XLOOKUP(B1182,Vendedores!$A$2:$A$41,Vendedores!$C$2:$C$41,"No hay datos")</f>
        <v>Villa Progreso</v>
      </c>
      <c r="I1182" s="2" t="str">
        <f t="array" ref="I1182">_xlfn.XLOOKUP(B1182,Vendedores!$A$2:$A$41,Vendedores!$D$2:$D$41,"No hay datos")</f>
        <v>Región Central 2</v>
      </c>
      <c r="J1182" s="2" t="str">
        <f t="array" ref="J1182:N1182">_xlfn.XLOOKUP(A1182,Productos!$A$2:$A$61,Productos!$B$2:$F$61)</f>
        <v>Bolso versátil</v>
      </c>
      <c r="K1182" s="2" t="s">
        <v>29</v>
      </c>
      <c r="L1182" s="2" t="s">
        <v>30</v>
      </c>
      <c r="M1182" s="2" t="s">
        <v>59</v>
      </c>
      <c r="N1182" s="2" t="s">
        <v>60</v>
      </c>
    </row>
    <row r="1183">
      <c r="A1183" s="2" t="str">
        <f>IFERROR(__xludf.DUMMYFUNCTION("""COMPUTED_VALUE"""),"PR028")</f>
        <v>PR028</v>
      </c>
      <c r="B1183" s="2" t="str">
        <f>IFERROR(__xludf.DUMMYFUNCTION("""COMPUTED_VALUE"""),"VD027")</f>
        <v>VD027</v>
      </c>
      <c r="C1183" s="2">
        <f>IFERROR(__xludf.DUMMYFUNCTION("""COMPUTED_VALUE"""),8.0)</f>
        <v>8</v>
      </c>
      <c r="D1183" s="6">
        <f>IFERROR(__xludf.DUMMYFUNCTION("""COMPUTED_VALUE"""),2159.14)</f>
        <v>2159.14</v>
      </c>
      <c r="E1183" s="6">
        <f>IFERROR(__xludf.DUMMYFUNCTION("GOOGLEFINANCE(""Currency:BRLMXN"")*D1183"),7335.67815)</f>
        <v>7335.67815</v>
      </c>
      <c r="F1183" s="6">
        <f>IFERROR(__xludf.DUMMYFUNCTION("GOOGLEFINANCE(""Currency:BRLPEN"")*D1183"),1415.532184)</f>
        <v>1415.532184</v>
      </c>
      <c r="G1183" s="2" t="str">
        <f t="array" ref="G1183">_xlfn.XLOOKUP(B1183,Vendedores!$A$2:$A$41,Vendedores!$B$2:$B$41,"No hay datos")</f>
        <v>Patricia Cortés</v>
      </c>
      <c r="H1183" s="2" t="str">
        <f t="array" ref="H1183">_xlfn.XLOOKUP(B1183,Vendedores!$A$2:$A$41,Vendedores!$C$2:$C$41,"No hay datos")</f>
        <v>Costa Azul</v>
      </c>
      <c r="I1183" s="2" t="str">
        <f t="array" ref="I1183">_xlfn.XLOOKUP(B1183,Vendedores!$A$2:$A$41,Vendedores!$D$2:$D$41,"No hay datos")</f>
        <v>Región Norte</v>
      </c>
      <c r="J1183" s="2" t="str">
        <f t="array" ref="J1183:N1183">_xlfn.XLOOKUP(A1183,Productos!$A$2:$A$61,Productos!$B$2:$F$61)</f>
        <v>Tenis Atitas</v>
      </c>
      <c r="K1183" s="2">
        <v>36.0</v>
      </c>
      <c r="L1183" s="2" t="s">
        <v>33</v>
      </c>
      <c r="M1183" s="2" t="s">
        <v>55</v>
      </c>
      <c r="N1183" s="2" t="s">
        <v>56</v>
      </c>
    </row>
    <row r="1184">
      <c r="A1184" s="2" t="str">
        <f>IFERROR(__xludf.DUMMYFUNCTION("""COMPUTED_VALUE"""),"PR029")</f>
        <v>PR029</v>
      </c>
      <c r="B1184" s="2" t="str">
        <f>IFERROR(__xludf.DUMMYFUNCTION("""COMPUTED_VALUE"""),"VD025")</f>
        <v>VD025</v>
      </c>
      <c r="C1184" s="2">
        <f>IFERROR(__xludf.DUMMYFUNCTION("""COMPUTED_VALUE"""),4.0)</f>
        <v>4</v>
      </c>
      <c r="D1184" s="6">
        <f>IFERROR(__xludf.DUMMYFUNCTION("""COMPUTED_VALUE"""),1050.6)</f>
        <v>1050.6</v>
      </c>
      <c r="E1184" s="6">
        <f>IFERROR(__xludf.DUMMYFUNCTION("GOOGLEFINANCE(""Currency:BRLMXN"")*D1184"),3569.4134999999997)</f>
        <v>3569.4135</v>
      </c>
      <c r="F1184" s="6">
        <f>IFERROR(__xludf.DUMMYFUNCTION("GOOGLEFINANCE(""Currency:BRLPEN"")*D1184"),688.7733599999999)</f>
        <v>688.77336</v>
      </c>
      <c r="G1184" s="2" t="str">
        <f t="array" ref="G1184">_xlfn.XLOOKUP(B1184,Vendedores!$A$2:$A$41,Vendedores!$B$2:$B$41,"No hay datos")</f>
        <v>Alina Santana</v>
      </c>
      <c r="H1184" s="2" t="str">
        <f t="array" ref="H1184">_xlfn.XLOOKUP(B1184,Vendedores!$A$2:$A$41,Vendedores!$C$2:$C$41,"No hay datos")</f>
        <v>Playa Blanca</v>
      </c>
      <c r="I1184" s="2" t="str">
        <f t="array" ref="I1184">_xlfn.XLOOKUP(B1184,Vendedores!$A$2:$A$41,Vendedores!$D$2:$D$41,"No hay datos")</f>
        <v>Región Norte</v>
      </c>
      <c r="J1184" s="2" t="str">
        <f t="array" ref="J1184:N1184">_xlfn.XLOOKUP(A1184,Productos!$A$2:$A$61,Productos!$B$2:$F$61)</f>
        <v>Tenis Atitas</v>
      </c>
      <c r="K1184" s="2">
        <v>37.0</v>
      </c>
      <c r="L1184" s="2" t="s">
        <v>33</v>
      </c>
      <c r="M1184" s="2" t="s">
        <v>96</v>
      </c>
      <c r="N1184" s="2" t="s">
        <v>97</v>
      </c>
    </row>
    <row r="1185">
      <c r="A1185" s="2" t="str">
        <f>IFERROR(__xludf.DUMMYFUNCTION("""COMPUTED_VALUE"""),"PR046")</f>
        <v>PR046</v>
      </c>
      <c r="B1185" s="2" t="str">
        <f>IFERROR(__xludf.DUMMYFUNCTION("""COMPUTED_VALUE"""),"VD042")</f>
        <v>VD042</v>
      </c>
      <c r="C1185" s="2">
        <f>IFERROR(__xludf.DUMMYFUNCTION("""COMPUTED_VALUE"""),10.0)</f>
        <v>10</v>
      </c>
      <c r="D1185" s="6">
        <f>IFERROR(__xludf.DUMMYFUNCTION("""COMPUTED_VALUE"""),3014.96)</f>
        <v>3014.96</v>
      </c>
      <c r="E1185" s="6">
        <f>IFERROR(__xludf.DUMMYFUNCTION("GOOGLEFINANCE(""Currency:BRLMXN"")*D1185"),10243.3266)</f>
        <v>10243.3266</v>
      </c>
      <c r="F1185" s="6">
        <f>IFERROR(__xludf.DUMMYFUNCTION("GOOGLEFINANCE(""Currency:BRLPEN"")*D1185"),1976.6077759999998)</f>
        <v>1976.607776</v>
      </c>
      <c r="G1185" s="2" t="str">
        <f t="array" ref="G1185">_xlfn.XLOOKUP(B1185,Vendedores!$A$2:$A$41,Vendedores!$B$2:$B$41,"No hay datos")</f>
        <v>Priscila Duarte</v>
      </c>
      <c r="H1185" s="2" t="str">
        <f t="array" ref="H1185">_xlfn.XLOOKUP(B1185,Vendedores!$A$2:$A$41,Vendedores!$C$2:$C$41,"No hay datos")</f>
        <v>Villa Comercial</v>
      </c>
      <c r="I1185" s="2" t="str">
        <f t="array" ref="I1185">_xlfn.XLOOKUP(B1185,Vendedores!$A$2:$A$41,Vendedores!$D$2:$D$41,"No hay datos")</f>
        <v>Región Central 2</v>
      </c>
      <c r="J1185" s="2" t="str">
        <f t="array" ref="J1185:N1185">_xlfn.XLOOKUP(A1185,Productos!$A$2:$A$61,Productos!$B$2:$F$61)</f>
        <v>Chaqueta de cuero</v>
      </c>
      <c r="K1185" s="2" t="s">
        <v>9</v>
      </c>
      <c r="L1185" s="2" t="s">
        <v>10</v>
      </c>
      <c r="M1185" s="2" t="s">
        <v>94</v>
      </c>
      <c r="N1185" s="2" t="s">
        <v>44</v>
      </c>
    </row>
    <row r="1186">
      <c r="A1186" s="2" t="str">
        <f>IFERROR(__xludf.DUMMYFUNCTION("""COMPUTED_VALUE"""),"PR043")</f>
        <v>PR043</v>
      </c>
      <c r="B1186" s="2" t="str">
        <f>IFERROR(__xludf.DUMMYFUNCTION("""COMPUTED_VALUE"""),"VD041")</f>
        <v>VD041</v>
      </c>
      <c r="C1186" s="2">
        <f>IFERROR(__xludf.DUMMYFUNCTION("""COMPUTED_VALUE"""),10.0)</f>
        <v>10</v>
      </c>
      <c r="D1186" s="6">
        <f>IFERROR(__xludf.DUMMYFUNCTION("""COMPUTED_VALUE"""),754.0)</f>
        <v>754</v>
      </c>
      <c r="E1186" s="6">
        <f>IFERROR(__xludf.DUMMYFUNCTION("GOOGLEFINANCE(""Currency:BRLMXN"")*D1186"),2561.715)</f>
        <v>2561.715</v>
      </c>
      <c r="F1186" s="6">
        <f>IFERROR(__xludf.DUMMYFUNCTION("GOOGLEFINANCE(""Currency:BRLPEN"")*D1186"),494.32239999999996)</f>
        <v>494.3224</v>
      </c>
      <c r="G1186" s="2" t="str">
        <f t="array" ref="G1186">_xlfn.XLOOKUP(B1186,Vendedores!$A$2:$A$41,Vendedores!$B$2:$B$41,"No hay datos")</f>
        <v>Alejandro Ramos</v>
      </c>
      <c r="H1186" s="2" t="str">
        <f t="array" ref="H1186">_xlfn.XLOOKUP(B1186,Vendedores!$A$2:$A$41,Vendedores!$C$2:$C$41,"No hay datos")</f>
        <v>San Martín de las Rosas</v>
      </c>
      <c r="I1186" s="2" t="str">
        <f t="array" ref="I1186">_xlfn.XLOOKUP(B1186,Vendedores!$A$2:$A$41,Vendedores!$D$2:$D$41,"No hay datos")</f>
        <v>Región Central 2</v>
      </c>
      <c r="J1186" s="2" t="str">
        <f t="array" ref="J1186:N1186">_xlfn.XLOOKUP(A1186,Productos!$A$2:$A$61,Productos!$B$2:$F$61)</f>
        <v>Vestido floral</v>
      </c>
      <c r="K1186" s="2" t="s">
        <v>9</v>
      </c>
      <c r="L1186" s="2" t="s">
        <v>10</v>
      </c>
      <c r="M1186" s="2" t="s">
        <v>69</v>
      </c>
      <c r="N1186" s="2" t="s">
        <v>40</v>
      </c>
    </row>
    <row r="1187">
      <c r="A1187" s="2" t="str">
        <f>IFERROR(__xludf.DUMMYFUNCTION("""COMPUTED_VALUE"""),"PR034")</f>
        <v>PR034</v>
      </c>
      <c r="B1187" s="2" t="str">
        <f>IFERROR(__xludf.DUMMYFUNCTION("""COMPUTED_VALUE"""),"VD032")</f>
        <v>VD032</v>
      </c>
      <c r="C1187" s="2">
        <f>IFERROR(__xludf.DUMMYFUNCTION("""COMPUTED_VALUE"""),8.0)</f>
        <v>8</v>
      </c>
      <c r="D1187" s="6">
        <f>IFERROR(__xludf.DUMMYFUNCTION("""COMPUTED_VALUE"""),726.39)</f>
        <v>726.39</v>
      </c>
      <c r="E1187" s="6">
        <f>IFERROR(__xludf.DUMMYFUNCTION("GOOGLEFINANCE(""Currency:BRLMXN"")*D1187"),2467.910025)</f>
        <v>2467.910025</v>
      </c>
      <c r="F1187" s="6">
        <f>IFERROR(__xludf.DUMMYFUNCTION("GOOGLEFINANCE(""Currency:BRLPEN"")*D1187"),476.22128399999997)</f>
        <v>476.221284</v>
      </c>
      <c r="G1187" s="2" t="str">
        <f t="array" ref="G1187">_xlfn.XLOOKUP(B1187,Vendedores!$A$2:$A$41,Vendedores!$B$2:$B$41,"No hay datos")</f>
        <v>Eduardo Almonte</v>
      </c>
      <c r="H1187" s="2" t="str">
        <f t="array" ref="H1187">_xlfn.XLOOKUP(B1187,Vendedores!$A$2:$A$41,Vendedores!$C$2:$C$41,"No hay datos")</f>
        <v>Tierra Colorada</v>
      </c>
      <c r="I1187" s="2" t="str">
        <f t="array" ref="I1187">_xlfn.XLOOKUP(B1187,Vendedores!$A$2:$A$41,Vendedores!$D$2:$D$41,"No hay datos")</f>
        <v>Región Central 2</v>
      </c>
      <c r="J1187" s="2" t="str">
        <f t="array" ref="J1187:N1187">_xlfn.XLOOKUP(A1187,Productos!$A$2:$A$61,Productos!$B$2:$F$61)</f>
        <v>Vestido corto</v>
      </c>
      <c r="K1187" s="2" t="s">
        <v>9</v>
      </c>
      <c r="L1187" s="2" t="s">
        <v>10</v>
      </c>
      <c r="M1187" s="2" t="s">
        <v>93</v>
      </c>
      <c r="N1187" s="2" t="s">
        <v>35</v>
      </c>
    </row>
    <row r="1188">
      <c r="A1188" s="2" t="str">
        <f>IFERROR(__xludf.DUMMYFUNCTION("""COMPUTED_VALUE"""),"PR041")</f>
        <v>PR041</v>
      </c>
      <c r="B1188" s="2" t="str">
        <f>IFERROR(__xludf.DUMMYFUNCTION("""COMPUTED_VALUE"""),"VD044")</f>
        <v>VD044</v>
      </c>
      <c r="C1188" s="2">
        <f>IFERROR(__xludf.DUMMYFUNCTION("""COMPUTED_VALUE"""),6.0)</f>
        <v>6</v>
      </c>
      <c r="D1188" s="6">
        <f>IFERROR(__xludf.DUMMYFUNCTION("""COMPUTED_VALUE"""),335.99)</f>
        <v>335.99</v>
      </c>
      <c r="E1188" s="6">
        <f>IFERROR(__xludf.DUMMYFUNCTION("GOOGLEFINANCE(""Currency:BRLMXN"")*D1188"),1141.5260250000001)</f>
        <v>1141.526025</v>
      </c>
      <c r="F1188" s="6">
        <f>IFERROR(__xludf.DUMMYFUNCTION("GOOGLEFINANCE(""Currency:BRLPEN"")*D1188"),220.27504399999998)</f>
        <v>220.275044</v>
      </c>
      <c r="G1188" s="2" t="str">
        <f t="array" ref="G1188">_xlfn.XLOOKUP(B1188,Vendedores!$A$2:$A$41,Vendedores!$B$2:$B$41,"No hay datos")</f>
        <v>Silvia Menéndez</v>
      </c>
      <c r="H1188" s="2" t="str">
        <f t="array" ref="H1188">_xlfn.XLOOKUP(B1188,Vendedores!$A$2:$A$41,Vendedores!$C$2:$C$41,"No hay datos")</f>
        <v>San Antonio del Monte</v>
      </c>
      <c r="I1188" s="2" t="str">
        <f t="array" ref="I1188">_xlfn.XLOOKUP(B1188,Vendedores!$A$2:$A$41,Vendedores!$D$2:$D$41,"No hay datos")</f>
        <v>Región Central 2</v>
      </c>
      <c r="J1188" s="2" t="str">
        <f t="array" ref="J1188:N1188">_xlfn.XLOOKUP(A1188,Productos!$A$2:$A$61,Productos!$B$2:$F$61)</f>
        <v>Playera confort</v>
      </c>
      <c r="K1188" s="2" t="s">
        <v>17</v>
      </c>
      <c r="L1188" s="2" t="s">
        <v>10</v>
      </c>
      <c r="M1188" s="2" t="s">
        <v>95</v>
      </c>
      <c r="N1188" s="2" t="s">
        <v>26</v>
      </c>
    </row>
    <row r="1189">
      <c r="A1189" s="2" t="str">
        <f>IFERROR(__xludf.DUMMYFUNCTION("""COMPUTED_VALUE"""),"PR004")</f>
        <v>PR004</v>
      </c>
      <c r="B1189" s="2" t="str">
        <f>IFERROR(__xludf.DUMMYFUNCTION("""COMPUTED_VALUE"""),"VD041")</f>
        <v>VD041</v>
      </c>
      <c r="C1189" s="2">
        <f>IFERROR(__xludf.DUMMYFUNCTION("""COMPUTED_VALUE"""),12.0)</f>
        <v>12</v>
      </c>
      <c r="D1189" s="6">
        <f>IFERROR(__xludf.DUMMYFUNCTION("""COMPUTED_VALUE"""),1879.2)</f>
        <v>1879.2</v>
      </c>
      <c r="E1189" s="6">
        <f>IFERROR(__xludf.DUMMYFUNCTION("GOOGLEFINANCE(""Currency:BRLMXN"")*D1189"),6384.582)</f>
        <v>6384.582</v>
      </c>
      <c r="F1189" s="6">
        <f>IFERROR(__xludf.DUMMYFUNCTION("GOOGLEFINANCE(""Currency:BRLPEN"")*D1189"),1232.00352)</f>
        <v>1232.00352</v>
      </c>
      <c r="G1189" s="2" t="str">
        <f t="array" ref="G1189">_xlfn.XLOOKUP(B1189,Vendedores!$A$2:$A$41,Vendedores!$B$2:$B$41,"No hay datos")</f>
        <v>Alejandro Ramos</v>
      </c>
      <c r="H1189" s="2" t="str">
        <f t="array" ref="H1189">_xlfn.XLOOKUP(B1189,Vendedores!$A$2:$A$41,Vendedores!$C$2:$C$41,"No hay datos")</f>
        <v>San Martín de las Rosas</v>
      </c>
      <c r="I1189" s="2" t="str">
        <f t="array" ref="I1189">_xlfn.XLOOKUP(B1189,Vendedores!$A$2:$A$41,Vendedores!$D$2:$D$41,"No hay datos")</f>
        <v>Región Central 2</v>
      </c>
      <c r="J1189" s="2" t="str">
        <f t="array" ref="J1189:N1189">_xlfn.XLOOKUP(A1189,Productos!$A$2:$A$61,Productos!$B$2:$F$61)</f>
        <v>Bolso versátil</v>
      </c>
      <c r="K1189" s="2" t="s">
        <v>29</v>
      </c>
      <c r="L1189" s="2" t="s">
        <v>30</v>
      </c>
      <c r="M1189" s="2" t="s">
        <v>59</v>
      </c>
      <c r="N1189" s="2" t="s">
        <v>60</v>
      </c>
    </row>
    <row r="1190">
      <c r="A1190" s="2" t="str">
        <f>IFERROR(__xludf.DUMMYFUNCTION("""COMPUTED_VALUE"""),"PR041")</f>
        <v>PR041</v>
      </c>
      <c r="B1190" s="2" t="str">
        <f>IFERROR(__xludf.DUMMYFUNCTION("""COMPUTED_VALUE"""),"VD033")</f>
        <v>VD033</v>
      </c>
      <c r="C1190" s="2">
        <f>IFERROR(__xludf.DUMMYFUNCTION("""COMPUTED_VALUE"""),6.0)</f>
        <v>6</v>
      </c>
      <c r="D1190" s="6">
        <f>IFERROR(__xludf.DUMMYFUNCTION("""COMPUTED_VALUE"""),335.99)</f>
        <v>335.99</v>
      </c>
      <c r="E1190" s="6">
        <f>IFERROR(__xludf.DUMMYFUNCTION("GOOGLEFINANCE(""Currency:BRLMXN"")*D1190"),1141.5260250000001)</f>
        <v>1141.526025</v>
      </c>
      <c r="F1190" s="6">
        <f>IFERROR(__xludf.DUMMYFUNCTION("GOOGLEFINANCE(""Currency:BRLPEN"")*D1190"),220.27504399999998)</f>
        <v>220.275044</v>
      </c>
      <c r="G1190" s="2" t="str">
        <f t="array" ref="G1190">_xlfn.XLOOKUP(B1190,Vendedores!$A$2:$A$41,Vendedores!$B$2:$B$41,"No hay datos")</f>
        <v>Renata Flores</v>
      </c>
      <c r="H1190" s="2" t="str">
        <f t="array" ref="H1190">_xlfn.XLOOKUP(B1190,Vendedores!$A$2:$A$41,Vendedores!$C$2:$C$41,"No hay datos")</f>
        <v>Altos del Sur</v>
      </c>
      <c r="I1190" s="2" t="str">
        <f t="array" ref="I1190">_xlfn.XLOOKUP(B1190,Vendedores!$A$2:$A$41,Vendedores!$D$2:$D$41,"No hay datos")</f>
        <v>Región Central 2</v>
      </c>
      <c r="J1190" s="2" t="str">
        <f t="array" ref="J1190:N1190">_xlfn.XLOOKUP(A1190,Productos!$A$2:$A$61,Productos!$B$2:$F$61)</f>
        <v>Playera confort</v>
      </c>
      <c r="K1190" s="2" t="s">
        <v>17</v>
      </c>
      <c r="L1190" s="2" t="s">
        <v>10</v>
      </c>
      <c r="M1190" s="2" t="s">
        <v>95</v>
      </c>
      <c r="N1190" s="2" t="s">
        <v>26</v>
      </c>
    </row>
    <row r="1191">
      <c r="A1191" s="2" t="str">
        <f>IFERROR(__xludf.DUMMYFUNCTION("""COMPUTED_VALUE"""),"PR048")</f>
        <v>PR048</v>
      </c>
      <c r="B1191" s="2" t="str">
        <f>IFERROR(__xludf.DUMMYFUNCTION("""COMPUTED_VALUE"""),"VD028")</f>
        <v>VD028</v>
      </c>
      <c r="C1191" s="2">
        <f>IFERROR(__xludf.DUMMYFUNCTION("""COMPUTED_VALUE"""),10.0)</f>
        <v>10</v>
      </c>
      <c r="D1191" s="6">
        <f>IFERROR(__xludf.DUMMYFUNCTION("""COMPUTED_VALUE"""),3101.93)</f>
        <v>3101.93</v>
      </c>
      <c r="E1191" s="6">
        <f>IFERROR(__xludf.DUMMYFUNCTION("GOOGLEFINANCE(""Currency:BRLMXN"")*D1191"),10538.807175)</f>
        <v>10538.80718</v>
      </c>
      <c r="F1191" s="6">
        <f>IFERROR(__xludf.DUMMYFUNCTION("GOOGLEFINANCE(""Currency:BRLPEN"")*D1191"),2033.6253079999997)</f>
        <v>2033.625308</v>
      </c>
      <c r="G1191" s="2" t="str">
        <f t="array" ref="G1191">_xlfn.XLOOKUP(B1191,Vendedores!$A$2:$A$41,Vendedores!$B$2:$B$41,"No hay datos")</f>
        <v>Rodrigo Almonte</v>
      </c>
      <c r="H1191" s="2" t="str">
        <f t="array" ref="H1191">_xlfn.XLOOKUP(B1191,Vendedores!$A$2:$A$41,Vendedores!$C$2:$C$41,"No hay datos")</f>
        <v>Valle Escondido</v>
      </c>
      <c r="I1191" s="2" t="str">
        <f t="array" ref="I1191">_xlfn.XLOOKUP(B1191,Vendedores!$A$2:$A$41,Vendedores!$D$2:$D$41,"No hay datos")</f>
        <v>Región Andina</v>
      </c>
      <c r="J1191" s="2" t="str">
        <f t="array" ref="J1191:N1191">_xlfn.XLOOKUP(A1191,Productos!$A$2:$A$61,Productos!$B$2:$F$61)</f>
        <v>Chaqueta de cuero</v>
      </c>
      <c r="K1191" s="2" t="s">
        <v>22</v>
      </c>
      <c r="L1191" s="2" t="s">
        <v>10</v>
      </c>
      <c r="M1191" s="2" t="s">
        <v>94</v>
      </c>
      <c r="N1191" s="2" t="s">
        <v>44</v>
      </c>
    </row>
    <row r="1192">
      <c r="A1192" s="2" t="str">
        <f>IFERROR(__xludf.DUMMYFUNCTION("""COMPUTED_VALUE"""),"PR051")</f>
        <v>PR051</v>
      </c>
      <c r="B1192" s="2" t="str">
        <f>IFERROR(__xludf.DUMMYFUNCTION("""COMPUTED_VALUE"""),"VD025")</f>
        <v>VD025</v>
      </c>
      <c r="C1192" s="2">
        <f>IFERROR(__xludf.DUMMYFUNCTION("""COMPUTED_VALUE"""),14.0)</f>
        <v>14</v>
      </c>
      <c r="D1192" s="6">
        <f>IFERROR(__xludf.DUMMYFUNCTION("""COMPUTED_VALUE"""),502.05)</f>
        <v>502.05</v>
      </c>
      <c r="E1192" s="6">
        <f>IFERROR(__xludf.DUMMYFUNCTION("GOOGLEFINANCE(""Currency:BRLMXN"")*D1192"),1705.7148750000001)</f>
        <v>1705.714875</v>
      </c>
      <c r="F1192" s="6">
        <f>IFERROR(__xludf.DUMMYFUNCTION("GOOGLEFINANCE(""Currency:BRLPEN"")*D1192"),329.14398)</f>
        <v>329.14398</v>
      </c>
      <c r="G1192" s="2" t="str">
        <f t="array" ref="G1192">_xlfn.XLOOKUP(B1192,Vendedores!$A$2:$A$41,Vendedores!$B$2:$B$41,"No hay datos")</f>
        <v>Alina Santana</v>
      </c>
      <c r="H1192" s="2" t="str">
        <f t="array" ref="H1192">_xlfn.XLOOKUP(B1192,Vendedores!$A$2:$A$41,Vendedores!$C$2:$C$41,"No hay datos")</f>
        <v>Playa Blanca</v>
      </c>
      <c r="I1192" s="2" t="str">
        <f t="array" ref="I1192">_xlfn.XLOOKUP(B1192,Vendedores!$A$2:$A$41,Vendedores!$D$2:$D$41,"No hay datos")</f>
        <v>Región Norte</v>
      </c>
      <c r="J1192" s="2" t="str">
        <f t="array" ref="J1192:N1192">_xlfn.XLOOKUP(A1192,Productos!$A$2:$A$61,Productos!$B$2:$F$61)</f>
        <v>Playera a rayas</v>
      </c>
      <c r="K1192" s="2" t="s">
        <v>22</v>
      </c>
      <c r="L1192" s="2" t="s">
        <v>10</v>
      </c>
      <c r="M1192" s="2" t="s">
        <v>23</v>
      </c>
      <c r="N1192" s="2" t="s">
        <v>24</v>
      </c>
    </row>
    <row r="1193">
      <c r="A1193" s="2" t="str">
        <f>IFERROR(__xludf.DUMMYFUNCTION("""COMPUTED_VALUE"""),"PR025")</f>
        <v>PR025</v>
      </c>
      <c r="B1193" s="2" t="str">
        <f>IFERROR(__xludf.DUMMYFUNCTION("""COMPUTED_VALUE"""),"VD016")</f>
        <v>VD016</v>
      </c>
      <c r="C1193" s="2">
        <f>IFERROR(__xludf.DUMMYFUNCTION("""COMPUTED_VALUE"""),10.0)</f>
        <v>10</v>
      </c>
      <c r="D1193" s="6">
        <f>IFERROR(__xludf.DUMMYFUNCTION("""COMPUTED_VALUE"""),3058.98)</f>
        <v>3058.98</v>
      </c>
      <c r="E1193" s="6">
        <f>IFERROR(__xludf.DUMMYFUNCTION("GOOGLEFINANCE(""Currency:BRLMXN"")*D1193"),10392.88455)</f>
        <v>10392.88455</v>
      </c>
      <c r="F1193" s="6">
        <f>IFERROR(__xludf.DUMMYFUNCTION("GOOGLEFINANCE(""Currency:BRLPEN"")*D1193"),2005.4672879999998)</f>
        <v>2005.467288</v>
      </c>
      <c r="G1193" s="2" t="str">
        <f t="array" ref="G1193">_xlfn.XLOOKUP(B1193,Vendedores!$A$2:$A$41,Vendedores!$B$2:$B$41,"No hay datos")</f>
        <v>Beatriz Linares</v>
      </c>
      <c r="H1193" s="2" t="str">
        <f t="array" ref="H1193">_xlfn.XLOOKUP(B1193,Vendedores!$A$2:$A$41,Vendedores!$C$2:$C$41,"No hay datos")</f>
        <v>Puerto Esperanza</v>
      </c>
      <c r="I1193" s="2" t="str">
        <f t="array" ref="I1193">_xlfn.XLOOKUP(B1193,Vendedores!$A$2:$A$41,Vendedores!$D$2:$D$41,"No hay datos")</f>
        <v>Región Sur</v>
      </c>
      <c r="J1193" s="2" t="str">
        <f t="array" ref="J1193:N1193">_xlfn.XLOOKUP(A1193,Productos!$A$2:$A$61,Productos!$B$2:$F$61)</f>
        <v>Chaqueta de mezclilla</v>
      </c>
      <c r="K1193" s="2" t="s">
        <v>22</v>
      </c>
      <c r="L1193" s="2" t="s">
        <v>10</v>
      </c>
      <c r="M1193" s="2" t="s">
        <v>107</v>
      </c>
      <c r="N1193" s="2" t="s">
        <v>16</v>
      </c>
    </row>
    <row r="1194">
      <c r="A1194" s="2" t="str">
        <f>IFERROR(__xludf.DUMMYFUNCTION("""COMPUTED_VALUE"""),"PR055")</f>
        <v>PR055</v>
      </c>
      <c r="B1194" s="2" t="str">
        <f>IFERROR(__xludf.DUMMYFUNCTION("""COMPUTED_VALUE"""),"VD029")</f>
        <v>VD029</v>
      </c>
      <c r="C1194" s="2">
        <f>IFERROR(__xludf.DUMMYFUNCTION("""COMPUTED_VALUE"""),2.0)</f>
        <v>2</v>
      </c>
      <c r="D1194" s="6">
        <f>IFERROR(__xludf.DUMMYFUNCTION("""COMPUTED_VALUE"""),195.98)</f>
        <v>195.98</v>
      </c>
      <c r="E1194" s="6">
        <f>IFERROR(__xludf.DUMMYFUNCTION("GOOGLEFINANCE(""Currency:BRLMXN"")*D1194"),665.84205)</f>
        <v>665.84205</v>
      </c>
      <c r="F1194" s="6">
        <f>IFERROR(__xludf.DUMMYFUNCTION("GOOGLEFINANCE(""Currency:BRLPEN"")*D1194"),128.484488)</f>
        <v>128.484488</v>
      </c>
      <c r="G1194" s="2" t="str">
        <f t="array" ref="G1194">_xlfn.XLOOKUP(B1194,Vendedores!$A$2:$A$41,Vendedores!$B$2:$B$41,"No hay datos")</f>
        <v>Gabriela Sosa</v>
      </c>
      <c r="H1194" s="2" t="str">
        <f t="array" ref="H1194">_xlfn.XLOOKUP(B1194,Vendedores!$A$2:$A$41,Vendedores!$C$2:$C$41,"No hay datos")</f>
        <v>Selva Verde</v>
      </c>
      <c r="I1194" s="2" t="str">
        <f t="array" ref="I1194">_xlfn.XLOOKUP(B1194,Vendedores!$A$2:$A$41,Vendedores!$D$2:$D$41,"No hay datos")</f>
        <v>Región Amazónica</v>
      </c>
      <c r="J1194" s="2" t="str">
        <f t="array" ref="J1194:N1194">_xlfn.XLOOKUP(A1194,Productos!$A$2:$A$61,Productos!$B$2:$F$61)</f>
        <v>Sandalia plana</v>
      </c>
      <c r="K1194" s="2">
        <v>35.0</v>
      </c>
      <c r="L1194" s="2" t="s">
        <v>33</v>
      </c>
      <c r="M1194" s="2" t="s">
        <v>34</v>
      </c>
      <c r="N1194" s="2" t="s">
        <v>35</v>
      </c>
    </row>
    <row r="1195">
      <c r="A1195" s="2" t="str">
        <f>IFERROR(__xludf.DUMMYFUNCTION("""COMPUTED_VALUE"""),"PR043")</f>
        <v>PR043</v>
      </c>
      <c r="B1195" s="2" t="str">
        <f>IFERROR(__xludf.DUMMYFUNCTION("""COMPUTED_VALUE"""),"VD042")</f>
        <v>VD042</v>
      </c>
      <c r="C1195" s="2">
        <f>IFERROR(__xludf.DUMMYFUNCTION("""COMPUTED_VALUE"""),18.0)</f>
        <v>18</v>
      </c>
      <c r="D1195" s="6">
        <f>IFERROR(__xludf.DUMMYFUNCTION("""COMPUTED_VALUE"""),1318.05)</f>
        <v>1318.05</v>
      </c>
      <c r="E1195" s="6">
        <f>IFERROR(__xludf.DUMMYFUNCTION("GOOGLEFINANCE(""Currency:BRLMXN"")*D1195"),4478.074875)</f>
        <v>4478.074875</v>
      </c>
      <c r="F1195" s="6">
        <f>IFERROR(__xludf.DUMMYFUNCTION("GOOGLEFINANCE(""Currency:BRLPEN"")*D1195"),864.11358)</f>
        <v>864.11358</v>
      </c>
      <c r="G1195" s="2" t="str">
        <f t="array" ref="G1195">_xlfn.XLOOKUP(B1195,Vendedores!$A$2:$A$41,Vendedores!$B$2:$B$41,"No hay datos")</f>
        <v>Priscila Duarte</v>
      </c>
      <c r="H1195" s="2" t="str">
        <f t="array" ref="H1195">_xlfn.XLOOKUP(B1195,Vendedores!$A$2:$A$41,Vendedores!$C$2:$C$41,"No hay datos")</f>
        <v>Villa Comercial</v>
      </c>
      <c r="I1195" s="2" t="str">
        <f t="array" ref="I1195">_xlfn.XLOOKUP(B1195,Vendedores!$A$2:$A$41,Vendedores!$D$2:$D$41,"No hay datos")</f>
        <v>Región Central 2</v>
      </c>
      <c r="J1195" s="2" t="str">
        <f t="array" ref="J1195:N1195">_xlfn.XLOOKUP(A1195,Productos!$A$2:$A$61,Productos!$B$2:$F$61)</f>
        <v>Vestido floral</v>
      </c>
      <c r="K1195" s="2" t="s">
        <v>9</v>
      </c>
      <c r="L1195" s="2" t="s">
        <v>10</v>
      </c>
      <c r="M1195" s="2" t="s">
        <v>69</v>
      </c>
      <c r="N1195" s="2" t="s">
        <v>40</v>
      </c>
    </row>
    <row r="1196">
      <c r="A1196" s="2" t="str">
        <f>IFERROR(__xludf.DUMMYFUNCTION("""COMPUTED_VALUE"""),"PR010")</f>
        <v>PR010</v>
      </c>
      <c r="B1196" s="2" t="str">
        <f>IFERROR(__xludf.DUMMYFUNCTION("""COMPUTED_VALUE"""),"VD015")</f>
        <v>VD015</v>
      </c>
      <c r="C1196" s="2">
        <f>IFERROR(__xludf.DUMMYFUNCTION("""COMPUTED_VALUE"""),12.0)</f>
        <v>12</v>
      </c>
      <c r="D1196" s="6">
        <f>IFERROR(__xludf.DUMMYFUNCTION("""COMPUTED_VALUE"""),538.8)</f>
        <v>538.8</v>
      </c>
      <c r="E1196" s="6">
        <f>IFERROR(__xludf.DUMMYFUNCTION("GOOGLEFINANCE(""Currency:BRLMXN"")*D1196"),1830.5729999999999)</f>
        <v>1830.573</v>
      </c>
      <c r="F1196" s="6">
        <f>IFERROR(__xludf.DUMMYFUNCTION("GOOGLEFINANCE(""Currency:BRLPEN"")*D1196"),353.23727999999994)</f>
        <v>353.23728</v>
      </c>
      <c r="G1196" s="2" t="str">
        <f t="array" ref="G1196">_xlfn.XLOOKUP(B1196,Vendedores!$A$2:$A$41,Vendedores!$B$2:$B$41,"No hay datos")</f>
        <v>Lucas Castillo</v>
      </c>
      <c r="H1196" s="2" t="str">
        <f t="array" ref="H1196">_xlfn.XLOOKUP(B1196,Vendedores!$A$2:$A$41,Vendedores!$C$2:$C$41,"No hay datos")</f>
        <v>San Miguel de los Pinos</v>
      </c>
      <c r="I1196" s="2" t="str">
        <f t="array" ref="I1196">_xlfn.XLOOKUP(B1196,Vendedores!$A$2:$A$41,Vendedores!$D$2:$D$41,"No hay datos")</f>
        <v>Región Sur</v>
      </c>
      <c r="J1196" s="2" t="str">
        <f t="array" ref="J1196:N1196">_xlfn.XLOOKUP(A1196,Productos!$A$2:$A$61,Productos!$B$2:$F$61)</f>
        <v>Pantalón legging</v>
      </c>
      <c r="K1196" s="2" t="s">
        <v>9</v>
      </c>
      <c r="L1196" s="2" t="s">
        <v>10</v>
      </c>
      <c r="M1196" s="2" t="s">
        <v>86</v>
      </c>
      <c r="N1196" s="2" t="s">
        <v>87</v>
      </c>
    </row>
    <row r="1197">
      <c r="A1197" s="2" t="str">
        <f>IFERROR(__xludf.DUMMYFUNCTION("""COMPUTED_VALUE"""),"PR043")</f>
        <v>PR043</v>
      </c>
      <c r="B1197" s="2" t="str">
        <f>IFERROR(__xludf.DUMMYFUNCTION("""COMPUTED_VALUE"""),"VD025")</f>
        <v>VD025</v>
      </c>
      <c r="C1197" s="2">
        <f>IFERROR(__xludf.DUMMYFUNCTION("""COMPUTED_VALUE"""),8.0)</f>
        <v>8</v>
      </c>
      <c r="D1197" s="6">
        <f>IFERROR(__xludf.DUMMYFUNCTION("""COMPUTED_VALUE"""),591.6)</f>
        <v>591.6</v>
      </c>
      <c r="E1197" s="6">
        <f>IFERROR(__xludf.DUMMYFUNCTION("GOOGLEFINANCE(""Currency:BRLMXN"")*D1197"),2009.961)</f>
        <v>2009.961</v>
      </c>
      <c r="F1197" s="6">
        <f>IFERROR(__xludf.DUMMYFUNCTION("GOOGLEFINANCE(""Currency:BRLPEN"")*D1197"),387.85296)</f>
        <v>387.85296</v>
      </c>
      <c r="G1197" s="2" t="str">
        <f t="array" ref="G1197">_xlfn.XLOOKUP(B1197,Vendedores!$A$2:$A$41,Vendedores!$B$2:$B$41,"No hay datos")</f>
        <v>Alina Santana</v>
      </c>
      <c r="H1197" s="2" t="str">
        <f t="array" ref="H1197">_xlfn.XLOOKUP(B1197,Vendedores!$A$2:$A$41,Vendedores!$C$2:$C$41,"No hay datos")</f>
        <v>Playa Blanca</v>
      </c>
      <c r="I1197" s="2" t="str">
        <f t="array" ref="I1197">_xlfn.XLOOKUP(B1197,Vendedores!$A$2:$A$41,Vendedores!$D$2:$D$41,"No hay datos")</f>
        <v>Región Norte</v>
      </c>
      <c r="J1197" s="2" t="str">
        <f t="array" ref="J1197:N1197">_xlfn.XLOOKUP(A1197,Productos!$A$2:$A$61,Productos!$B$2:$F$61)</f>
        <v>Vestido floral</v>
      </c>
      <c r="K1197" s="2" t="s">
        <v>9</v>
      </c>
      <c r="L1197" s="2" t="s">
        <v>10</v>
      </c>
      <c r="M1197" s="2" t="s">
        <v>69</v>
      </c>
      <c r="N1197" s="2" t="s">
        <v>40</v>
      </c>
    </row>
    <row r="1198">
      <c r="A1198" s="2" t="str">
        <f>IFERROR(__xludf.DUMMYFUNCTION("""COMPUTED_VALUE"""),"PR041")</f>
        <v>PR041</v>
      </c>
      <c r="B1198" s="2" t="str">
        <f>IFERROR(__xludf.DUMMYFUNCTION("""COMPUTED_VALUE"""),"VD028")</f>
        <v>VD028</v>
      </c>
      <c r="C1198" s="2">
        <f>IFERROR(__xludf.DUMMYFUNCTION("""COMPUTED_VALUE"""),6.0)</f>
        <v>6</v>
      </c>
      <c r="D1198" s="6">
        <f>IFERROR(__xludf.DUMMYFUNCTION("""COMPUTED_VALUE"""),335.99)</f>
        <v>335.99</v>
      </c>
      <c r="E1198" s="6">
        <f>IFERROR(__xludf.DUMMYFUNCTION("GOOGLEFINANCE(""Currency:BRLMXN"")*D1198"),1141.5260250000001)</f>
        <v>1141.526025</v>
      </c>
      <c r="F1198" s="6">
        <f>IFERROR(__xludf.DUMMYFUNCTION("GOOGLEFINANCE(""Currency:BRLPEN"")*D1198"),220.27504399999998)</f>
        <v>220.275044</v>
      </c>
      <c r="G1198" s="2" t="str">
        <f t="array" ref="G1198">_xlfn.XLOOKUP(B1198,Vendedores!$A$2:$A$41,Vendedores!$B$2:$B$41,"No hay datos")</f>
        <v>Rodrigo Almonte</v>
      </c>
      <c r="H1198" s="2" t="str">
        <f t="array" ref="H1198">_xlfn.XLOOKUP(B1198,Vendedores!$A$2:$A$41,Vendedores!$C$2:$C$41,"No hay datos")</f>
        <v>Valle Escondido</v>
      </c>
      <c r="I1198" s="2" t="str">
        <f t="array" ref="I1198">_xlfn.XLOOKUP(B1198,Vendedores!$A$2:$A$41,Vendedores!$D$2:$D$41,"No hay datos")</f>
        <v>Región Andina</v>
      </c>
      <c r="J1198" s="2" t="str">
        <f t="array" ref="J1198:N1198">_xlfn.XLOOKUP(A1198,Productos!$A$2:$A$61,Productos!$B$2:$F$61)</f>
        <v>Playera confort</v>
      </c>
      <c r="K1198" s="2" t="s">
        <v>17</v>
      </c>
      <c r="L1198" s="2" t="s">
        <v>10</v>
      </c>
      <c r="M1198" s="2" t="s">
        <v>95</v>
      </c>
      <c r="N1198" s="2" t="s">
        <v>26</v>
      </c>
    </row>
    <row r="1199">
      <c r="A1199" s="2" t="str">
        <f>IFERROR(__xludf.DUMMYFUNCTION("""COMPUTED_VALUE"""),"PR001")</f>
        <v>PR001</v>
      </c>
      <c r="B1199" s="2" t="str">
        <f>IFERROR(__xludf.DUMMYFUNCTION("""COMPUTED_VALUE"""),"VD031")</f>
        <v>VD031</v>
      </c>
      <c r="C1199" s="2">
        <f>IFERROR(__xludf.DUMMYFUNCTION("""COMPUTED_VALUE"""),8.0)</f>
        <v>8</v>
      </c>
      <c r="D1199" s="6">
        <f>IFERROR(__xludf.DUMMYFUNCTION("""COMPUTED_VALUE"""),574.65)</f>
        <v>574.65</v>
      </c>
      <c r="E1199" s="6">
        <f>IFERROR(__xludf.DUMMYFUNCTION("GOOGLEFINANCE(""Currency:BRLMXN"")*D1199"),1952.373375)</f>
        <v>1952.373375</v>
      </c>
      <c r="F1199" s="6">
        <f>IFERROR(__xludf.DUMMYFUNCTION("GOOGLEFINANCE(""Currency:BRLPEN"")*D1199"),376.74053999999995)</f>
        <v>376.74054</v>
      </c>
      <c r="G1199" s="2" t="str">
        <f t="array" ref="G1199">_xlfn.XLOOKUP(B1199,Vendedores!$A$2:$A$41,Vendedores!$B$2:$B$41,"No hay datos")</f>
        <v>Vanessa Martínez</v>
      </c>
      <c r="H1199" s="2" t="str">
        <f t="array" ref="H1199">_xlfn.XLOOKUP(B1199,Vendedores!$A$2:$A$41,Vendedores!$C$2:$C$41,"No hay datos")</f>
        <v>Monte Verde</v>
      </c>
      <c r="I1199" s="2" t="str">
        <f t="array" ref="I1199">_xlfn.XLOOKUP(B1199,Vendedores!$A$2:$A$41,Vendedores!$D$2:$D$41,"No hay datos")</f>
        <v>Región Central 2</v>
      </c>
      <c r="J1199" s="2" t="str">
        <f t="array" ref="J1199:N1199">_xlfn.XLOOKUP(A1199,Productos!$A$2:$A$61,Productos!$B$2:$F$61)</f>
        <v>Bermuda</v>
      </c>
      <c r="K1199" s="2" t="s">
        <v>9</v>
      </c>
      <c r="L1199" s="2" t="s">
        <v>10</v>
      </c>
      <c r="M1199" s="2" t="s">
        <v>11</v>
      </c>
      <c r="N1199" s="2" t="s">
        <v>12</v>
      </c>
    </row>
    <row r="1200">
      <c r="A1200" s="2" t="str">
        <f>IFERROR(__xludf.DUMMYFUNCTION("""COMPUTED_VALUE"""),"PR007")</f>
        <v>PR007</v>
      </c>
      <c r="B1200" s="2" t="str">
        <f>IFERROR(__xludf.DUMMYFUNCTION("""COMPUTED_VALUE"""),"VD044")</f>
        <v>VD044</v>
      </c>
      <c r="C1200" s="2">
        <f>IFERROR(__xludf.DUMMYFUNCTION("""COMPUTED_VALUE"""),3.0)</f>
        <v>3</v>
      </c>
      <c r="D1200" s="6">
        <f>IFERROR(__xludf.DUMMYFUNCTION("""COMPUTED_VALUE"""),257.7)</f>
        <v>257.7</v>
      </c>
      <c r="E1200" s="6">
        <f>IFERROR(__xludf.DUMMYFUNCTION("GOOGLEFINANCE(""Currency:BRLMXN"")*D1200"),875.53575)</f>
        <v>875.53575</v>
      </c>
      <c r="F1200" s="6">
        <f>IFERROR(__xludf.DUMMYFUNCTION("GOOGLEFINANCE(""Currency:BRLPEN"")*D1200"),168.94812)</f>
        <v>168.94812</v>
      </c>
      <c r="G1200" s="2" t="str">
        <f t="array" ref="G1200">_xlfn.XLOOKUP(B1200,Vendedores!$A$2:$A$41,Vendedores!$B$2:$B$41,"No hay datos")</f>
        <v>Silvia Menéndez</v>
      </c>
      <c r="H1200" s="2" t="str">
        <f t="array" ref="H1200">_xlfn.XLOOKUP(B1200,Vendedores!$A$2:$A$41,Vendedores!$C$2:$C$41,"No hay datos")</f>
        <v>San Antonio del Monte</v>
      </c>
      <c r="I1200" s="2" t="str">
        <f t="array" ref="I1200">_xlfn.XLOOKUP(B1200,Vendedores!$A$2:$A$41,Vendedores!$D$2:$D$41,"No hay datos")</f>
        <v>Región Central 2</v>
      </c>
      <c r="J1200" s="2" t="str">
        <f t="array" ref="J1200:N1200">_xlfn.XLOOKUP(A1200,Productos!$A$2:$A$61,Productos!$B$2:$F$61)</f>
        <v>Pantalón de mezclilla</v>
      </c>
      <c r="K1200" s="2" t="s">
        <v>9</v>
      </c>
      <c r="L1200" s="2" t="s">
        <v>10</v>
      </c>
      <c r="M1200" s="2" t="s">
        <v>103</v>
      </c>
      <c r="N1200" s="2" t="s">
        <v>104</v>
      </c>
    </row>
    <row r="1201">
      <c r="A1201" s="2" t="str">
        <f>IFERROR(__xludf.DUMMYFUNCTION("""COMPUTED_VALUE"""),"PR032")</f>
        <v>PR032</v>
      </c>
      <c r="B1201" s="2" t="str">
        <f>IFERROR(__xludf.DUMMYFUNCTION("""COMPUTED_VALUE"""),"VD019")</f>
        <v>VD019</v>
      </c>
      <c r="C1201" s="2">
        <f>IFERROR(__xludf.DUMMYFUNCTION("""COMPUTED_VALUE"""),6.0)</f>
        <v>6</v>
      </c>
      <c r="D1201" s="6">
        <f>IFERROR(__xludf.DUMMYFUNCTION("""COMPUTED_VALUE"""),1515.0)</f>
        <v>1515</v>
      </c>
      <c r="E1201" s="6">
        <f>IFERROR(__xludf.DUMMYFUNCTION("GOOGLEFINANCE(""Currency:BRLMXN"")*D1201"),5147.2125)</f>
        <v>5147.2125</v>
      </c>
      <c r="F1201" s="6">
        <f>IFERROR(__xludf.DUMMYFUNCTION("GOOGLEFINANCE(""Currency:BRLPEN"")*D1201"),993.2339999999999)</f>
        <v>993.234</v>
      </c>
      <c r="G1201" s="2" t="str">
        <f t="array" ref="G1201">_xlfn.XLOOKUP(B1201,Vendedores!$A$2:$A$41,Vendedores!$B$2:$B$41,"No hay datos")</f>
        <v>Rafael Sosa</v>
      </c>
      <c r="H1201" s="2" t="str">
        <f t="array" ref="H1201">_xlfn.XLOOKUP(B1201,Vendedores!$A$2:$A$41,Vendedores!$C$2:$C$41,"No hay datos")</f>
        <v>Selva Verde</v>
      </c>
      <c r="I1201" s="2" t="str">
        <f t="array" ref="I1201">_xlfn.XLOOKUP(B1201,Vendedores!$A$2:$A$41,Vendedores!$D$2:$D$41,"No hay datos")</f>
        <v>Región Amazónica</v>
      </c>
      <c r="J1201" s="2" t="str">
        <f t="array" ref="J1201:N1201">_xlfn.XLOOKUP(A1201,Productos!$A$2:$A$61,Productos!$B$2:$F$61)</f>
        <v>Tenis Chunky</v>
      </c>
      <c r="K1201" s="2">
        <v>37.0</v>
      </c>
      <c r="L1201" s="2" t="s">
        <v>33</v>
      </c>
      <c r="M1201" s="2" t="s">
        <v>61</v>
      </c>
      <c r="N1201" s="2" t="s">
        <v>62</v>
      </c>
    </row>
    <row r="1202">
      <c r="A1202" s="2" t="str">
        <f>IFERROR(__xludf.DUMMYFUNCTION("""COMPUTED_VALUE"""),"PR040")</f>
        <v>PR040</v>
      </c>
      <c r="B1202" s="2" t="str">
        <f>IFERROR(__xludf.DUMMYFUNCTION("""COMPUTED_VALUE"""),"VD035")</f>
        <v>VD035</v>
      </c>
      <c r="C1202" s="2">
        <f>IFERROR(__xludf.DUMMYFUNCTION("""COMPUTED_VALUE"""),2.0)</f>
        <v>2</v>
      </c>
      <c r="D1202" s="6">
        <f>IFERROR(__xludf.DUMMYFUNCTION("""COMPUTED_VALUE"""),142.8)</f>
        <v>142.8</v>
      </c>
      <c r="E1202" s="6">
        <f>IFERROR(__xludf.DUMMYFUNCTION("GOOGLEFINANCE(""Currency:BRLMXN"")*D1202"),485.163)</f>
        <v>485.163</v>
      </c>
      <c r="F1202" s="6">
        <f>IFERROR(__xludf.DUMMYFUNCTION("GOOGLEFINANCE(""Currency:BRLPEN"")*D1202"),93.61968)</f>
        <v>93.61968</v>
      </c>
      <c r="G1202" s="2" t="str">
        <f t="array" ref="G1202">_xlfn.XLOOKUP(B1202,Vendedores!$A$2:$A$41,Vendedores!$B$2:$B$41,"No hay datos")</f>
        <v>Carolina Méndez</v>
      </c>
      <c r="H1202" s="2" t="str">
        <f t="array" ref="H1202">_xlfn.XLOOKUP(B1202,Vendedores!$A$2:$A$41,Vendedores!$C$2:$C$41,"No hay datos")</f>
        <v>Valle de los Robles</v>
      </c>
      <c r="I1202" s="2" t="str">
        <f t="array" ref="I1202">_xlfn.XLOOKUP(B1202,Vendedores!$A$2:$A$41,Vendedores!$D$2:$D$41,"No hay datos")</f>
        <v>Región Central 2</v>
      </c>
      <c r="J1202" s="2" t="str">
        <f t="array" ref="J1202:N1202">_xlfn.XLOOKUP(A1202,Productos!$A$2:$A$61,Productos!$B$2:$F$61)</f>
        <v>Playera confort</v>
      </c>
      <c r="K1202" s="2" t="s">
        <v>9</v>
      </c>
      <c r="L1202" s="2" t="s">
        <v>10</v>
      </c>
      <c r="M1202" s="2" t="s">
        <v>68</v>
      </c>
      <c r="N1202" s="2" t="s">
        <v>70</v>
      </c>
    </row>
    <row r="1203">
      <c r="A1203" s="2" t="str">
        <f>IFERROR(__xludf.DUMMYFUNCTION("""COMPUTED_VALUE"""),"PR027")</f>
        <v>PR027</v>
      </c>
      <c r="B1203" s="2" t="str">
        <f>IFERROR(__xludf.DUMMYFUNCTION("""COMPUTED_VALUE"""),"VD020")</f>
        <v>VD020</v>
      </c>
      <c r="C1203" s="2">
        <f>IFERROR(__xludf.DUMMYFUNCTION("""COMPUTED_VALUE"""),12.0)</f>
        <v>12</v>
      </c>
      <c r="D1203" s="6">
        <f>IFERROR(__xludf.DUMMYFUNCTION("""COMPUTED_VALUE"""),1555.2)</f>
        <v>1555.2</v>
      </c>
      <c r="E1203" s="6">
        <f>IFERROR(__xludf.DUMMYFUNCTION("GOOGLEFINANCE(""Currency:BRLMXN"")*D1203"),5283.792)</f>
        <v>5283.792</v>
      </c>
      <c r="F1203" s="6">
        <f>IFERROR(__xludf.DUMMYFUNCTION("GOOGLEFINANCE(""Currency:BRLPEN"")*D1203"),1019.58912)</f>
        <v>1019.58912</v>
      </c>
      <c r="G1203" s="2" t="str">
        <f t="array" ref="G1203">_xlfn.XLOOKUP(B1203,Vendedores!$A$2:$A$41,Vendedores!$B$2:$B$41,"No hay datos")</f>
        <v>Gustavo Morales</v>
      </c>
      <c r="H1203" s="2" t="str">
        <f t="array" ref="H1203">_xlfn.XLOOKUP(B1203,Vendedores!$A$2:$A$41,Vendedores!$C$2:$C$41,"No hay datos")</f>
        <v>Villa del Sol</v>
      </c>
      <c r="I1203" s="2" t="str">
        <f t="array" ref="I1203">_xlfn.XLOOKUP(B1203,Vendedores!$A$2:$A$41,Vendedores!$D$2:$D$41,"No hay datos")</f>
        <v>Región Central 2</v>
      </c>
      <c r="J1203" s="2" t="str">
        <f t="array" ref="J1203:N1203">_xlfn.XLOOKUP(A1203,Productos!$A$2:$A$61,Productos!$B$2:$F$61)</f>
        <v>Gafas redondas</v>
      </c>
      <c r="K1203" s="2" t="s">
        <v>29</v>
      </c>
      <c r="L1203" s="2" t="s">
        <v>30</v>
      </c>
      <c r="M1203" s="2" t="s">
        <v>53</v>
      </c>
      <c r="N1203" s="2" t="s">
        <v>54</v>
      </c>
    </row>
    <row r="1204">
      <c r="A1204" s="2" t="str">
        <f>IFERROR(__xludf.DUMMYFUNCTION("""COMPUTED_VALUE"""),"PR021")</f>
        <v>PR021</v>
      </c>
      <c r="B1204" s="2" t="str">
        <f>IFERROR(__xludf.DUMMYFUNCTION("""COMPUTED_VALUE"""),"VD025")</f>
        <v>VD025</v>
      </c>
      <c r="C1204" s="2">
        <f>IFERROR(__xludf.DUMMYFUNCTION("""COMPUTED_VALUE"""),8.0)</f>
        <v>8</v>
      </c>
      <c r="D1204" s="6">
        <f>IFERROR(__xludf.DUMMYFUNCTION("""COMPUTED_VALUE"""),2447.43)</f>
        <v>2447.43</v>
      </c>
      <c r="E1204" s="6">
        <f>IFERROR(__xludf.DUMMYFUNCTION("GOOGLEFINANCE(""Currency:BRLMXN"")*D1204"),8315.143425)</f>
        <v>8315.143425</v>
      </c>
      <c r="F1204" s="6">
        <f>IFERROR(__xludf.DUMMYFUNCTION("GOOGLEFINANCE(""Currency:BRLPEN"")*D1204"),1604.5351079999998)</f>
        <v>1604.535108</v>
      </c>
      <c r="G1204" s="2" t="str">
        <f t="array" ref="G1204">_xlfn.XLOOKUP(B1204,Vendedores!$A$2:$A$41,Vendedores!$B$2:$B$41,"No hay datos")</f>
        <v>Alina Santana</v>
      </c>
      <c r="H1204" s="2" t="str">
        <f t="array" ref="H1204">_xlfn.XLOOKUP(B1204,Vendedores!$A$2:$A$41,Vendedores!$C$2:$C$41,"No hay datos")</f>
        <v>Playa Blanca</v>
      </c>
      <c r="I1204" s="2" t="str">
        <f t="array" ref="I1204">_xlfn.XLOOKUP(B1204,Vendedores!$A$2:$A$41,Vendedores!$D$2:$D$41,"No hay datos")</f>
        <v>Región Norte</v>
      </c>
      <c r="J1204" s="2" t="str">
        <f t="array" ref="J1204:N1204">_xlfn.XLOOKUP(A1204,Productos!$A$2:$A$61,Productos!$B$2:$F$61)</f>
        <v>Chaqueta de cuero</v>
      </c>
      <c r="K1204" s="2" t="s">
        <v>17</v>
      </c>
      <c r="L1204" s="2" t="s">
        <v>10</v>
      </c>
      <c r="M1204" s="2" t="s">
        <v>80</v>
      </c>
      <c r="N1204" s="2" t="s">
        <v>81</v>
      </c>
    </row>
    <row r="1205">
      <c r="A1205" s="2" t="str">
        <f>IFERROR(__xludf.DUMMYFUNCTION("""COMPUTED_VALUE"""),"PR007")</f>
        <v>PR007</v>
      </c>
      <c r="B1205" s="2" t="str">
        <f>IFERROR(__xludf.DUMMYFUNCTION("""COMPUTED_VALUE"""),"VD010")</f>
        <v>VD010</v>
      </c>
      <c r="C1205" s="2">
        <f>IFERROR(__xludf.DUMMYFUNCTION("""COMPUTED_VALUE"""),14.0)</f>
        <v>14</v>
      </c>
      <c r="D1205" s="6">
        <f>IFERROR(__xludf.DUMMYFUNCTION("""COMPUTED_VALUE"""),1310.83)</f>
        <v>1310.83</v>
      </c>
      <c r="E1205" s="6">
        <f>IFERROR(__xludf.DUMMYFUNCTION("GOOGLEFINANCE(""Currency:BRLMXN"")*D1205"),4453.544925)</f>
        <v>4453.544925</v>
      </c>
      <c r="F1205" s="6">
        <f>IFERROR(__xludf.DUMMYFUNCTION("GOOGLEFINANCE(""Currency:BRLPEN"")*D1205"),859.3801479999998)</f>
        <v>859.380148</v>
      </c>
      <c r="G1205" s="2" t="str">
        <f t="array" ref="G1205">_xlfn.XLOOKUP(B1205,Vendedores!$A$2:$A$41,Vendedores!$B$2:$B$41,"No hay datos")</f>
        <v>María Silva</v>
      </c>
      <c r="H1205" s="2" t="str">
        <f t="array" ref="H1205">_xlfn.XLOOKUP(B1205,Vendedores!$A$2:$A$41,Vendedores!$C$2:$C$41,"No hay datos")</f>
        <v>San Juan de la Sierra</v>
      </c>
      <c r="I1205" s="2" t="str">
        <f t="array" ref="I1205">_xlfn.XLOOKUP(B1205,Vendedores!$A$2:$A$41,Vendedores!$D$2:$D$41,"No hay datos")</f>
        <v>Región Central</v>
      </c>
      <c r="J1205" s="2" t="str">
        <f t="array" ref="J1205:N1205">_xlfn.XLOOKUP(A1205,Productos!$A$2:$A$61,Productos!$B$2:$F$61)</f>
        <v>Pantalón de mezclilla</v>
      </c>
      <c r="K1205" s="2" t="s">
        <v>9</v>
      </c>
      <c r="L1205" s="2" t="s">
        <v>10</v>
      </c>
      <c r="M1205" s="2" t="s">
        <v>103</v>
      </c>
      <c r="N1205" s="2" t="s">
        <v>104</v>
      </c>
    </row>
    <row r="1206">
      <c r="A1206" s="2" t="str">
        <f>IFERROR(__xludf.DUMMYFUNCTION("""COMPUTED_VALUE"""),"PR049")</f>
        <v>PR049</v>
      </c>
      <c r="B1206" s="2" t="str">
        <f>IFERROR(__xludf.DUMMYFUNCTION("""COMPUTED_VALUE"""),"VD023")</f>
        <v>VD023</v>
      </c>
      <c r="C1206" s="2">
        <f>IFERROR(__xludf.DUMMYFUNCTION("""COMPUTED_VALUE"""),4.0)</f>
        <v>4</v>
      </c>
      <c r="D1206" s="6">
        <f>IFERROR(__xludf.DUMMYFUNCTION("""COMPUTED_VALUE"""),138.18)</f>
        <v>138.18</v>
      </c>
      <c r="E1206" s="6">
        <f>IFERROR(__xludf.DUMMYFUNCTION("GOOGLEFINANCE(""Currency:BRLMXN"")*D1206"),469.46655000000004)</f>
        <v>469.46655</v>
      </c>
      <c r="F1206" s="6">
        <f>IFERROR(__xludf.DUMMYFUNCTION("GOOGLEFINANCE(""Currency:BRLPEN"")*D1206"),90.590808)</f>
        <v>90.590808</v>
      </c>
      <c r="G1206" s="2" t="str">
        <f t="array" ref="G1206">_xlfn.XLOOKUP(B1206,Vendedores!$A$2:$A$41,Vendedores!$B$2:$B$41,"No hay datos")</f>
        <v>Juliana Castro</v>
      </c>
      <c r="H1206" s="2" t="str">
        <f t="array" ref="H1206">_xlfn.XLOOKUP(B1206,Vendedores!$A$2:$A$41,Vendedores!$C$2:$C$41,"No hay datos")</f>
        <v>San Miguel de los Pinos</v>
      </c>
      <c r="I1206" s="2" t="str">
        <f t="array" ref="I1206">_xlfn.XLOOKUP(B1206,Vendedores!$A$2:$A$41,Vendedores!$D$2:$D$41,"No hay datos")</f>
        <v>Región Sur</v>
      </c>
      <c r="J1206" s="2" t="str">
        <f t="array" ref="J1206:N1206">_xlfn.XLOOKUP(A1206,Productos!$A$2:$A$61,Productos!$B$2:$F$61)</f>
        <v>Playera a rayas</v>
      </c>
      <c r="K1206" s="2" t="s">
        <v>9</v>
      </c>
      <c r="L1206" s="2" t="s">
        <v>10</v>
      </c>
      <c r="M1206" s="2" t="s">
        <v>47</v>
      </c>
      <c r="N1206" s="2" t="s">
        <v>24</v>
      </c>
    </row>
    <row r="1207">
      <c r="A1207" s="2" t="str">
        <f>IFERROR(__xludf.DUMMYFUNCTION("""COMPUTED_VALUE"""),"PR011")</f>
        <v>PR011</v>
      </c>
      <c r="B1207" s="2" t="str">
        <f>IFERROR(__xludf.DUMMYFUNCTION("""COMPUTED_VALUE"""),"VD045")</f>
        <v>VD045</v>
      </c>
      <c r="C1207" s="2">
        <f>IFERROR(__xludf.DUMMYFUNCTION("""COMPUTED_VALUE"""),7.0)</f>
        <v>7</v>
      </c>
      <c r="D1207" s="6">
        <f>IFERROR(__xludf.DUMMYFUNCTION("""COMPUTED_VALUE"""),341.43)</f>
        <v>341.43</v>
      </c>
      <c r="E1207" s="6">
        <f>IFERROR(__xludf.DUMMYFUNCTION("GOOGLEFINANCE(""Currency:BRLMXN"")*D1207"),1160.008425)</f>
        <v>1160.008425</v>
      </c>
      <c r="F1207" s="6">
        <f>IFERROR(__xludf.DUMMYFUNCTION("GOOGLEFINANCE(""Currency:BRLPEN"")*D1207"),223.841508)</f>
        <v>223.841508</v>
      </c>
      <c r="G1207" s="2" t="str">
        <f t="array" ref="G1207">_xlfn.XLOOKUP(B1207,Vendedores!$A$2:$A$41,Vendedores!$B$2:$B$41,"No hay datos")</f>
        <v>Rafael Morales</v>
      </c>
      <c r="H1207" s="2" t="str">
        <f t="array" ref="H1207">_xlfn.XLOOKUP(B1207,Vendedores!$A$2:$A$41,Vendedores!$C$2:$C$41,"No hay datos")</f>
        <v>Valle Dorado</v>
      </c>
      <c r="I1207" s="2" t="str">
        <f t="array" ref="I1207">_xlfn.XLOOKUP(B1207,Vendedores!$A$2:$A$41,Vendedores!$D$2:$D$41,"No hay datos")</f>
        <v>Región Central 2</v>
      </c>
      <c r="J1207" s="2" t="str">
        <f t="array" ref="J1207:N1207">_xlfn.XLOOKUP(A1207,Productos!$A$2:$A$61,Productos!$B$2:$F$61)</f>
        <v>Pantalón legging</v>
      </c>
      <c r="K1207" s="2" t="s">
        <v>17</v>
      </c>
      <c r="L1207" s="2" t="s">
        <v>10</v>
      </c>
      <c r="M1207" s="2" t="s">
        <v>67</v>
      </c>
      <c r="N1207" s="2" t="s">
        <v>68</v>
      </c>
    </row>
    <row r="1208">
      <c r="A1208" s="2" t="str">
        <f>IFERROR(__xludf.DUMMYFUNCTION("""COMPUTED_VALUE"""),"PR014")</f>
        <v>PR014</v>
      </c>
      <c r="B1208" s="2" t="str">
        <f>IFERROR(__xludf.DUMMYFUNCTION("""COMPUTED_VALUE"""),"VD015")</f>
        <v>VD015</v>
      </c>
      <c r="C1208" s="2">
        <f>IFERROR(__xludf.DUMMYFUNCTION("""COMPUTED_VALUE"""),16.0)</f>
        <v>16</v>
      </c>
      <c r="D1208" s="6">
        <f>IFERROR(__xludf.DUMMYFUNCTION("""COMPUTED_VALUE"""),644.78)</f>
        <v>644.78</v>
      </c>
      <c r="E1208" s="6">
        <f>IFERROR(__xludf.DUMMYFUNCTION("GOOGLEFINANCE(""Currency:BRLMXN"")*D1208"),2190.64005)</f>
        <v>2190.64005</v>
      </c>
      <c r="F1208" s="6">
        <f>IFERROR(__xludf.DUMMYFUNCTION("GOOGLEFINANCE(""Currency:BRLPEN"")*D1208"),422.717768)</f>
        <v>422.717768</v>
      </c>
      <c r="G1208" s="2" t="str">
        <f t="array" ref="G1208">_xlfn.XLOOKUP(B1208,Vendedores!$A$2:$A$41,Vendedores!$B$2:$B$41,"No hay datos")</f>
        <v>Lucas Castillo</v>
      </c>
      <c r="H1208" s="2" t="str">
        <f t="array" ref="H1208">_xlfn.XLOOKUP(B1208,Vendedores!$A$2:$A$41,Vendedores!$C$2:$C$41,"No hay datos")</f>
        <v>San Miguel de los Pinos</v>
      </c>
      <c r="I1208" s="2" t="str">
        <f t="array" ref="I1208">_xlfn.XLOOKUP(B1208,Vendedores!$A$2:$A$41,Vendedores!$D$2:$D$41,"No hay datos")</f>
        <v>Región Sur</v>
      </c>
      <c r="J1208" s="2" t="str">
        <f t="array" ref="J1208:N1208">_xlfn.XLOOKUP(A1208,Productos!$A$2:$A$61,Productos!$B$2:$F$61)</f>
        <v>Playera estampada</v>
      </c>
      <c r="K1208" s="2" t="s">
        <v>17</v>
      </c>
      <c r="L1208" s="2" t="s">
        <v>10</v>
      </c>
      <c r="M1208" s="2" t="s">
        <v>37</v>
      </c>
      <c r="N1208" s="2" t="s">
        <v>38</v>
      </c>
    </row>
    <row r="1209">
      <c r="A1209" s="2" t="str">
        <f>IFERROR(__xludf.DUMMYFUNCTION("""COMPUTED_VALUE"""),"PR021")</f>
        <v>PR021</v>
      </c>
      <c r="B1209" s="2" t="str">
        <f>IFERROR(__xludf.DUMMYFUNCTION("""COMPUTED_VALUE"""),"VD040")</f>
        <v>VD040</v>
      </c>
      <c r="C1209" s="2">
        <f>IFERROR(__xludf.DUMMYFUNCTION("""COMPUTED_VALUE"""),18.0)</f>
        <v>18</v>
      </c>
      <c r="D1209" s="6">
        <f>IFERROR(__xludf.DUMMYFUNCTION("""COMPUTED_VALUE"""),5942.9)</f>
        <v>5942.9</v>
      </c>
      <c r="E1209" s="6">
        <f>IFERROR(__xludf.DUMMYFUNCTION("GOOGLEFINANCE(""Currency:BRLMXN"")*D1209"),20191.00275)</f>
        <v>20191.00275</v>
      </c>
      <c r="F1209" s="6">
        <f>IFERROR(__xludf.DUMMYFUNCTION("GOOGLEFINANCE(""Currency:BRLPEN"")*D1209"),3896.1652399999994)</f>
        <v>3896.16524</v>
      </c>
      <c r="G1209" s="2" t="str">
        <f t="array" ref="G1209">_xlfn.XLOOKUP(B1209,Vendedores!$A$2:$A$41,Vendedores!$B$2:$B$41,"No hay datos")</f>
        <v>Tatiana Montero</v>
      </c>
      <c r="H1209" s="2" t="str">
        <f t="array" ref="H1209">_xlfn.XLOOKUP(B1209,Vendedores!$A$2:$A$41,Vendedores!$C$2:$C$41,"No hay datos")</f>
        <v>Ciudad Industrial</v>
      </c>
      <c r="I1209" s="2" t="str">
        <f t="array" ref="I1209">_xlfn.XLOOKUP(B1209,Vendedores!$A$2:$A$41,Vendedores!$D$2:$D$41,"No hay datos")</f>
        <v>Región Central 2</v>
      </c>
      <c r="J1209" s="2" t="str">
        <f t="array" ref="J1209:N1209">_xlfn.XLOOKUP(A1209,Productos!$A$2:$A$61,Productos!$B$2:$F$61)</f>
        <v>Chaqueta de cuero</v>
      </c>
      <c r="K1209" s="2" t="s">
        <v>17</v>
      </c>
      <c r="L1209" s="2" t="s">
        <v>10</v>
      </c>
      <c r="M1209" s="2" t="s">
        <v>80</v>
      </c>
      <c r="N1209" s="2" t="s">
        <v>81</v>
      </c>
    </row>
    <row r="1210">
      <c r="A1210" s="2" t="str">
        <f>IFERROR(__xludf.DUMMYFUNCTION("""COMPUTED_VALUE"""),"PR011")</f>
        <v>PR011</v>
      </c>
      <c r="B1210" s="2" t="str">
        <f>IFERROR(__xludf.DUMMYFUNCTION("""COMPUTED_VALUE"""),"VD027")</f>
        <v>VD027</v>
      </c>
      <c r="C1210" s="2">
        <f>IFERROR(__xludf.DUMMYFUNCTION("""COMPUTED_VALUE"""),8.0)</f>
        <v>8</v>
      </c>
      <c r="D1210" s="6">
        <f>IFERROR(__xludf.DUMMYFUNCTION("""COMPUTED_VALUE"""),408.97)</f>
        <v>408.97</v>
      </c>
      <c r="E1210" s="6">
        <f>IFERROR(__xludf.DUMMYFUNCTION("GOOGLEFINANCE(""Currency:BRLMXN"")*D1210"),1389.4755750000002)</f>
        <v>1389.475575</v>
      </c>
      <c r="F1210" s="6">
        <f>IFERROR(__xludf.DUMMYFUNCTION("GOOGLEFINANCE(""Currency:BRLPEN"")*D1210"),268.120732)</f>
        <v>268.120732</v>
      </c>
      <c r="G1210" s="2" t="str">
        <f t="array" ref="G1210">_xlfn.XLOOKUP(B1210,Vendedores!$A$2:$A$41,Vendedores!$B$2:$B$41,"No hay datos")</f>
        <v>Patricia Cortés</v>
      </c>
      <c r="H1210" s="2" t="str">
        <f t="array" ref="H1210">_xlfn.XLOOKUP(B1210,Vendedores!$A$2:$A$41,Vendedores!$C$2:$C$41,"No hay datos")</f>
        <v>Costa Azul</v>
      </c>
      <c r="I1210" s="2" t="str">
        <f t="array" ref="I1210">_xlfn.XLOOKUP(B1210,Vendedores!$A$2:$A$41,Vendedores!$D$2:$D$41,"No hay datos")</f>
        <v>Región Norte</v>
      </c>
      <c r="J1210" s="2" t="str">
        <f t="array" ref="J1210:N1210">_xlfn.XLOOKUP(A1210,Productos!$A$2:$A$61,Productos!$B$2:$F$61)</f>
        <v>Pantalón legging</v>
      </c>
      <c r="K1210" s="2" t="s">
        <v>17</v>
      </c>
      <c r="L1210" s="2" t="s">
        <v>10</v>
      </c>
      <c r="M1210" s="2" t="s">
        <v>67</v>
      </c>
      <c r="N1210" s="2" t="s">
        <v>68</v>
      </c>
    </row>
    <row r="1211">
      <c r="A1211" s="2" t="str">
        <f>IFERROR(__xludf.DUMMYFUNCTION("""COMPUTED_VALUE"""),"PR003")</f>
        <v>PR003</v>
      </c>
      <c r="B1211" s="2" t="str">
        <f>IFERROR(__xludf.DUMMYFUNCTION("""COMPUTED_VALUE"""),"VD019")</f>
        <v>VD019</v>
      </c>
      <c r="C1211" s="2">
        <f>IFERROR(__xludf.DUMMYFUNCTION("""COMPUTED_VALUE"""),3.0)</f>
        <v>3</v>
      </c>
      <c r="D1211" s="6">
        <f>IFERROR(__xludf.DUMMYFUNCTION("""COMPUTED_VALUE"""),212.7)</f>
        <v>212.7</v>
      </c>
      <c r="E1211" s="6">
        <f>IFERROR(__xludf.DUMMYFUNCTION("GOOGLEFINANCE(""Currency:BRLMXN"")*D1211"),722.64825)</f>
        <v>722.64825</v>
      </c>
      <c r="F1211" s="6">
        <f>IFERROR(__xludf.DUMMYFUNCTION("GOOGLEFINANCE(""Currency:BRLPEN"")*D1211"),139.44611999999998)</f>
        <v>139.44612</v>
      </c>
      <c r="G1211" s="2" t="str">
        <f t="array" ref="G1211">_xlfn.XLOOKUP(B1211,Vendedores!$A$2:$A$41,Vendedores!$B$2:$B$41,"No hay datos")</f>
        <v>Rafael Sosa</v>
      </c>
      <c r="H1211" s="2" t="str">
        <f t="array" ref="H1211">_xlfn.XLOOKUP(B1211,Vendedores!$A$2:$A$41,Vendedores!$C$2:$C$41,"No hay datos")</f>
        <v>Selva Verde</v>
      </c>
      <c r="I1211" s="2" t="str">
        <f t="array" ref="I1211">_xlfn.XLOOKUP(B1211,Vendedores!$A$2:$A$41,Vendedores!$D$2:$D$41,"No hay datos")</f>
        <v>Región Amazónica</v>
      </c>
      <c r="J1211" s="2" t="str">
        <f t="array" ref="J1211:N1211">_xlfn.XLOOKUP(A1211,Productos!$A$2:$A$61,Productos!$B$2:$F$61)</f>
        <v>Bermuda</v>
      </c>
      <c r="K1211" s="2" t="s">
        <v>22</v>
      </c>
      <c r="L1211" s="2" t="s">
        <v>10</v>
      </c>
      <c r="M1211" s="2" t="s">
        <v>45</v>
      </c>
      <c r="N1211" s="2" t="s">
        <v>46</v>
      </c>
    </row>
    <row r="1212">
      <c r="A1212" s="2" t="str">
        <f>IFERROR(__xludf.DUMMYFUNCTION("""COMPUTED_VALUE"""),"PR045")</f>
        <v>PR045</v>
      </c>
      <c r="B1212" s="2" t="str">
        <f>IFERROR(__xludf.DUMMYFUNCTION("""COMPUTED_VALUE"""),"VD016")</f>
        <v>VD016</v>
      </c>
      <c r="C1212" s="2">
        <f>IFERROR(__xludf.DUMMYFUNCTION("""COMPUTED_VALUE"""),5.0)</f>
        <v>5</v>
      </c>
      <c r="D1212" s="6">
        <f>IFERROR(__xludf.DUMMYFUNCTION("""COMPUTED_VALUE"""),380.63)</f>
        <v>380.63</v>
      </c>
      <c r="E1212" s="6">
        <f>IFERROR(__xludf.DUMMYFUNCTION("GOOGLEFINANCE(""Currency:BRLMXN"")*D1212"),1293.190425)</f>
        <v>1293.190425</v>
      </c>
      <c r="F1212" s="6">
        <f>IFERROR(__xludf.DUMMYFUNCTION("GOOGLEFINANCE(""Currency:BRLPEN"")*D1212"),249.54102799999998)</f>
        <v>249.541028</v>
      </c>
      <c r="G1212" s="2" t="str">
        <f t="array" ref="G1212">_xlfn.XLOOKUP(B1212,Vendedores!$A$2:$A$41,Vendedores!$B$2:$B$41,"No hay datos")</f>
        <v>Beatriz Linares</v>
      </c>
      <c r="H1212" s="2" t="str">
        <f t="array" ref="H1212">_xlfn.XLOOKUP(B1212,Vendedores!$A$2:$A$41,Vendedores!$C$2:$C$41,"No hay datos")</f>
        <v>Puerto Esperanza</v>
      </c>
      <c r="I1212" s="2" t="str">
        <f t="array" ref="I1212">_xlfn.XLOOKUP(B1212,Vendedores!$A$2:$A$41,Vendedores!$D$2:$D$41,"No hay datos")</f>
        <v>Región Sur</v>
      </c>
      <c r="J1212" s="2" t="str">
        <f t="array" ref="J1212:N1212">_xlfn.XLOOKUP(A1212,Productos!$A$2:$A$61,Productos!$B$2:$F$61)</f>
        <v>Vestido floral</v>
      </c>
      <c r="K1212" s="2" t="s">
        <v>22</v>
      </c>
      <c r="L1212" s="2" t="s">
        <v>10</v>
      </c>
      <c r="M1212" s="2" t="s">
        <v>39</v>
      </c>
      <c r="N1212" s="2" t="s">
        <v>40</v>
      </c>
    </row>
    <row r="1213">
      <c r="A1213" s="2" t="str">
        <f>IFERROR(__xludf.DUMMYFUNCTION("""COMPUTED_VALUE"""),"PR056")</f>
        <v>PR056</v>
      </c>
      <c r="B1213" s="2" t="str">
        <f>IFERROR(__xludf.DUMMYFUNCTION("""COMPUTED_VALUE"""),"VD013")</f>
        <v>VD013</v>
      </c>
      <c r="C1213" s="2">
        <f>IFERROR(__xludf.DUMMYFUNCTION("""COMPUTED_VALUE"""),3.0)</f>
        <v>3</v>
      </c>
      <c r="D1213" s="6">
        <f>IFERROR(__xludf.DUMMYFUNCTION("""COMPUTED_VALUE"""),293.97)</f>
        <v>293.97</v>
      </c>
      <c r="E1213" s="6">
        <f>IFERROR(__xludf.DUMMYFUNCTION("GOOGLEFINANCE(""Currency:BRLMXN"")*D1213"),998.7630750000001)</f>
        <v>998.763075</v>
      </c>
      <c r="F1213" s="6">
        <f>IFERROR(__xludf.DUMMYFUNCTION("GOOGLEFINANCE(""Currency:BRLPEN"")*D1213"),192.726732)</f>
        <v>192.726732</v>
      </c>
      <c r="G1213" s="2" t="str">
        <f t="array" ref="G1213">_xlfn.XLOOKUP(B1213,Vendedores!$A$2:$A$41,Vendedores!$B$2:$B$41,"No hay datos")</f>
        <v>Pedro Almonte</v>
      </c>
      <c r="H1213" s="2" t="str">
        <f t="array" ref="H1213">_xlfn.XLOOKUP(B1213,Vendedores!$A$2:$A$41,Vendedores!$C$2:$C$41,"No hay datos")</f>
        <v>Santa Rosa del Valle</v>
      </c>
      <c r="I1213" s="2" t="str">
        <f t="array" ref="I1213">_xlfn.XLOOKUP(B1213,Vendedores!$A$2:$A$41,Vendedores!$D$2:$D$41,"No hay datos")</f>
        <v>Región Norte</v>
      </c>
      <c r="J1213" s="2" t="str">
        <f t="array" ref="J1213:N1213">_xlfn.XLOOKUP(A1213,Productos!$A$2:$A$61,Productos!$B$2:$F$61)</f>
        <v>Sandalia plana</v>
      </c>
      <c r="K1213" s="2">
        <v>36.0</v>
      </c>
      <c r="L1213" s="2" t="s">
        <v>33</v>
      </c>
      <c r="M1213" s="2" t="s">
        <v>106</v>
      </c>
      <c r="N1213" s="2" t="s">
        <v>35</v>
      </c>
    </row>
    <row r="1214">
      <c r="A1214" s="2" t="str">
        <f>IFERROR(__xludf.DUMMYFUNCTION("""COMPUTED_VALUE"""),"PR039")</f>
        <v>PR039</v>
      </c>
      <c r="B1214" s="2" t="str">
        <f>IFERROR(__xludf.DUMMYFUNCTION("""COMPUTED_VALUE"""),"VD025")</f>
        <v>VD025</v>
      </c>
      <c r="C1214" s="2">
        <f>IFERROR(__xludf.DUMMYFUNCTION("""COMPUTED_VALUE"""),18.0)</f>
        <v>18</v>
      </c>
      <c r="D1214" s="6">
        <f>IFERROR(__xludf.DUMMYFUNCTION("""COMPUTED_VALUE"""),2733.12)</f>
        <v>2733.12</v>
      </c>
      <c r="E1214" s="6">
        <f>IFERROR(__xludf.DUMMYFUNCTION("GOOGLEFINANCE(""Currency:BRLMXN"")*D1214"),9285.7752)</f>
        <v>9285.7752</v>
      </c>
      <c r="F1214" s="6">
        <f>IFERROR(__xludf.DUMMYFUNCTION("GOOGLEFINANCE(""Currency:BRLPEN"")*D1214"),1791.8334719999998)</f>
        <v>1791.833472</v>
      </c>
      <c r="G1214" s="2" t="str">
        <f t="array" ref="G1214">_xlfn.XLOOKUP(B1214,Vendedores!$A$2:$A$41,Vendedores!$B$2:$B$41,"No hay datos")</f>
        <v>Alina Santana</v>
      </c>
      <c r="H1214" s="2" t="str">
        <f t="array" ref="H1214">_xlfn.XLOOKUP(B1214,Vendedores!$A$2:$A$41,Vendedores!$C$2:$C$41,"No hay datos")</f>
        <v>Playa Blanca</v>
      </c>
      <c r="I1214" s="2" t="str">
        <f t="array" ref="I1214">_xlfn.XLOOKUP(B1214,Vendedores!$A$2:$A$41,Vendedores!$D$2:$D$41,"No hay datos")</f>
        <v>Región Norte</v>
      </c>
      <c r="J1214" s="2" t="str">
        <f t="array" ref="J1214:N1214">_xlfn.XLOOKUP(A1214,Productos!$A$2:$A$61,Productos!$B$2:$F$61)</f>
        <v>Vestido largo</v>
      </c>
      <c r="K1214" s="2" t="s">
        <v>22</v>
      </c>
      <c r="L1214" s="2" t="s">
        <v>10</v>
      </c>
      <c r="M1214" s="2" t="s">
        <v>73</v>
      </c>
      <c r="N1214" s="2" t="s">
        <v>74</v>
      </c>
    </row>
    <row r="1215">
      <c r="A1215" s="2" t="str">
        <f>IFERROR(__xludf.DUMMYFUNCTION("""COMPUTED_VALUE"""),"PR001")</f>
        <v>PR001</v>
      </c>
      <c r="B1215" s="2" t="str">
        <f>IFERROR(__xludf.DUMMYFUNCTION("""COMPUTED_VALUE"""),"VD025")</f>
        <v>VD025</v>
      </c>
      <c r="C1215" s="2">
        <f>IFERROR(__xludf.DUMMYFUNCTION("""COMPUTED_VALUE"""),9.0)</f>
        <v>9</v>
      </c>
      <c r="D1215" s="6">
        <f>IFERROR(__xludf.DUMMYFUNCTION("""COMPUTED_VALUE"""),610.89)</f>
        <v>610.89</v>
      </c>
      <c r="E1215" s="6">
        <f>IFERROR(__xludf.DUMMYFUNCTION("GOOGLEFINANCE(""Currency:BRLMXN"")*D1215"),2075.498775)</f>
        <v>2075.498775</v>
      </c>
      <c r="F1215" s="6">
        <f>IFERROR(__xludf.DUMMYFUNCTION("GOOGLEFINANCE(""Currency:BRLPEN"")*D1215"),400.499484)</f>
        <v>400.499484</v>
      </c>
      <c r="G1215" s="2" t="str">
        <f t="array" ref="G1215">_xlfn.XLOOKUP(B1215,Vendedores!$A$2:$A$41,Vendedores!$B$2:$B$41,"No hay datos")</f>
        <v>Alina Santana</v>
      </c>
      <c r="H1215" s="2" t="str">
        <f t="array" ref="H1215">_xlfn.XLOOKUP(B1215,Vendedores!$A$2:$A$41,Vendedores!$C$2:$C$41,"No hay datos")</f>
        <v>Playa Blanca</v>
      </c>
      <c r="I1215" s="2" t="str">
        <f t="array" ref="I1215">_xlfn.XLOOKUP(B1215,Vendedores!$A$2:$A$41,Vendedores!$D$2:$D$41,"No hay datos")</f>
        <v>Región Norte</v>
      </c>
      <c r="J1215" s="2" t="str">
        <f t="array" ref="J1215:N1215">_xlfn.XLOOKUP(A1215,Productos!$A$2:$A$61,Productos!$B$2:$F$61)</f>
        <v>Bermuda</v>
      </c>
      <c r="K1215" s="2" t="s">
        <v>9</v>
      </c>
      <c r="L1215" s="2" t="s">
        <v>10</v>
      </c>
      <c r="M1215" s="2" t="s">
        <v>11</v>
      </c>
      <c r="N1215" s="2" t="s">
        <v>12</v>
      </c>
    </row>
    <row r="1216">
      <c r="A1216" s="2" t="str">
        <f>IFERROR(__xludf.DUMMYFUNCTION("""COMPUTED_VALUE"""),"PR004")</f>
        <v>PR004</v>
      </c>
      <c r="B1216" s="2" t="str">
        <f>IFERROR(__xludf.DUMMYFUNCTION("""COMPUTED_VALUE"""),"VD021")</f>
        <v>VD021</v>
      </c>
      <c r="C1216" s="2">
        <f>IFERROR(__xludf.DUMMYFUNCTION("""COMPUTED_VALUE"""),10.0)</f>
        <v>10</v>
      </c>
      <c r="D1216" s="6">
        <f>IFERROR(__xludf.DUMMYFUNCTION("""COMPUTED_VALUE"""),1537.0)</f>
        <v>1537</v>
      </c>
      <c r="E1216" s="6">
        <f>IFERROR(__xludf.DUMMYFUNCTION("GOOGLEFINANCE(""Currency:BRLMXN"")*D1216"),5221.9574999999995)</f>
        <v>5221.9575</v>
      </c>
      <c r="F1216" s="6">
        <f>IFERROR(__xludf.DUMMYFUNCTION("GOOGLEFINANCE(""Currency:BRLPEN"")*D1216"),1007.6572)</f>
        <v>1007.6572</v>
      </c>
      <c r="G1216" s="2" t="str">
        <f t="array" ref="G1216">_xlfn.XLOOKUP(B1216,Vendedores!$A$2:$A$41,Vendedores!$B$2:$B$41,"No hay datos")</f>
        <v>Fernanda Méndez</v>
      </c>
      <c r="H1216" s="2" t="str">
        <f t="array" ref="H1216">_xlfn.XLOOKUP(B1216,Vendedores!$A$2:$A$41,Vendedores!$C$2:$C$41,"No hay datos")</f>
        <v>San Juan de la Sierra</v>
      </c>
      <c r="I1216" s="2" t="str">
        <f t="array" ref="I1216">_xlfn.XLOOKUP(B1216,Vendedores!$A$2:$A$41,Vendedores!$D$2:$D$41,"No hay datos")</f>
        <v>Región Central</v>
      </c>
      <c r="J1216" s="2" t="str">
        <f t="array" ref="J1216:N1216">_xlfn.XLOOKUP(A1216,Productos!$A$2:$A$61,Productos!$B$2:$F$61)</f>
        <v>Bolso versátil</v>
      </c>
      <c r="K1216" s="2" t="s">
        <v>29</v>
      </c>
      <c r="L1216" s="2" t="s">
        <v>30</v>
      </c>
      <c r="M1216" s="2" t="s">
        <v>59</v>
      </c>
      <c r="N1216" s="2" t="s">
        <v>60</v>
      </c>
    </row>
    <row r="1217">
      <c r="A1217" s="2" t="str">
        <f>IFERROR(__xludf.DUMMYFUNCTION("""COMPUTED_VALUE"""),"PR026")</f>
        <v>PR026</v>
      </c>
      <c r="B1217" s="2" t="str">
        <f>IFERROR(__xludf.DUMMYFUNCTION("""COMPUTED_VALUE"""),"VD011")</f>
        <v>VD011</v>
      </c>
      <c r="C1217" s="2">
        <f>IFERROR(__xludf.DUMMYFUNCTION("""COMPUTED_VALUE"""),3.0)</f>
        <v>3</v>
      </c>
      <c r="D1217" s="6">
        <f>IFERROR(__xludf.DUMMYFUNCTION("""COMPUTED_VALUE"""),1060.2)</f>
        <v>1060.2</v>
      </c>
      <c r="E1217" s="6">
        <f>IFERROR(__xludf.DUMMYFUNCTION("GOOGLEFINANCE(""Currency:BRLMXN"")*D1217"),3602.0295)</f>
        <v>3602.0295</v>
      </c>
      <c r="F1217" s="6">
        <f>IFERROR(__xludf.DUMMYFUNCTION("GOOGLEFINANCE(""Currency:BRLPEN"")*D1217"),695.0671199999999)</f>
        <v>695.06712</v>
      </c>
      <c r="G1217" s="2" t="str">
        <f t="array" ref="G1217">_xlfn.XLOOKUP(B1217,Vendedores!$A$2:$A$41,Vendedores!$B$2:$B$41,"No hay datos")</f>
        <v>Juan Santos</v>
      </c>
      <c r="H1217" s="2" t="str">
        <f t="array" ref="H1217">_xlfn.XLOOKUP(B1217,Vendedores!$A$2:$A$41,Vendedores!$C$2:$C$41,"No hay datos")</f>
        <v>Vista Hermosa</v>
      </c>
      <c r="I1217" s="2" t="str">
        <f t="array" ref="I1217">_xlfn.XLOOKUP(B1217,Vendedores!$A$2:$A$41,Vendedores!$D$2:$D$41,"No hay datos")</f>
        <v>Región Central</v>
      </c>
      <c r="J1217" s="2" t="str">
        <f t="array" ref="J1217:N1217">_xlfn.XLOOKUP(A1217,Productos!$A$2:$A$61,Productos!$B$2:$F$61)</f>
        <v>Gafas cuadradas</v>
      </c>
      <c r="K1217" s="2" t="s">
        <v>29</v>
      </c>
      <c r="L1217" s="2" t="s">
        <v>30</v>
      </c>
      <c r="M1217" s="2" t="s">
        <v>90</v>
      </c>
      <c r="N1217" s="2" t="s">
        <v>91</v>
      </c>
    </row>
    <row r="1218">
      <c r="A1218" s="2" t="str">
        <f>IFERROR(__xludf.DUMMYFUNCTION("""COMPUTED_VALUE"""),"PR013")</f>
        <v>PR013</v>
      </c>
      <c r="B1218" s="2" t="str">
        <f>IFERROR(__xludf.DUMMYFUNCTION("""COMPUTED_VALUE"""),"VD025")</f>
        <v>VD025</v>
      </c>
      <c r="C1218" s="2">
        <f>IFERROR(__xludf.DUMMYFUNCTION("""COMPUTED_VALUE"""),18.0)</f>
        <v>18</v>
      </c>
      <c r="D1218" s="6">
        <f>IFERROR(__xludf.DUMMYFUNCTION("""COMPUTED_VALUE"""),732.56)</f>
        <v>732.56</v>
      </c>
      <c r="E1218" s="6">
        <f>IFERROR(__xludf.DUMMYFUNCTION("GOOGLEFINANCE(""Currency:BRLMXN"")*D1218"),2488.8725999999997)</f>
        <v>2488.8726</v>
      </c>
      <c r="F1218" s="6">
        <f>IFERROR(__xludf.DUMMYFUNCTION("GOOGLEFINANCE(""Currency:BRLPEN"")*D1218"),480.2663359999999)</f>
        <v>480.266336</v>
      </c>
      <c r="G1218" s="2" t="str">
        <f t="array" ref="G1218">_xlfn.XLOOKUP(B1218,Vendedores!$A$2:$A$41,Vendedores!$B$2:$B$41,"No hay datos")</f>
        <v>Alina Santana</v>
      </c>
      <c r="H1218" s="2" t="str">
        <f t="array" ref="H1218">_xlfn.XLOOKUP(B1218,Vendedores!$A$2:$A$41,Vendedores!$C$2:$C$41,"No hay datos")</f>
        <v>Playa Blanca</v>
      </c>
      <c r="I1218" s="2" t="str">
        <f t="array" ref="I1218">_xlfn.XLOOKUP(B1218,Vendedores!$A$2:$A$41,Vendedores!$D$2:$D$41,"No hay datos")</f>
        <v>Región Norte</v>
      </c>
      <c r="J1218" s="2" t="str">
        <f t="array" ref="J1218:N1218">_xlfn.XLOOKUP(A1218,Productos!$A$2:$A$61,Productos!$B$2:$F$61)</f>
        <v>Playera estampada</v>
      </c>
      <c r="K1218" s="2" t="s">
        <v>9</v>
      </c>
      <c r="L1218" s="2" t="s">
        <v>10</v>
      </c>
      <c r="M1218" s="2" t="s">
        <v>66</v>
      </c>
      <c r="N1218" s="2" t="s">
        <v>38</v>
      </c>
    </row>
    <row r="1219">
      <c r="A1219" s="2" t="str">
        <f>IFERROR(__xludf.DUMMYFUNCTION("""COMPUTED_VALUE"""),"PR033")</f>
        <v>PR033</v>
      </c>
      <c r="B1219" s="2" t="str">
        <f>IFERROR(__xludf.DUMMYFUNCTION("""COMPUTED_VALUE"""),"VD023")</f>
        <v>VD023</v>
      </c>
      <c r="C1219" s="2">
        <f>IFERROR(__xludf.DUMMYFUNCTION("""COMPUTED_VALUE"""),7.0)</f>
        <v>7</v>
      </c>
      <c r="D1219" s="6">
        <f>IFERROR(__xludf.DUMMYFUNCTION("""COMPUTED_VALUE"""),2001.23)</f>
        <v>2001.23</v>
      </c>
      <c r="E1219" s="6">
        <f>IFERROR(__xludf.DUMMYFUNCTION("GOOGLEFINANCE(""Currency:BRLMXN"")*D1219"),6799.178925)</f>
        <v>6799.178925</v>
      </c>
      <c r="F1219" s="6">
        <f>IFERROR(__xludf.DUMMYFUNCTION("GOOGLEFINANCE(""Currency:BRLPEN"")*D1219"),1312.006388)</f>
        <v>1312.006388</v>
      </c>
      <c r="G1219" s="2" t="str">
        <f t="array" ref="G1219">_xlfn.XLOOKUP(B1219,Vendedores!$A$2:$A$41,Vendedores!$B$2:$B$41,"No hay datos")</f>
        <v>Juliana Castro</v>
      </c>
      <c r="H1219" s="2" t="str">
        <f t="array" ref="H1219">_xlfn.XLOOKUP(B1219,Vendedores!$A$2:$A$41,Vendedores!$C$2:$C$41,"No hay datos")</f>
        <v>San Miguel de los Pinos</v>
      </c>
      <c r="I1219" s="2" t="str">
        <f t="array" ref="I1219">_xlfn.XLOOKUP(B1219,Vendedores!$A$2:$A$41,Vendedores!$D$2:$D$41,"No hay datos")</f>
        <v>Región Sur</v>
      </c>
      <c r="J1219" s="2" t="str">
        <f t="array" ref="J1219:N1219">_xlfn.XLOOKUP(A1219,Productos!$A$2:$A$61,Productos!$B$2:$F$61)</f>
        <v>Tenis Chunky</v>
      </c>
      <c r="K1219" s="2">
        <v>38.0</v>
      </c>
      <c r="L1219" s="2" t="s">
        <v>33</v>
      </c>
      <c r="M1219" s="2" t="s">
        <v>63</v>
      </c>
      <c r="N1219" s="2" t="s">
        <v>64</v>
      </c>
    </row>
    <row r="1220">
      <c r="A1220" s="2" t="str">
        <f>IFERROR(__xludf.DUMMYFUNCTION("""COMPUTED_VALUE"""),"PR052")</f>
        <v>PR052</v>
      </c>
      <c r="B1220" s="2" t="str">
        <f>IFERROR(__xludf.DUMMYFUNCTION("""COMPUTED_VALUE"""),"VD022")</f>
        <v>VD022</v>
      </c>
      <c r="C1220" s="2">
        <f>IFERROR(__xludf.DUMMYFUNCTION("""COMPUTED_VALUE"""),5.0)</f>
        <v>5</v>
      </c>
      <c r="D1220" s="6">
        <f>IFERROR(__xludf.DUMMYFUNCTION("""COMPUTED_VALUE"""),254.49)</f>
        <v>254.49</v>
      </c>
      <c r="E1220" s="6">
        <f>IFERROR(__xludf.DUMMYFUNCTION("GOOGLEFINANCE(""Currency:BRLMXN"")*D1220"),864.629775)</f>
        <v>864.629775</v>
      </c>
      <c r="F1220" s="6">
        <f>IFERROR(__xludf.DUMMYFUNCTION("GOOGLEFINANCE(""Currency:BRLPEN"")*D1220"),166.84364399999998)</f>
        <v>166.843644</v>
      </c>
      <c r="G1220" s="2" t="str">
        <f t="array" ref="G1220">_xlfn.XLOOKUP(B1220,Vendedores!$A$2:$A$41,Vendedores!$B$2:$B$41,"No hay datos")</f>
        <v>Santiago Linares</v>
      </c>
      <c r="H1220" s="2" t="str">
        <f t="array" ref="H1220">_xlfn.XLOOKUP(B1220,Vendedores!$A$2:$A$41,Vendedores!$C$2:$C$41,"No hay datos")</f>
        <v>Vista Hermosa</v>
      </c>
      <c r="I1220" s="2" t="str">
        <f t="array" ref="I1220">_xlfn.XLOOKUP(B1220,Vendedores!$A$2:$A$41,Vendedores!$D$2:$D$41,"No hay datos")</f>
        <v>Región Central</v>
      </c>
      <c r="J1220" s="2" t="str">
        <f t="array" ref="J1220:N1220">_xlfn.XLOOKUP(A1220,Productos!$A$2:$A$61,Productos!$B$2:$F$61)</f>
        <v>Falda plisada</v>
      </c>
      <c r="K1220" s="2" t="s">
        <v>9</v>
      </c>
      <c r="L1220" s="2" t="s">
        <v>10</v>
      </c>
      <c r="M1220" s="2" t="s">
        <v>36</v>
      </c>
      <c r="N1220" s="2" t="s">
        <v>32</v>
      </c>
    </row>
    <row r="1221">
      <c r="A1221" s="2" t="str">
        <f>IFERROR(__xludf.DUMMYFUNCTION("""COMPUTED_VALUE"""),"PR028")</f>
        <v>PR028</v>
      </c>
      <c r="B1221" s="2" t="str">
        <f>IFERROR(__xludf.DUMMYFUNCTION("""COMPUTED_VALUE"""),"VD024")</f>
        <v>VD024</v>
      </c>
      <c r="C1221" s="2">
        <f>IFERROR(__xludf.DUMMYFUNCTION("""COMPUTED_VALUE"""),18.0)</f>
        <v>18</v>
      </c>
      <c r="D1221" s="6">
        <f>IFERROR(__xludf.DUMMYFUNCTION("""COMPUTED_VALUE"""),4498.2)</f>
        <v>4498.2</v>
      </c>
      <c r="E1221" s="6">
        <f>IFERROR(__xludf.DUMMYFUNCTION("GOOGLEFINANCE(""Currency:BRLMXN"")*D1221"),15282.6345)</f>
        <v>15282.6345</v>
      </c>
      <c r="F1221" s="6">
        <f>IFERROR(__xludf.DUMMYFUNCTION("GOOGLEFINANCE(""Currency:BRLPEN"")*D1221"),2949.0199199999997)</f>
        <v>2949.01992</v>
      </c>
      <c r="G1221" s="2" t="str">
        <f t="array" ref="G1221">_xlfn.XLOOKUP(B1221,Vendedores!$A$2:$A$41,Vendedores!$B$2:$B$41,"No hay datos")</f>
        <v>Marcos Rivera</v>
      </c>
      <c r="H1221" s="2" t="str">
        <f t="array" ref="H1221">_xlfn.XLOOKUP(B1221,Vendedores!$A$2:$A$41,Vendedores!$C$2:$C$41,"No hay datos")</f>
        <v>Santa Rosa del Valle</v>
      </c>
      <c r="I1221" s="2" t="str">
        <f t="array" ref="I1221">_xlfn.XLOOKUP(B1221,Vendedores!$A$2:$A$41,Vendedores!$D$2:$D$41,"No hay datos")</f>
        <v>Región Norte</v>
      </c>
      <c r="J1221" s="2" t="str">
        <f t="array" ref="J1221:N1221">_xlfn.XLOOKUP(A1221,Productos!$A$2:$A$61,Productos!$B$2:$F$61)</f>
        <v>Tenis Atitas</v>
      </c>
      <c r="K1221" s="2">
        <v>36.0</v>
      </c>
      <c r="L1221" s="2" t="s">
        <v>33</v>
      </c>
      <c r="M1221" s="2" t="s">
        <v>55</v>
      </c>
      <c r="N1221" s="2" t="s">
        <v>56</v>
      </c>
    </row>
    <row r="1222">
      <c r="A1222" s="2" t="str">
        <f>IFERROR(__xludf.DUMMYFUNCTION("""COMPUTED_VALUE"""),"PR032")</f>
        <v>PR032</v>
      </c>
      <c r="B1222" s="2" t="str">
        <f>IFERROR(__xludf.DUMMYFUNCTION("""COMPUTED_VALUE"""),"VD026")</f>
        <v>VD026</v>
      </c>
      <c r="C1222" s="2">
        <f>IFERROR(__xludf.DUMMYFUNCTION("""COMPUTED_VALUE"""),7.0)</f>
        <v>7</v>
      </c>
      <c r="D1222" s="6">
        <f>IFERROR(__xludf.DUMMYFUNCTION("""COMPUTED_VALUE"""),1785.0)</f>
        <v>1785</v>
      </c>
      <c r="E1222" s="6">
        <f>IFERROR(__xludf.DUMMYFUNCTION("GOOGLEFINANCE(""Currency:BRLMXN"")*D1222"),6064.5375)</f>
        <v>6064.5375</v>
      </c>
      <c r="F1222" s="6">
        <f>IFERROR(__xludf.DUMMYFUNCTION("GOOGLEFINANCE(""Currency:BRLPEN"")*D1222"),1170.2459999999999)</f>
        <v>1170.246</v>
      </c>
      <c r="G1222" s="2" t="str">
        <f t="array" ref="G1222">_xlfn.XLOOKUP(B1222,Vendedores!$A$2:$A$41,Vendedores!$B$2:$B$41,"No hay datos")</f>
        <v>Daniel Fernández</v>
      </c>
      <c r="H1222" s="2" t="str">
        <f t="array" ref="H1222">_xlfn.XLOOKUP(B1222,Vendedores!$A$2:$A$41,Vendedores!$C$2:$C$41,"No hay datos")</f>
        <v>Puerto Esperanza</v>
      </c>
      <c r="I1222" s="2" t="str">
        <f t="array" ref="I1222">_xlfn.XLOOKUP(B1222,Vendedores!$A$2:$A$41,Vendedores!$D$2:$D$41,"No hay datos")</f>
        <v>Región Sur</v>
      </c>
      <c r="J1222" s="2" t="str">
        <f t="array" ref="J1222:N1222">_xlfn.XLOOKUP(A1222,Productos!$A$2:$A$61,Productos!$B$2:$F$61)</f>
        <v>Tenis Chunky</v>
      </c>
      <c r="K1222" s="2">
        <v>37.0</v>
      </c>
      <c r="L1222" s="2" t="s">
        <v>33</v>
      </c>
      <c r="M1222" s="2" t="s">
        <v>61</v>
      </c>
      <c r="N1222" s="2" t="s">
        <v>62</v>
      </c>
    </row>
    <row r="1223">
      <c r="A1223" s="2" t="str">
        <f>IFERROR(__xludf.DUMMYFUNCTION("""COMPUTED_VALUE"""),"PR014")</f>
        <v>PR014</v>
      </c>
      <c r="B1223" s="2" t="str">
        <f>IFERROR(__xludf.DUMMYFUNCTION("""COMPUTED_VALUE"""),"VD019")</f>
        <v>VD019</v>
      </c>
      <c r="C1223" s="2">
        <f>IFERROR(__xludf.DUMMYFUNCTION("""COMPUTED_VALUE"""),2.0)</f>
        <v>2</v>
      </c>
      <c r="D1223" s="6">
        <f>IFERROR(__xludf.DUMMYFUNCTION("""COMPUTED_VALUE"""),85.39)</f>
        <v>85.39</v>
      </c>
      <c r="E1223" s="6">
        <f>IFERROR(__xludf.DUMMYFUNCTION("GOOGLEFINANCE(""Currency:BRLMXN"")*D1223"),290.112525)</f>
        <v>290.112525</v>
      </c>
      <c r="F1223" s="6">
        <f>IFERROR(__xludf.DUMMYFUNCTION("GOOGLEFINANCE(""Currency:BRLPEN"")*D1223"),55.981683999999994)</f>
        <v>55.981684</v>
      </c>
      <c r="G1223" s="2" t="str">
        <f t="array" ref="G1223">_xlfn.XLOOKUP(B1223,Vendedores!$A$2:$A$41,Vendedores!$B$2:$B$41,"No hay datos")</f>
        <v>Rafael Sosa</v>
      </c>
      <c r="H1223" s="2" t="str">
        <f t="array" ref="H1223">_xlfn.XLOOKUP(B1223,Vendedores!$A$2:$A$41,Vendedores!$C$2:$C$41,"No hay datos")</f>
        <v>Selva Verde</v>
      </c>
      <c r="I1223" s="2" t="str">
        <f t="array" ref="I1223">_xlfn.XLOOKUP(B1223,Vendedores!$A$2:$A$41,Vendedores!$D$2:$D$41,"No hay datos")</f>
        <v>Región Amazónica</v>
      </c>
      <c r="J1223" s="2" t="str">
        <f t="array" ref="J1223:N1223">_xlfn.XLOOKUP(A1223,Productos!$A$2:$A$61,Productos!$B$2:$F$61)</f>
        <v>Playera estampada</v>
      </c>
      <c r="K1223" s="2" t="s">
        <v>17</v>
      </c>
      <c r="L1223" s="2" t="s">
        <v>10</v>
      </c>
      <c r="M1223" s="2" t="s">
        <v>37</v>
      </c>
      <c r="N1223" s="2" t="s">
        <v>38</v>
      </c>
    </row>
    <row r="1224">
      <c r="A1224" s="2" t="str">
        <f>IFERROR(__xludf.DUMMYFUNCTION("""COMPUTED_VALUE"""),"PR027")</f>
        <v>PR027</v>
      </c>
      <c r="B1224" s="2" t="str">
        <f>IFERROR(__xludf.DUMMYFUNCTION("""COMPUTED_VALUE"""),"VD011")</f>
        <v>VD011</v>
      </c>
      <c r="C1224" s="2">
        <f>IFERROR(__xludf.DUMMYFUNCTION("""COMPUTED_VALUE"""),4.0)</f>
        <v>4</v>
      </c>
      <c r="D1224" s="6">
        <f>IFERROR(__xludf.DUMMYFUNCTION("""COMPUTED_VALUE"""),513.6)</f>
        <v>513.6</v>
      </c>
      <c r="E1224" s="6">
        <f>IFERROR(__xludf.DUMMYFUNCTION("GOOGLEFINANCE(""Currency:BRLMXN"")*D1224"),1744.9560000000001)</f>
        <v>1744.956</v>
      </c>
      <c r="F1224" s="6">
        <f>IFERROR(__xludf.DUMMYFUNCTION("GOOGLEFINANCE(""Currency:BRLPEN"")*D1224"),336.71616)</f>
        <v>336.71616</v>
      </c>
      <c r="G1224" s="2" t="str">
        <f t="array" ref="G1224">_xlfn.XLOOKUP(B1224,Vendedores!$A$2:$A$41,Vendedores!$B$2:$B$41,"No hay datos")</f>
        <v>Juan Santos</v>
      </c>
      <c r="H1224" s="2" t="str">
        <f t="array" ref="H1224">_xlfn.XLOOKUP(B1224,Vendedores!$A$2:$A$41,Vendedores!$C$2:$C$41,"No hay datos")</f>
        <v>Vista Hermosa</v>
      </c>
      <c r="I1224" s="2" t="str">
        <f t="array" ref="I1224">_xlfn.XLOOKUP(B1224,Vendedores!$A$2:$A$41,Vendedores!$D$2:$D$41,"No hay datos")</f>
        <v>Región Central</v>
      </c>
      <c r="J1224" s="2" t="str">
        <f t="array" ref="J1224:N1224">_xlfn.XLOOKUP(A1224,Productos!$A$2:$A$61,Productos!$B$2:$F$61)</f>
        <v>Gafas redondas</v>
      </c>
      <c r="K1224" s="2" t="s">
        <v>29</v>
      </c>
      <c r="L1224" s="2" t="s">
        <v>30</v>
      </c>
      <c r="M1224" s="2" t="s">
        <v>53</v>
      </c>
      <c r="N1224" s="2" t="s">
        <v>54</v>
      </c>
    </row>
    <row r="1225">
      <c r="A1225" s="2" t="str">
        <f>IFERROR(__xludf.DUMMYFUNCTION("""COMPUTED_VALUE"""),"PR054")</f>
        <v>PR054</v>
      </c>
      <c r="B1225" s="2" t="str">
        <f>IFERROR(__xludf.DUMMYFUNCTION("""COMPUTED_VALUE"""),"VD039")</f>
        <v>VD039</v>
      </c>
      <c r="C1225" s="2">
        <f>IFERROR(__xludf.DUMMYFUNCTION("""COMPUTED_VALUE"""),10.0)</f>
        <v>10</v>
      </c>
      <c r="D1225" s="6">
        <f>IFERROR(__xludf.DUMMYFUNCTION("""COMPUTED_VALUE"""),528.94)</f>
        <v>528.94</v>
      </c>
      <c r="E1225" s="6">
        <f>IFERROR(__xludf.DUMMYFUNCTION("GOOGLEFINANCE(""Currency:BRLMXN"")*D1225"),1797.0736500000003)</f>
        <v>1797.07365</v>
      </c>
      <c r="F1225" s="6">
        <f>IFERROR(__xludf.DUMMYFUNCTION("GOOGLEFINANCE(""Currency:BRLPEN"")*D1225"),346.77306400000003)</f>
        <v>346.773064</v>
      </c>
      <c r="G1225" s="2" t="str">
        <f t="array" ref="G1225">_xlfn.XLOOKUP(B1225,Vendedores!$A$2:$A$41,Vendedores!$B$2:$B$41,"No hay datos")</f>
        <v>Daniela Rodríguez</v>
      </c>
      <c r="H1225" s="2" t="str">
        <f t="array" ref="H1225">_xlfn.XLOOKUP(B1225,Vendedores!$A$2:$A$41,Vendedores!$C$2:$C$41,"No hay datos")</f>
        <v>Bahía del Sol</v>
      </c>
      <c r="I1225" s="2" t="str">
        <f t="array" ref="I1225">_xlfn.XLOOKUP(B1225,Vendedores!$A$2:$A$41,Vendedores!$D$2:$D$41,"No hay datos")</f>
        <v>Región Central 2</v>
      </c>
      <c r="J1225" s="2" t="str">
        <f t="array" ref="J1225:N1225">_xlfn.XLOOKUP(A1225,Productos!$A$2:$A$61,Productos!$B$2:$F$61)</f>
        <v>Falda plisada</v>
      </c>
      <c r="K1225" s="2" t="s">
        <v>22</v>
      </c>
      <c r="L1225" s="2" t="s">
        <v>10</v>
      </c>
      <c r="M1225" s="2" t="s">
        <v>42</v>
      </c>
      <c r="N1225" s="2" t="s">
        <v>32</v>
      </c>
    </row>
    <row r="1226">
      <c r="A1226" s="2" t="str">
        <f>IFERROR(__xludf.DUMMYFUNCTION("""COMPUTED_VALUE"""),"PR050")</f>
        <v>PR050</v>
      </c>
      <c r="B1226" s="2" t="str">
        <f>IFERROR(__xludf.DUMMYFUNCTION("""COMPUTED_VALUE"""),"VD016")</f>
        <v>VD016</v>
      </c>
      <c r="C1226" s="2">
        <f>IFERROR(__xludf.DUMMYFUNCTION("""COMPUTED_VALUE"""),4.0)</f>
        <v>4</v>
      </c>
      <c r="D1226" s="6">
        <f>IFERROR(__xludf.DUMMYFUNCTION("""COMPUTED_VALUE"""),139.5)</f>
        <v>139.5</v>
      </c>
      <c r="E1226" s="6">
        <f>IFERROR(__xludf.DUMMYFUNCTION("GOOGLEFINANCE(""Currency:BRLMXN"")*D1226"),473.95125)</f>
        <v>473.95125</v>
      </c>
      <c r="F1226" s="6">
        <f>IFERROR(__xludf.DUMMYFUNCTION("GOOGLEFINANCE(""Currency:BRLPEN"")*D1226"),91.4562)</f>
        <v>91.4562</v>
      </c>
      <c r="G1226" s="2" t="str">
        <f t="array" ref="G1226">_xlfn.XLOOKUP(B1226,Vendedores!$A$2:$A$41,Vendedores!$B$2:$B$41,"No hay datos")</f>
        <v>Beatriz Linares</v>
      </c>
      <c r="H1226" s="2" t="str">
        <f t="array" ref="H1226">_xlfn.XLOOKUP(B1226,Vendedores!$A$2:$A$41,Vendedores!$C$2:$C$41,"No hay datos")</f>
        <v>Puerto Esperanza</v>
      </c>
      <c r="I1226" s="2" t="str">
        <f t="array" ref="I1226">_xlfn.XLOOKUP(B1226,Vendedores!$A$2:$A$41,Vendedores!$D$2:$D$41,"No hay datos")</f>
        <v>Región Sur</v>
      </c>
      <c r="J1226" s="2" t="str">
        <f t="array" ref="J1226:N1226">_xlfn.XLOOKUP(A1226,Productos!$A$2:$A$61,Productos!$B$2:$F$61)</f>
        <v>Playera a rayas</v>
      </c>
      <c r="K1226" s="2" t="s">
        <v>17</v>
      </c>
      <c r="L1226" s="2" t="s">
        <v>10</v>
      </c>
      <c r="M1226" s="2" t="s">
        <v>27</v>
      </c>
      <c r="N1226" s="2" t="s">
        <v>24</v>
      </c>
    </row>
    <row r="1227">
      <c r="A1227" s="2" t="str">
        <f>IFERROR(__xludf.DUMMYFUNCTION("""COMPUTED_VALUE"""),"PR041")</f>
        <v>PR041</v>
      </c>
      <c r="B1227" s="2" t="str">
        <f>IFERROR(__xludf.DUMMYFUNCTION("""COMPUTED_VALUE"""),"VD027")</f>
        <v>VD027</v>
      </c>
      <c r="C1227" s="2">
        <f>IFERROR(__xludf.DUMMYFUNCTION("""COMPUTED_VALUE"""),10.0)</f>
        <v>10</v>
      </c>
      <c r="D1227" s="6">
        <f>IFERROR(__xludf.DUMMYFUNCTION("""COMPUTED_VALUE"""),592.92)</f>
        <v>592.92</v>
      </c>
      <c r="E1227" s="6">
        <f>IFERROR(__xludf.DUMMYFUNCTION("GOOGLEFINANCE(""Currency:BRLMXN"")*D1227"),2014.4456999999998)</f>
        <v>2014.4457</v>
      </c>
      <c r="F1227" s="6">
        <f>IFERROR(__xludf.DUMMYFUNCTION("GOOGLEFINANCE(""Currency:BRLPEN"")*D1227"),388.7183519999999)</f>
        <v>388.718352</v>
      </c>
      <c r="G1227" s="2" t="str">
        <f t="array" ref="G1227">_xlfn.XLOOKUP(B1227,Vendedores!$A$2:$A$41,Vendedores!$B$2:$B$41,"No hay datos")</f>
        <v>Patricia Cortés</v>
      </c>
      <c r="H1227" s="2" t="str">
        <f t="array" ref="H1227">_xlfn.XLOOKUP(B1227,Vendedores!$A$2:$A$41,Vendedores!$C$2:$C$41,"No hay datos")</f>
        <v>Costa Azul</v>
      </c>
      <c r="I1227" s="2" t="str">
        <f t="array" ref="I1227">_xlfn.XLOOKUP(B1227,Vendedores!$A$2:$A$41,Vendedores!$D$2:$D$41,"No hay datos")</f>
        <v>Región Norte</v>
      </c>
      <c r="J1227" s="2" t="str">
        <f t="array" ref="J1227:N1227">_xlfn.XLOOKUP(A1227,Productos!$A$2:$A$61,Productos!$B$2:$F$61)</f>
        <v>Playera confort</v>
      </c>
      <c r="K1227" s="2" t="s">
        <v>17</v>
      </c>
      <c r="L1227" s="2" t="s">
        <v>10</v>
      </c>
      <c r="M1227" s="2" t="s">
        <v>95</v>
      </c>
      <c r="N1227" s="2" t="s">
        <v>26</v>
      </c>
    </row>
    <row r="1228">
      <c r="A1228" s="2" t="str">
        <f>IFERROR(__xludf.DUMMYFUNCTION("""COMPUTED_VALUE"""),"PR046")</f>
        <v>PR046</v>
      </c>
      <c r="B1228" s="2" t="str">
        <f>IFERROR(__xludf.DUMMYFUNCTION("""COMPUTED_VALUE"""),"VD020")</f>
        <v>VD020</v>
      </c>
      <c r="C1228" s="2">
        <f>IFERROR(__xludf.DUMMYFUNCTION("""COMPUTED_VALUE"""),12.0)</f>
        <v>12</v>
      </c>
      <c r="D1228" s="6">
        <f>IFERROR(__xludf.DUMMYFUNCTION("""COMPUTED_VALUE"""),3513.59)</f>
        <v>3513.59</v>
      </c>
      <c r="E1228" s="6">
        <f>IFERROR(__xludf.DUMMYFUNCTION("GOOGLEFINANCE(""Currency:BRLMXN"")*D1228"),11937.422025)</f>
        <v>11937.42203</v>
      </c>
      <c r="F1228" s="6">
        <f>IFERROR(__xludf.DUMMYFUNCTION("GOOGLEFINANCE(""Currency:BRLPEN"")*D1228"),2303.509604)</f>
        <v>2303.509604</v>
      </c>
      <c r="G1228" s="2" t="str">
        <f t="array" ref="G1228">_xlfn.XLOOKUP(B1228,Vendedores!$A$2:$A$41,Vendedores!$B$2:$B$41,"No hay datos")</f>
        <v>Gustavo Morales</v>
      </c>
      <c r="H1228" s="2" t="str">
        <f t="array" ref="H1228">_xlfn.XLOOKUP(B1228,Vendedores!$A$2:$A$41,Vendedores!$C$2:$C$41,"No hay datos")</f>
        <v>Villa del Sol</v>
      </c>
      <c r="I1228" s="2" t="str">
        <f t="array" ref="I1228">_xlfn.XLOOKUP(B1228,Vendedores!$A$2:$A$41,Vendedores!$D$2:$D$41,"No hay datos")</f>
        <v>Región Central 2</v>
      </c>
      <c r="J1228" s="2" t="str">
        <f t="array" ref="J1228:N1228">_xlfn.XLOOKUP(A1228,Productos!$A$2:$A$61,Productos!$B$2:$F$61)</f>
        <v>Chaqueta de cuero</v>
      </c>
      <c r="K1228" s="2" t="s">
        <v>9</v>
      </c>
      <c r="L1228" s="2" t="s">
        <v>10</v>
      </c>
      <c r="M1228" s="2" t="s">
        <v>94</v>
      </c>
      <c r="N1228" s="2" t="s">
        <v>44</v>
      </c>
    </row>
    <row r="1229">
      <c r="A1229" s="2" t="str">
        <f>IFERROR(__xludf.DUMMYFUNCTION("""COMPUTED_VALUE"""),"PR039")</f>
        <v>PR039</v>
      </c>
      <c r="B1229" s="2" t="str">
        <f>IFERROR(__xludf.DUMMYFUNCTION("""COMPUTED_VALUE"""),"VD048")</f>
        <v>VD048</v>
      </c>
      <c r="C1229" s="2">
        <f>IFERROR(__xludf.DUMMYFUNCTION("""COMPUTED_VALUE"""),12.0)</f>
        <v>12</v>
      </c>
      <c r="D1229" s="6">
        <f>IFERROR(__xludf.DUMMYFUNCTION("""COMPUTED_VALUE"""),1752.0)</f>
        <v>1752</v>
      </c>
      <c r="E1229" s="6">
        <f>IFERROR(__xludf.DUMMYFUNCTION("GOOGLEFINANCE(""Currency:BRLMXN"")*D1229"),5952.42)</f>
        <v>5952.42</v>
      </c>
      <c r="F1229" s="6">
        <f>IFERROR(__xludf.DUMMYFUNCTION("GOOGLEFINANCE(""Currency:BRLPEN"")*D1229"),1148.6111999999998)</f>
        <v>1148.6112</v>
      </c>
      <c r="G1229" s="2" t="str">
        <f t="array" ref="G1229">_xlfn.XLOOKUP(B1229,Vendedores!$A$2:$A$41,Vendedores!$B$2:$B$41,"No hay datos")</f>
        <v>Mariana Castro</v>
      </c>
      <c r="H1229" s="2" t="str">
        <f t="array" ref="H1229">_xlfn.XLOOKUP(B1229,Vendedores!$A$2:$A$41,Vendedores!$C$2:$C$41,"No hay datos")</f>
        <v>San Carlos del Valle</v>
      </c>
      <c r="I1229" s="2" t="str">
        <f t="array" ref="I1229">_xlfn.XLOOKUP(B1229,Vendedores!$A$2:$A$41,Vendedores!$D$2:$D$41,"No hay datos")</f>
        <v>Región Central 2</v>
      </c>
      <c r="J1229" s="2" t="str">
        <f t="array" ref="J1229:N1229">_xlfn.XLOOKUP(A1229,Productos!$A$2:$A$61,Productos!$B$2:$F$61)</f>
        <v>Vestido largo</v>
      </c>
      <c r="K1229" s="2" t="s">
        <v>22</v>
      </c>
      <c r="L1229" s="2" t="s">
        <v>10</v>
      </c>
      <c r="M1229" s="2" t="s">
        <v>73</v>
      </c>
      <c r="N1229" s="2" t="s">
        <v>74</v>
      </c>
    </row>
    <row r="1230">
      <c r="A1230" s="2" t="str">
        <f>IFERROR(__xludf.DUMMYFUNCTION("""COMPUTED_VALUE"""),"PR008")</f>
        <v>PR008</v>
      </c>
      <c r="B1230" s="2" t="str">
        <f>IFERROR(__xludf.DUMMYFUNCTION("""COMPUTED_VALUE"""),"VD033")</f>
        <v>VD033</v>
      </c>
      <c r="C1230" s="2">
        <f>IFERROR(__xludf.DUMMYFUNCTION("""COMPUTED_VALUE"""),8.0)</f>
        <v>8</v>
      </c>
      <c r="D1230" s="6">
        <f>IFERROR(__xludf.DUMMYFUNCTION("""COMPUTED_VALUE"""),776.74)</f>
        <v>776.74</v>
      </c>
      <c r="E1230" s="6">
        <f>IFERROR(__xludf.DUMMYFUNCTION("GOOGLEFINANCE(""Currency:BRLMXN"")*D1230"),2638.97415)</f>
        <v>2638.97415</v>
      </c>
      <c r="F1230" s="6">
        <f>IFERROR(__xludf.DUMMYFUNCTION("GOOGLEFINANCE(""Currency:BRLPEN"")*D1230"),509.23074399999996)</f>
        <v>509.230744</v>
      </c>
      <c r="G1230" s="2" t="str">
        <f t="array" ref="G1230">_xlfn.XLOOKUP(B1230,Vendedores!$A$2:$A$41,Vendedores!$B$2:$B$41,"No hay datos")</f>
        <v>Renata Flores</v>
      </c>
      <c r="H1230" s="2" t="str">
        <f t="array" ref="H1230">_xlfn.XLOOKUP(B1230,Vendedores!$A$2:$A$41,Vendedores!$C$2:$C$41,"No hay datos")</f>
        <v>Altos del Sur</v>
      </c>
      <c r="I1230" s="2" t="str">
        <f t="array" ref="I1230">_xlfn.XLOOKUP(B1230,Vendedores!$A$2:$A$41,Vendedores!$D$2:$D$41,"No hay datos")</f>
        <v>Región Central 2</v>
      </c>
      <c r="J1230" s="2" t="str">
        <f t="array" ref="J1230:N1230">_xlfn.XLOOKUP(A1230,Productos!$A$2:$A$61,Productos!$B$2:$F$61)</f>
        <v>Pantalón de mezclilla</v>
      </c>
      <c r="K1230" s="2" t="s">
        <v>17</v>
      </c>
      <c r="L1230" s="2" t="s">
        <v>10</v>
      </c>
      <c r="M1230" s="2" t="s">
        <v>65</v>
      </c>
      <c r="N1230" s="2" t="s">
        <v>35</v>
      </c>
    </row>
    <row r="1231">
      <c r="A1231" s="2" t="str">
        <f>IFERROR(__xludf.DUMMYFUNCTION("""COMPUTED_VALUE"""),"PR035")</f>
        <v>PR035</v>
      </c>
      <c r="B1231" s="2" t="str">
        <f>IFERROR(__xludf.DUMMYFUNCTION("""COMPUTED_VALUE"""),"VD011")</f>
        <v>VD011</v>
      </c>
      <c r="C1231" s="2">
        <f>IFERROR(__xludf.DUMMYFUNCTION("""COMPUTED_VALUE"""),2.0)</f>
        <v>2</v>
      </c>
      <c r="D1231" s="6">
        <f>IFERROR(__xludf.DUMMYFUNCTION("""COMPUTED_VALUE"""),186.46)</f>
        <v>186.46</v>
      </c>
      <c r="E1231" s="6">
        <f>IFERROR(__xludf.DUMMYFUNCTION("GOOGLEFINANCE(""Currency:BRLMXN"")*D1231"),633.49785)</f>
        <v>633.49785</v>
      </c>
      <c r="F1231" s="6">
        <f>IFERROR(__xludf.DUMMYFUNCTION("GOOGLEFINANCE(""Currency:BRLPEN"")*D1231"),122.24317599999999)</f>
        <v>122.243176</v>
      </c>
      <c r="G1231" s="2" t="str">
        <f t="array" ref="G1231">_xlfn.XLOOKUP(B1231,Vendedores!$A$2:$A$41,Vendedores!$B$2:$B$41,"No hay datos")</f>
        <v>Juan Santos</v>
      </c>
      <c r="H1231" s="2" t="str">
        <f t="array" ref="H1231">_xlfn.XLOOKUP(B1231,Vendedores!$A$2:$A$41,Vendedores!$C$2:$C$41,"No hay datos")</f>
        <v>Vista Hermosa</v>
      </c>
      <c r="I1231" s="2" t="str">
        <f t="array" ref="I1231">_xlfn.XLOOKUP(B1231,Vendedores!$A$2:$A$41,Vendedores!$D$2:$D$41,"No hay datos")</f>
        <v>Región Central</v>
      </c>
      <c r="J1231" s="2" t="str">
        <f t="array" ref="J1231:N1231">_xlfn.XLOOKUP(A1231,Productos!$A$2:$A$61,Productos!$B$2:$F$61)</f>
        <v>Vestido corto</v>
      </c>
      <c r="K1231" s="2" t="s">
        <v>17</v>
      </c>
      <c r="L1231" s="2" t="s">
        <v>10</v>
      </c>
      <c r="M1231" s="2" t="s">
        <v>18</v>
      </c>
      <c r="N1231" s="2" t="s">
        <v>19</v>
      </c>
    </row>
    <row r="1232">
      <c r="A1232" s="2" t="str">
        <f>IFERROR(__xludf.DUMMYFUNCTION("""COMPUTED_VALUE"""),"PR026")</f>
        <v>PR026</v>
      </c>
      <c r="B1232" s="2" t="str">
        <f>IFERROR(__xludf.DUMMYFUNCTION("""COMPUTED_VALUE"""),"VD025")</f>
        <v>VD025</v>
      </c>
      <c r="C1232" s="2">
        <f>IFERROR(__xludf.DUMMYFUNCTION("""COMPUTED_VALUE"""),16.0)</f>
        <v>16</v>
      </c>
      <c r="D1232" s="6">
        <f>IFERROR(__xludf.DUMMYFUNCTION("""COMPUTED_VALUE"""),5710.37)</f>
        <v>5710.37</v>
      </c>
      <c r="E1232" s="6">
        <f>IFERROR(__xludf.DUMMYFUNCTION("GOOGLEFINANCE(""Currency:BRLMXN"")*D1232"),19400.982075)</f>
        <v>19400.98208</v>
      </c>
      <c r="F1232" s="6">
        <f>IFERROR(__xludf.DUMMYFUNCTION("GOOGLEFINANCE(""Currency:BRLPEN"")*D1232"),3743.7185719999998)</f>
        <v>3743.718572</v>
      </c>
      <c r="G1232" s="2" t="str">
        <f t="array" ref="G1232">_xlfn.XLOOKUP(B1232,Vendedores!$A$2:$A$41,Vendedores!$B$2:$B$41,"No hay datos")</f>
        <v>Alina Santana</v>
      </c>
      <c r="H1232" s="2" t="str">
        <f t="array" ref="H1232">_xlfn.XLOOKUP(B1232,Vendedores!$A$2:$A$41,Vendedores!$C$2:$C$41,"No hay datos")</f>
        <v>Playa Blanca</v>
      </c>
      <c r="I1232" s="2" t="str">
        <f t="array" ref="I1232">_xlfn.XLOOKUP(B1232,Vendedores!$A$2:$A$41,Vendedores!$D$2:$D$41,"No hay datos")</f>
        <v>Región Norte</v>
      </c>
      <c r="J1232" s="2" t="str">
        <f t="array" ref="J1232:N1232">_xlfn.XLOOKUP(A1232,Productos!$A$2:$A$61,Productos!$B$2:$F$61)</f>
        <v>Gafas cuadradas</v>
      </c>
      <c r="K1232" s="2" t="s">
        <v>29</v>
      </c>
      <c r="L1232" s="2" t="s">
        <v>30</v>
      </c>
      <c r="M1232" s="2" t="s">
        <v>90</v>
      </c>
      <c r="N1232" s="2" t="s">
        <v>91</v>
      </c>
    </row>
    <row r="1233">
      <c r="A1233" s="2" t="str">
        <f>IFERROR(__xludf.DUMMYFUNCTION("""COMPUTED_VALUE"""),"PR059")</f>
        <v>PR059</v>
      </c>
      <c r="B1233" s="2" t="str">
        <f>IFERROR(__xludf.DUMMYFUNCTION("""COMPUTED_VALUE"""),"VD033")</f>
        <v>VD033</v>
      </c>
      <c r="C1233" s="2">
        <f>IFERROR(__xludf.DUMMYFUNCTION("""COMPUTED_VALUE"""),20.0)</f>
        <v>20</v>
      </c>
      <c r="D1233" s="6">
        <f>IFERROR(__xludf.DUMMYFUNCTION("""COMPUTED_VALUE"""),3924.0)</f>
        <v>3924</v>
      </c>
      <c r="E1233" s="6">
        <f>IFERROR(__xludf.DUMMYFUNCTION("GOOGLEFINANCE(""Currency:BRLMXN"")*D1233"),13331.789999999999)</f>
        <v>13331.79</v>
      </c>
      <c r="F1233" s="6">
        <f>IFERROR(__xludf.DUMMYFUNCTION("GOOGLEFINANCE(""Currency:BRLPEN"")*D1233"),2572.5744)</f>
        <v>2572.5744</v>
      </c>
      <c r="G1233" s="2" t="str">
        <f t="array" ref="G1233">_xlfn.XLOOKUP(B1233,Vendedores!$A$2:$A$41,Vendedores!$B$2:$B$41,"No hay datos")</f>
        <v>Renata Flores</v>
      </c>
      <c r="H1233" s="2" t="str">
        <f t="array" ref="H1233">_xlfn.XLOOKUP(B1233,Vendedores!$A$2:$A$41,Vendedores!$C$2:$C$41,"No hay datos")</f>
        <v>Altos del Sur</v>
      </c>
      <c r="I1233" s="2" t="str">
        <f t="array" ref="I1233">_xlfn.XLOOKUP(B1233,Vendedores!$A$2:$A$41,Vendedores!$D$2:$D$41,"No hay datos")</f>
        <v>Región Central 2</v>
      </c>
      <c r="J1233" s="2" t="str">
        <f t="array" ref="J1233:N1233">_xlfn.XLOOKUP(A1233,Productos!$A$2:$A$61,Productos!$B$2:$F$61)</f>
        <v>Pantalón de sastre</v>
      </c>
      <c r="K1233" s="2" t="s">
        <v>17</v>
      </c>
      <c r="L1233" s="2" t="s">
        <v>10</v>
      </c>
      <c r="M1233" s="2" t="s">
        <v>28</v>
      </c>
      <c r="N1233" s="2" t="s">
        <v>14</v>
      </c>
    </row>
    <row r="1234">
      <c r="A1234" s="2" t="str">
        <f>IFERROR(__xludf.DUMMYFUNCTION("""COMPUTED_VALUE"""),"PR033")</f>
        <v>PR033</v>
      </c>
      <c r="B1234" s="2" t="str">
        <f>IFERROR(__xludf.DUMMYFUNCTION("""COMPUTED_VALUE"""),"VD035")</f>
        <v>VD035</v>
      </c>
      <c r="C1234" s="2">
        <f>IFERROR(__xludf.DUMMYFUNCTION("""COMPUTED_VALUE"""),6.0)</f>
        <v>6</v>
      </c>
      <c r="D1234" s="6">
        <f>IFERROR(__xludf.DUMMYFUNCTION("""COMPUTED_VALUE"""),1652.96)</f>
        <v>1652.96</v>
      </c>
      <c r="E1234" s="6">
        <f>IFERROR(__xludf.DUMMYFUNCTION("GOOGLEFINANCE(""Currency:BRLMXN"")*D1234"),5615.9316)</f>
        <v>5615.9316</v>
      </c>
      <c r="F1234" s="6">
        <f>IFERROR(__xludf.DUMMYFUNCTION("GOOGLEFINANCE(""Currency:BRLPEN"")*D1234"),1083.680576)</f>
        <v>1083.680576</v>
      </c>
      <c r="G1234" s="2" t="str">
        <f t="array" ref="G1234">_xlfn.XLOOKUP(B1234,Vendedores!$A$2:$A$41,Vendedores!$B$2:$B$41,"No hay datos")</f>
        <v>Carolina Méndez</v>
      </c>
      <c r="H1234" s="2" t="str">
        <f t="array" ref="H1234">_xlfn.XLOOKUP(B1234,Vendedores!$A$2:$A$41,Vendedores!$C$2:$C$41,"No hay datos")</f>
        <v>Valle de los Robles</v>
      </c>
      <c r="I1234" s="2" t="str">
        <f t="array" ref="I1234">_xlfn.XLOOKUP(B1234,Vendedores!$A$2:$A$41,Vendedores!$D$2:$D$41,"No hay datos")</f>
        <v>Región Central 2</v>
      </c>
      <c r="J1234" s="2" t="str">
        <f t="array" ref="J1234:N1234">_xlfn.XLOOKUP(A1234,Productos!$A$2:$A$61,Productos!$B$2:$F$61)</f>
        <v>Tenis Chunky</v>
      </c>
      <c r="K1234" s="2">
        <v>38.0</v>
      </c>
      <c r="L1234" s="2" t="s">
        <v>33</v>
      </c>
      <c r="M1234" s="2" t="s">
        <v>63</v>
      </c>
      <c r="N1234" s="2" t="s">
        <v>64</v>
      </c>
    </row>
    <row r="1235">
      <c r="A1235" s="2" t="str">
        <f>IFERROR(__xludf.DUMMYFUNCTION("""COMPUTED_VALUE"""),"PR044")</f>
        <v>PR044</v>
      </c>
      <c r="B1235" s="2" t="str">
        <f>IFERROR(__xludf.DUMMYFUNCTION("""COMPUTED_VALUE"""),"VD034")</f>
        <v>VD034</v>
      </c>
      <c r="C1235" s="2">
        <f>IFERROR(__xludf.DUMMYFUNCTION("""COMPUTED_VALUE"""),6.0)</f>
        <v>6</v>
      </c>
      <c r="D1235" s="6">
        <f>IFERROR(__xludf.DUMMYFUNCTION("""COMPUTED_VALUE"""),439.35)</f>
        <v>439.35</v>
      </c>
      <c r="E1235" s="6">
        <f>IFERROR(__xludf.DUMMYFUNCTION("GOOGLEFINANCE(""Currency:BRLMXN"")*D1235"),1492.6916250000002)</f>
        <v>1492.691625</v>
      </c>
      <c r="F1235" s="6">
        <f>IFERROR(__xludf.DUMMYFUNCTION("GOOGLEFINANCE(""Currency:BRLPEN"")*D1235"),288.03786)</f>
        <v>288.03786</v>
      </c>
      <c r="G1235" s="2" t="str">
        <f t="array" ref="G1235">_xlfn.XLOOKUP(B1235,Vendedores!$A$2:$A$41,Vendedores!$B$2:$B$41,"No hay datos")</f>
        <v>Felipe Carvajal</v>
      </c>
      <c r="H1235" s="2" t="str">
        <f t="array" ref="H1235">_xlfn.XLOOKUP(B1235,Vendedores!$A$2:$A$41,Vendedores!$C$2:$C$41,"No hay datos")</f>
        <v>San Pedro del Río</v>
      </c>
      <c r="I1235" s="2" t="str">
        <f t="array" ref="I1235">_xlfn.XLOOKUP(B1235,Vendedores!$A$2:$A$41,Vendedores!$D$2:$D$41,"No hay datos")</f>
        <v>Región Sur 2</v>
      </c>
      <c r="J1235" s="2" t="str">
        <f t="array" ref="J1235:N1235">_xlfn.XLOOKUP(A1235,Productos!$A$2:$A$61,Productos!$B$2:$F$61)</f>
        <v>Vestido floral</v>
      </c>
      <c r="K1235" s="2" t="s">
        <v>17</v>
      </c>
      <c r="L1235" s="2" t="s">
        <v>10</v>
      </c>
      <c r="M1235" s="2" t="s">
        <v>105</v>
      </c>
      <c r="N1235" s="2" t="s">
        <v>40</v>
      </c>
    </row>
    <row r="1236">
      <c r="A1236" s="2" t="str">
        <f>IFERROR(__xludf.DUMMYFUNCTION("""COMPUTED_VALUE"""),"PR050")</f>
        <v>PR050</v>
      </c>
      <c r="B1236" s="2" t="str">
        <f>IFERROR(__xludf.DUMMYFUNCTION("""COMPUTED_VALUE"""),"VD026")</f>
        <v>VD026</v>
      </c>
      <c r="C1236" s="2">
        <f>IFERROR(__xludf.DUMMYFUNCTION("""COMPUTED_VALUE"""),1.0)</f>
        <v>1</v>
      </c>
      <c r="D1236" s="6">
        <f>IFERROR(__xludf.DUMMYFUNCTION("""COMPUTED_VALUE"""),33.56)</f>
        <v>33.56</v>
      </c>
      <c r="E1236" s="6">
        <f>IFERROR(__xludf.DUMMYFUNCTION("GOOGLEFINANCE(""Currency:BRLMXN"")*D1236"),114.02010000000001)</f>
        <v>114.0201</v>
      </c>
      <c r="F1236" s="6">
        <f>IFERROR(__xludf.DUMMYFUNCTION("GOOGLEFINANCE(""Currency:BRLPEN"")*D1236"),22.001936)</f>
        <v>22.001936</v>
      </c>
      <c r="G1236" s="2" t="str">
        <f t="array" ref="G1236">_xlfn.XLOOKUP(B1236,Vendedores!$A$2:$A$41,Vendedores!$B$2:$B$41,"No hay datos")</f>
        <v>Daniel Fernández</v>
      </c>
      <c r="H1236" s="2" t="str">
        <f t="array" ref="H1236">_xlfn.XLOOKUP(B1236,Vendedores!$A$2:$A$41,Vendedores!$C$2:$C$41,"No hay datos")</f>
        <v>Puerto Esperanza</v>
      </c>
      <c r="I1236" s="2" t="str">
        <f t="array" ref="I1236">_xlfn.XLOOKUP(B1236,Vendedores!$A$2:$A$41,Vendedores!$D$2:$D$41,"No hay datos")</f>
        <v>Región Sur</v>
      </c>
      <c r="J1236" s="2" t="str">
        <f t="array" ref="J1236:N1236">_xlfn.XLOOKUP(A1236,Productos!$A$2:$A$61,Productos!$B$2:$F$61)</f>
        <v>Playera a rayas</v>
      </c>
      <c r="K1236" s="2" t="s">
        <v>17</v>
      </c>
      <c r="L1236" s="2" t="s">
        <v>10</v>
      </c>
      <c r="M1236" s="2" t="s">
        <v>27</v>
      </c>
      <c r="N1236" s="2" t="s">
        <v>24</v>
      </c>
    </row>
    <row r="1237">
      <c r="A1237" s="2" t="str">
        <f>IFERROR(__xludf.DUMMYFUNCTION("""COMPUTED_VALUE"""),"PR019")</f>
        <v>PR019</v>
      </c>
      <c r="B1237" s="2" t="str">
        <f>IFERROR(__xludf.DUMMYFUNCTION("""COMPUTED_VALUE"""),"VD010")</f>
        <v>VD010</v>
      </c>
      <c r="C1237" s="2">
        <f>IFERROR(__xludf.DUMMYFUNCTION("""COMPUTED_VALUE"""),6.0)</f>
        <v>6</v>
      </c>
      <c r="D1237" s="6">
        <f>IFERROR(__xludf.DUMMYFUNCTION("""COMPUTED_VALUE"""),323.35)</f>
        <v>323.35</v>
      </c>
      <c r="E1237" s="6">
        <f>IFERROR(__xludf.DUMMYFUNCTION("GOOGLEFINANCE(""Currency:BRLMXN"")*D1237"),1098.581625)</f>
        <v>1098.581625</v>
      </c>
      <c r="F1237" s="6">
        <f>IFERROR(__xludf.DUMMYFUNCTION("GOOGLEFINANCE(""Currency:BRLPEN"")*D1237"),211.98826)</f>
        <v>211.98826</v>
      </c>
      <c r="G1237" s="2" t="str">
        <f t="array" ref="G1237">_xlfn.XLOOKUP(B1237,Vendedores!$A$2:$A$41,Vendedores!$B$2:$B$41,"No hay datos")</f>
        <v>María Silva</v>
      </c>
      <c r="H1237" s="2" t="str">
        <f t="array" ref="H1237">_xlfn.XLOOKUP(B1237,Vendedores!$A$2:$A$41,Vendedores!$C$2:$C$41,"No hay datos")</f>
        <v>San Juan de la Sierra</v>
      </c>
      <c r="I1237" s="2" t="str">
        <f t="array" ref="I1237">_xlfn.XLOOKUP(B1237,Vendedores!$A$2:$A$41,Vendedores!$D$2:$D$41,"No hay datos")</f>
        <v>Región Central</v>
      </c>
      <c r="J1237" s="2" t="str">
        <f t="array" ref="J1237:N1237">_xlfn.XLOOKUP(A1237,Productos!$A$2:$A$61,Productos!$B$2:$F$61)</f>
        <v>Cinturón</v>
      </c>
      <c r="K1237" s="2" t="s">
        <v>29</v>
      </c>
      <c r="L1237" s="2" t="s">
        <v>30</v>
      </c>
      <c r="M1237" s="2" t="s">
        <v>31</v>
      </c>
      <c r="N1237" s="2" t="s">
        <v>32</v>
      </c>
    </row>
    <row r="1238">
      <c r="A1238" s="2" t="str">
        <f>IFERROR(__xludf.DUMMYFUNCTION("""COMPUTED_VALUE"""),"PR058")</f>
        <v>PR058</v>
      </c>
      <c r="B1238" s="2" t="str">
        <f>IFERROR(__xludf.DUMMYFUNCTION("""COMPUTED_VALUE"""),"VD019")</f>
        <v>VD019</v>
      </c>
      <c r="C1238" s="2">
        <f>IFERROR(__xludf.DUMMYFUNCTION("""COMPUTED_VALUE"""),16.0)</f>
        <v>16</v>
      </c>
      <c r="D1238" s="6">
        <f>IFERROR(__xludf.DUMMYFUNCTION("""COMPUTED_VALUE"""),2908.8)</f>
        <v>2908.8</v>
      </c>
      <c r="E1238" s="6">
        <f>IFERROR(__xludf.DUMMYFUNCTION("GOOGLEFINANCE(""Currency:BRLMXN"")*D1238"),9882.648000000001)</f>
        <v>9882.648</v>
      </c>
      <c r="F1238" s="6">
        <f>IFERROR(__xludf.DUMMYFUNCTION("GOOGLEFINANCE(""Currency:BRLPEN"")*D1238"),1907.00928)</f>
        <v>1907.00928</v>
      </c>
      <c r="G1238" s="2" t="str">
        <f t="array" ref="G1238">_xlfn.XLOOKUP(B1238,Vendedores!$A$2:$A$41,Vendedores!$B$2:$B$41,"No hay datos")</f>
        <v>Rafael Sosa</v>
      </c>
      <c r="H1238" s="2" t="str">
        <f t="array" ref="H1238">_xlfn.XLOOKUP(B1238,Vendedores!$A$2:$A$41,Vendedores!$C$2:$C$41,"No hay datos")</f>
        <v>Selva Verde</v>
      </c>
      <c r="I1238" s="2" t="str">
        <f t="array" ref="I1238">_xlfn.XLOOKUP(B1238,Vendedores!$A$2:$A$41,Vendedores!$D$2:$D$41,"No hay datos")</f>
        <v>Región Amazónica</v>
      </c>
      <c r="J1238" s="2" t="str">
        <f t="array" ref="J1238:N1238">_xlfn.XLOOKUP(A1238,Productos!$A$2:$A$61,Productos!$B$2:$F$61)</f>
        <v>Pantalón de sastre</v>
      </c>
      <c r="K1238" s="2" t="s">
        <v>9</v>
      </c>
      <c r="L1238" s="2" t="s">
        <v>10</v>
      </c>
      <c r="M1238" s="2" t="s">
        <v>13</v>
      </c>
      <c r="N1238" s="2" t="s">
        <v>14</v>
      </c>
    </row>
    <row r="1239">
      <c r="A1239" s="2" t="str">
        <f>IFERROR(__xludf.DUMMYFUNCTION("""COMPUTED_VALUE"""),"PR024")</f>
        <v>PR024</v>
      </c>
      <c r="B1239" s="2" t="str">
        <f>IFERROR(__xludf.DUMMYFUNCTION("""COMPUTED_VALUE"""),"VD015")</f>
        <v>VD015</v>
      </c>
      <c r="C1239" s="2">
        <f>IFERROR(__xludf.DUMMYFUNCTION("""COMPUTED_VALUE"""),5.0)</f>
        <v>5</v>
      </c>
      <c r="D1239" s="6">
        <f>IFERROR(__xludf.DUMMYFUNCTION("""COMPUTED_VALUE"""),1390.47)</f>
        <v>1390.47</v>
      </c>
      <c r="E1239" s="6">
        <f>IFERROR(__xludf.DUMMYFUNCTION("GOOGLEFINANCE(""Currency:BRLMXN"")*D1239"),4724.121825)</f>
        <v>4724.121825</v>
      </c>
      <c r="F1239" s="6">
        <f>IFERROR(__xludf.DUMMYFUNCTION("GOOGLEFINANCE(""Currency:BRLPEN"")*D1239"),911.592132)</f>
        <v>911.592132</v>
      </c>
      <c r="G1239" s="2" t="str">
        <f t="array" ref="G1239">_xlfn.XLOOKUP(B1239,Vendedores!$A$2:$A$41,Vendedores!$B$2:$B$41,"No hay datos")</f>
        <v>Lucas Castillo</v>
      </c>
      <c r="H1239" s="2" t="str">
        <f t="array" ref="H1239">_xlfn.XLOOKUP(B1239,Vendedores!$A$2:$A$41,Vendedores!$C$2:$C$41,"No hay datos")</f>
        <v>San Miguel de los Pinos</v>
      </c>
      <c r="I1239" s="2" t="str">
        <f t="array" ref="I1239">_xlfn.XLOOKUP(B1239,Vendedores!$A$2:$A$41,Vendedores!$D$2:$D$41,"No hay datos")</f>
        <v>Región Sur</v>
      </c>
      <c r="J1239" s="2" t="str">
        <f t="array" ref="J1239:N1239">_xlfn.XLOOKUP(A1239,Productos!$A$2:$A$61,Productos!$B$2:$F$61)</f>
        <v>Chaqueta de mezclilla</v>
      </c>
      <c r="K1239" s="2" t="s">
        <v>17</v>
      </c>
      <c r="L1239" s="2" t="s">
        <v>10</v>
      </c>
      <c r="M1239" s="2" t="s">
        <v>92</v>
      </c>
      <c r="N1239" s="2" t="s">
        <v>64</v>
      </c>
    </row>
    <row r="1240">
      <c r="A1240" s="2" t="str">
        <f>IFERROR(__xludf.DUMMYFUNCTION("""COMPUTED_VALUE"""),"PR022")</f>
        <v>PR022</v>
      </c>
      <c r="B1240" s="2" t="str">
        <f>IFERROR(__xludf.DUMMYFUNCTION("""COMPUTED_VALUE"""),"VD049")</f>
        <v>VD049</v>
      </c>
      <c r="C1240" s="2">
        <f>IFERROR(__xludf.DUMMYFUNCTION("""COMPUTED_VALUE"""),20.0)</f>
        <v>20</v>
      </c>
      <c r="D1240" s="6">
        <f>IFERROR(__xludf.DUMMYFUNCTION("""COMPUTED_VALUE"""),6540.0)</f>
        <v>6540</v>
      </c>
      <c r="E1240" s="6">
        <f>IFERROR(__xludf.DUMMYFUNCTION("GOOGLEFINANCE(""Currency:BRLMXN"")*D1240"),22219.65)</f>
        <v>22219.65</v>
      </c>
      <c r="F1240" s="6">
        <f>IFERROR(__xludf.DUMMYFUNCTION("GOOGLEFINANCE(""Currency:BRLPEN"")*D1240"),4287.624)</f>
        <v>4287.624</v>
      </c>
      <c r="G1240" s="2" t="str">
        <f t="array" ref="G1240">_xlfn.XLOOKUP(B1240,Vendedores!$A$2:$A$41,Vendedores!$B$2:$B$41,"No hay datos")</f>
        <v>Fernando Navarro</v>
      </c>
      <c r="H1240" s="2" t="str">
        <f t="array" ref="H1240">_xlfn.XLOOKUP(B1240,Vendedores!$A$2:$A$41,Vendedores!$C$2:$C$41,"No hay datos")</f>
        <v>Colinas Verdes</v>
      </c>
      <c r="I1240" s="2" t="str">
        <f t="array" ref="I1240">_xlfn.XLOOKUP(B1240,Vendedores!$A$2:$A$41,Vendedores!$D$2:$D$41,"No hay datos")</f>
        <v>Región Central 2</v>
      </c>
      <c r="J1240" s="2" t="str">
        <f t="array" ref="J1240:N1240">_xlfn.XLOOKUP(A1240,Productos!$A$2:$A$61,Productos!$B$2:$F$61)</f>
        <v>Chaqueta de cuero</v>
      </c>
      <c r="K1240" s="2" t="s">
        <v>22</v>
      </c>
      <c r="L1240" s="2" t="s">
        <v>10</v>
      </c>
      <c r="M1240" s="2" t="s">
        <v>78</v>
      </c>
      <c r="N1240" s="2" t="s">
        <v>79</v>
      </c>
    </row>
    <row r="1241">
      <c r="A1241" s="2" t="str">
        <f>IFERROR(__xludf.DUMMYFUNCTION("""COMPUTED_VALUE"""),"PR015")</f>
        <v>PR015</v>
      </c>
      <c r="B1241" s="2" t="str">
        <f>IFERROR(__xludf.DUMMYFUNCTION("""COMPUTED_VALUE"""),"VD010")</f>
        <v>VD010</v>
      </c>
      <c r="C1241" s="2">
        <f>IFERROR(__xludf.DUMMYFUNCTION("""COMPUTED_VALUE"""),4.0)</f>
        <v>4</v>
      </c>
      <c r="D1241" s="6">
        <f>IFERROR(__xludf.DUMMYFUNCTION("""COMPUTED_VALUE"""),185.3)</f>
        <v>185.3</v>
      </c>
      <c r="E1241" s="6">
        <f>IFERROR(__xludf.DUMMYFUNCTION("GOOGLEFINANCE(""Currency:BRLMXN"")*D1241"),629.5567500000001)</f>
        <v>629.55675</v>
      </c>
      <c r="F1241" s="6">
        <f>IFERROR(__xludf.DUMMYFUNCTION("GOOGLEFINANCE(""Currency:BRLPEN"")*D1241"),121.48268)</f>
        <v>121.48268</v>
      </c>
      <c r="G1241" s="2" t="str">
        <f t="array" ref="G1241">_xlfn.XLOOKUP(B1241,Vendedores!$A$2:$A$41,Vendedores!$B$2:$B$41,"No hay datos")</f>
        <v>María Silva</v>
      </c>
      <c r="H1241" s="2" t="str">
        <f t="array" ref="H1241">_xlfn.XLOOKUP(B1241,Vendedores!$A$2:$A$41,Vendedores!$C$2:$C$41,"No hay datos")</f>
        <v>San Juan de la Sierra</v>
      </c>
      <c r="I1241" s="2" t="str">
        <f t="array" ref="I1241">_xlfn.XLOOKUP(B1241,Vendedores!$A$2:$A$41,Vendedores!$D$2:$D$41,"No hay datos")</f>
        <v>Región Central</v>
      </c>
      <c r="J1241" s="2" t="str">
        <f t="array" ref="J1241:N1241">_xlfn.XLOOKUP(A1241,Productos!$A$2:$A$61,Productos!$B$2:$F$61)</f>
        <v>Playera estampada</v>
      </c>
      <c r="K1241" s="2" t="s">
        <v>22</v>
      </c>
      <c r="L1241" s="2" t="s">
        <v>10</v>
      </c>
      <c r="M1241" s="2" t="s">
        <v>101</v>
      </c>
      <c r="N1241" s="2" t="s">
        <v>102</v>
      </c>
    </row>
    <row r="1242">
      <c r="A1242" s="2" t="str">
        <f>IFERROR(__xludf.DUMMYFUNCTION("""COMPUTED_VALUE"""),"PR005")</f>
        <v>PR005</v>
      </c>
      <c r="B1242" s="2" t="str">
        <f>IFERROR(__xludf.DUMMYFUNCTION("""COMPUTED_VALUE"""),"VD043")</f>
        <v>VD043</v>
      </c>
      <c r="C1242" s="2">
        <f>IFERROR(__xludf.DUMMYFUNCTION("""COMPUTED_VALUE"""),7.0)</f>
        <v>7</v>
      </c>
      <c r="D1242" s="6">
        <f>IFERROR(__xludf.DUMMYFUNCTION("""COMPUTED_VALUE"""),1910.27)</f>
        <v>1910.27</v>
      </c>
      <c r="E1242" s="6">
        <f>IFERROR(__xludf.DUMMYFUNCTION("GOOGLEFINANCE(""Currency:BRLMXN"")*D1242"),6490.142325)</f>
        <v>6490.142325</v>
      </c>
      <c r="F1242" s="6">
        <f>IFERROR(__xludf.DUMMYFUNCTION("GOOGLEFINANCE(""Currency:BRLPEN"")*D1242"),1252.373012)</f>
        <v>1252.373012</v>
      </c>
      <c r="G1242" s="2" t="str">
        <f t="array" ref="G1242">_xlfn.XLOOKUP(B1242,Vendedores!$A$2:$A$41,Vendedores!$B$2:$B$41,"No hay datos")</f>
        <v>Carlos Henríquez</v>
      </c>
      <c r="H1242" s="2" t="str">
        <f t="array" ref="H1242">_xlfn.XLOOKUP(B1242,Vendedores!$A$2:$A$41,Vendedores!$C$2:$C$41,"No hay datos")</f>
        <v>Ciudad Aeropuerto</v>
      </c>
      <c r="I1242" s="2" t="str">
        <f t="array" ref="I1242">_xlfn.XLOOKUP(B1242,Vendedores!$A$2:$A$41,Vendedores!$D$2:$D$41,"No hay datos")</f>
        <v>Región Central 2</v>
      </c>
      <c r="J1242" s="2" t="str">
        <f t="array" ref="J1242:N1242">_xlfn.XLOOKUP(A1242,Productos!$A$2:$A$61,Productos!$B$2:$F$61)</f>
        <v>Bolso de cuero</v>
      </c>
      <c r="K1242" s="2" t="s">
        <v>29</v>
      </c>
      <c r="L1242" s="2" t="s">
        <v>30</v>
      </c>
      <c r="M1242" s="2" t="s">
        <v>100</v>
      </c>
      <c r="N1242" s="2" t="s">
        <v>64</v>
      </c>
    </row>
    <row r="1243">
      <c r="A1243" s="2" t="str">
        <f>IFERROR(__xludf.DUMMYFUNCTION("""COMPUTED_VALUE"""),"PR048")</f>
        <v>PR048</v>
      </c>
      <c r="B1243" s="2" t="str">
        <f>IFERROR(__xludf.DUMMYFUNCTION("""COMPUTED_VALUE"""),"VD012")</f>
        <v>VD012</v>
      </c>
      <c r="C1243" s="2">
        <f>IFERROR(__xludf.DUMMYFUNCTION("""COMPUTED_VALUE"""),2.0)</f>
        <v>2</v>
      </c>
      <c r="D1243" s="6">
        <f>IFERROR(__xludf.DUMMYFUNCTION("""COMPUTED_VALUE"""),626.18)</f>
        <v>626.18</v>
      </c>
      <c r="E1243" s="6">
        <f>IFERROR(__xludf.DUMMYFUNCTION("GOOGLEFINANCE(""Currency:BRLMXN"")*D1243"),2127.4465499999997)</f>
        <v>2127.44655</v>
      </c>
      <c r="F1243" s="6">
        <f>IFERROR(__xludf.DUMMYFUNCTION("GOOGLEFINANCE(""Currency:BRLPEN"")*D1243"),410.52360799999997)</f>
        <v>410.523608</v>
      </c>
      <c r="G1243" s="2" t="str">
        <f t="array" ref="G1243">_xlfn.XLOOKUP(B1243,Vendedores!$A$2:$A$41,Vendedores!$B$2:$B$41,"No hay datos")</f>
        <v>Ana Olmedo</v>
      </c>
      <c r="H1243" s="2" t="str">
        <f t="array" ref="H1243">_xlfn.XLOOKUP(B1243,Vendedores!$A$2:$A$41,Vendedores!$C$2:$C$41,"No hay datos")</f>
        <v>Río Claro</v>
      </c>
      <c r="I1243" s="2" t="str">
        <f t="array" ref="I1243">_xlfn.XLOOKUP(B1243,Vendedores!$A$2:$A$41,Vendedores!$D$2:$D$41,"No hay datos")</f>
        <v>Región Central</v>
      </c>
      <c r="J1243" s="2" t="str">
        <f t="array" ref="J1243:N1243">_xlfn.XLOOKUP(A1243,Productos!$A$2:$A$61,Productos!$B$2:$F$61)</f>
        <v>Chaqueta de cuero</v>
      </c>
      <c r="K1243" s="2" t="s">
        <v>22</v>
      </c>
      <c r="L1243" s="2" t="s">
        <v>10</v>
      </c>
      <c r="M1243" s="2" t="s">
        <v>94</v>
      </c>
      <c r="N1243" s="2" t="s">
        <v>44</v>
      </c>
    </row>
    <row r="1244">
      <c r="A1244" s="2" t="str">
        <f>IFERROR(__xludf.DUMMYFUNCTION("""COMPUTED_VALUE"""),"PR024")</f>
        <v>PR024</v>
      </c>
      <c r="B1244" s="2" t="str">
        <f>IFERROR(__xludf.DUMMYFUNCTION("""COMPUTED_VALUE"""),"VD025")</f>
        <v>VD025</v>
      </c>
      <c r="C1244" s="2">
        <f>IFERROR(__xludf.DUMMYFUNCTION("""COMPUTED_VALUE"""),10.0)</f>
        <v>10</v>
      </c>
      <c r="D1244" s="6">
        <f>IFERROR(__xludf.DUMMYFUNCTION("""COMPUTED_VALUE"""),2858.9)</f>
        <v>2858.9</v>
      </c>
      <c r="E1244" s="6">
        <f>IFERROR(__xludf.DUMMYFUNCTION("GOOGLEFINANCE(""Currency:BRLMXN"")*D1244"),9713.11275)</f>
        <v>9713.11275</v>
      </c>
      <c r="F1244" s="6">
        <f>IFERROR(__xludf.DUMMYFUNCTION("GOOGLEFINANCE(""Currency:BRLPEN"")*D1244"),1874.29484)</f>
        <v>1874.29484</v>
      </c>
      <c r="G1244" s="2" t="str">
        <f t="array" ref="G1244">_xlfn.XLOOKUP(B1244,Vendedores!$A$2:$A$41,Vendedores!$B$2:$B$41,"No hay datos")</f>
        <v>Alina Santana</v>
      </c>
      <c r="H1244" s="2" t="str">
        <f t="array" ref="H1244">_xlfn.XLOOKUP(B1244,Vendedores!$A$2:$A$41,Vendedores!$C$2:$C$41,"No hay datos")</f>
        <v>Playa Blanca</v>
      </c>
      <c r="I1244" s="2" t="str">
        <f t="array" ref="I1244">_xlfn.XLOOKUP(B1244,Vendedores!$A$2:$A$41,Vendedores!$D$2:$D$41,"No hay datos")</f>
        <v>Región Norte</v>
      </c>
      <c r="J1244" s="2" t="str">
        <f t="array" ref="J1244:N1244">_xlfn.XLOOKUP(A1244,Productos!$A$2:$A$61,Productos!$B$2:$F$61)</f>
        <v>Chaqueta de mezclilla</v>
      </c>
      <c r="K1244" s="2" t="s">
        <v>17</v>
      </c>
      <c r="L1244" s="2" t="s">
        <v>10</v>
      </c>
      <c r="M1244" s="2" t="s">
        <v>92</v>
      </c>
      <c r="N1244" s="2" t="s">
        <v>64</v>
      </c>
    </row>
    <row r="1245">
      <c r="A1245" s="2" t="str">
        <f>IFERROR(__xludf.DUMMYFUNCTION("""COMPUTED_VALUE"""),"PR019")</f>
        <v>PR019</v>
      </c>
      <c r="B1245" s="2" t="str">
        <f>IFERROR(__xludf.DUMMYFUNCTION("""COMPUTED_VALUE"""),"VD035")</f>
        <v>VD035</v>
      </c>
      <c r="C1245" s="2">
        <f>IFERROR(__xludf.DUMMYFUNCTION("""COMPUTED_VALUE"""),8.0)</f>
        <v>8</v>
      </c>
      <c r="D1245" s="6">
        <f>IFERROR(__xludf.DUMMYFUNCTION("""COMPUTED_VALUE"""),419.16)</f>
        <v>419.16</v>
      </c>
      <c r="E1245" s="6">
        <f>IFERROR(__xludf.DUMMYFUNCTION("GOOGLEFINANCE(""Currency:BRLMXN"")*D1245"),1424.0961)</f>
        <v>1424.0961</v>
      </c>
      <c r="F1245" s="6">
        <f>IFERROR(__xludf.DUMMYFUNCTION("GOOGLEFINANCE(""Currency:BRLPEN"")*D1245"),274.801296)</f>
        <v>274.801296</v>
      </c>
      <c r="G1245" s="2" t="str">
        <f t="array" ref="G1245">_xlfn.XLOOKUP(B1245,Vendedores!$A$2:$A$41,Vendedores!$B$2:$B$41,"No hay datos")</f>
        <v>Carolina Méndez</v>
      </c>
      <c r="H1245" s="2" t="str">
        <f t="array" ref="H1245">_xlfn.XLOOKUP(B1245,Vendedores!$A$2:$A$41,Vendedores!$C$2:$C$41,"No hay datos")</f>
        <v>Valle de los Robles</v>
      </c>
      <c r="I1245" s="2" t="str">
        <f t="array" ref="I1245">_xlfn.XLOOKUP(B1245,Vendedores!$A$2:$A$41,Vendedores!$D$2:$D$41,"No hay datos")</f>
        <v>Región Central 2</v>
      </c>
      <c r="J1245" s="2" t="str">
        <f t="array" ref="J1245:N1245">_xlfn.XLOOKUP(A1245,Productos!$A$2:$A$61,Productos!$B$2:$F$61)</f>
        <v>Cinturón</v>
      </c>
      <c r="K1245" s="2" t="s">
        <v>29</v>
      </c>
      <c r="L1245" s="2" t="s">
        <v>30</v>
      </c>
      <c r="M1245" s="2" t="s">
        <v>31</v>
      </c>
      <c r="N1245" s="2" t="s">
        <v>32</v>
      </c>
    </row>
    <row r="1246">
      <c r="A1246" s="2" t="str">
        <f>IFERROR(__xludf.DUMMYFUNCTION("""COMPUTED_VALUE"""),"PR029")</f>
        <v>PR029</v>
      </c>
      <c r="B1246" s="2" t="str">
        <f>IFERROR(__xludf.DUMMYFUNCTION("""COMPUTED_VALUE"""),"VD038")</f>
        <v>VD038</v>
      </c>
      <c r="C1246" s="2">
        <f>IFERROR(__xludf.DUMMYFUNCTION("""COMPUTED_VALUE"""),9.0)</f>
        <v>9</v>
      </c>
      <c r="D1246" s="6">
        <f>IFERROR(__xludf.DUMMYFUNCTION("""COMPUTED_VALUE"""),2478.6)</f>
        <v>2478.6</v>
      </c>
      <c r="E1246" s="6">
        <f>IFERROR(__xludf.DUMMYFUNCTION("GOOGLEFINANCE(""Currency:BRLMXN"")*D1246"),8421.0435)</f>
        <v>8421.0435</v>
      </c>
      <c r="F1246" s="6">
        <f>IFERROR(__xludf.DUMMYFUNCTION("GOOGLEFINANCE(""Currency:BRLPEN"")*D1246"),1624.9701599999999)</f>
        <v>1624.97016</v>
      </c>
      <c r="G1246" s="2" t="str">
        <f t="array" ref="G1246">_xlfn.XLOOKUP(B1246,Vendedores!$A$2:$A$41,Vendedores!$B$2:$B$41,"No hay datos")</f>
        <v>Bruno Olmedo</v>
      </c>
      <c r="H1246" s="2" t="str">
        <f t="array" ref="H1246">_xlfn.XLOOKUP(B1246,Vendedores!$A$2:$A$41,Vendedores!$C$2:$C$41,"No hay datos")</f>
        <v>Tierra Fertil</v>
      </c>
      <c r="I1246" s="2" t="str">
        <f t="array" ref="I1246">_xlfn.XLOOKUP(B1246,Vendedores!$A$2:$A$41,Vendedores!$D$2:$D$41,"No hay datos")</f>
        <v>Región Sur 2</v>
      </c>
      <c r="J1246" s="2" t="str">
        <f t="array" ref="J1246:N1246">_xlfn.XLOOKUP(A1246,Productos!$A$2:$A$61,Productos!$B$2:$F$61)</f>
        <v>Tenis Atitas</v>
      </c>
      <c r="K1246" s="2">
        <v>37.0</v>
      </c>
      <c r="L1246" s="2" t="s">
        <v>33</v>
      </c>
      <c r="M1246" s="2" t="s">
        <v>96</v>
      </c>
      <c r="N1246" s="2" t="s">
        <v>97</v>
      </c>
    </row>
    <row r="1247">
      <c r="A1247" s="2" t="str">
        <f>IFERROR(__xludf.DUMMYFUNCTION("""COMPUTED_VALUE"""),"PR043")</f>
        <v>PR043</v>
      </c>
      <c r="B1247" s="2" t="str">
        <f>IFERROR(__xludf.DUMMYFUNCTION("""COMPUTED_VALUE"""),"VD045")</f>
        <v>VD045</v>
      </c>
      <c r="C1247" s="2">
        <f>IFERROR(__xludf.DUMMYFUNCTION("""COMPUTED_VALUE"""),18.0)</f>
        <v>18</v>
      </c>
      <c r="D1247" s="6">
        <f>IFERROR(__xludf.DUMMYFUNCTION("""COMPUTED_VALUE"""),1396.35)</f>
        <v>1396.35</v>
      </c>
      <c r="E1247" s="6">
        <f>IFERROR(__xludf.DUMMYFUNCTION("GOOGLEFINANCE(""Currency:BRLMXN"")*D1247"),4744.099125)</f>
        <v>4744.099125</v>
      </c>
      <c r="F1247" s="6">
        <f>IFERROR(__xludf.DUMMYFUNCTION("GOOGLEFINANCE(""Currency:BRLPEN"")*D1247"),915.4470599999999)</f>
        <v>915.44706</v>
      </c>
      <c r="G1247" s="2" t="str">
        <f t="array" ref="G1247">_xlfn.XLOOKUP(B1247,Vendedores!$A$2:$A$41,Vendedores!$B$2:$B$41,"No hay datos")</f>
        <v>Rafael Morales</v>
      </c>
      <c r="H1247" s="2" t="str">
        <f t="array" ref="H1247">_xlfn.XLOOKUP(B1247,Vendedores!$A$2:$A$41,Vendedores!$C$2:$C$41,"No hay datos")</f>
        <v>Valle Dorado</v>
      </c>
      <c r="I1247" s="2" t="str">
        <f t="array" ref="I1247">_xlfn.XLOOKUP(B1247,Vendedores!$A$2:$A$41,Vendedores!$D$2:$D$41,"No hay datos")</f>
        <v>Región Central 2</v>
      </c>
      <c r="J1247" s="2" t="str">
        <f t="array" ref="J1247:N1247">_xlfn.XLOOKUP(A1247,Productos!$A$2:$A$61,Productos!$B$2:$F$61)</f>
        <v>Vestido floral</v>
      </c>
      <c r="K1247" s="2" t="s">
        <v>9</v>
      </c>
      <c r="L1247" s="2" t="s">
        <v>10</v>
      </c>
      <c r="M1247" s="2" t="s">
        <v>69</v>
      </c>
      <c r="N1247" s="2" t="s">
        <v>40</v>
      </c>
    </row>
    <row r="1248">
      <c r="A1248" s="2" t="str">
        <f>IFERROR(__xludf.DUMMYFUNCTION("""COMPUTED_VALUE"""),"PR039")</f>
        <v>PR039</v>
      </c>
      <c r="B1248" s="2" t="str">
        <f>IFERROR(__xludf.DUMMYFUNCTION("""COMPUTED_VALUE"""),"VD042")</f>
        <v>VD042</v>
      </c>
      <c r="C1248" s="2">
        <f>IFERROR(__xludf.DUMMYFUNCTION("""COMPUTED_VALUE"""),2.0)</f>
        <v>2</v>
      </c>
      <c r="D1248" s="6">
        <f>IFERROR(__xludf.DUMMYFUNCTION("""COMPUTED_VALUE"""),315.36)</f>
        <v>315.36</v>
      </c>
      <c r="E1248" s="6">
        <f>IFERROR(__xludf.DUMMYFUNCTION("GOOGLEFINANCE(""Currency:BRLMXN"")*D1248"),1071.4356)</f>
        <v>1071.4356</v>
      </c>
      <c r="F1248" s="6">
        <f>IFERROR(__xludf.DUMMYFUNCTION("GOOGLEFINANCE(""Currency:BRLPEN"")*D1248"),206.750016)</f>
        <v>206.750016</v>
      </c>
      <c r="G1248" s="2" t="str">
        <f t="array" ref="G1248">_xlfn.XLOOKUP(B1248,Vendedores!$A$2:$A$41,Vendedores!$B$2:$B$41,"No hay datos")</f>
        <v>Priscila Duarte</v>
      </c>
      <c r="H1248" s="2" t="str">
        <f t="array" ref="H1248">_xlfn.XLOOKUP(B1248,Vendedores!$A$2:$A$41,Vendedores!$C$2:$C$41,"No hay datos")</f>
        <v>Villa Comercial</v>
      </c>
      <c r="I1248" s="2" t="str">
        <f t="array" ref="I1248">_xlfn.XLOOKUP(B1248,Vendedores!$A$2:$A$41,Vendedores!$D$2:$D$41,"No hay datos")</f>
        <v>Región Central 2</v>
      </c>
      <c r="J1248" s="2" t="str">
        <f t="array" ref="J1248:N1248">_xlfn.XLOOKUP(A1248,Productos!$A$2:$A$61,Productos!$B$2:$F$61)</f>
        <v>Vestido largo</v>
      </c>
      <c r="K1248" s="2" t="s">
        <v>22</v>
      </c>
      <c r="L1248" s="2" t="s">
        <v>10</v>
      </c>
      <c r="M1248" s="2" t="s">
        <v>73</v>
      </c>
      <c r="N1248" s="2" t="s">
        <v>74</v>
      </c>
    </row>
    <row r="1249">
      <c r="A1249" s="2" t="str">
        <f>IFERROR(__xludf.DUMMYFUNCTION("""COMPUTED_VALUE"""),"PR003")</f>
        <v>PR003</v>
      </c>
      <c r="B1249" s="2" t="str">
        <f>IFERROR(__xludf.DUMMYFUNCTION("""COMPUTED_VALUE"""),"VD010")</f>
        <v>VD010</v>
      </c>
      <c r="C1249" s="2">
        <f>IFERROR(__xludf.DUMMYFUNCTION("""COMPUTED_VALUE"""),9.0)</f>
        <v>9</v>
      </c>
      <c r="D1249" s="6">
        <f>IFERROR(__xludf.DUMMYFUNCTION("""COMPUTED_VALUE"""),689.15)</f>
        <v>689.15</v>
      </c>
      <c r="E1249" s="6">
        <f>IFERROR(__xludf.DUMMYFUNCTION("GOOGLEFINANCE(""Currency:BRLMXN"")*D1249"),2341.3871249999997)</f>
        <v>2341.387125</v>
      </c>
      <c r="F1249" s="6">
        <f>IFERROR(__xludf.DUMMYFUNCTION("GOOGLEFINANCE(""Currency:BRLPEN"")*D1249"),451.80673999999993)</f>
        <v>451.80674</v>
      </c>
      <c r="G1249" s="2" t="str">
        <f t="array" ref="G1249">_xlfn.XLOOKUP(B1249,Vendedores!$A$2:$A$41,Vendedores!$B$2:$B$41,"No hay datos")</f>
        <v>María Silva</v>
      </c>
      <c r="H1249" s="2" t="str">
        <f t="array" ref="H1249">_xlfn.XLOOKUP(B1249,Vendedores!$A$2:$A$41,Vendedores!$C$2:$C$41,"No hay datos")</f>
        <v>San Juan de la Sierra</v>
      </c>
      <c r="I1249" s="2" t="str">
        <f t="array" ref="I1249">_xlfn.XLOOKUP(B1249,Vendedores!$A$2:$A$41,Vendedores!$D$2:$D$41,"No hay datos")</f>
        <v>Región Central</v>
      </c>
      <c r="J1249" s="2" t="str">
        <f t="array" ref="J1249:N1249">_xlfn.XLOOKUP(A1249,Productos!$A$2:$A$61,Productos!$B$2:$F$61)</f>
        <v>Bermuda</v>
      </c>
      <c r="K1249" s="2" t="s">
        <v>22</v>
      </c>
      <c r="L1249" s="2" t="s">
        <v>10</v>
      </c>
      <c r="M1249" s="2" t="s">
        <v>45</v>
      </c>
      <c r="N1249" s="2" t="s">
        <v>46</v>
      </c>
    </row>
    <row r="1250">
      <c r="A1250" s="2" t="str">
        <f>IFERROR(__xludf.DUMMYFUNCTION("""COMPUTED_VALUE"""),"PR002")</f>
        <v>PR002</v>
      </c>
      <c r="B1250" s="2" t="str">
        <f>IFERROR(__xludf.DUMMYFUNCTION("""COMPUTED_VALUE"""),"VD042")</f>
        <v>VD042</v>
      </c>
      <c r="C1250" s="2">
        <f>IFERROR(__xludf.DUMMYFUNCTION("""COMPUTED_VALUE"""),10.0)</f>
        <v>10</v>
      </c>
      <c r="D1250" s="6">
        <f>IFERROR(__xludf.DUMMYFUNCTION("""COMPUTED_VALUE"""),726.96)</f>
        <v>726.96</v>
      </c>
      <c r="E1250" s="6">
        <f>IFERROR(__xludf.DUMMYFUNCTION("GOOGLEFINANCE(""Currency:BRLMXN"")*D1250"),2469.8466000000003)</f>
        <v>2469.8466</v>
      </c>
      <c r="F1250" s="6">
        <f>IFERROR(__xludf.DUMMYFUNCTION("GOOGLEFINANCE(""Currency:BRLPEN"")*D1250"),476.594976)</f>
        <v>476.594976</v>
      </c>
      <c r="G1250" s="2" t="str">
        <f t="array" ref="G1250">_xlfn.XLOOKUP(B1250,Vendedores!$A$2:$A$41,Vendedores!$B$2:$B$41,"No hay datos")</f>
        <v>Priscila Duarte</v>
      </c>
      <c r="H1250" s="2" t="str">
        <f t="array" ref="H1250">_xlfn.XLOOKUP(B1250,Vendedores!$A$2:$A$41,Vendedores!$C$2:$C$41,"No hay datos")</f>
        <v>Villa Comercial</v>
      </c>
      <c r="I1250" s="2" t="str">
        <f t="array" ref="I1250">_xlfn.XLOOKUP(B1250,Vendedores!$A$2:$A$41,Vendedores!$D$2:$D$41,"No hay datos")</f>
        <v>Región Central 2</v>
      </c>
      <c r="J1250" s="2" t="str">
        <f t="array" ref="J1250:N1250">_xlfn.XLOOKUP(A1250,Productos!$A$2:$A$61,Productos!$B$2:$F$61)</f>
        <v>Bermuda</v>
      </c>
      <c r="K1250" s="2" t="s">
        <v>17</v>
      </c>
      <c r="L1250" s="2" t="s">
        <v>10</v>
      </c>
      <c r="M1250" s="2" t="s">
        <v>49</v>
      </c>
      <c r="N1250" s="2" t="s">
        <v>50</v>
      </c>
    </row>
    <row r="1251">
      <c r="A1251" s="2" t="str">
        <f>IFERROR(__xludf.DUMMYFUNCTION("""COMPUTED_VALUE"""),"PR015")</f>
        <v>PR015</v>
      </c>
      <c r="B1251" s="2" t="str">
        <f>IFERROR(__xludf.DUMMYFUNCTION("""COMPUTED_VALUE"""),"VD037")</f>
        <v>VD037</v>
      </c>
      <c r="C1251" s="2">
        <f>IFERROR(__xludf.DUMMYFUNCTION("""COMPUTED_VALUE"""),9.0)</f>
        <v>9</v>
      </c>
      <c r="D1251" s="6">
        <f>IFERROR(__xludf.DUMMYFUNCTION("""COMPUTED_VALUE"""),416.93)</f>
        <v>416.93</v>
      </c>
      <c r="E1251" s="6">
        <f>IFERROR(__xludf.DUMMYFUNCTION("GOOGLEFINANCE(""Currency:BRLMXN"")*D1251"),1416.519675)</f>
        <v>1416.519675</v>
      </c>
      <c r="F1251" s="6">
        <f>IFERROR(__xludf.DUMMYFUNCTION("GOOGLEFINANCE(""Currency:BRLPEN"")*D1251"),273.33930799999996)</f>
        <v>273.339308</v>
      </c>
      <c r="G1251" s="2" t="str">
        <f t="array" ref="G1251">_xlfn.XLOOKUP(B1251,Vendedores!$A$2:$A$41,Vendedores!$B$2:$B$41,"No hay datos")</f>
        <v>Amanda Silva</v>
      </c>
      <c r="H1251" s="2" t="str">
        <f t="array" ref="H1251">_xlfn.XLOOKUP(B1251,Vendedores!$A$2:$A$41,Vendedores!$C$2:$C$41,"No hay datos")</f>
        <v>Villa Esperanza</v>
      </c>
      <c r="I1251" s="2" t="str">
        <f t="array" ref="I1251">_xlfn.XLOOKUP(B1251,Vendedores!$A$2:$A$41,Vendedores!$D$2:$D$41,"No hay datos")</f>
        <v>Región Sur 2</v>
      </c>
      <c r="J1251" s="2" t="str">
        <f t="array" ref="J1251:N1251">_xlfn.XLOOKUP(A1251,Productos!$A$2:$A$61,Productos!$B$2:$F$61)</f>
        <v>Playera estampada</v>
      </c>
      <c r="K1251" s="2" t="s">
        <v>22</v>
      </c>
      <c r="L1251" s="2" t="s">
        <v>10</v>
      </c>
      <c r="M1251" s="2" t="s">
        <v>101</v>
      </c>
      <c r="N1251" s="2" t="s">
        <v>102</v>
      </c>
    </row>
    <row r="1252">
      <c r="A1252" s="2" t="str">
        <f>IFERROR(__xludf.DUMMYFUNCTION("""COMPUTED_VALUE"""),"PR017")</f>
        <v>PR017</v>
      </c>
      <c r="B1252" s="2" t="str">
        <f>IFERROR(__xludf.DUMMYFUNCTION("""COMPUTED_VALUE"""),"VD049")</f>
        <v>VD049</v>
      </c>
      <c r="C1252" s="2">
        <f>IFERROR(__xludf.DUMMYFUNCTION("""COMPUTED_VALUE"""),6.0)</f>
        <v>6</v>
      </c>
      <c r="D1252" s="6">
        <f>IFERROR(__xludf.DUMMYFUNCTION("""COMPUTED_VALUE"""),182.99)</f>
        <v>182.99</v>
      </c>
      <c r="E1252" s="6">
        <f>IFERROR(__xludf.DUMMYFUNCTION("GOOGLEFINANCE(""Currency:BRLMXN"")*D1252"),621.708525)</f>
        <v>621.708525</v>
      </c>
      <c r="F1252" s="6">
        <f>IFERROR(__xludf.DUMMYFUNCTION("GOOGLEFINANCE(""Currency:BRLPEN"")*D1252"),119.968244)</f>
        <v>119.968244</v>
      </c>
      <c r="G1252" s="2" t="str">
        <f t="array" ref="G1252">_xlfn.XLOOKUP(B1252,Vendedores!$A$2:$A$41,Vendedores!$B$2:$B$41,"No hay datos")</f>
        <v>Fernando Navarro</v>
      </c>
      <c r="H1252" s="2" t="str">
        <f t="array" ref="H1252">_xlfn.XLOOKUP(B1252,Vendedores!$A$2:$A$41,Vendedores!$C$2:$C$41,"No hay datos")</f>
        <v>Colinas Verdes</v>
      </c>
      <c r="I1252" s="2" t="str">
        <f t="array" ref="I1252">_xlfn.XLOOKUP(B1252,Vendedores!$A$2:$A$41,Vendedores!$D$2:$D$41,"No hay datos")</f>
        <v>Región Central 2</v>
      </c>
      <c r="J1252" s="2" t="str">
        <f t="array" ref="J1252:N1252">_xlfn.XLOOKUP(A1252,Productos!$A$2:$A$61,Productos!$B$2:$F$61)</f>
        <v>Playera lisa</v>
      </c>
      <c r="K1252" s="2" t="s">
        <v>17</v>
      </c>
      <c r="L1252" s="2" t="s">
        <v>10</v>
      </c>
      <c r="M1252" s="2" t="s">
        <v>98</v>
      </c>
      <c r="N1252" s="2" t="s">
        <v>99</v>
      </c>
    </row>
    <row r="1253">
      <c r="A1253" s="2" t="str">
        <f>IFERROR(__xludf.DUMMYFUNCTION("""COMPUTED_VALUE"""),"PR031")</f>
        <v>PR031</v>
      </c>
      <c r="B1253" s="2" t="str">
        <f>IFERROR(__xludf.DUMMYFUNCTION("""COMPUTED_VALUE"""),"VD021")</f>
        <v>VD021</v>
      </c>
      <c r="C1253" s="2">
        <f>IFERROR(__xludf.DUMMYFUNCTION("""COMPUTED_VALUE"""),8.0)</f>
        <v>8</v>
      </c>
      <c r="D1253" s="6">
        <f>IFERROR(__xludf.DUMMYFUNCTION("""COMPUTED_VALUE"""),1999.2)</f>
        <v>1999.2</v>
      </c>
      <c r="E1253" s="6">
        <f>IFERROR(__xludf.DUMMYFUNCTION("GOOGLEFINANCE(""Currency:BRLMXN"")*D1253"),6792.282)</f>
        <v>6792.282</v>
      </c>
      <c r="F1253" s="6">
        <f>IFERROR(__xludf.DUMMYFUNCTION("GOOGLEFINANCE(""Currency:BRLPEN"")*D1253"),1310.67552)</f>
        <v>1310.67552</v>
      </c>
      <c r="G1253" s="2" t="str">
        <f t="array" ref="G1253">_xlfn.XLOOKUP(B1253,Vendedores!$A$2:$A$41,Vendedores!$B$2:$B$41,"No hay datos")</f>
        <v>Fernanda Méndez</v>
      </c>
      <c r="H1253" s="2" t="str">
        <f t="array" ref="H1253">_xlfn.XLOOKUP(B1253,Vendedores!$A$2:$A$41,Vendedores!$C$2:$C$41,"No hay datos")</f>
        <v>San Juan de la Sierra</v>
      </c>
      <c r="I1253" s="2" t="str">
        <f t="array" ref="I1253">_xlfn.XLOOKUP(B1253,Vendedores!$A$2:$A$41,Vendedores!$D$2:$D$41,"No hay datos")</f>
        <v>Región Central</v>
      </c>
      <c r="J1253" s="2" t="str">
        <f t="array" ref="J1253:N1253">_xlfn.XLOOKUP(A1253,Productos!$A$2:$A$61,Productos!$B$2:$F$61)</f>
        <v>Tenis Chunky</v>
      </c>
      <c r="K1253" s="2">
        <v>36.0</v>
      </c>
      <c r="L1253" s="2" t="s">
        <v>33</v>
      </c>
      <c r="M1253" s="2" t="s">
        <v>84</v>
      </c>
      <c r="N1253" s="2" t="s">
        <v>85</v>
      </c>
    </row>
    <row r="1254">
      <c r="A1254" s="2" t="str">
        <f>IFERROR(__xludf.DUMMYFUNCTION("""COMPUTED_VALUE"""),"PR053")</f>
        <v>PR053</v>
      </c>
      <c r="B1254" s="2" t="str">
        <f>IFERROR(__xludf.DUMMYFUNCTION("""COMPUTED_VALUE"""),"VD041")</f>
        <v>VD041</v>
      </c>
      <c r="C1254" s="2">
        <f>IFERROR(__xludf.DUMMYFUNCTION("""COMPUTED_VALUE"""),1.0)</f>
        <v>1</v>
      </c>
      <c r="D1254" s="6">
        <f>IFERROR(__xludf.DUMMYFUNCTION("""COMPUTED_VALUE"""),54.39)</f>
        <v>54.39</v>
      </c>
      <c r="E1254" s="6">
        <f>IFERROR(__xludf.DUMMYFUNCTION("GOOGLEFINANCE(""Currency:BRLMXN"")*D1254"),184.790025)</f>
        <v>184.790025</v>
      </c>
      <c r="F1254" s="6">
        <f>IFERROR(__xludf.DUMMYFUNCTION("GOOGLEFINANCE(""Currency:BRLPEN"")*D1254"),35.658083999999995)</f>
        <v>35.658084</v>
      </c>
      <c r="G1254" s="2" t="str">
        <f t="array" ref="G1254">_xlfn.XLOOKUP(B1254,Vendedores!$A$2:$A$41,Vendedores!$B$2:$B$41,"No hay datos")</f>
        <v>Alejandro Ramos</v>
      </c>
      <c r="H1254" s="2" t="str">
        <f t="array" ref="H1254">_xlfn.XLOOKUP(B1254,Vendedores!$A$2:$A$41,Vendedores!$C$2:$C$41,"No hay datos")</f>
        <v>San Martín de las Rosas</v>
      </c>
      <c r="I1254" s="2" t="str">
        <f t="array" ref="I1254">_xlfn.XLOOKUP(B1254,Vendedores!$A$2:$A$41,Vendedores!$D$2:$D$41,"No hay datos")</f>
        <v>Región Central 2</v>
      </c>
      <c r="J1254" s="2" t="str">
        <f t="array" ref="J1254:N1254">_xlfn.XLOOKUP(A1254,Productos!$A$2:$A$61,Productos!$B$2:$F$61)</f>
        <v>Falda plisada</v>
      </c>
      <c r="K1254" s="2" t="s">
        <v>17</v>
      </c>
      <c r="L1254" s="2" t="s">
        <v>10</v>
      </c>
      <c r="M1254" s="2" t="s">
        <v>41</v>
      </c>
      <c r="N1254" s="2" t="s">
        <v>32</v>
      </c>
    </row>
    <row r="1255">
      <c r="A1255" s="2" t="str">
        <f>IFERROR(__xludf.DUMMYFUNCTION("""COMPUTED_VALUE"""),"PR016")</f>
        <v>PR016</v>
      </c>
      <c r="B1255" s="2" t="str">
        <f>IFERROR(__xludf.DUMMYFUNCTION("""COMPUTED_VALUE"""),"VD042")</f>
        <v>VD042</v>
      </c>
      <c r="C1255" s="2">
        <f>IFERROR(__xludf.DUMMYFUNCTION("""COMPUTED_VALUE"""),6.0)</f>
        <v>6</v>
      </c>
      <c r="D1255" s="6">
        <f>IFERROR(__xludf.DUMMYFUNCTION("""COMPUTED_VALUE"""),166.28)</f>
        <v>166.28</v>
      </c>
      <c r="E1255" s="6">
        <f>IFERROR(__xludf.DUMMYFUNCTION("GOOGLEFINANCE(""Currency:BRLMXN"")*D1255"),564.9363)</f>
        <v>564.9363</v>
      </c>
      <c r="F1255" s="6">
        <f>IFERROR(__xludf.DUMMYFUNCTION("GOOGLEFINANCE(""Currency:BRLPEN"")*D1255"),109.013168)</f>
        <v>109.013168</v>
      </c>
      <c r="G1255" s="2" t="str">
        <f t="array" ref="G1255">_xlfn.XLOOKUP(B1255,Vendedores!$A$2:$A$41,Vendedores!$B$2:$B$41,"No hay datos")</f>
        <v>Priscila Duarte</v>
      </c>
      <c r="H1255" s="2" t="str">
        <f t="array" ref="H1255">_xlfn.XLOOKUP(B1255,Vendedores!$A$2:$A$41,Vendedores!$C$2:$C$41,"No hay datos")</f>
        <v>Villa Comercial</v>
      </c>
      <c r="I1255" s="2" t="str">
        <f t="array" ref="I1255">_xlfn.XLOOKUP(B1255,Vendedores!$A$2:$A$41,Vendedores!$D$2:$D$41,"No hay datos")</f>
        <v>Región Central 2</v>
      </c>
      <c r="J1255" s="2" t="str">
        <f t="array" ref="J1255:N1255">_xlfn.XLOOKUP(A1255,Productos!$A$2:$A$61,Productos!$B$2:$F$61)</f>
        <v>Playera lisa</v>
      </c>
      <c r="K1255" s="2" t="s">
        <v>9</v>
      </c>
      <c r="L1255" s="2" t="s">
        <v>10</v>
      </c>
      <c r="M1255" s="2" t="s">
        <v>20</v>
      </c>
      <c r="N1255" s="2" t="s">
        <v>21</v>
      </c>
    </row>
    <row r="1256">
      <c r="A1256" s="2" t="str">
        <f>IFERROR(__xludf.DUMMYFUNCTION("""COMPUTED_VALUE"""),"PR016")</f>
        <v>PR016</v>
      </c>
      <c r="B1256" s="2" t="str">
        <f>IFERROR(__xludf.DUMMYFUNCTION("""COMPUTED_VALUE"""),"VD048")</f>
        <v>VD048</v>
      </c>
      <c r="C1256" s="2">
        <f>IFERROR(__xludf.DUMMYFUNCTION("""COMPUTED_VALUE"""),5.0)</f>
        <v>5</v>
      </c>
      <c r="D1256" s="6">
        <f>IFERROR(__xludf.DUMMYFUNCTION("""COMPUTED_VALUE"""),132.09)</f>
        <v>132.09</v>
      </c>
      <c r="E1256" s="6">
        <f>IFERROR(__xludf.DUMMYFUNCTION("GOOGLEFINANCE(""Currency:BRLMXN"")*D1256"),448.775775)</f>
        <v>448.775775</v>
      </c>
      <c r="F1256" s="6">
        <f>IFERROR(__xludf.DUMMYFUNCTION("GOOGLEFINANCE(""Currency:BRLPEN"")*D1256"),86.598204)</f>
        <v>86.598204</v>
      </c>
      <c r="G1256" s="2" t="str">
        <f t="array" ref="G1256">_xlfn.XLOOKUP(B1256,Vendedores!$A$2:$A$41,Vendedores!$B$2:$B$41,"No hay datos")</f>
        <v>Mariana Castro</v>
      </c>
      <c r="H1256" s="2" t="str">
        <f t="array" ref="H1256">_xlfn.XLOOKUP(B1256,Vendedores!$A$2:$A$41,Vendedores!$C$2:$C$41,"No hay datos")</f>
        <v>San Carlos del Valle</v>
      </c>
      <c r="I1256" s="2" t="str">
        <f t="array" ref="I1256">_xlfn.XLOOKUP(B1256,Vendedores!$A$2:$A$41,Vendedores!$D$2:$D$41,"No hay datos")</f>
        <v>Región Central 2</v>
      </c>
      <c r="J1256" s="2" t="str">
        <f t="array" ref="J1256:N1256">_xlfn.XLOOKUP(A1256,Productos!$A$2:$A$61,Productos!$B$2:$F$61)</f>
        <v>Playera lisa</v>
      </c>
      <c r="K1256" s="2" t="s">
        <v>9</v>
      </c>
      <c r="L1256" s="2" t="s">
        <v>10</v>
      </c>
      <c r="M1256" s="2" t="s">
        <v>20</v>
      </c>
      <c r="N1256" s="2" t="s">
        <v>21</v>
      </c>
    </row>
    <row r="1257">
      <c r="A1257" s="2" t="str">
        <f>IFERROR(__xludf.DUMMYFUNCTION("""COMPUTED_VALUE"""),"PR002")</f>
        <v>PR002</v>
      </c>
      <c r="B1257" s="2" t="str">
        <f>IFERROR(__xludf.DUMMYFUNCTION("""COMPUTED_VALUE"""),"VD025")</f>
        <v>VD025</v>
      </c>
      <c r="C1257" s="2">
        <f>IFERROR(__xludf.DUMMYFUNCTION("""COMPUTED_VALUE"""),18.0)</f>
        <v>18</v>
      </c>
      <c r="D1257" s="6">
        <f>IFERROR(__xludf.DUMMYFUNCTION("""COMPUTED_VALUE"""),1295.95)</f>
        <v>1295.95</v>
      </c>
      <c r="E1257" s="6">
        <f>IFERROR(__xludf.DUMMYFUNCTION("GOOGLEFINANCE(""Currency:BRLMXN"")*D1257"),4402.990125)</f>
        <v>4402.990125</v>
      </c>
      <c r="F1257" s="6">
        <f>IFERROR(__xludf.DUMMYFUNCTION("GOOGLEFINANCE(""Currency:BRLPEN"")*D1257"),849.62482)</f>
        <v>849.62482</v>
      </c>
      <c r="G1257" s="2" t="str">
        <f t="array" ref="G1257">_xlfn.XLOOKUP(B1257,Vendedores!$A$2:$A$41,Vendedores!$B$2:$B$41,"No hay datos")</f>
        <v>Alina Santana</v>
      </c>
      <c r="H1257" s="2" t="str">
        <f t="array" ref="H1257">_xlfn.XLOOKUP(B1257,Vendedores!$A$2:$A$41,Vendedores!$C$2:$C$41,"No hay datos")</f>
        <v>Playa Blanca</v>
      </c>
      <c r="I1257" s="2" t="str">
        <f t="array" ref="I1257">_xlfn.XLOOKUP(B1257,Vendedores!$A$2:$A$41,Vendedores!$D$2:$D$41,"No hay datos")</f>
        <v>Región Norte</v>
      </c>
      <c r="J1257" s="2" t="str">
        <f t="array" ref="J1257:N1257">_xlfn.XLOOKUP(A1257,Productos!$A$2:$A$61,Productos!$B$2:$F$61)</f>
        <v>Bermuda</v>
      </c>
      <c r="K1257" s="2" t="s">
        <v>17</v>
      </c>
      <c r="L1257" s="2" t="s">
        <v>10</v>
      </c>
      <c r="M1257" s="2" t="s">
        <v>49</v>
      </c>
      <c r="N1257" s="2" t="s">
        <v>50</v>
      </c>
    </row>
    <row r="1258">
      <c r="A1258" s="2" t="str">
        <f>IFERROR(__xludf.DUMMYFUNCTION("""COMPUTED_VALUE"""),"PR039")</f>
        <v>PR039</v>
      </c>
      <c r="B1258" s="2" t="str">
        <f>IFERROR(__xludf.DUMMYFUNCTION("""COMPUTED_VALUE"""),"VD046")</f>
        <v>VD046</v>
      </c>
      <c r="C1258" s="2">
        <f>IFERROR(__xludf.DUMMYFUNCTION("""COMPUTED_VALUE"""),8.0)</f>
        <v>8</v>
      </c>
      <c r="D1258" s="6">
        <f>IFERROR(__xludf.DUMMYFUNCTION("""COMPUTED_VALUE"""),1214.72)</f>
        <v>1214.72</v>
      </c>
      <c r="E1258" s="6">
        <f>IFERROR(__xludf.DUMMYFUNCTION("GOOGLEFINANCE(""Currency:BRLMXN"")*D1258"),4127.0112)</f>
        <v>4127.0112</v>
      </c>
      <c r="F1258" s="6">
        <f>IFERROR(__xludf.DUMMYFUNCTION("GOOGLEFINANCE(""Currency:BRLPEN"")*D1258"),796.3704319999999)</f>
        <v>796.370432</v>
      </c>
      <c r="G1258" s="2" t="str">
        <f t="array" ref="G1258">_xlfn.XLOOKUP(B1258,Vendedores!$A$2:$A$41,Vendedores!$B$2:$B$41,"No hay datos")</f>
        <v>Juliana Pérez</v>
      </c>
      <c r="H1258" s="2" t="str">
        <f t="array" ref="H1258">_xlfn.XLOOKUP(B1258,Vendedores!$A$2:$A$41,Vendedores!$C$2:$C$41,"No hay datos")</f>
        <v>Santa Cruz de la Sierra</v>
      </c>
      <c r="I1258" s="2" t="str">
        <f t="array" ref="I1258">_xlfn.XLOOKUP(B1258,Vendedores!$A$2:$A$41,Vendedores!$D$2:$D$41,"No hay datos")</f>
        <v>Región Central 2</v>
      </c>
      <c r="J1258" s="2" t="str">
        <f t="array" ref="J1258:N1258">_xlfn.XLOOKUP(A1258,Productos!$A$2:$A$61,Productos!$B$2:$F$61)</f>
        <v>Vestido largo</v>
      </c>
      <c r="K1258" s="2" t="s">
        <v>22</v>
      </c>
      <c r="L1258" s="2" t="s">
        <v>10</v>
      </c>
      <c r="M1258" s="2" t="s">
        <v>73</v>
      </c>
      <c r="N1258" s="2" t="s">
        <v>74</v>
      </c>
    </row>
    <row r="1259">
      <c r="A1259" s="2" t="str">
        <f>IFERROR(__xludf.DUMMYFUNCTION("""COMPUTED_VALUE"""),"PR020")</f>
        <v>PR020</v>
      </c>
      <c r="B1259" s="2" t="str">
        <f>IFERROR(__xludf.DUMMYFUNCTION("""COMPUTED_VALUE"""),"VD017")</f>
        <v>VD017</v>
      </c>
      <c r="C1259" s="2">
        <f>IFERROR(__xludf.DUMMYFUNCTION("""COMPUTED_VALUE"""),8.0)</f>
        <v>8</v>
      </c>
      <c r="D1259" s="6">
        <f>IFERROR(__xludf.DUMMYFUNCTION("""COMPUTED_VALUE"""),2423.19)</f>
        <v>2423.19</v>
      </c>
      <c r="E1259" s="6">
        <f>IFERROR(__xludf.DUMMYFUNCTION("GOOGLEFINANCE(""Currency:BRLMXN"")*D1259"),8232.788025)</f>
        <v>8232.788025</v>
      </c>
      <c r="F1259" s="6">
        <f>IFERROR(__xludf.DUMMYFUNCTION("GOOGLEFINANCE(""Currency:BRLPEN"")*D1259"),1588.643364)</f>
        <v>1588.643364</v>
      </c>
      <c r="G1259" s="2" t="str">
        <f t="array" ref="G1259">_xlfn.XLOOKUP(B1259,Vendedores!$A$2:$A$41,Vendedores!$B$2:$B$41,"No hay datos")</f>
        <v>Bruno Peralta</v>
      </c>
      <c r="H1259" s="2" t="str">
        <f t="array" ref="H1259">_xlfn.XLOOKUP(B1259,Vendedores!$A$2:$A$41,Vendedores!$C$2:$C$41,"No hay datos")</f>
        <v>Costa Azul</v>
      </c>
      <c r="I1259" s="2" t="str">
        <f t="array" ref="I1259">_xlfn.XLOOKUP(B1259,Vendedores!$A$2:$A$41,Vendedores!$D$2:$D$41,"No hay datos")</f>
        <v>Región Norte</v>
      </c>
      <c r="J1259" s="2" t="str">
        <f t="array" ref="J1259:N1259">_xlfn.XLOOKUP(A1259,Productos!$A$2:$A$61,Productos!$B$2:$F$61)</f>
        <v>Chaqueta de cuero</v>
      </c>
      <c r="K1259" s="2" t="s">
        <v>9</v>
      </c>
      <c r="L1259" s="2" t="s">
        <v>10</v>
      </c>
      <c r="M1259" s="2" t="s">
        <v>15</v>
      </c>
      <c r="N1259" s="2" t="s">
        <v>16</v>
      </c>
    </row>
    <row r="1260">
      <c r="A1260" s="2" t="str">
        <f>IFERROR(__xludf.DUMMYFUNCTION("""COMPUTED_VALUE"""),"PR050")</f>
        <v>PR050</v>
      </c>
      <c r="B1260" s="2" t="str">
        <f>IFERROR(__xludf.DUMMYFUNCTION("""COMPUTED_VALUE"""),"VD028")</f>
        <v>VD028</v>
      </c>
      <c r="C1260" s="2">
        <f>IFERROR(__xludf.DUMMYFUNCTION("""COMPUTED_VALUE"""),10.0)</f>
        <v>10</v>
      </c>
      <c r="D1260" s="6">
        <f>IFERROR(__xludf.DUMMYFUNCTION("""COMPUTED_VALUE"""),345.45)</f>
        <v>345.45</v>
      </c>
      <c r="E1260" s="6">
        <f>IFERROR(__xludf.DUMMYFUNCTION("GOOGLEFINANCE(""Currency:BRLMXN"")*D1260"),1173.666375)</f>
        <v>1173.666375</v>
      </c>
      <c r="F1260" s="6">
        <f>IFERROR(__xludf.DUMMYFUNCTION("GOOGLEFINANCE(""Currency:BRLPEN"")*D1260"),226.47701999999998)</f>
        <v>226.47702</v>
      </c>
      <c r="G1260" s="2" t="str">
        <f t="array" ref="G1260">_xlfn.XLOOKUP(B1260,Vendedores!$A$2:$A$41,Vendedores!$B$2:$B$41,"No hay datos")</f>
        <v>Rodrigo Almonte</v>
      </c>
      <c r="H1260" s="2" t="str">
        <f t="array" ref="H1260">_xlfn.XLOOKUP(B1260,Vendedores!$A$2:$A$41,Vendedores!$C$2:$C$41,"No hay datos")</f>
        <v>Valle Escondido</v>
      </c>
      <c r="I1260" s="2" t="str">
        <f t="array" ref="I1260">_xlfn.XLOOKUP(B1260,Vendedores!$A$2:$A$41,Vendedores!$D$2:$D$41,"No hay datos")</f>
        <v>Región Andina</v>
      </c>
      <c r="J1260" s="2" t="str">
        <f t="array" ref="J1260:N1260">_xlfn.XLOOKUP(A1260,Productos!$A$2:$A$61,Productos!$B$2:$F$61)</f>
        <v>Playera a rayas</v>
      </c>
      <c r="K1260" s="2" t="s">
        <v>17</v>
      </c>
      <c r="L1260" s="2" t="s">
        <v>10</v>
      </c>
      <c r="M1260" s="2" t="s">
        <v>27</v>
      </c>
      <c r="N1260" s="2" t="s">
        <v>24</v>
      </c>
    </row>
    <row r="1261">
      <c r="A1261" s="2" t="str">
        <f>IFERROR(__xludf.DUMMYFUNCTION("""COMPUTED_VALUE"""),"PR018")</f>
        <v>PR018</v>
      </c>
      <c r="B1261" s="2" t="str">
        <f>IFERROR(__xludf.DUMMYFUNCTION("""COMPUTED_VALUE"""),"VD044")</f>
        <v>VD044</v>
      </c>
      <c r="C1261" s="2">
        <f>IFERROR(__xludf.DUMMYFUNCTION("""COMPUTED_VALUE"""),2.0)</f>
        <v>2</v>
      </c>
      <c r="D1261" s="6">
        <f>IFERROR(__xludf.DUMMYFUNCTION("""COMPUTED_VALUE"""),67.12)</f>
        <v>67.12</v>
      </c>
      <c r="E1261" s="6">
        <f>IFERROR(__xludf.DUMMYFUNCTION("GOOGLEFINANCE(""Currency:BRLMXN"")*D1261"),228.04020000000003)</f>
        <v>228.0402</v>
      </c>
      <c r="F1261" s="6">
        <f>IFERROR(__xludf.DUMMYFUNCTION("GOOGLEFINANCE(""Currency:BRLPEN"")*D1261"),44.003872)</f>
        <v>44.003872</v>
      </c>
      <c r="G1261" s="2" t="str">
        <f t="array" ref="G1261">_xlfn.XLOOKUP(B1261,Vendedores!$A$2:$A$41,Vendedores!$B$2:$B$41,"No hay datos")</f>
        <v>Silvia Menéndez</v>
      </c>
      <c r="H1261" s="2" t="str">
        <f t="array" ref="H1261">_xlfn.XLOOKUP(B1261,Vendedores!$A$2:$A$41,Vendedores!$C$2:$C$41,"No hay datos")</f>
        <v>San Antonio del Monte</v>
      </c>
      <c r="I1261" s="2" t="str">
        <f t="array" ref="I1261">_xlfn.XLOOKUP(B1261,Vendedores!$A$2:$A$41,Vendedores!$D$2:$D$41,"No hay datos")</f>
        <v>Región Central 2</v>
      </c>
      <c r="J1261" s="2" t="str">
        <f t="array" ref="J1261:N1261">_xlfn.XLOOKUP(A1261,Productos!$A$2:$A$61,Productos!$B$2:$F$61)</f>
        <v>Playera lisa</v>
      </c>
      <c r="K1261" s="2" t="s">
        <v>22</v>
      </c>
      <c r="L1261" s="2" t="s">
        <v>10</v>
      </c>
      <c r="M1261" s="2" t="s">
        <v>57</v>
      </c>
      <c r="N1261" s="2" t="s">
        <v>24</v>
      </c>
    </row>
    <row r="1262">
      <c r="A1262" s="2" t="str">
        <f>IFERROR(__xludf.DUMMYFUNCTION("""COMPUTED_VALUE"""),"PR013")</f>
        <v>PR013</v>
      </c>
      <c r="B1262" s="2" t="str">
        <f>IFERROR(__xludf.DUMMYFUNCTION("""COMPUTED_VALUE"""),"VD035")</f>
        <v>VD035</v>
      </c>
      <c r="C1262" s="2">
        <f>IFERROR(__xludf.DUMMYFUNCTION("""COMPUTED_VALUE"""),9.0)</f>
        <v>9</v>
      </c>
      <c r="D1262" s="6">
        <f>IFERROR(__xludf.DUMMYFUNCTION("""COMPUTED_VALUE"""),395.01)</f>
        <v>395.01</v>
      </c>
      <c r="E1262" s="6">
        <f>IFERROR(__xludf.DUMMYFUNCTION("GOOGLEFINANCE(""Currency:BRLMXN"")*D1262"),1342.0464749999999)</f>
        <v>1342.046475</v>
      </c>
      <c r="F1262" s="6">
        <f>IFERROR(__xludf.DUMMYFUNCTION("GOOGLEFINANCE(""Currency:BRLPEN"")*D1262"),258.968556)</f>
        <v>258.968556</v>
      </c>
      <c r="G1262" s="2" t="str">
        <f t="array" ref="G1262">_xlfn.XLOOKUP(B1262,Vendedores!$A$2:$A$41,Vendedores!$B$2:$B$41,"No hay datos")</f>
        <v>Carolina Méndez</v>
      </c>
      <c r="H1262" s="2" t="str">
        <f t="array" ref="H1262">_xlfn.XLOOKUP(B1262,Vendedores!$A$2:$A$41,Vendedores!$C$2:$C$41,"No hay datos")</f>
        <v>Valle de los Robles</v>
      </c>
      <c r="I1262" s="2" t="str">
        <f t="array" ref="I1262">_xlfn.XLOOKUP(B1262,Vendedores!$A$2:$A$41,Vendedores!$D$2:$D$41,"No hay datos")</f>
        <v>Región Central 2</v>
      </c>
      <c r="J1262" s="2" t="str">
        <f t="array" ref="J1262:N1262">_xlfn.XLOOKUP(A1262,Productos!$A$2:$A$61,Productos!$B$2:$F$61)</f>
        <v>Playera estampada</v>
      </c>
      <c r="K1262" s="2" t="s">
        <v>9</v>
      </c>
      <c r="L1262" s="2" t="s">
        <v>10</v>
      </c>
      <c r="M1262" s="2" t="s">
        <v>66</v>
      </c>
      <c r="N1262" s="2" t="s">
        <v>38</v>
      </c>
    </row>
    <row r="1263">
      <c r="A1263" s="2" t="str">
        <f>IFERROR(__xludf.DUMMYFUNCTION("""COMPUTED_VALUE"""),"PR059")</f>
        <v>PR059</v>
      </c>
      <c r="B1263" s="2" t="str">
        <f>IFERROR(__xludf.DUMMYFUNCTION("""COMPUTED_VALUE"""),"VD047")</f>
        <v>VD047</v>
      </c>
      <c r="C1263" s="2">
        <f>IFERROR(__xludf.DUMMYFUNCTION("""COMPUTED_VALUE"""),12.0)</f>
        <v>12</v>
      </c>
      <c r="D1263" s="6">
        <f>IFERROR(__xludf.DUMMYFUNCTION("""COMPUTED_VALUE"""),2311.2)</f>
        <v>2311.2</v>
      </c>
      <c r="E1263" s="6">
        <f>IFERROR(__xludf.DUMMYFUNCTION("GOOGLEFINANCE(""Currency:BRLMXN"")*D1263"),7852.302)</f>
        <v>7852.302</v>
      </c>
      <c r="F1263" s="6">
        <f>IFERROR(__xludf.DUMMYFUNCTION("GOOGLEFINANCE(""Currency:BRLPEN"")*D1263"),1515.2227199999998)</f>
        <v>1515.22272</v>
      </c>
      <c r="G1263" s="2" t="str">
        <f t="array" ref="G1263">_xlfn.XLOOKUP(B1263,Vendedores!$A$2:$A$41,Vendedores!$B$2:$B$41,"No hay datos")</f>
        <v>Andrés López</v>
      </c>
      <c r="H1263" s="2" t="str">
        <f t="array" ref="H1263">_xlfn.XLOOKUP(B1263,Vendedores!$A$2:$A$41,Vendedores!$C$2:$C$41,"No hay datos")</f>
        <v>Villa Progreso</v>
      </c>
      <c r="I1263" s="2" t="str">
        <f t="array" ref="I1263">_xlfn.XLOOKUP(B1263,Vendedores!$A$2:$A$41,Vendedores!$D$2:$D$41,"No hay datos")</f>
        <v>Región Central 2</v>
      </c>
      <c r="J1263" s="2" t="str">
        <f t="array" ref="J1263:N1263">_xlfn.XLOOKUP(A1263,Productos!$A$2:$A$61,Productos!$B$2:$F$61)</f>
        <v>Pantalón de sastre</v>
      </c>
      <c r="K1263" s="2" t="s">
        <v>17</v>
      </c>
      <c r="L1263" s="2" t="s">
        <v>10</v>
      </c>
      <c r="M1263" s="2" t="s">
        <v>28</v>
      </c>
      <c r="N1263" s="2" t="s">
        <v>14</v>
      </c>
    </row>
    <row r="1264">
      <c r="A1264" s="2" t="str">
        <f>IFERROR(__xludf.DUMMYFUNCTION("""COMPUTED_VALUE"""),"PR027")</f>
        <v>PR027</v>
      </c>
      <c r="B1264" s="2" t="str">
        <f>IFERROR(__xludf.DUMMYFUNCTION("""COMPUTED_VALUE"""),"VD026")</f>
        <v>VD026</v>
      </c>
      <c r="C1264" s="2">
        <f>IFERROR(__xludf.DUMMYFUNCTION("""COMPUTED_VALUE"""),1.0)</f>
        <v>1</v>
      </c>
      <c r="D1264" s="6">
        <f>IFERROR(__xludf.DUMMYFUNCTION("""COMPUTED_VALUE"""),127.2)</f>
        <v>127.2</v>
      </c>
      <c r="E1264" s="6">
        <f>IFERROR(__xludf.DUMMYFUNCTION("GOOGLEFINANCE(""Currency:BRLMXN"")*D1264"),432.162)</f>
        <v>432.162</v>
      </c>
      <c r="F1264" s="6">
        <f>IFERROR(__xludf.DUMMYFUNCTION("GOOGLEFINANCE(""Currency:BRLPEN"")*D1264"),83.39232)</f>
        <v>83.39232</v>
      </c>
      <c r="G1264" s="2" t="str">
        <f t="array" ref="G1264">_xlfn.XLOOKUP(B1264,Vendedores!$A$2:$A$41,Vendedores!$B$2:$B$41,"No hay datos")</f>
        <v>Daniel Fernández</v>
      </c>
      <c r="H1264" s="2" t="str">
        <f t="array" ref="H1264">_xlfn.XLOOKUP(B1264,Vendedores!$A$2:$A$41,Vendedores!$C$2:$C$41,"No hay datos")</f>
        <v>Puerto Esperanza</v>
      </c>
      <c r="I1264" s="2" t="str">
        <f t="array" ref="I1264">_xlfn.XLOOKUP(B1264,Vendedores!$A$2:$A$41,Vendedores!$D$2:$D$41,"No hay datos")</f>
        <v>Región Sur</v>
      </c>
      <c r="J1264" s="2" t="str">
        <f t="array" ref="J1264:N1264">_xlfn.XLOOKUP(A1264,Productos!$A$2:$A$61,Productos!$B$2:$F$61)</f>
        <v>Gafas redondas</v>
      </c>
      <c r="K1264" s="2" t="s">
        <v>29</v>
      </c>
      <c r="L1264" s="2" t="s">
        <v>30</v>
      </c>
      <c r="M1264" s="2" t="s">
        <v>53</v>
      </c>
      <c r="N1264" s="2" t="s">
        <v>54</v>
      </c>
    </row>
    <row r="1265">
      <c r="A1265" s="2" t="str">
        <f>IFERROR(__xludf.DUMMYFUNCTION("""COMPUTED_VALUE"""),"PR011")</f>
        <v>PR011</v>
      </c>
      <c r="B1265" s="2" t="str">
        <f>IFERROR(__xludf.DUMMYFUNCTION("""COMPUTED_VALUE"""),"VD026")</f>
        <v>VD026</v>
      </c>
      <c r="C1265" s="2">
        <f>IFERROR(__xludf.DUMMYFUNCTION("""COMPUTED_VALUE"""),6.0)</f>
        <v>6</v>
      </c>
      <c r="D1265" s="6">
        <f>IFERROR(__xludf.DUMMYFUNCTION("""COMPUTED_VALUE"""),284.21)</f>
        <v>284.21</v>
      </c>
      <c r="E1265" s="6">
        <f>IFERROR(__xludf.DUMMYFUNCTION("GOOGLEFINANCE(""Currency:BRLMXN"")*D1265"),965.6034749999999)</f>
        <v>965.603475</v>
      </c>
      <c r="F1265" s="6">
        <f>IFERROR(__xludf.DUMMYFUNCTION("GOOGLEFINANCE(""Currency:BRLPEN"")*D1265"),186.32807599999998)</f>
        <v>186.328076</v>
      </c>
      <c r="G1265" s="2" t="str">
        <f t="array" ref="G1265">_xlfn.XLOOKUP(B1265,Vendedores!$A$2:$A$41,Vendedores!$B$2:$B$41,"No hay datos")</f>
        <v>Daniel Fernández</v>
      </c>
      <c r="H1265" s="2" t="str">
        <f t="array" ref="H1265">_xlfn.XLOOKUP(B1265,Vendedores!$A$2:$A$41,Vendedores!$C$2:$C$41,"No hay datos")</f>
        <v>Puerto Esperanza</v>
      </c>
      <c r="I1265" s="2" t="str">
        <f t="array" ref="I1265">_xlfn.XLOOKUP(B1265,Vendedores!$A$2:$A$41,Vendedores!$D$2:$D$41,"No hay datos")</f>
        <v>Región Sur</v>
      </c>
      <c r="J1265" s="2" t="str">
        <f t="array" ref="J1265:N1265">_xlfn.XLOOKUP(A1265,Productos!$A$2:$A$61,Productos!$B$2:$F$61)</f>
        <v>Pantalón legging</v>
      </c>
      <c r="K1265" s="2" t="s">
        <v>17</v>
      </c>
      <c r="L1265" s="2" t="s">
        <v>10</v>
      </c>
      <c r="M1265" s="2" t="s">
        <v>67</v>
      </c>
      <c r="N1265" s="2" t="s">
        <v>68</v>
      </c>
    </row>
    <row r="1266">
      <c r="A1266" s="2" t="str">
        <f>IFERROR(__xludf.DUMMYFUNCTION("""COMPUTED_VALUE"""),"PR017")</f>
        <v>PR017</v>
      </c>
      <c r="B1266" s="2" t="str">
        <f>IFERROR(__xludf.DUMMYFUNCTION("""COMPUTED_VALUE"""),"VD033")</f>
        <v>VD033</v>
      </c>
      <c r="C1266" s="2">
        <f>IFERROR(__xludf.DUMMYFUNCTION("""COMPUTED_VALUE"""),6.0)</f>
        <v>6</v>
      </c>
      <c r="D1266" s="6">
        <f>IFERROR(__xludf.DUMMYFUNCTION("""COMPUTED_VALUE"""),188.37)</f>
        <v>188.37</v>
      </c>
      <c r="E1266" s="6">
        <f>IFERROR(__xludf.DUMMYFUNCTION("GOOGLEFINANCE(""Currency:BRLMXN"")*D1266"),639.987075)</f>
        <v>639.987075</v>
      </c>
      <c r="F1266" s="6">
        <f>IFERROR(__xludf.DUMMYFUNCTION("GOOGLEFINANCE(""Currency:BRLPEN"")*D1266"),123.49537199999999)</f>
        <v>123.495372</v>
      </c>
      <c r="G1266" s="2" t="str">
        <f t="array" ref="G1266">_xlfn.XLOOKUP(B1266,Vendedores!$A$2:$A$41,Vendedores!$B$2:$B$41,"No hay datos")</f>
        <v>Renata Flores</v>
      </c>
      <c r="H1266" s="2" t="str">
        <f t="array" ref="H1266">_xlfn.XLOOKUP(B1266,Vendedores!$A$2:$A$41,Vendedores!$C$2:$C$41,"No hay datos")</f>
        <v>Altos del Sur</v>
      </c>
      <c r="I1266" s="2" t="str">
        <f t="array" ref="I1266">_xlfn.XLOOKUP(B1266,Vendedores!$A$2:$A$41,Vendedores!$D$2:$D$41,"No hay datos")</f>
        <v>Región Central 2</v>
      </c>
      <c r="J1266" s="2" t="str">
        <f t="array" ref="J1266:N1266">_xlfn.XLOOKUP(A1266,Productos!$A$2:$A$61,Productos!$B$2:$F$61)</f>
        <v>Playera lisa</v>
      </c>
      <c r="K1266" s="2" t="s">
        <v>17</v>
      </c>
      <c r="L1266" s="2" t="s">
        <v>10</v>
      </c>
      <c r="M1266" s="2" t="s">
        <v>98</v>
      </c>
      <c r="N1266" s="2" t="s">
        <v>99</v>
      </c>
    </row>
    <row r="1267">
      <c r="A1267" s="2" t="str">
        <f>IFERROR(__xludf.DUMMYFUNCTION("""COMPUTED_VALUE"""),"PR003")</f>
        <v>PR003</v>
      </c>
      <c r="B1267" s="2" t="str">
        <f>IFERROR(__xludf.DUMMYFUNCTION("""COMPUTED_VALUE"""),"VD015")</f>
        <v>VD015</v>
      </c>
      <c r="C1267" s="2">
        <f>IFERROR(__xludf.DUMMYFUNCTION("""COMPUTED_VALUE"""),3.0)</f>
        <v>3</v>
      </c>
      <c r="D1267" s="6">
        <f>IFERROR(__xludf.DUMMYFUNCTION("""COMPUTED_VALUE"""),212.7)</f>
        <v>212.7</v>
      </c>
      <c r="E1267" s="6">
        <f>IFERROR(__xludf.DUMMYFUNCTION("GOOGLEFINANCE(""Currency:BRLMXN"")*D1267"),722.64825)</f>
        <v>722.64825</v>
      </c>
      <c r="F1267" s="6">
        <f>IFERROR(__xludf.DUMMYFUNCTION("GOOGLEFINANCE(""Currency:BRLPEN"")*D1267"),139.44611999999998)</f>
        <v>139.44612</v>
      </c>
      <c r="G1267" s="2" t="str">
        <f t="array" ref="G1267">_xlfn.XLOOKUP(B1267,Vendedores!$A$2:$A$41,Vendedores!$B$2:$B$41,"No hay datos")</f>
        <v>Lucas Castillo</v>
      </c>
      <c r="H1267" s="2" t="str">
        <f t="array" ref="H1267">_xlfn.XLOOKUP(B1267,Vendedores!$A$2:$A$41,Vendedores!$C$2:$C$41,"No hay datos")</f>
        <v>San Miguel de los Pinos</v>
      </c>
      <c r="I1267" s="2" t="str">
        <f t="array" ref="I1267">_xlfn.XLOOKUP(B1267,Vendedores!$A$2:$A$41,Vendedores!$D$2:$D$41,"No hay datos")</f>
        <v>Región Sur</v>
      </c>
      <c r="J1267" s="2" t="str">
        <f t="array" ref="J1267:N1267">_xlfn.XLOOKUP(A1267,Productos!$A$2:$A$61,Productos!$B$2:$F$61)</f>
        <v>Bermuda</v>
      </c>
      <c r="K1267" s="2" t="s">
        <v>22</v>
      </c>
      <c r="L1267" s="2" t="s">
        <v>10</v>
      </c>
      <c r="M1267" s="2" t="s">
        <v>45</v>
      </c>
      <c r="N1267" s="2" t="s">
        <v>46</v>
      </c>
    </row>
    <row r="1268">
      <c r="A1268" s="2" t="str">
        <f>IFERROR(__xludf.DUMMYFUNCTION("""COMPUTED_VALUE"""),"PR017")</f>
        <v>PR017</v>
      </c>
      <c r="B1268" s="2" t="str">
        <f>IFERROR(__xludf.DUMMYFUNCTION("""COMPUTED_VALUE"""),"VD017")</f>
        <v>VD017</v>
      </c>
      <c r="C1268" s="2">
        <f>IFERROR(__xludf.DUMMYFUNCTION("""COMPUTED_VALUE"""),10.0)</f>
        <v>10</v>
      </c>
      <c r="D1268" s="6">
        <f>IFERROR(__xludf.DUMMYFUNCTION("""COMPUTED_VALUE"""),307.97)</f>
        <v>307.97</v>
      </c>
      <c r="E1268" s="6">
        <f>IFERROR(__xludf.DUMMYFUNCTION("GOOGLEFINANCE(""Currency:BRLMXN"")*D1268"),1046.3280750000001)</f>
        <v>1046.328075</v>
      </c>
      <c r="F1268" s="6">
        <f>IFERROR(__xludf.DUMMYFUNCTION("GOOGLEFINANCE(""Currency:BRLPEN"")*D1268"),201.905132)</f>
        <v>201.905132</v>
      </c>
      <c r="G1268" s="2" t="str">
        <f t="array" ref="G1268">_xlfn.XLOOKUP(B1268,Vendedores!$A$2:$A$41,Vendedores!$B$2:$B$41,"No hay datos")</f>
        <v>Bruno Peralta</v>
      </c>
      <c r="H1268" s="2" t="str">
        <f t="array" ref="H1268">_xlfn.XLOOKUP(B1268,Vendedores!$A$2:$A$41,Vendedores!$C$2:$C$41,"No hay datos")</f>
        <v>Costa Azul</v>
      </c>
      <c r="I1268" s="2" t="str">
        <f t="array" ref="I1268">_xlfn.XLOOKUP(B1268,Vendedores!$A$2:$A$41,Vendedores!$D$2:$D$41,"No hay datos")</f>
        <v>Región Norte</v>
      </c>
      <c r="J1268" s="2" t="str">
        <f t="array" ref="J1268:N1268">_xlfn.XLOOKUP(A1268,Productos!$A$2:$A$61,Productos!$B$2:$F$61)</f>
        <v>Playera lisa</v>
      </c>
      <c r="K1268" s="2" t="s">
        <v>17</v>
      </c>
      <c r="L1268" s="2" t="s">
        <v>10</v>
      </c>
      <c r="M1268" s="2" t="s">
        <v>98</v>
      </c>
      <c r="N1268" s="2" t="s">
        <v>99</v>
      </c>
    </row>
    <row r="1269">
      <c r="A1269" s="2" t="str">
        <f>IFERROR(__xludf.DUMMYFUNCTION("""COMPUTED_VALUE"""),"PR011")</f>
        <v>PR011</v>
      </c>
      <c r="B1269" s="2" t="str">
        <f>IFERROR(__xludf.DUMMYFUNCTION("""COMPUTED_VALUE"""),"VD037")</f>
        <v>VD037</v>
      </c>
      <c r="C1269" s="2">
        <f>IFERROR(__xludf.DUMMYFUNCTION("""COMPUTED_VALUE"""),10.0)</f>
        <v>10</v>
      </c>
      <c r="D1269" s="6">
        <f>IFERROR(__xludf.DUMMYFUNCTION("""COMPUTED_VALUE"""),492.45)</f>
        <v>492.45</v>
      </c>
      <c r="E1269" s="6">
        <f>IFERROR(__xludf.DUMMYFUNCTION("GOOGLEFINANCE(""Currency:BRLMXN"")*D1269"),1673.098875)</f>
        <v>1673.098875</v>
      </c>
      <c r="F1269" s="6">
        <f>IFERROR(__xludf.DUMMYFUNCTION("GOOGLEFINANCE(""Currency:BRLPEN"")*D1269"),322.85022)</f>
        <v>322.85022</v>
      </c>
      <c r="G1269" s="2" t="str">
        <f t="array" ref="G1269">_xlfn.XLOOKUP(B1269,Vendedores!$A$2:$A$41,Vendedores!$B$2:$B$41,"No hay datos")</f>
        <v>Amanda Silva</v>
      </c>
      <c r="H1269" s="2" t="str">
        <f t="array" ref="H1269">_xlfn.XLOOKUP(B1269,Vendedores!$A$2:$A$41,Vendedores!$C$2:$C$41,"No hay datos")</f>
        <v>Villa Esperanza</v>
      </c>
      <c r="I1269" s="2" t="str">
        <f t="array" ref="I1269">_xlfn.XLOOKUP(B1269,Vendedores!$A$2:$A$41,Vendedores!$D$2:$D$41,"No hay datos")</f>
        <v>Región Sur 2</v>
      </c>
      <c r="J1269" s="2" t="str">
        <f t="array" ref="J1269:N1269">_xlfn.XLOOKUP(A1269,Productos!$A$2:$A$61,Productos!$B$2:$F$61)</f>
        <v>Pantalón legging</v>
      </c>
      <c r="K1269" s="2" t="s">
        <v>17</v>
      </c>
      <c r="L1269" s="2" t="s">
        <v>10</v>
      </c>
      <c r="M1269" s="2" t="s">
        <v>67</v>
      </c>
      <c r="N1269" s="2" t="s">
        <v>68</v>
      </c>
    </row>
    <row r="1270">
      <c r="A1270" s="2" t="str">
        <f>IFERROR(__xludf.DUMMYFUNCTION("""COMPUTED_VALUE"""),"PR031")</f>
        <v>PR031</v>
      </c>
      <c r="B1270" s="2" t="str">
        <f>IFERROR(__xludf.DUMMYFUNCTION("""COMPUTED_VALUE"""),"VD024")</f>
        <v>VD024</v>
      </c>
      <c r="C1270" s="2">
        <f>IFERROR(__xludf.DUMMYFUNCTION("""COMPUTED_VALUE"""),4.0)</f>
        <v>4</v>
      </c>
      <c r="D1270" s="6">
        <f>IFERROR(__xludf.DUMMYFUNCTION("""COMPUTED_VALUE"""),1019.2)</f>
        <v>1019.2</v>
      </c>
      <c r="E1270" s="6">
        <f>IFERROR(__xludf.DUMMYFUNCTION("GOOGLEFINANCE(""Currency:BRLMXN"")*D1270"),3462.732)</f>
        <v>3462.732</v>
      </c>
      <c r="F1270" s="6">
        <f>IFERROR(__xludf.DUMMYFUNCTION("GOOGLEFINANCE(""Currency:BRLPEN"")*D1270"),668.18752)</f>
        <v>668.18752</v>
      </c>
      <c r="G1270" s="2" t="str">
        <f t="array" ref="G1270">_xlfn.XLOOKUP(B1270,Vendedores!$A$2:$A$41,Vendedores!$B$2:$B$41,"No hay datos")</f>
        <v>Marcos Rivera</v>
      </c>
      <c r="H1270" s="2" t="str">
        <f t="array" ref="H1270">_xlfn.XLOOKUP(B1270,Vendedores!$A$2:$A$41,Vendedores!$C$2:$C$41,"No hay datos")</f>
        <v>Santa Rosa del Valle</v>
      </c>
      <c r="I1270" s="2" t="str">
        <f t="array" ref="I1270">_xlfn.XLOOKUP(B1270,Vendedores!$A$2:$A$41,Vendedores!$D$2:$D$41,"No hay datos")</f>
        <v>Región Norte</v>
      </c>
      <c r="J1270" s="2" t="str">
        <f t="array" ref="J1270:N1270">_xlfn.XLOOKUP(A1270,Productos!$A$2:$A$61,Productos!$B$2:$F$61)</f>
        <v>Tenis Chunky</v>
      </c>
      <c r="K1270" s="2">
        <v>36.0</v>
      </c>
      <c r="L1270" s="2" t="s">
        <v>33</v>
      </c>
      <c r="M1270" s="2" t="s">
        <v>84</v>
      </c>
      <c r="N1270" s="2" t="s">
        <v>85</v>
      </c>
    </row>
    <row r="1271">
      <c r="A1271" s="2" t="str">
        <f>IFERROR(__xludf.DUMMYFUNCTION("""COMPUTED_VALUE"""),"PR011")</f>
        <v>PR011</v>
      </c>
      <c r="B1271" s="2" t="str">
        <f>IFERROR(__xludf.DUMMYFUNCTION("""COMPUTED_VALUE"""),"VD030")</f>
        <v>VD030</v>
      </c>
      <c r="C1271" s="2">
        <f>IFERROR(__xludf.DUMMYFUNCTION("""COMPUTED_VALUE"""),16.0)</f>
        <v>16</v>
      </c>
      <c r="D1271" s="6">
        <f>IFERROR(__xludf.DUMMYFUNCTION("""COMPUTED_VALUE"""),825.44)</f>
        <v>825.44</v>
      </c>
      <c r="E1271" s="6">
        <f>IFERROR(__xludf.DUMMYFUNCTION("GOOGLEFINANCE(""Currency:BRLMXN"")*D1271"),2804.4324)</f>
        <v>2804.4324</v>
      </c>
      <c r="F1271" s="6">
        <f>IFERROR(__xludf.DUMMYFUNCTION("GOOGLEFINANCE(""Currency:BRLPEN"")*D1271"),541.158464)</f>
        <v>541.158464</v>
      </c>
      <c r="G1271" s="2" t="str">
        <f t="array" ref="G1271">_xlfn.XLOOKUP(B1271,Vendedores!$A$2:$A$41,Vendedores!$B$2:$B$41,"No hay datos")</f>
        <v>Leonardo Rojas</v>
      </c>
      <c r="H1271" s="2" t="str">
        <f t="array" ref="H1271">_xlfn.XLOOKUP(B1271,Vendedores!$A$2:$A$41,Vendedores!$C$2:$C$41,"No hay datos")</f>
        <v>Villa del Sol</v>
      </c>
      <c r="I1271" s="2" t="str">
        <f t="array" ref="I1271">_xlfn.XLOOKUP(B1271,Vendedores!$A$2:$A$41,Vendedores!$D$2:$D$41,"No hay datos")</f>
        <v>Región Central 2</v>
      </c>
      <c r="J1271" s="2" t="str">
        <f t="array" ref="J1271:N1271">_xlfn.XLOOKUP(A1271,Productos!$A$2:$A$61,Productos!$B$2:$F$61)</f>
        <v>Pantalón legging</v>
      </c>
      <c r="K1271" s="2" t="s">
        <v>17</v>
      </c>
      <c r="L1271" s="2" t="s">
        <v>10</v>
      </c>
      <c r="M1271" s="2" t="s">
        <v>67</v>
      </c>
      <c r="N1271" s="2" t="s">
        <v>68</v>
      </c>
    </row>
    <row r="1272">
      <c r="A1272" s="2" t="str">
        <f>IFERROR(__xludf.DUMMYFUNCTION("""COMPUTED_VALUE"""),"PR035")</f>
        <v>PR035</v>
      </c>
      <c r="B1272" s="2" t="str">
        <f>IFERROR(__xludf.DUMMYFUNCTION("""COMPUTED_VALUE"""),"VD025")</f>
        <v>VD025</v>
      </c>
      <c r="C1272" s="2">
        <f>IFERROR(__xludf.DUMMYFUNCTION("""COMPUTED_VALUE"""),9.0)</f>
        <v>9</v>
      </c>
      <c r="D1272" s="6">
        <f>IFERROR(__xludf.DUMMYFUNCTION("""COMPUTED_VALUE"""),888.41)</f>
        <v>888.41</v>
      </c>
      <c r="E1272" s="6">
        <f>IFERROR(__xludf.DUMMYFUNCTION("GOOGLEFINANCE(""Currency:BRLMXN"")*D1272"),3018.3729749999998)</f>
        <v>3018.372975</v>
      </c>
      <c r="F1272" s="6">
        <f>IFERROR(__xludf.DUMMYFUNCTION("GOOGLEFINANCE(""Currency:BRLPEN"")*D1272"),582.4415959999999)</f>
        <v>582.441596</v>
      </c>
      <c r="G1272" s="2" t="str">
        <f t="array" ref="G1272">_xlfn.XLOOKUP(B1272,Vendedores!$A$2:$A$41,Vendedores!$B$2:$B$41,"No hay datos")</f>
        <v>Alina Santana</v>
      </c>
      <c r="H1272" s="2" t="str">
        <f t="array" ref="H1272">_xlfn.XLOOKUP(B1272,Vendedores!$A$2:$A$41,Vendedores!$C$2:$C$41,"No hay datos")</f>
        <v>Playa Blanca</v>
      </c>
      <c r="I1272" s="2" t="str">
        <f t="array" ref="I1272">_xlfn.XLOOKUP(B1272,Vendedores!$A$2:$A$41,Vendedores!$D$2:$D$41,"No hay datos")</f>
        <v>Región Norte</v>
      </c>
      <c r="J1272" s="2" t="str">
        <f t="array" ref="J1272:N1272">_xlfn.XLOOKUP(A1272,Productos!$A$2:$A$61,Productos!$B$2:$F$61)</f>
        <v>Vestido corto</v>
      </c>
      <c r="K1272" s="2" t="s">
        <v>17</v>
      </c>
      <c r="L1272" s="2" t="s">
        <v>10</v>
      </c>
      <c r="M1272" s="2" t="s">
        <v>18</v>
      </c>
      <c r="N1272" s="2" t="s">
        <v>19</v>
      </c>
    </row>
    <row r="1273">
      <c r="A1273" s="2" t="str">
        <f>IFERROR(__xludf.DUMMYFUNCTION("""COMPUTED_VALUE"""),"PR043")</f>
        <v>PR043</v>
      </c>
      <c r="B1273" s="2" t="str">
        <f>IFERROR(__xludf.DUMMYFUNCTION("""COMPUTED_VALUE"""),"VD030")</f>
        <v>VD030</v>
      </c>
      <c r="C1273" s="2">
        <f>IFERROR(__xludf.DUMMYFUNCTION("""COMPUTED_VALUE"""),20.0)</f>
        <v>20</v>
      </c>
      <c r="D1273" s="6">
        <f>IFERROR(__xludf.DUMMYFUNCTION("""COMPUTED_VALUE"""),1464.5)</f>
        <v>1464.5</v>
      </c>
      <c r="E1273" s="6">
        <f>IFERROR(__xludf.DUMMYFUNCTION("GOOGLEFINANCE(""Currency:BRLMXN"")*D1273"),4975.63875)</f>
        <v>4975.63875</v>
      </c>
      <c r="F1273" s="6">
        <f>IFERROR(__xludf.DUMMYFUNCTION("GOOGLEFINANCE(""Currency:BRLPEN"")*D1273"),960.1261999999999)</f>
        <v>960.1262</v>
      </c>
      <c r="G1273" s="2" t="str">
        <f t="array" ref="G1273">_xlfn.XLOOKUP(B1273,Vendedores!$A$2:$A$41,Vendedores!$B$2:$B$41,"No hay datos")</f>
        <v>Leonardo Rojas</v>
      </c>
      <c r="H1273" s="2" t="str">
        <f t="array" ref="H1273">_xlfn.XLOOKUP(B1273,Vendedores!$A$2:$A$41,Vendedores!$C$2:$C$41,"No hay datos")</f>
        <v>Villa del Sol</v>
      </c>
      <c r="I1273" s="2" t="str">
        <f t="array" ref="I1273">_xlfn.XLOOKUP(B1273,Vendedores!$A$2:$A$41,Vendedores!$D$2:$D$41,"No hay datos")</f>
        <v>Región Central 2</v>
      </c>
      <c r="J1273" s="2" t="str">
        <f t="array" ref="J1273:N1273">_xlfn.XLOOKUP(A1273,Productos!$A$2:$A$61,Productos!$B$2:$F$61)</f>
        <v>Vestido floral</v>
      </c>
      <c r="K1273" s="2" t="s">
        <v>9</v>
      </c>
      <c r="L1273" s="2" t="s">
        <v>10</v>
      </c>
      <c r="M1273" s="2" t="s">
        <v>69</v>
      </c>
      <c r="N1273" s="2" t="s">
        <v>40</v>
      </c>
    </row>
    <row r="1274">
      <c r="A1274" s="2" t="str">
        <f>IFERROR(__xludf.DUMMYFUNCTION("""COMPUTED_VALUE"""),"PR060")</f>
        <v>PR060</v>
      </c>
      <c r="B1274" s="2" t="str">
        <f>IFERROR(__xludf.DUMMYFUNCTION("""COMPUTED_VALUE"""),"VD017")</f>
        <v>VD017</v>
      </c>
      <c r="C1274" s="2">
        <f>IFERROR(__xludf.DUMMYFUNCTION("""COMPUTED_VALUE"""),7.0)</f>
        <v>7</v>
      </c>
      <c r="D1274" s="6">
        <f>IFERROR(__xludf.DUMMYFUNCTION("""COMPUTED_VALUE"""),1373.4)</f>
        <v>1373.4</v>
      </c>
      <c r="E1274" s="6">
        <f>IFERROR(__xludf.DUMMYFUNCTION("GOOGLEFINANCE(""Currency:BRLMXN"")*D1274"),4666.1265)</f>
        <v>4666.1265</v>
      </c>
      <c r="F1274" s="6">
        <f>IFERROR(__xludf.DUMMYFUNCTION("GOOGLEFINANCE(""Currency:BRLPEN"")*D1274"),900.40104)</f>
        <v>900.40104</v>
      </c>
      <c r="G1274" s="2" t="str">
        <f t="array" ref="G1274">_xlfn.XLOOKUP(B1274,Vendedores!$A$2:$A$41,Vendedores!$B$2:$B$41,"No hay datos")</f>
        <v>Bruno Peralta</v>
      </c>
      <c r="H1274" s="2" t="str">
        <f t="array" ref="H1274">_xlfn.XLOOKUP(B1274,Vendedores!$A$2:$A$41,Vendedores!$C$2:$C$41,"No hay datos")</f>
        <v>Costa Azul</v>
      </c>
      <c r="I1274" s="2" t="str">
        <f t="array" ref="I1274">_xlfn.XLOOKUP(B1274,Vendedores!$A$2:$A$41,Vendedores!$D$2:$D$41,"No hay datos")</f>
        <v>Región Norte</v>
      </c>
      <c r="J1274" s="2" t="str">
        <f t="array" ref="J1274:N1274">_xlfn.XLOOKUP(A1274,Productos!$A$2:$A$61,Productos!$B$2:$F$61)</f>
        <v>Pantalón de sastre</v>
      </c>
      <c r="K1274" s="2" t="s">
        <v>22</v>
      </c>
      <c r="L1274" s="2" t="s">
        <v>10</v>
      </c>
      <c r="M1274" s="2" t="s">
        <v>75</v>
      </c>
      <c r="N1274" s="2" t="s">
        <v>14</v>
      </c>
    </row>
    <row r="1275">
      <c r="A1275" s="2" t="str">
        <f>IFERROR(__xludf.DUMMYFUNCTION("""COMPUTED_VALUE"""),"PR026")</f>
        <v>PR026</v>
      </c>
      <c r="B1275" s="2" t="str">
        <f>IFERROR(__xludf.DUMMYFUNCTION("""COMPUTED_VALUE"""),"VD049")</f>
        <v>VD049</v>
      </c>
      <c r="C1275" s="2">
        <f>IFERROR(__xludf.DUMMYFUNCTION("""COMPUTED_VALUE"""),14.0)</f>
        <v>14</v>
      </c>
      <c r="D1275" s="6">
        <f>IFERROR(__xludf.DUMMYFUNCTION("""COMPUTED_VALUE"""),5094.54)</f>
        <v>5094.54</v>
      </c>
      <c r="E1275" s="6">
        <f>IFERROR(__xludf.DUMMYFUNCTION("GOOGLEFINANCE(""Currency:BRLMXN"")*D1275"),17308.69965)</f>
        <v>17308.69965</v>
      </c>
      <c r="F1275" s="6">
        <f>IFERROR(__xludf.DUMMYFUNCTION("GOOGLEFINANCE(""Currency:BRLPEN"")*D1275"),3339.980424)</f>
        <v>3339.980424</v>
      </c>
      <c r="G1275" s="2" t="str">
        <f t="array" ref="G1275">_xlfn.XLOOKUP(B1275,Vendedores!$A$2:$A$41,Vendedores!$B$2:$B$41,"No hay datos")</f>
        <v>Fernando Navarro</v>
      </c>
      <c r="H1275" s="2" t="str">
        <f t="array" ref="H1275">_xlfn.XLOOKUP(B1275,Vendedores!$A$2:$A$41,Vendedores!$C$2:$C$41,"No hay datos")</f>
        <v>Colinas Verdes</v>
      </c>
      <c r="I1275" s="2" t="str">
        <f t="array" ref="I1275">_xlfn.XLOOKUP(B1275,Vendedores!$A$2:$A$41,Vendedores!$D$2:$D$41,"No hay datos")</f>
        <v>Región Central 2</v>
      </c>
      <c r="J1275" s="2" t="str">
        <f t="array" ref="J1275:N1275">_xlfn.XLOOKUP(A1275,Productos!$A$2:$A$61,Productos!$B$2:$F$61)</f>
        <v>Gafas cuadradas</v>
      </c>
      <c r="K1275" s="2" t="s">
        <v>29</v>
      </c>
      <c r="L1275" s="2" t="s">
        <v>30</v>
      </c>
      <c r="M1275" s="2" t="s">
        <v>90</v>
      </c>
      <c r="N1275" s="2" t="s">
        <v>91</v>
      </c>
    </row>
    <row r="1276">
      <c r="A1276" s="2" t="str">
        <f>IFERROR(__xludf.DUMMYFUNCTION("""COMPUTED_VALUE"""),"PR040")</f>
        <v>PR040</v>
      </c>
      <c r="B1276" s="2" t="str">
        <f>IFERROR(__xludf.DUMMYFUNCTION("""COMPUTED_VALUE"""),"VD026")</f>
        <v>VD026</v>
      </c>
      <c r="C1276" s="2">
        <f>IFERROR(__xludf.DUMMYFUNCTION("""COMPUTED_VALUE"""),1.0)</f>
        <v>1</v>
      </c>
      <c r="D1276" s="6">
        <f>IFERROR(__xludf.DUMMYFUNCTION("""COMPUTED_VALUE"""),74.2)</f>
        <v>74.2</v>
      </c>
      <c r="E1276" s="6">
        <f>IFERROR(__xludf.DUMMYFUNCTION("GOOGLEFINANCE(""Currency:BRLMXN"")*D1276"),252.0945)</f>
        <v>252.0945</v>
      </c>
      <c r="F1276" s="6">
        <f>IFERROR(__xludf.DUMMYFUNCTION("GOOGLEFINANCE(""Currency:BRLPEN"")*D1276"),48.64552)</f>
        <v>48.64552</v>
      </c>
      <c r="G1276" s="2" t="str">
        <f t="array" ref="G1276">_xlfn.XLOOKUP(B1276,Vendedores!$A$2:$A$41,Vendedores!$B$2:$B$41,"No hay datos")</f>
        <v>Daniel Fernández</v>
      </c>
      <c r="H1276" s="2" t="str">
        <f t="array" ref="H1276">_xlfn.XLOOKUP(B1276,Vendedores!$A$2:$A$41,Vendedores!$C$2:$C$41,"No hay datos")</f>
        <v>Puerto Esperanza</v>
      </c>
      <c r="I1276" s="2" t="str">
        <f t="array" ref="I1276">_xlfn.XLOOKUP(B1276,Vendedores!$A$2:$A$41,Vendedores!$D$2:$D$41,"No hay datos")</f>
        <v>Región Sur</v>
      </c>
      <c r="J1276" s="2" t="str">
        <f t="array" ref="J1276:N1276">_xlfn.XLOOKUP(A1276,Productos!$A$2:$A$61,Productos!$B$2:$F$61)</f>
        <v>Playera confort</v>
      </c>
      <c r="K1276" s="2" t="s">
        <v>9</v>
      </c>
      <c r="L1276" s="2" t="s">
        <v>10</v>
      </c>
      <c r="M1276" s="2" t="s">
        <v>68</v>
      </c>
      <c r="N1276" s="2" t="s">
        <v>70</v>
      </c>
    </row>
    <row r="1277">
      <c r="A1277" s="2" t="str">
        <f>IFERROR(__xludf.DUMMYFUNCTION("""COMPUTED_VALUE"""),"PR029")</f>
        <v>PR029</v>
      </c>
      <c r="B1277" s="2" t="str">
        <f>IFERROR(__xludf.DUMMYFUNCTION("""COMPUTED_VALUE"""),"VD024")</f>
        <v>VD024</v>
      </c>
      <c r="C1277" s="2">
        <f>IFERROR(__xludf.DUMMYFUNCTION("""COMPUTED_VALUE"""),9.0)</f>
        <v>9</v>
      </c>
      <c r="D1277" s="6">
        <f>IFERROR(__xludf.DUMMYFUNCTION("""COMPUTED_VALUE"""),2363.85)</f>
        <v>2363.85</v>
      </c>
      <c r="E1277" s="6">
        <f>IFERROR(__xludf.DUMMYFUNCTION("GOOGLEFINANCE(""Currency:BRLMXN"")*D1277"),8031.180375)</f>
        <v>8031.180375</v>
      </c>
      <c r="F1277" s="6">
        <f>IFERROR(__xludf.DUMMYFUNCTION("GOOGLEFINANCE(""Currency:BRLPEN"")*D1277"),1549.7400599999999)</f>
        <v>1549.74006</v>
      </c>
      <c r="G1277" s="2" t="str">
        <f t="array" ref="G1277">_xlfn.XLOOKUP(B1277,Vendedores!$A$2:$A$41,Vendedores!$B$2:$B$41,"No hay datos")</f>
        <v>Marcos Rivera</v>
      </c>
      <c r="H1277" s="2" t="str">
        <f t="array" ref="H1277">_xlfn.XLOOKUP(B1277,Vendedores!$A$2:$A$41,Vendedores!$C$2:$C$41,"No hay datos")</f>
        <v>Santa Rosa del Valle</v>
      </c>
      <c r="I1277" s="2" t="str">
        <f t="array" ref="I1277">_xlfn.XLOOKUP(B1277,Vendedores!$A$2:$A$41,Vendedores!$D$2:$D$41,"No hay datos")</f>
        <v>Región Norte</v>
      </c>
      <c r="J1277" s="2" t="str">
        <f t="array" ref="J1277:N1277">_xlfn.XLOOKUP(A1277,Productos!$A$2:$A$61,Productos!$B$2:$F$61)</f>
        <v>Tenis Atitas</v>
      </c>
      <c r="K1277" s="2">
        <v>37.0</v>
      </c>
      <c r="L1277" s="2" t="s">
        <v>33</v>
      </c>
      <c r="M1277" s="2" t="s">
        <v>96</v>
      </c>
      <c r="N1277" s="2" t="s">
        <v>97</v>
      </c>
    </row>
    <row r="1278">
      <c r="A1278" s="2" t="str">
        <f>IFERROR(__xludf.DUMMYFUNCTION("""COMPUTED_VALUE"""),"PR002")</f>
        <v>PR002</v>
      </c>
      <c r="B1278" s="2" t="str">
        <f>IFERROR(__xludf.DUMMYFUNCTION("""COMPUTED_VALUE"""),"VD040")</f>
        <v>VD040</v>
      </c>
      <c r="C1278" s="2">
        <f>IFERROR(__xludf.DUMMYFUNCTION("""COMPUTED_VALUE"""),8.0)</f>
        <v>8</v>
      </c>
      <c r="D1278" s="6">
        <f>IFERROR(__xludf.DUMMYFUNCTION("""COMPUTED_VALUE"""),570.38)</f>
        <v>570.38</v>
      </c>
      <c r="E1278" s="6">
        <f>IFERROR(__xludf.DUMMYFUNCTION("GOOGLEFINANCE(""Currency:BRLMXN"")*D1278"),1937.8660499999999)</f>
        <v>1937.86605</v>
      </c>
      <c r="F1278" s="6">
        <f>IFERROR(__xludf.DUMMYFUNCTION("GOOGLEFINANCE(""Currency:BRLPEN"")*D1278"),373.941128)</f>
        <v>373.941128</v>
      </c>
      <c r="G1278" s="2" t="str">
        <f t="array" ref="G1278">_xlfn.XLOOKUP(B1278,Vendedores!$A$2:$A$41,Vendedores!$B$2:$B$41,"No hay datos")</f>
        <v>Tatiana Montero</v>
      </c>
      <c r="H1278" s="2" t="str">
        <f t="array" ref="H1278">_xlfn.XLOOKUP(B1278,Vendedores!$A$2:$A$41,Vendedores!$C$2:$C$41,"No hay datos")</f>
        <v>Ciudad Industrial</v>
      </c>
      <c r="I1278" s="2" t="str">
        <f t="array" ref="I1278">_xlfn.XLOOKUP(B1278,Vendedores!$A$2:$A$41,Vendedores!$D$2:$D$41,"No hay datos")</f>
        <v>Región Central 2</v>
      </c>
      <c r="J1278" s="2" t="str">
        <f t="array" ref="J1278:N1278">_xlfn.XLOOKUP(A1278,Productos!$A$2:$A$61,Productos!$B$2:$F$61)</f>
        <v>Bermuda</v>
      </c>
      <c r="K1278" s="2" t="s">
        <v>17</v>
      </c>
      <c r="L1278" s="2" t="s">
        <v>10</v>
      </c>
      <c r="M1278" s="2" t="s">
        <v>49</v>
      </c>
      <c r="N1278" s="2" t="s">
        <v>50</v>
      </c>
    </row>
    <row r="1279">
      <c r="A1279" s="2" t="str">
        <f>IFERROR(__xludf.DUMMYFUNCTION("""COMPUTED_VALUE"""),"PR016")</f>
        <v>PR016</v>
      </c>
      <c r="B1279" s="2" t="str">
        <f>IFERROR(__xludf.DUMMYFUNCTION("""COMPUTED_VALUE"""),"VD026")</f>
        <v>VD026</v>
      </c>
      <c r="C1279" s="2">
        <f>IFERROR(__xludf.DUMMYFUNCTION("""COMPUTED_VALUE"""),10.0)</f>
        <v>10</v>
      </c>
      <c r="D1279" s="6">
        <f>IFERROR(__xludf.DUMMYFUNCTION("""COMPUTED_VALUE"""),259.0)</f>
        <v>259</v>
      </c>
      <c r="E1279" s="6">
        <f>IFERROR(__xludf.DUMMYFUNCTION("GOOGLEFINANCE(""Currency:BRLMXN"")*D1279"),879.9525)</f>
        <v>879.9525</v>
      </c>
      <c r="F1279" s="6">
        <f>IFERROR(__xludf.DUMMYFUNCTION("GOOGLEFINANCE(""Currency:BRLPEN"")*D1279"),169.8004)</f>
        <v>169.8004</v>
      </c>
      <c r="G1279" s="2" t="str">
        <f t="array" ref="G1279">_xlfn.XLOOKUP(B1279,Vendedores!$A$2:$A$41,Vendedores!$B$2:$B$41,"No hay datos")</f>
        <v>Daniel Fernández</v>
      </c>
      <c r="H1279" s="2" t="str">
        <f t="array" ref="H1279">_xlfn.XLOOKUP(B1279,Vendedores!$A$2:$A$41,Vendedores!$C$2:$C$41,"No hay datos")</f>
        <v>Puerto Esperanza</v>
      </c>
      <c r="I1279" s="2" t="str">
        <f t="array" ref="I1279">_xlfn.XLOOKUP(B1279,Vendedores!$A$2:$A$41,Vendedores!$D$2:$D$41,"No hay datos")</f>
        <v>Región Sur</v>
      </c>
      <c r="J1279" s="2" t="str">
        <f t="array" ref="J1279:N1279">_xlfn.XLOOKUP(A1279,Productos!$A$2:$A$61,Productos!$B$2:$F$61)</f>
        <v>Playera lisa</v>
      </c>
      <c r="K1279" s="2" t="s">
        <v>9</v>
      </c>
      <c r="L1279" s="2" t="s">
        <v>10</v>
      </c>
      <c r="M1279" s="2" t="s">
        <v>20</v>
      </c>
      <c r="N1279" s="2" t="s">
        <v>21</v>
      </c>
    </row>
    <row r="1280">
      <c r="A1280" s="2" t="str">
        <f>IFERROR(__xludf.DUMMYFUNCTION("""COMPUTED_VALUE"""),"PR018")</f>
        <v>PR018</v>
      </c>
      <c r="B1280" s="2" t="str">
        <f>IFERROR(__xludf.DUMMYFUNCTION("""COMPUTED_VALUE"""),"VD029")</f>
        <v>VD029</v>
      </c>
      <c r="C1280" s="2">
        <f>IFERROR(__xludf.DUMMYFUNCTION("""COMPUTED_VALUE"""),9.0)</f>
        <v>9</v>
      </c>
      <c r="D1280" s="6">
        <f>IFERROR(__xludf.DUMMYFUNCTION("""COMPUTED_VALUE"""),307.94)</f>
        <v>307.94</v>
      </c>
      <c r="E1280" s="6">
        <f>IFERROR(__xludf.DUMMYFUNCTION("GOOGLEFINANCE(""Currency:BRLMXN"")*D1280"),1046.22615)</f>
        <v>1046.22615</v>
      </c>
      <c r="F1280" s="6">
        <f>IFERROR(__xludf.DUMMYFUNCTION("GOOGLEFINANCE(""Currency:BRLPEN"")*D1280"),201.88546399999998)</f>
        <v>201.885464</v>
      </c>
      <c r="G1280" s="2" t="str">
        <f t="array" ref="G1280">_xlfn.XLOOKUP(B1280,Vendedores!$A$2:$A$41,Vendedores!$B$2:$B$41,"No hay datos")</f>
        <v>Gabriela Sosa</v>
      </c>
      <c r="H1280" s="2" t="str">
        <f t="array" ref="H1280">_xlfn.XLOOKUP(B1280,Vendedores!$A$2:$A$41,Vendedores!$C$2:$C$41,"No hay datos")</f>
        <v>Selva Verde</v>
      </c>
      <c r="I1280" s="2" t="str">
        <f t="array" ref="I1280">_xlfn.XLOOKUP(B1280,Vendedores!$A$2:$A$41,Vendedores!$D$2:$D$41,"No hay datos")</f>
        <v>Región Amazónica</v>
      </c>
      <c r="J1280" s="2" t="str">
        <f t="array" ref="J1280:N1280">_xlfn.XLOOKUP(A1280,Productos!$A$2:$A$61,Productos!$B$2:$F$61)</f>
        <v>Playera lisa</v>
      </c>
      <c r="K1280" s="2" t="s">
        <v>22</v>
      </c>
      <c r="L1280" s="2" t="s">
        <v>10</v>
      </c>
      <c r="M1280" s="2" t="s">
        <v>57</v>
      </c>
      <c r="N1280" s="2" t="s">
        <v>24</v>
      </c>
    </row>
    <row r="1281">
      <c r="A1281" s="2" t="str">
        <f>IFERROR(__xludf.DUMMYFUNCTION("""COMPUTED_VALUE"""),"PR021")</f>
        <v>PR021</v>
      </c>
      <c r="B1281" s="2" t="str">
        <f>IFERROR(__xludf.DUMMYFUNCTION("""COMPUTED_VALUE"""),"VD010")</f>
        <v>VD010</v>
      </c>
      <c r="C1281" s="2">
        <f>IFERROR(__xludf.DUMMYFUNCTION("""COMPUTED_VALUE"""),3.0)</f>
        <v>3</v>
      </c>
      <c r="D1281" s="6">
        <f>IFERROR(__xludf.DUMMYFUNCTION("""COMPUTED_VALUE"""),935.96)</f>
        <v>935.96</v>
      </c>
      <c r="E1281" s="6">
        <f>IFERROR(__xludf.DUMMYFUNCTION("GOOGLEFINANCE(""Currency:BRLMXN"")*D1281"),3179.9241)</f>
        <v>3179.9241</v>
      </c>
      <c r="F1281" s="6">
        <f>IFERROR(__xludf.DUMMYFUNCTION("GOOGLEFINANCE(""Currency:BRLPEN"")*D1281"),613.615376)</f>
        <v>613.615376</v>
      </c>
      <c r="G1281" s="2" t="str">
        <f t="array" ref="G1281">_xlfn.XLOOKUP(B1281,Vendedores!$A$2:$A$41,Vendedores!$B$2:$B$41,"No hay datos")</f>
        <v>María Silva</v>
      </c>
      <c r="H1281" s="2" t="str">
        <f t="array" ref="H1281">_xlfn.XLOOKUP(B1281,Vendedores!$A$2:$A$41,Vendedores!$C$2:$C$41,"No hay datos")</f>
        <v>San Juan de la Sierra</v>
      </c>
      <c r="I1281" s="2" t="str">
        <f t="array" ref="I1281">_xlfn.XLOOKUP(B1281,Vendedores!$A$2:$A$41,Vendedores!$D$2:$D$41,"No hay datos")</f>
        <v>Región Central</v>
      </c>
      <c r="J1281" s="2" t="str">
        <f t="array" ref="J1281:N1281">_xlfn.XLOOKUP(A1281,Productos!$A$2:$A$61,Productos!$B$2:$F$61)</f>
        <v>Chaqueta de cuero</v>
      </c>
      <c r="K1281" s="2" t="s">
        <v>17</v>
      </c>
      <c r="L1281" s="2" t="s">
        <v>10</v>
      </c>
      <c r="M1281" s="2" t="s">
        <v>80</v>
      </c>
      <c r="N1281" s="2" t="s">
        <v>81</v>
      </c>
    </row>
    <row r="1282">
      <c r="A1282" s="2" t="str">
        <f>IFERROR(__xludf.DUMMYFUNCTION("""COMPUTED_VALUE"""),"PR004")</f>
        <v>PR004</v>
      </c>
      <c r="B1282" s="2" t="str">
        <f>IFERROR(__xludf.DUMMYFUNCTION("""COMPUTED_VALUE"""),"VD041")</f>
        <v>VD041</v>
      </c>
      <c r="C1282" s="2">
        <f>IFERROR(__xludf.DUMMYFUNCTION("""COMPUTED_VALUE"""),12.0)</f>
        <v>12</v>
      </c>
      <c r="D1282" s="6">
        <f>IFERROR(__xludf.DUMMYFUNCTION("""COMPUTED_VALUE"""),1809.6)</f>
        <v>1809.6</v>
      </c>
      <c r="E1282" s="6">
        <f>IFERROR(__xludf.DUMMYFUNCTION("GOOGLEFINANCE(""Currency:BRLMXN"")*D1282"),6148.116)</f>
        <v>6148.116</v>
      </c>
      <c r="F1282" s="6">
        <f>IFERROR(__xludf.DUMMYFUNCTION("GOOGLEFINANCE(""Currency:BRLPEN"")*D1282"),1186.37376)</f>
        <v>1186.37376</v>
      </c>
      <c r="G1282" s="2" t="str">
        <f t="array" ref="G1282">_xlfn.XLOOKUP(B1282,Vendedores!$A$2:$A$41,Vendedores!$B$2:$B$41,"No hay datos")</f>
        <v>Alejandro Ramos</v>
      </c>
      <c r="H1282" s="2" t="str">
        <f t="array" ref="H1282">_xlfn.XLOOKUP(B1282,Vendedores!$A$2:$A$41,Vendedores!$C$2:$C$41,"No hay datos")</f>
        <v>San Martín de las Rosas</v>
      </c>
      <c r="I1282" s="2" t="str">
        <f t="array" ref="I1282">_xlfn.XLOOKUP(B1282,Vendedores!$A$2:$A$41,Vendedores!$D$2:$D$41,"No hay datos")</f>
        <v>Región Central 2</v>
      </c>
      <c r="J1282" s="2" t="str">
        <f t="array" ref="J1282:N1282">_xlfn.XLOOKUP(A1282,Productos!$A$2:$A$61,Productos!$B$2:$F$61)</f>
        <v>Bolso versátil</v>
      </c>
      <c r="K1282" s="2" t="s">
        <v>29</v>
      </c>
      <c r="L1282" s="2" t="s">
        <v>30</v>
      </c>
      <c r="M1282" s="2" t="s">
        <v>59</v>
      </c>
      <c r="N1282" s="2" t="s">
        <v>60</v>
      </c>
    </row>
    <row r="1283">
      <c r="A1283" s="2" t="str">
        <f>IFERROR(__xludf.DUMMYFUNCTION("""COMPUTED_VALUE"""),"PR044")</f>
        <v>PR044</v>
      </c>
      <c r="B1283" s="2" t="str">
        <f>IFERROR(__xludf.DUMMYFUNCTION("""COMPUTED_VALUE"""),"VD039")</f>
        <v>VD039</v>
      </c>
      <c r="C1283" s="2">
        <f>IFERROR(__xludf.DUMMYFUNCTION("""COMPUTED_VALUE"""),5.0)</f>
        <v>5</v>
      </c>
      <c r="D1283" s="6">
        <f>IFERROR(__xludf.DUMMYFUNCTION("""COMPUTED_VALUE"""),387.88)</f>
        <v>387.88</v>
      </c>
      <c r="E1283" s="6">
        <f>IFERROR(__xludf.DUMMYFUNCTION("GOOGLEFINANCE(""Currency:BRLMXN"")*D1283"),1317.8223)</f>
        <v>1317.8223</v>
      </c>
      <c r="F1283" s="6">
        <f>IFERROR(__xludf.DUMMYFUNCTION("GOOGLEFINANCE(""Currency:BRLPEN"")*D1283"),254.29412799999997)</f>
        <v>254.294128</v>
      </c>
      <c r="G1283" s="2" t="str">
        <f t="array" ref="G1283">_xlfn.XLOOKUP(B1283,Vendedores!$A$2:$A$41,Vendedores!$B$2:$B$41,"No hay datos")</f>
        <v>Daniela Rodríguez</v>
      </c>
      <c r="H1283" s="2" t="str">
        <f t="array" ref="H1283">_xlfn.XLOOKUP(B1283,Vendedores!$A$2:$A$41,Vendedores!$C$2:$C$41,"No hay datos")</f>
        <v>Bahía del Sol</v>
      </c>
      <c r="I1283" s="2" t="str">
        <f t="array" ref="I1283">_xlfn.XLOOKUP(B1283,Vendedores!$A$2:$A$41,Vendedores!$D$2:$D$41,"No hay datos")</f>
        <v>Región Central 2</v>
      </c>
      <c r="J1283" s="2" t="str">
        <f t="array" ref="J1283:N1283">_xlfn.XLOOKUP(A1283,Productos!$A$2:$A$61,Productos!$B$2:$F$61)</f>
        <v>Vestido floral</v>
      </c>
      <c r="K1283" s="2" t="s">
        <v>17</v>
      </c>
      <c r="L1283" s="2" t="s">
        <v>10</v>
      </c>
      <c r="M1283" s="2" t="s">
        <v>105</v>
      </c>
      <c r="N1283" s="2" t="s">
        <v>40</v>
      </c>
    </row>
    <row r="1284">
      <c r="A1284" s="2" t="str">
        <f>IFERROR(__xludf.DUMMYFUNCTION("""COMPUTED_VALUE"""),"PR028")</f>
        <v>PR028</v>
      </c>
      <c r="B1284" s="2" t="str">
        <f>IFERROR(__xludf.DUMMYFUNCTION("""COMPUTED_VALUE"""),"VD026")</f>
        <v>VD026</v>
      </c>
      <c r="C1284" s="2">
        <f>IFERROR(__xludf.DUMMYFUNCTION("""COMPUTED_VALUE"""),1.0)</f>
        <v>1</v>
      </c>
      <c r="D1284" s="6">
        <f>IFERROR(__xludf.DUMMYFUNCTION("""COMPUTED_VALUE"""),259.9)</f>
        <v>259.9</v>
      </c>
      <c r="E1284" s="6">
        <f>IFERROR(__xludf.DUMMYFUNCTION("GOOGLEFINANCE(""Currency:BRLMXN"")*D1284"),883.0102499999999)</f>
        <v>883.01025</v>
      </c>
      <c r="F1284" s="6">
        <f>IFERROR(__xludf.DUMMYFUNCTION("GOOGLEFINANCE(""Currency:BRLPEN"")*D1284"),170.39043999999998)</f>
        <v>170.39044</v>
      </c>
      <c r="G1284" s="2" t="str">
        <f t="array" ref="G1284">_xlfn.XLOOKUP(B1284,Vendedores!$A$2:$A$41,Vendedores!$B$2:$B$41,"No hay datos")</f>
        <v>Daniel Fernández</v>
      </c>
      <c r="H1284" s="2" t="str">
        <f t="array" ref="H1284">_xlfn.XLOOKUP(B1284,Vendedores!$A$2:$A$41,Vendedores!$C$2:$C$41,"No hay datos")</f>
        <v>Puerto Esperanza</v>
      </c>
      <c r="I1284" s="2" t="str">
        <f t="array" ref="I1284">_xlfn.XLOOKUP(B1284,Vendedores!$A$2:$A$41,Vendedores!$D$2:$D$41,"No hay datos")</f>
        <v>Región Sur</v>
      </c>
      <c r="J1284" s="2" t="str">
        <f t="array" ref="J1284:N1284">_xlfn.XLOOKUP(A1284,Productos!$A$2:$A$61,Productos!$B$2:$F$61)</f>
        <v>Tenis Atitas</v>
      </c>
      <c r="K1284" s="2">
        <v>36.0</v>
      </c>
      <c r="L1284" s="2" t="s">
        <v>33</v>
      </c>
      <c r="M1284" s="2" t="s">
        <v>55</v>
      </c>
      <c r="N1284" s="2" t="s">
        <v>56</v>
      </c>
    </row>
    <row r="1285">
      <c r="A1285" s="2" t="str">
        <f>IFERROR(__xludf.DUMMYFUNCTION("""COMPUTED_VALUE"""),"PR024")</f>
        <v>PR024</v>
      </c>
      <c r="B1285" s="2" t="str">
        <f>IFERROR(__xludf.DUMMYFUNCTION("""COMPUTED_VALUE"""),"VD036")</f>
        <v>VD036</v>
      </c>
      <c r="C1285" s="2">
        <f>IFERROR(__xludf.DUMMYFUNCTION("""COMPUTED_VALUE"""),2.0)</f>
        <v>2</v>
      </c>
      <c r="D1285" s="6">
        <f>IFERROR(__xludf.DUMMYFUNCTION("""COMPUTED_VALUE"""),540.59)</f>
        <v>540.59</v>
      </c>
      <c r="E1285" s="6">
        <f>IFERROR(__xludf.DUMMYFUNCTION("GOOGLEFINANCE(""Currency:BRLMXN"")*D1285"),1836.6545250000001)</f>
        <v>1836.654525</v>
      </c>
      <c r="F1285" s="6">
        <f>IFERROR(__xludf.DUMMYFUNCTION("GOOGLEFINANCE(""Currency:BRLPEN"")*D1285"),354.410804)</f>
        <v>354.410804</v>
      </c>
      <c r="G1285" s="2" t="str">
        <f t="array" ref="G1285">_xlfn.XLOOKUP(B1285,Vendedores!$A$2:$A$41,Vendedores!$B$2:$B$41,"No hay datos")</f>
        <v>Ricardo Sosa</v>
      </c>
      <c r="H1285" s="2" t="str">
        <f t="array" ref="H1285">_xlfn.XLOOKUP(B1285,Vendedores!$A$2:$A$41,Vendedores!$C$2:$C$41,"No hay datos")</f>
        <v>Puerto Nuevo</v>
      </c>
      <c r="I1285" s="2" t="str">
        <f t="array" ref="I1285">_xlfn.XLOOKUP(B1285,Vendedores!$A$2:$A$41,Vendedores!$D$2:$D$41,"No hay datos")</f>
        <v>Región Central 2</v>
      </c>
      <c r="J1285" s="2" t="str">
        <f t="array" ref="J1285:N1285">_xlfn.XLOOKUP(A1285,Productos!$A$2:$A$61,Productos!$B$2:$F$61)</f>
        <v>Chaqueta de mezclilla</v>
      </c>
      <c r="K1285" s="2" t="s">
        <v>17</v>
      </c>
      <c r="L1285" s="2" t="s">
        <v>10</v>
      </c>
      <c r="M1285" s="2" t="s">
        <v>92</v>
      </c>
      <c r="N1285" s="2" t="s">
        <v>64</v>
      </c>
    </row>
    <row r="1286">
      <c r="A1286" s="2" t="str">
        <f>IFERROR(__xludf.DUMMYFUNCTION("""COMPUTED_VALUE"""),"PR004")</f>
        <v>PR004</v>
      </c>
      <c r="B1286" s="2" t="str">
        <f>IFERROR(__xludf.DUMMYFUNCTION("""COMPUTED_VALUE"""),"VD020")</f>
        <v>VD020</v>
      </c>
      <c r="C1286" s="2">
        <f>IFERROR(__xludf.DUMMYFUNCTION("""COMPUTED_VALUE"""),10.0)</f>
        <v>10</v>
      </c>
      <c r="D1286" s="6">
        <f>IFERROR(__xludf.DUMMYFUNCTION("""COMPUTED_VALUE"""),1464.5)</f>
        <v>1464.5</v>
      </c>
      <c r="E1286" s="6">
        <f>IFERROR(__xludf.DUMMYFUNCTION("GOOGLEFINANCE(""Currency:BRLMXN"")*D1286"),4975.63875)</f>
        <v>4975.63875</v>
      </c>
      <c r="F1286" s="6">
        <f>IFERROR(__xludf.DUMMYFUNCTION("GOOGLEFINANCE(""Currency:BRLPEN"")*D1286"),960.1261999999999)</f>
        <v>960.1262</v>
      </c>
      <c r="G1286" s="2" t="str">
        <f t="array" ref="G1286">_xlfn.XLOOKUP(B1286,Vendedores!$A$2:$A$41,Vendedores!$B$2:$B$41,"No hay datos")</f>
        <v>Gustavo Morales</v>
      </c>
      <c r="H1286" s="2" t="str">
        <f t="array" ref="H1286">_xlfn.XLOOKUP(B1286,Vendedores!$A$2:$A$41,Vendedores!$C$2:$C$41,"No hay datos")</f>
        <v>Villa del Sol</v>
      </c>
      <c r="I1286" s="2" t="str">
        <f t="array" ref="I1286">_xlfn.XLOOKUP(B1286,Vendedores!$A$2:$A$41,Vendedores!$D$2:$D$41,"No hay datos")</f>
        <v>Región Central 2</v>
      </c>
      <c r="J1286" s="2" t="str">
        <f t="array" ref="J1286:N1286">_xlfn.XLOOKUP(A1286,Productos!$A$2:$A$61,Productos!$B$2:$F$61)</f>
        <v>Bolso versátil</v>
      </c>
      <c r="K1286" s="2" t="s">
        <v>29</v>
      </c>
      <c r="L1286" s="2" t="s">
        <v>30</v>
      </c>
      <c r="M1286" s="2" t="s">
        <v>59</v>
      </c>
      <c r="N1286" s="2" t="s">
        <v>60</v>
      </c>
    </row>
    <row r="1287">
      <c r="A1287" s="2" t="str">
        <f>IFERROR(__xludf.DUMMYFUNCTION("""COMPUTED_VALUE"""),"PR004")</f>
        <v>PR004</v>
      </c>
      <c r="B1287" s="2" t="str">
        <f>IFERROR(__xludf.DUMMYFUNCTION("""COMPUTED_VALUE"""),"VD011")</f>
        <v>VD011</v>
      </c>
      <c r="C1287" s="2">
        <f>IFERROR(__xludf.DUMMYFUNCTION("""COMPUTED_VALUE"""),16.0)</f>
        <v>16</v>
      </c>
      <c r="D1287" s="6">
        <f>IFERROR(__xludf.DUMMYFUNCTION("""COMPUTED_VALUE"""),2528.8)</f>
        <v>2528.8</v>
      </c>
      <c r="E1287" s="6">
        <f>IFERROR(__xludf.DUMMYFUNCTION("GOOGLEFINANCE(""Currency:BRLMXN"")*D1287"),8591.598)</f>
        <v>8591.598</v>
      </c>
      <c r="F1287" s="6">
        <f>IFERROR(__xludf.DUMMYFUNCTION("GOOGLEFINANCE(""Currency:BRLPEN"")*D1287"),1657.88128)</f>
        <v>1657.88128</v>
      </c>
      <c r="G1287" s="2" t="str">
        <f t="array" ref="G1287">_xlfn.XLOOKUP(B1287,Vendedores!$A$2:$A$41,Vendedores!$B$2:$B$41,"No hay datos")</f>
        <v>Juan Santos</v>
      </c>
      <c r="H1287" s="2" t="str">
        <f t="array" ref="H1287">_xlfn.XLOOKUP(B1287,Vendedores!$A$2:$A$41,Vendedores!$C$2:$C$41,"No hay datos")</f>
        <v>Vista Hermosa</v>
      </c>
      <c r="I1287" s="2" t="str">
        <f t="array" ref="I1287">_xlfn.XLOOKUP(B1287,Vendedores!$A$2:$A$41,Vendedores!$D$2:$D$41,"No hay datos")</f>
        <v>Región Central</v>
      </c>
      <c r="J1287" s="2" t="str">
        <f t="array" ref="J1287:N1287">_xlfn.XLOOKUP(A1287,Productos!$A$2:$A$61,Productos!$B$2:$F$61)</f>
        <v>Bolso versátil</v>
      </c>
      <c r="K1287" s="2" t="s">
        <v>29</v>
      </c>
      <c r="L1287" s="2" t="s">
        <v>30</v>
      </c>
      <c r="M1287" s="2" t="s">
        <v>59</v>
      </c>
      <c r="N1287" s="2" t="s">
        <v>60</v>
      </c>
    </row>
    <row r="1288">
      <c r="A1288" s="2" t="str">
        <f>IFERROR(__xludf.DUMMYFUNCTION("""COMPUTED_VALUE"""),"PR007")</f>
        <v>PR007</v>
      </c>
      <c r="B1288" s="2" t="str">
        <f>IFERROR(__xludf.DUMMYFUNCTION("""COMPUTED_VALUE"""),"VD023")</f>
        <v>VD023</v>
      </c>
      <c r="C1288" s="2">
        <f>IFERROR(__xludf.DUMMYFUNCTION("""COMPUTED_VALUE"""),4.0)</f>
        <v>4</v>
      </c>
      <c r="D1288" s="6">
        <f>IFERROR(__xludf.DUMMYFUNCTION("""COMPUTED_VALUE"""),343.6)</f>
        <v>343.6</v>
      </c>
      <c r="E1288" s="6">
        <f>IFERROR(__xludf.DUMMYFUNCTION("GOOGLEFINANCE(""Currency:BRLMXN"")*D1288"),1167.381)</f>
        <v>1167.381</v>
      </c>
      <c r="F1288" s="6">
        <f>IFERROR(__xludf.DUMMYFUNCTION("GOOGLEFINANCE(""Currency:BRLPEN"")*D1288"),225.26416)</f>
        <v>225.26416</v>
      </c>
      <c r="G1288" s="2" t="str">
        <f t="array" ref="G1288">_xlfn.XLOOKUP(B1288,Vendedores!$A$2:$A$41,Vendedores!$B$2:$B$41,"No hay datos")</f>
        <v>Juliana Castro</v>
      </c>
      <c r="H1288" s="2" t="str">
        <f t="array" ref="H1288">_xlfn.XLOOKUP(B1288,Vendedores!$A$2:$A$41,Vendedores!$C$2:$C$41,"No hay datos")</f>
        <v>San Miguel de los Pinos</v>
      </c>
      <c r="I1288" s="2" t="str">
        <f t="array" ref="I1288">_xlfn.XLOOKUP(B1288,Vendedores!$A$2:$A$41,Vendedores!$D$2:$D$41,"No hay datos")</f>
        <v>Región Sur</v>
      </c>
      <c r="J1288" s="2" t="str">
        <f t="array" ref="J1288:N1288">_xlfn.XLOOKUP(A1288,Productos!$A$2:$A$61,Productos!$B$2:$F$61)</f>
        <v>Pantalón de mezclilla</v>
      </c>
      <c r="K1288" s="2" t="s">
        <v>9</v>
      </c>
      <c r="L1288" s="2" t="s">
        <v>10</v>
      </c>
      <c r="M1288" s="2" t="s">
        <v>103</v>
      </c>
      <c r="N1288" s="2" t="s">
        <v>104</v>
      </c>
    </row>
    <row r="1289">
      <c r="A1289" s="2" t="str">
        <f>IFERROR(__xludf.DUMMYFUNCTION("""COMPUTED_VALUE"""),"PR020")</f>
        <v>PR020</v>
      </c>
      <c r="B1289" s="2" t="str">
        <f>IFERROR(__xludf.DUMMYFUNCTION("""COMPUTED_VALUE"""),"VD015")</f>
        <v>VD015</v>
      </c>
      <c r="C1289" s="2">
        <f>IFERROR(__xludf.DUMMYFUNCTION("""COMPUTED_VALUE"""),18.0)</f>
        <v>18</v>
      </c>
      <c r="D1289" s="6">
        <f>IFERROR(__xludf.DUMMYFUNCTION("""COMPUTED_VALUE"""),5830.06)</f>
        <v>5830.06</v>
      </c>
      <c r="E1289" s="6">
        <f>IFERROR(__xludf.DUMMYFUNCTION("GOOGLEFINANCE(""Currency:BRLMXN"")*D1289"),19807.62885)</f>
        <v>19807.62885</v>
      </c>
      <c r="F1289" s="6">
        <f>IFERROR(__xludf.DUMMYFUNCTION("GOOGLEFINANCE(""Currency:BRLPEN"")*D1289"),3822.187336)</f>
        <v>3822.187336</v>
      </c>
      <c r="G1289" s="2" t="str">
        <f t="array" ref="G1289">_xlfn.XLOOKUP(B1289,Vendedores!$A$2:$A$41,Vendedores!$B$2:$B$41,"No hay datos")</f>
        <v>Lucas Castillo</v>
      </c>
      <c r="H1289" s="2" t="str">
        <f t="array" ref="H1289">_xlfn.XLOOKUP(B1289,Vendedores!$A$2:$A$41,Vendedores!$C$2:$C$41,"No hay datos")</f>
        <v>San Miguel de los Pinos</v>
      </c>
      <c r="I1289" s="2" t="str">
        <f t="array" ref="I1289">_xlfn.XLOOKUP(B1289,Vendedores!$A$2:$A$41,Vendedores!$D$2:$D$41,"No hay datos")</f>
        <v>Región Sur</v>
      </c>
      <c r="J1289" s="2" t="str">
        <f t="array" ref="J1289:N1289">_xlfn.XLOOKUP(A1289,Productos!$A$2:$A$61,Productos!$B$2:$F$61)</f>
        <v>Chaqueta de cuero</v>
      </c>
      <c r="K1289" s="2" t="s">
        <v>9</v>
      </c>
      <c r="L1289" s="2" t="s">
        <v>10</v>
      </c>
      <c r="M1289" s="2" t="s">
        <v>15</v>
      </c>
      <c r="N1289" s="2" t="s">
        <v>16</v>
      </c>
    </row>
    <row r="1290">
      <c r="A1290" s="2" t="str">
        <f>IFERROR(__xludf.DUMMYFUNCTION("""COMPUTED_VALUE"""),"PR051")</f>
        <v>PR051</v>
      </c>
      <c r="B1290" s="2" t="str">
        <f>IFERROR(__xludf.DUMMYFUNCTION("""COMPUTED_VALUE"""),"VD046")</f>
        <v>VD046</v>
      </c>
      <c r="C1290" s="2">
        <f>IFERROR(__xludf.DUMMYFUNCTION("""COMPUTED_VALUE"""),6.0)</f>
        <v>6</v>
      </c>
      <c r="D1290" s="6">
        <f>IFERROR(__xludf.DUMMYFUNCTION("""COMPUTED_VALUE"""),213.19)</f>
        <v>213.19</v>
      </c>
      <c r="E1290" s="6">
        <f>IFERROR(__xludf.DUMMYFUNCTION("GOOGLEFINANCE(""Currency:BRLMXN"")*D1290"),724.313025)</f>
        <v>724.313025</v>
      </c>
      <c r="F1290" s="6">
        <f>IFERROR(__xludf.DUMMYFUNCTION("GOOGLEFINANCE(""Currency:BRLPEN"")*D1290"),139.767364)</f>
        <v>139.767364</v>
      </c>
      <c r="G1290" s="2" t="str">
        <f t="array" ref="G1290">_xlfn.XLOOKUP(B1290,Vendedores!$A$2:$A$41,Vendedores!$B$2:$B$41,"No hay datos")</f>
        <v>Juliana Pérez</v>
      </c>
      <c r="H1290" s="2" t="str">
        <f t="array" ref="H1290">_xlfn.XLOOKUP(B1290,Vendedores!$A$2:$A$41,Vendedores!$C$2:$C$41,"No hay datos")</f>
        <v>Santa Cruz de la Sierra</v>
      </c>
      <c r="I1290" s="2" t="str">
        <f t="array" ref="I1290">_xlfn.XLOOKUP(B1290,Vendedores!$A$2:$A$41,Vendedores!$D$2:$D$41,"No hay datos")</f>
        <v>Región Central 2</v>
      </c>
      <c r="J1290" s="2" t="str">
        <f t="array" ref="J1290:N1290">_xlfn.XLOOKUP(A1290,Productos!$A$2:$A$61,Productos!$B$2:$F$61)</f>
        <v>Playera a rayas</v>
      </c>
      <c r="K1290" s="2" t="s">
        <v>22</v>
      </c>
      <c r="L1290" s="2" t="s">
        <v>10</v>
      </c>
      <c r="M1290" s="2" t="s">
        <v>23</v>
      </c>
      <c r="N1290" s="2" t="s">
        <v>24</v>
      </c>
    </row>
    <row r="1291">
      <c r="A1291" s="2" t="str">
        <f>IFERROR(__xludf.DUMMYFUNCTION("""COMPUTED_VALUE"""),"PR057")</f>
        <v>PR057</v>
      </c>
      <c r="B1291" s="2" t="str">
        <f>IFERROR(__xludf.DUMMYFUNCTION("""COMPUTED_VALUE"""),"VD017")</f>
        <v>VD017</v>
      </c>
      <c r="C1291" s="2">
        <f>IFERROR(__xludf.DUMMYFUNCTION("""COMPUTED_VALUE"""),5.0)</f>
        <v>5</v>
      </c>
      <c r="D1291" s="6">
        <f>IFERROR(__xludf.DUMMYFUNCTION("""COMPUTED_VALUE"""),454.0)</f>
        <v>454</v>
      </c>
      <c r="E1291" s="6">
        <f>IFERROR(__xludf.DUMMYFUNCTION("GOOGLEFINANCE(""Currency:BRLMXN"")*D1291"),1542.465)</f>
        <v>1542.465</v>
      </c>
      <c r="F1291" s="6">
        <f>IFERROR(__xludf.DUMMYFUNCTION("GOOGLEFINANCE(""Currency:BRLPEN"")*D1291"),297.6424)</f>
        <v>297.6424</v>
      </c>
      <c r="G1291" s="2" t="str">
        <f t="array" ref="G1291">_xlfn.XLOOKUP(B1291,Vendedores!$A$2:$A$41,Vendedores!$B$2:$B$41,"No hay datos")</f>
        <v>Bruno Peralta</v>
      </c>
      <c r="H1291" s="2" t="str">
        <f t="array" ref="H1291">_xlfn.XLOOKUP(B1291,Vendedores!$A$2:$A$41,Vendedores!$C$2:$C$41,"No hay datos")</f>
        <v>Costa Azul</v>
      </c>
      <c r="I1291" s="2" t="str">
        <f t="array" ref="I1291">_xlfn.XLOOKUP(B1291,Vendedores!$A$2:$A$41,Vendedores!$D$2:$D$41,"No hay datos")</f>
        <v>Región Norte</v>
      </c>
      <c r="J1291" s="2" t="str">
        <f t="array" ref="J1291:N1291">_xlfn.XLOOKUP(A1291,Productos!$A$2:$A$61,Productos!$B$2:$F$61)</f>
        <v>Sandalia plana</v>
      </c>
      <c r="K1291" s="2">
        <v>37.0</v>
      </c>
      <c r="L1291" s="2" t="s">
        <v>33</v>
      </c>
      <c r="M1291" s="2" t="s">
        <v>58</v>
      </c>
      <c r="N1291" s="2" t="s">
        <v>35</v>
      </c>
    </row>
    <row r="1292">
      <c r="A1292" s="2" t="str">
        <f>IFERROR(__xludf.DUMMYFUNCTION("""COMPUTED_VALUE"""),"PR035")</f>
        <v>PR035</v>
      </c>
      <c r="B1292" s="2" t="str">
        <f>IFERROR(__xludf.DUMMYFUNCTION("""COMPUTED_VALUE"""),"VD017")</f>
        <v>VD017</v>
      </c>
      <c r="C1292" s="2">
        <f>IFERROR(__xludf.DUMMYFUNCTION("""COMPUTED_VALUE"""),12.0)</f>
        <v>12</v>
      </c>
      <c r="D1292" s="6">
        <f>IFERROR(__xludf.DUMMYFUNCTION("""COMPUTED_VALUE"""),1173.58)</f>
        <v>1173.58</v>
      </c>
      <c r="E1292" s="6">
        <f>IFERROR(__xludf.DUMMYFUNCTION("GOOGLEFINANCE(""Currency:BRLMXN"")*D1292"),3987.23805)</f>
        <v>3987.23805</v>
      </c>
      <c r="F1292" s="6">
        <f>IFERROR(__xludf.DUMMYFUNCTION("GOOGLEFINANCE(""Currency:BRLPEN"")*D1292"),769.3990479999999)</f>
        <v>769.399048</v>
      </c>
      <c r="G1292" s="2" t="str">
        <f t="array" ref="G1292">_xlfn.XLOOKUP(B1292,Vendedores!$A$2:$A$41,Vendedores!$B$2:$B$41,"No hay datos")</f>
        <v>Bruno Peralta</v>
      </c>
      <c r="H1292" s="2" t="str">
        <f t="array" ref="H1292">_xlfn.XLOOKUP(B1292,Vendedores!$A$2:$A$41,Vendedores!$C$2:$C$41,"No hay datos")</f>
        <v>Costa Azul</v>
      </c>
      <c r="I1292" s="2" t="str">
        <f t="array" ref="I1292">_xlfn.XLOOKUP(B1292,Vendedores!$A$2:$A$41,Vendedores!$D$2:$D$41,"No hay datos")</f>
        <v>Región Norte</v>
      </c>
      <c r="J1292" s="2" t="str">
        <f t="array" ref="J1292:N1292">_xlfn.XLOOKUP(A1292,Productos!$A$2:$A$61,Productos!$B$2:$F$61)</f>
        <v>Vestido corto</v>
      </c>
      <c r="K1292" s="2" t="s">
        <v>17</v>
      </c>
      <c r="L1292" s="2" t="s">
        <v>10</v>
      </c>
      <c r="M1292" s="2" t="s">
        <v>18</v>
      </c>
      <c r="N1292" s="2" t="s">
        <v>19</v>
      </c>
    </row>
    <row r="1293">
      <c r="A1293" s="2" t="str">
        <f>IFERROR(__xludf.DUMMYFUNCTION("""COMPUTED_VALUE"""),"PR049")</f>
        <v>PR049</v>
      </c>
      <c r="B1293" s="2" t="str">
        <f>IFERROR(__xludf.DUMMYFUNCTION("""COMPUTED_VALUE"""),"VD023")</f>
        <v>VD023</v>
      </c>
      <c r="C1293" s="2">
        <f>IFERROR(__xludf.DUMMYFUNCTION("""COMPUTED_VALUE"""),9.0)</f>
        <v>9</v>
      </c>
      <c r="D1293" s="6">
        <f>IFERROR(__xludf.DUMMYFUNCTION("""COMPUTED_VALUE"""),302.02)</f>
        <v>302.02</v>
      </c>
      <c r="E1293" s="6">
        <f>IFERROR(__xludf.DUMMYFUNCTION("GOOGLEFINANCE(""Currency:BRLMXN"")*D1293"),1026.11295)</f>
        <v>1026.11295</v>
      </c>
      <c r="F1293" s="6">
        <f>IFERROR(__xludf.DUMMYFUNCTION("GOOGLEFINANCE(""Currency:BRLPEN"")*D1293"),198.00431199999997)</f>
        <v>198.004312</v>
      </c>
      <c r="G1293" s="2" t="str">
        <f t="array" ref="G1293">_xlfn.XLOOKUP(B1293,Vendedores!$A$2:$A$41,Vendedores!$B$2:$B$41,"No hay datos")</f>
        <v>Juliana Castro</v>
      </c>
      <c r="H1293" s="2" t="str">
        <f t="array" ref="H1293">_xlfn.XLOOKUP(B1293,Vendedores!$A$2:$A$41,Vendedores!$C$2:$C$41,"No hay datos")</f>
        <v>San Miguel de los Pinos</v>
      </c>
      <c r="I1293" s="2" t="str">
        <f t="array" ref="I1293">_xlfn.XLOOKUP(B1293,Vendedores!$A$2:$A$41,Vendedores!$D$2:$D$41,"No hay datos")</f>
        <v>Región Sur</v>
      </c>
      <c r="J1293" s="2" t="str">
        <f t="array" ref="J1293:N1293">_xlfn.XLOOKUP(A1293,Productos!$A$2:$A$61,Productos!$B$2:$F$61)</f>
        <v>Playera a rayas</v>
      </c>
      <c r="K1293" s="2" t="s">
        <v>9</v>
      </c>
      <c r="L1293" s="2" t="s">
        <v>10</v>
      </c>
      <c r="M1293" s="2" t="s">
        <v>47</v>
      </c>
      <c r="N1293" s="2" t="s">
        <v>24</v>
      </c>
    </row>
    <row r="1294">
      <c r="A1294" s="2" t="str">
        <f>IFERROR(__xludf.DUMMYFUNCTION("""COMPUTED_VALUE"""),"PR054")</f>
        <v>PR054</v>
      </c>
      <c r="B1294" s="2" t="str">
        <f>IFERROR(__xludf.DUMMYFUNCTION("""COMPUTED_VALUE"""),"VD036")</f>
        <v>VD036</v>
      </c>
      <c r="C1294" s="2">
        <f>IFERROR(__xludf.DUMMYFUNCTION("""COMPUTED_VALUE"""),18.0)</f>
        <v>18</v>
      </c>
      <c r="D1294" s="6">
        <f>IFERROR(__xludf.DUMMYFUNCTION("""COMPUTED_VALUE"""),952.09)</f>
        <v>952.09</v>
      </c>
      <c r="E1294" s="6">
        <f>IFERROR(__xludf.DUMMYFUNCTION("GOOGLEFINANCE(""Currency:BRLMXN"")*D1294"),3234.725775)</f>
        <v>3234.725775</v>
      </c>
      <c r="F1294" s="6">
        <f>IFERROR(__xludf.DUMMYFUNCTION("GOOGLEFINANCE(""Currency:BRLPEN"")*D1294"),624.190204)</f>
        <v>624.190204</v>
      </c>
      <c r="G1294" s="2" t="str">
        <f t="array" ref="G1294">_xlfn.XLOOKUP(B1294,Vendedores!$A$2:$A$41,Vendedores!$B$2:$B$41,"No hay datos")</f>
        <v>Ricardo Sosa</v>
      </c>
      <c r="H1294" s="2" t="str">
        <f t="array" ref="H1294">_xlfn.XLOOKUP(B1294,Vendedores!$A$2:$A$41,Vendedores!$C$2:$C$41,"No hay datos")</f>
        <v>Puerto Nuevo</v>
      </c>
      <c r="I1294" s="2" t="str">
        <f t="array" ref="I1294">_xlfn.XLOOKUP(B1294,Vendedores!$A$2:$A$41,Vendedores!$D$2:$D$41,"No hay datos")</f>
        <v>Región Central 2</v>
      </c>
      <c r="J1294" s="2" t="str">
        <f t="array" ref="J1294:N1294">_xlfn.XLOOKUP(A1294,Productos!$A$2:$A$61,Productos!$B$2:$F$61)</f>
        <v>Falda plisada</v>
      </c>
      <c r="K1294" s="2" t="s">
        <v>22</v>
      </c>
      <c r="L1294" s="2" t="s">
        <v>10</v>
      </c>
      <c r="M1294" s="2" t="s">
        <v>42</v>
      </c>
      <c r="N1294" s="2" t="s">
        <v>32</v>
      </c>
    </row>
    <row r="1295">
      <c r="A1295" s="2" t="str">
        <f>IFERROR(__xludf.DUMMYFUNCTION("""COMPUTED_VALUE"""),"PR056")</f>
        <v>PR056</v>
      </c>
      <c r="B1295" s="2" t="str">
        <f>IFERROR(__xludf.DUMMYFUNCTION("""COMPUTED_VALUE"""),"VD032")</f>
        <v>VD032</v>
      </c>
      <c r="C1295" s="2">
        <f>IFERROR(__xludf.DUMMYFUNCTION("""COMPUTED_VALUE"""),2.0)</f>
        <v>2</v>
      </c>
      <c r="D1295" s="6">
        <f>IFERROR(__xludf.DUMMYFUNCTION("""COMPUTED_VALUE"""),188.79)</f>
        <v>188.79</v>
      </c>
      <c r="E1295" s="6">
        <f>IFERROR(__xludf.DUMMYFUNCTION("GOOGLEFINANCE(""Currency:BRLMXN"")*D1295"),641.4140249999999)</f>
        <v>641.414025</v>
      </c>
      <c r="F1295" s="6">
        <f>IFERROR(__xludf.DUMMYFUNCTION("GOOGLEFINANCE(""Currency:BRLPEN"")*D1295"),123.77072399999999)</f>
        <v>123.770724</v>
      </c>
      <c r="G1295" s="2" t="str">
        <f t="array" ref="G1295">_xlfn.XLOOKUP(B1295,Vendedores!$A$2:$A$41,Vendedores!$B$2:$B$41,"No hay datos")</f>
        <v>Eduardo Almonte</v>
      </c>
      <c r="H1295" s="2" t="str">
        <f t="array" ref="H1295">_xlfn.XLOOKUP(B1295,Vendedores!$A$2:$A$41,Vendedores!$C$2:$C$41,"No hay datos")</f>
        <v>Tierra Colorada</v>
      </c>
      <c r="I1295" s="2" t="str">
        <f t="array" ref="I1295">_xlfn.XLOOKUP(B1295,Vendedores!$A$2:$A$41,Vendedores!$D$2:$D$41,"No hay datos")</f>
        <v>Región Central 2</v>
      </c>
      <c r="J1295" s="2" t="str">
        <f t="array" ref="J1295:N1295">_xlfn.XLOOKUP(A1295,Productos!$A$2:$A$61,Productos!$B$2:$F$61)</f>
        <v>Sandalia plana</v>
      </c>
      <c r="K1295" s="2">
        <v>36.0</v>
      </c>
      <c r="L1295" s="2" t="s">
        <v>33</v>
      </c>
      <c r="M1295" s="2" t="s">
        <v>106</v>
      </c>
      <c r="N1295" s="2" t="s">
        <v>35</v>
      </c>
    </row>
    <row r="1296">
      <c r="A1296" s="2" t="str">
        <f>IFERROR(__xludf.DUMMYFUNCTION("""COMPUTED_VALUE"""),"PR055")</f>
        <v>PR055</v>
      </c>
      <c r="B1296" s="2" t="str">
        <f>IFERROR(__xludf.DUMMYFUNCTION("""COMPUTED_VALUE"""),"VD025")</f>
        <v>VD025</v>
      </c>
      <c r="C1296" s="2">
        <f>IFERROR(__xludf.DUMMYFUNCTION("""COMPUTED_VALUE"""),1.0)</f>
        <v>1</v>
      </c>
      <c r="D1296" s="6">
        <f>IFERROR(__xludf.DUMMYFUNCTION("""COMPUTED_VALUE"""),89.9)</f>
        <v>89.9</v>
      </c>
      <c r="E1296" s="6">
        <f>IFERROR(__xludf.DUMMYFUNCTION("GOOGLEFINANCE(""Currency:BRLMXN"")*D1296"),305.43525)</f>
        <v>305.43525</v>
      </c>
      <c r="F1296" s="6">
        <f>IFERROR(__xludf.DUMMYFUNCTION("GOOGLEFINANCE(""Currency:BRLPEN"")*D1296"),58.93844)</f>
        <v>58.93844</v>
      </c>
      <c r="G1296" s="2" t="str">
        <f t="array" ref="G1296">_xlfn.XLOOKUP(B1296,Vendedores!$A$2:$A$41,Vendedores!$B$2:$B$41,"No hay datos")</f>
        <v>Alina Santana</v>
      </c>
      <c r="H1296" s="2" t="str">
        <f t="array" ref="H1296">_xlfn.XLOOKUP(B1296,Vendedores!$A$2:$A$41,Vendedores!$C$2:$C$41,"No hay datos")</f>
        <v>Playa Blanca</v>
      </c>
      <c r="I1296" s="2" t="str">
        <f t="array" ref="I1296">_xlfn.XLOOKUP(B1296,Vendedores!$A$2:$A$41,Vendedores!$D$2:$D$41,"No hay datos")</f>
        <v>Región Norte</v>
      </c>
      <c r="J1296" s="2" t="str">
        <f t="array" ref="J1296:N1296">_xlfn.XLOOKUP(A1296,Productos!$A$2:$A$61,Productos!$B$2:$F$61)</f>
        <v>Sandalia plana</v>
      </c>
      <c r="K1296" s="2">
        <v>35.0</v>
      </c>
      <c r="L1296" s="2" t="s">
        <v>33</v>
      </c>
      <c r="M1296" s="2" t="s">
        <v>34</v>
      </c>
      <c r="N1296" s="2" t="s">
        <v>35</v>
      </c>
    </row>
    <row r="1297">
      <c r="A1297" s="2" t="str">
        <f>IFERROR(__xludf.DUMMYFUNCTION("""COMPUTED_VALUE"""),"PR027")</f>
        <v>PR027</v>
      </c>
      <c r="B1297" s="2" t="str">
        <f>IFERROR(__xludf.DUMMYFUNCTION("""COMPUTED_VALUE"""),"VD021")</f>
        <v>VD021</v>
      </c>
      <c r="C1297" s="2">
        <f>IFERROR(__xludf.DUMMYFUNCTION("""COMPUTED_VALUE"""),12.0)</f>
        <v>12</v>
      </c>
      <c r="D1297" s="6">
        <f>IFERROR(__xludf.DUMMYFUNCTION("""COMPUTED_VALUE"""),1555.2)</f>
        <v>1555.2</v>
      </c>
      <c r="E1297" s="6">
        <f>IFERROR(__xludf.DUMMYFUNCTION("GOOGLEFINANCE(""Currency:BRLMXN"")*D1297"),5283.792)</f>
        <v>5283.792</v>
      </c>
      <c r="F1297" s="6">
        <f>IFERROR(__xludf.DUMMYFUNCTION("GOOGLEFINANCE(""Currency:BRLPEN"")*D1297"),1019.58912)</f>
        <v>1019.58912</v>
      </c>
      <c r="G1297" s="2" t="str">
        <f t="array" ref="G1297">_xlfn.XLOOKUP(B1297,Vendedores!$A$2:$A$41,Vendedores!$B$2:$B$41,"No hay datos")</f>
        <v>Fernanda Méndez</v>
      </c>
      <c r="H1297" s="2" t="str">
        <f t="array" ref="H1297">_xlfn.XLOOKUP(B1297,Vendedores!$A$2:$A$41,Vendedores!$C$2:$C$41,"No hay datos")</f>
        <v>San Juan de la Sierra</v>
      </c>
      <c r="I1297" s="2" t="str">
        <f t="array" ref="I1297">_xlfn.XLOOKUP(B1297,Vendedores!$A$2:$A$41,Vendedores!$D$2:$D$41,"No hay datos")</f>
        <v>Región Central</v>
      </c>
      <c r="J1297" s="2" t="str">
        <f t="array" ref="J1297:N1297">_xlfn.XLOOKUP(A1297,Productos!$A$2:$A$61,Productos!$B$2:$F$61)</f>
        <v>Gafas redondas</v>
      </c>
      <c r="K1297" s="2" t="s">
        <v>29</v>
      </c>
      <c r="L1297" s="2" t="s">
        <v>30</v>
      </c>
      <c r="M1297" s="2" t="s">
        <v>53</v>
      </c>
      <c r="N1297" s="2" t="s">
        <v>54</v>
      </c>
    </row>
    <row r="1298">
      <c r="A1298" s="2" t="str">
        <f>IFERROR(__xludf.DUMMYFUNCTION("""COMPUTED_VALUE"""),"PR013")</f>
        <v>PR013</v>
      </c>
      <c r="B1298" s="2" t="str">
        <f>IFERROR(__xludf.DUMMYFUNCTION("""COMPUTED_VALUE"""),"VD044")</f>
        <v>VD044</v>
      </c>
      <c r="C1298" s="2">
        <f>IFERROR(__xludf.DUMMYFUNCTION("""COMPUTED_VALUE"""),4.0)</f>
        <v>4</v>
      </c>
      <c r="D1298" s="6">
        <f>IFERROR(__xludf.DUMMYFUNCTION("""COMPUTED_VALUE"""),173.96)</f>
        <v>173.96</v>
      </c>
      <c r="E1298" s="6">
        <f>IFERROR(__xludf.DUMMYFUNCTION("GOOGLEFINANCE(""Currency:BRLMXN"")*D1298"),591.0291)</f>
        <v>591.0291</v>
      </c>
      <c r="F1298" s="6">
        <f>IFERROR(__xludf.DUMMYFUNCTION("GOOGLEFINANCE(""Currency:BRLPEN"")*D1298"),114.048176)</f>
        <v>114.048176</v>
      </c>
      <c r="G1298" s="2" t="str">
        <f t="array" ref="G1298">_xlfn.XLOOKUP(B1298,Vendedores!$A$2:$A$41,Vendedores!$B$2:$B$41,"No hay datos")</f>
        <v>Silvia Menéndez</v>
      </c>
      <c r="H1298" s="2" t="str">
        <f t="array" ref="H1298">_xlfn.XLOOKUP(B1298,Vendedores!$A$2:$A$41,Vendedores!$C$2:$C$41,"No hay datos")</f>
        <v>San Antonio del Monte</v>
      </c>
      <c r="I1298" s="2" t="str">
        <f t="array" ref="I1298">_xlfn.XLOOKUP(B1298,Vendedores!$A$2:$A$41,Vendedores!$D$2:$D$41,"No hay datos")</f>
        <v>Región Central 2</v>
      </c>
      <c r="J1298" s="2" t="str">
        <f t="array" ref="J1298:N1298">_xlfn.XLOOKUP(A1298,Productos!$A$2:$A$61,Productos!$B$2:$F$61)</f>
        <v>Playera estampada</v>
      </c>
      <c r="K1298" s="2" t="s">
        <v>9</v>
      </c>
      <c r="L1298" s="2" t="s">
        <v>10</v>
      </c>
      <c r="M1298" s="2" t="s">
        <v>66</v>
      </c>
      <c r="N1298" s="2" t="s">
        <v>38</v>
      </c>
    </row>
    <row r="1299">
      <c r="A1299" s="2" t="str">
        <f>IFERROR(__xludf.DUMMYFUNCTION("""COMPUTED_VALUE"""),"PR050")</f>
        <v>PR050</v>
      </c>
      <c r="B1299" s="2" t="str">
        <f>IFERROR(__xludf.DUMMYFUNCTION("""COMPUTED_VALUE"""),"VD024")</f>
        <v>VD024</v>
      </c>
      <c r="C1299" s="2">
        <f>IFERROR(__xludf.DUMMYFUNCTION("""COMPUTED_VALUE"""),9.0)</f>
        <v>9</v>
      </c>
      <c r="D1299" s="6">
        <f>IFERROR(__xludf.DUMMYFUNCTION("""COMPUTED_VALUE"""),310.91)</f>
        <v>310.91</v>
      </c>
      <c r="E1299" s="6">
        <f>IFERROR(__xludf.DUMMYFUNCTION("GOOGLEFINANCE(""Currency:BRLMXN"")*D1299"),1056.3167250000001)</f>
        <v>1056.316725</v>
      </c>
      <c r="F1299" s="6">
        <f>IFERROR(__xludf.DUMMYFUNCTION("GOOGLEFINANCE(""Currency:BRLPEN"")*D1299"),203.832596)</f>
        <v>203.832596</v>
      </c>
      <c r="G1299" s="2" t="str">
        <f t="array" ref="G1299">_xlfn.XLOOKUP(B1299,Vendedores!$A$2:$A$41,Vendedores!$B$2:$B$41,"No hay datos")</f>
        <v>Marcos Rivera</v>
      </c>
      <c r="H1299" s="2" t="str">
        <f t="array" ref="H1299">_xlfn.XLOOKUP(B1299,Vendedores!$A$2:$A$41,Vendedores!$C$2:$C$41,"No hay datos")</f>
        <v>Santa Rosa del Valle</v>
      </c>
      <c r="I1299" s="2" t="str">
        <f t="array" ref="I1299">_xlfn.XLOOKUP(B1299,Vendedores!$A$2:$A$41,Vendedores!$D$2:$D$41,"No hay datos")</f>
        <v>Región Norte</v>
      </c>
      <c r="J1299" s="2" t="str">
        <f t="array" ref="J1299:N1299">_xlfn.XLOOKUP(A1299,Productos!$A$2:$A$61,Productos!$B$2:$F$61)</f>
        <v>Playera a rayas</v>
      </c>
      <c r="K1299" s="2" t="s">
        <v>17</v>
      </c>
      <c r="L1299" s="2" t="s">
        <v>10</v>
      </c>
      <c r="M1299" s="2" t="s">
        <v>27</v>
      </c>
      <c r="N1299" s="2" t="s">
        <v>24</v>
      </c>
    </row>
    <row r="1300">
      <c r="A1300" s="2" t="str">
        <f>IFERROR(__xludf.DUMMYFUNCTION("""COMPUTED_VALUE"""),"PR036")</f>
        <v>PR036</v>
      </c>
      <c r="B1300" s="2" t="str">
        <f>IFERROR(__xludf.DUMMYFUNCTION("""COMPUTED_VALUE"""),"VD016")</f>
        <v>VD016</v>
      </c>
      <c r="C1300" s="2">
        <f>IFERROR(__xludf.DUMMYFUNCTION("""COMPUTED_VALUE"""),6.0)</f>
        <v>6</v>
      </c>
      <c r="D1300" s="6">
        <f>IFERROR(__xludf.DUMMYFUNCTION("""COMPUTED_VALUE"""),566.61)</f>
        <v>566.61</v>
      </c>
      <c r="E1300" s="6">
        <f>IFERROR(__xludf.DUMMYFUNCTION("GOOGLEFINANCE(""Currency:BRLMXN"")*D1300"),1925.057475)</f>
        <v>1925.057475</v>
      </c>
      <c r="F1300" s="6">
        <f>IFERROR(__xludf.DUMMYFUNCTION("GOOGLEFINANCE(""Currency:BRLPEN"")*D1300"),371.469516)</f>
        <v>371.469516</v>
      </c>
      <c r="G1300" s="2" t="str">
        <f t="array" ref="G1300">_xlfn.XLOOKUP(B1300,Vendedores!$A$2:$A$41,Vendedores!$B$2:$B$41,"No hay datos")</f>
        <v>Beatriz Linares</v>
      </c>
      <c r="H1300" s="2" t="str">
        <f t="array" ref="H1300">_xlfn.XLOOKUP(B1300,Vendedores!$A$2:$A$41,Vendedores!$C$2:$C$41,"No hay datos")</f>
        <v>Puerto Esperanza</v>
      </c>
      <c r="I1300" s="2" t="str">
        <f t="array" ref="I1300">_xlfn.XLOOKUP(B1300,Vendedores!$A$2:$A$41,Vendedores!$D$2:$D$41,"No hay datos")</f>
        <v>Región Sur</v>
      </c>
      <c r="J1300" s="2" t="str">
        <f t="array" ref="J1300:N1300">_xlfn.XLOOKUP(A1300,Productos!$A$2:$A$61,Productos!$B$2:$F$61)</f>
        <v>Vestido corto</v>
      </c>
      <c r="K1300" s="2" t="s">
        <v>22</v>
      </c>
      <c r="L1300" s="2" t="s">
        <v>10</v>
      </c>
      <c r="M1300" s="2" t="s">
        <v>82</v>
      </c>
      <c r="N1300" s="2" t="s">
        <v>83</v>
      </c>
    </row>
    <row r="1301">
      <c r="A1301" s="2" t="str">
        <f>IFERROR(__xludf.DUMMYFUNCTION("""COMPUTED_VALUE"""),"PR005")</f>
        <v>PR005</v>
      </c>
      <c r="B1301" s="2" t="str">
        <f>IFERROR(__xludf.DUMMYFUNCTION("""COMPUTED_VALUE"""),"VD028")</f>
        <v>VD028</v>
      </c>
      <c r="C1301" s="2">
        <f>IFERROR(__xludf.DUMMYFUNCTION("""COMPUTED_VALUE"""),10.0)</f>
        <v>10</v>
      </c>
      <c r="D1301" s="6">
        <f>IFERROR(__xludf.DUMMYFUNCTION("""COMPUTED_VALUE"""),2832.91)</f>
        <v>2832.91</v>
      </c>
      <c r="E1301" s="6">
        <f>IFERROR(__xludf.DUMMYFUNCTION("GOOGLEFINANCE(""Currency:BRLMXN"")*D1301"),9624.811725)</f>
        <v>9624.811725</v>
      </c>
      <c r="F1301" s="6">
        <f>IFERROR(__xludf.DUMMYFUNCTION("GOOGLEFINANCE(""Currency:BRLPEN"")*D1301"),1857.2557959999997)</f>
        <v>1857.255796</v>
      </c>
      <c r="G1301" s="2" t="str">
        <f t="array" ref="G1301">_xlfn.XLOOKUP(B1301,Vendedores!$A$2:$A$41,Vendedores!$B$2:$B$41,"No hay datos")</f>
        <v>Rodrigo Almonte</v>
      </c>
      <c r="H1301" s="2" t="str">
        <f t="array" ref="H1301">_xlfn.XLOOKUP(B1301,Vendedores!$A$2:$A$41,Vendedores!$C$2:$C$41,"No hay datos")</f>
        <v>Valle Escondido</v>
      </c>
      <c r="I1301" s="2" t="str">
        <f t="array" ref="I1301">_xlfn.XLOOKUP(B1301,Vendedores!$A$2:$A$41,Vendedores!$D$2:$D$41,"No hay datos")</f>
        <v>Región Andina</v>
      </c>
      <c r="J1301" s="2" t="str">
        <f t="array" ref="J1301:N1301">_xlfn.XLOOKUP(A1301,Productos!$A$2:$A$61,Productos!$B$2:$F$61)</f>
        <v>Bolso de cuero</v>
      </c>
      <c r="K1301" s="2" t="s">
        <v>29</v>
      </c>
      <c r="L1301" s="2" t="s">
        <v>30</v>
      </c>
      <c r="M1301" s="2" t="s">
        <v>100</v>
      </c>
      <c r="N1301" s="2" t="s">
        <v>64</v>
      </c>
    </row>
    <row r="1302">
      <c r="A1302" s="2" t="str">
        <f>IFERROR(__xludf.DUMMYFUNCTION("""COMPUTED_VALUE"""),"PR032")</f>
        <v>PR032</v>
      </c>
      <c r="B1302" s="2" t="str">
        <f>IFERROR(__xludf.DUMMYFUNCTION("""COMPUTED_VALUE"""),"VD035")</f>
        <v>VD035</v>
      </c>
      <c r="C1302" s="2">
        <f>IFERROR(__xludf.DUMMYFUNCTION("""COMPUTED_VALUE"""),6.0)</f>
        <v>6</v>
      </c>
      <c r="D1302" s="6">
        <f>IFERROR(__xludf.DUMMYFUNCTION("""COMPUTED_VALUE"""),1605.0)</f>
        <v>1605</v>
      </c>
      <c r="E1302" s="6">
        <f>IFERROR(__xludf.DUMMYFUNCTION("GOOGLEFINANCE(""Currency:BRLMXN"")*D1302"),5452.9875)</f>
        <v>5452.9875</v>
      </c>
      <c r="F1302" s="6">
        <f>IFERROR(__xludf.DUMMYFUNCTION("GOOGLEFINANCE(""Currency:BRLPEN"")*D1302"),1052.2379999999998)</f>
        <v>1052.238</v>
      </c>
      <c r="G1302" s="2" t="str">
        <f t="array" ref="G1302">_xlfn.XLOOKUP(B1302,Vendedores!$A$2:$A$41,Vendedores!$B$2:$B$41,"No hay datos")</f>
        <v>Carolina Méndez</v>
      </c>
      <c r="H1302" s="2" t="str">
        <f t="array" ref="H1302">_xlfn.XLOOKUP(B1302,Vendedores!$A$2:$A$41,Vendedores!$C$2:$C$41,"No hay datos")</f>
        <v>Valle de los Robles</v>
      </c>
      <c r="I1302" s="2" t="str">
        <f t="array" ref="I1302">_xlfn.XLOOKUP(B1302,Vendedores!$A$2:$A$41,Vendedores!$D$2:$D$41,"No hay datos")</f>
        <v>Región Central 2</v>
      </c>
      <c r="J1302" s="2" t="str">
        <f t="array" ref="J1302:N1302">_xlfn.XLOOKUP(A1302,Productos!$A$2:$A$61,Productos!$B$2:$F$61)</f>
        <v>Tenis Chunky</v>
      </c>
      <c r="K1302" s="2">
        <v>37.0</v>
      </c>
      <c r="L1302" s="2" t="s">
        <v>33</v>
      </c>
      <c r="M1302" s="2" t="s">
        <v>61</v>
      </c>
      <c r="N1302" s="2" t="s">
        <v>62</v>
      </c>
    </row>
    <row r="1303">
      <c r="A1303" s="2" t="str">
        <f>IFERROR(__xludf.DUMMYFUNCTION("""COMPUTED_VALUE"""),"PR002")</f>
        <v>PR002</v>
      </c>
      <c r="B1303" s="2" t="str">
        <f>IFERROR(__xludf.DUMMYFUNCTION("""COMPUTED_VALUE"""),"VD012")</f>
        <v>VD012</v>
      </c>
      <c r="C1303" s="2">
        <f>IFERROR(__xludf.DUMMYFUNCTION("""COMPUTED_VALUE"""),14.0)</f>
        <v>14</v>
      </c>
      <c r="D1303" s="6">
        <f>IFERROR(__xludf.DUMMYFUNCTION("""COMPUTED_VALUE"""),1037.32)</f>
        <v>1037.32</v>
      </c>
      <c r="E1303" s="6">
        <f>IFERROR(__xludf.DUMMYFUNCTION("GOOGLEFINANCE(""Currency:BRLMXN"")*D1303"),3524.2947)</f>
        <v>3524.2947</v>
      </c>
      <c r="F1303" s="6">
        <f>IFERROR(__xludf.DUMMYFUNCTION("GOOGLEFINANCE(""Currency:BRLPEN"")*D1303"),680.0669919999999)</f>
        <v>680.066992</v>
      </c>
      <c r="G1303" s="2" t="str">
        <f t="array" ref="G1303">_xlfn.XLOOKUP(B1303,Vendedores!$A$2:$A$41,Vendedores!$B$2:$B$41,"No hay datos")</f>
        <v>Ana Olmedo</v>
      </c>
      <c r="H1303" s="2" t="str">
        <f t="array" ref="H1303">_xlfn.XLOOKUP(B1303,Vendedores!$A$2:$A$41,Vendedores!$C$2:$C$41,"No hay datos")</f>
        <v>Río Claro</v>
      </c>
      <c r="I1303" s="2" t="str">
        <f t="array" ref="I1303">_xlfn.XLOOKUP(B1303,Vendedores!$A$2:$A$41,Vendedores!$D$2:$D$41,"No hay datos")</f>
        <v>Región Central</v>
      </c>
      <c r="J1303" s="2" t="str">
        <f t="array" ref="J1303:N1303">_xlfn.XLOOKUP(A1303,Productos!$A$2:$A$61,Productos!$B$2:$F$61)</f>
        <v>Bermuda</v>
      </c>
      <c r="K1303" s="2" t="s">
        <v>17</v>
      </c>
      <c r="L1303" s="2" t="s">
        <v>10</v>
      </c>
      <c r="M1303" s="2" t="s">
        <v>49</v>
      </c>
      <c r="N1303" s="2" t="s">
        <v>50</v>
      </c>
    </row>
    <row r="1304">
      <c r="A1304" s="2" t="str">
        <f>IFERROR(__xludf.DUMMYFUNCTION("""COMPUTED_VALUE"""),"PR015")</f>
        <v>PR015</v>
      </c>
      <c r="B1304" s="2" t="str">
        <f>IFERROR(__xludf.DUMMYFUNCTION("""COMPUTED_VALUE"""),"VD032")</f>
        <v>VD032</v>
      </c>
      <c r="C1304" s="2">
        <f>IFERROR(__xludf.DUMMYFUNCTION("""COMPUTED_VALUE"""),10.0)</f>
        <v>10</v>
      </c>
      <c r="D1304" s="6">
        <f>IFERROR(__xludf.DUMMYFUNCTION("""COMPUTED_VALUE"""),437.75)</f>
        <v>437.75</v>
      </c>
      <c r="E1304" s="6">
        <f>IFERROR(__xludf.DUMMYFUNCTION("GOOGLEFINANCE(""Currency:BRLMXN"")*D1304"),1487.255625)</f>
        <v>1487.255625</v>
      </c>
      <c r="F1304" s="6">
        <f>IFERROR(__xludf.DUMMYFUNCTION("GOOGLEFINANCE(""Currency:BRLPEN"")*D1304"),286.9889)</f>
        <v>286.9889</v>
      </c>
      <c r="G1304" s="2" t="str">
        <f t="array" ref="G1304">_xlfn.XLOOKUP(B1304,Vendedores!$A$2:$A$41,Vendedores!$B$2:$B$41,"No hay datos")</f>
        <v>Eduardo Almonte</v>
      </c>
      <c r="H1304" s="2" t="str">
        <f t="array" ref="H1304">_xlfn.XLOOKUP(B1304,Vendedores!$A$2:$A$41,Vendedores!$C$2:$C$41,"No hay datos")</f>
        <v>Tierra Colorada</v>
      </c>
      <c r="I1304" s="2" t="str">
        <f t="array" ref="I1304">_xlfn.XLOOKUP(B1304,Vendedores!$A$2:$A$41,Vendedores!$D$2:$D$41,"No hay datos")</f>
        <v>Región Central 2</v>
      </c>
      <c r="J1304" s="2" t="str">
        <f t="array" ref="J1304:N1304">_xlfn.XLOOKUP(A1304,Productos!$A$2:$A$61,Productos!$B$2:$F$61)</f>
        <v>Playera estampada</v>
      </c>
      <c r="K1304" s="2" t="s">
        <v>22</v>
      </c>
      <c r="L1304" s="2" t="s">
        <v>10</v>
      </c>
      <c r="M1304" s="2" t="s">
        <v>101</v>
      </c>
      <c r="N1304" s="2" t="s">
        <v>102</v>
      </c>
    </row>
    <row r="1305">
      <c r="A1305" s="2" t="str">
        <f>IFERROR(__xludf.DUMMYFUNCTION("""COMPUTED_VALUE"""),"PR038")</f>
        <v>PR038</v>
      </c>
      <c r="B1305" s="2" t="str">
        <f>IFERROR(__xludf.DUMMYFUNCTION("""COMPUTED_VALUE"""),"VD021")</f>
        <v>VD021</v>
      </c>
      <c r="C1305" s="2">
        <f>IFERROR(__xludf.DUMMYFUNCTION("""COMPUTED_VALUE"""),4.0)</f>
        <v>4</v>
      </c>
      <c r="D1305" s="6">
        <f>IFERROR(__xludf.DUMMYFUNCTION("""COMPUTED_VALUE"""),571.6)</f>
        <v>571.6</v>
      </c>
      <c r="E1305" s="6">
        <f>IFERROR(__xludf.DUMMYFUNCTION("GOOGLEFINANCE(""Currency:BRLMXN"")*D1305"),1942.011)</f>
        <v>1942.011</v>
      </c>
      <c r="F1305" s="6">
        <f>IFERROR(__xludf.DUMMYFUNCTION("GOOGLEFINANCE(""Currency:BRLPEN"")*D1305"),374.74096)</f>
        <v>374.74096</v>
      </c>
      <c r="G1305" s="2" t="str">
        <f t="array" ref="G1305">_xlfn.XLOOKUP(B1305,Vendedores!$A$2:$A$41,Vendedores!$B$2:$B$41,"No hay datos")</f>
        <v>Fernanda Méndez</v>
      </c>
      <c r="H1305" s="2" t="str">
        <f t="array" ref="H1305">_xlfn.XLOOKUP(B1305,Vendedores!$A$2:$A$41,Vendedores!$C$2:$C$41,"No hay datos")</f>
        <v>San Juan de la Sierra</v>
      </c>
      <c r="I1305" s="2" t="str">
        <f t="array" ref="I1305">_xlfn.XLOOKUP(B1305,Vendedores!$A$2:$A$41,Vendedores!$D$2:$D$41,"No hay datos")</f>
        <v>Región Central</v>
      </c>
      <c r="J1305" s="2" t="str">
        <f t="array" ref="J1305:N1305">_xlfn.XLOOKUP(A1305,Productos!$A$2:$A$61,Productos!$B$2:$F$61)</f>
        <v>Vestido largo</v>
      </c>
      <c r="K1305" s="2" t="s">
        <v>17</v>
      </c>
      <c r="L1305" s="2" t="s">
        <v>10</v>
      </c>
      <c r="M1305" s="2" t="s">
        <v>51</v>
      </c>
      <c r="N1305" s="2" t="s">
        <v>52</v>
      </c>
    </row>
    <row r="1306">
      <c r="A1306" s="2" t="str">
        <f>IFERROR(__xludf.DUMMYFUNCTION("""COMPUTED_VALUE"""),"PR043")</f>
        <v>PR043</v>
      </c>
      <c r="B1306" s="2" t="str">
        <f>IFERROR(__xludf.DUMMYFUNCTION("""COMPUTED_VALUE"""),"VD040")</f>
        <v>VD040</v>
      </c>
      <c r="C1306" s="2">
        <f>IFERROR(__xludf.DUMMYFUNCTION("""COMPUTED_VALUE"""),8.0)</f>
        <v>8</v>
      </c>
      <c r="D1306" s="6">
        <f>IFERROR(__xludf.DUMMYFUNCTION("""COMPUTED_VALUE"""),580.0)</f>
        <v>580</v>
      </c>
      <c r="E1306" s="6">
        <f>IFERROR(__xludf.DUMMYFUNCTION("GOOGLEFINANCE(""Currency:BRLMXN"")*D1306"),1970.55)</f>
        <v>1970.55</v>
      </c>
      <c r="F1306" s="6">
        <f>IFERROR(__xludf.DUMMYFUNCTION("GOOGLEFINANCE(""Currency:BRLPEN"")*D1306"),380.248)</f>
        <v>380.248</v>
      </c>
      <c r="G1306" s="2" t="str">
        <f t="array" ref="G1306">_xlfn.XLOOKUP(B1306,Vendedores!$A$2:$A$41,Vendedores!$B$2:$B$41,"No hay datos")</f>
        <v>Tatiana Montero</v>
      </c>
      <c r="H1306" s="2" t="str">
        <f t="array" ref="H1306">_xlfn.XLOOKUP(B1306,Vendedores!$A$2:$A$41,Vendedores!$C$2:$C$41,"No hay datos")</f>
        <v>Ciudad Industrial</v>
      </c>
      <c r="I1306" s="2" t="str">
        <f t="array" ref="I1306">_xlfn.XLOOKUP(B1306,Vendedores!$A$2:$A$41,Vendedores!$D$2:$D$41,"No hay datos")</f>
        <v>Región Central 2</v>
      </c>
      <c r="J1306" s="2" t="str">
        <f t="array" ref="J1306:N1306">_xlfn.XLOOKUP(A1306,Productos!$A$2:$A$61,Productos!$B$2:$F$61)</f>
        <v>Vestido floral</v>
      </c>
      <c r="K1306" s="2" t="s">
        <v>9</v>
      </c>
      <c r="L1306" s="2" t="s">
        <v>10</v>
      </c>
      <c r="M1306" s="2" t="s">
        <v>69</v>
      </c>
      <c r="N1306" s="2" t="s">
        <v>40</v>
      </c>
    </row>
    <row r="1307">
      <c r="A1307" s="2" t="str">
        <f>IFERROR(__xludf.DUMMYFUNCTION("""COMPUTED_VALUE"""),"PR060")</f>
        <v>PR060</v>
      </c>
      <c r="B1307" s="2" t="str">
        <f>IFERROR(__xludf.DUMMYFUNCTION("""COMPUTED_VALUE"""),"VD035")</f>
        <v>VD035</v>
      </c>
      <c r="C1307" s="2">
        <f>IFERROR(__xludf.DUMMYFUNCTION("""COMPUTED_VALUE"""),8.0)</f>
        <v>8</v>
      </c>
      <c r="D1307" s="6">
        <f>IFERROR(__xludf.DUMMYFUNCTION("""COMPUTED_VALUE"""),1440.0)</f>
        <v>1440</v>
      </c>
      <c r="E1307" s="6">
        <f>IFERROR(__xludf.DUMMYFUNCTION("GOOGLEFINANCE(""Currency:BRLMXN"")*D1307"),4892.4)</f>
        <v>4892.4</v>
      </c>
      <c r="F1307" s="6">
        <f>IFERROR(__xludf.DUMMYFUNCTION("GOOGLEFINANCE(""Currency:BRLPEN"")*D1307"),944.064)</f>
        <v>944.064</v>
      </c>
      <c r="G1307" s="2" t="str">
        <f t="array" ref="G1307">_xlfn.XLOOKUP(B1307,Vendedores!$A$2:$A$41,Vendedores!$B$2:$B$41,"No hay datos")</f>
        <v>Carolina Méndez</v>
      </c>
      <c r="H1307" s="2" t="str">
        <f t="array" ref="H1307">_xlfn.XLOOKUP(B1307,Vendedores!$A$2:$A$41,Vendedores!$C$2:$C$41,"No hay datos")</f>
        <v>Valle de los Robles</v>
      </c>
      <c r="I1307" s="2" t="str">
        <f t="array" ref="I1307">_xlfn.XLOOKUP(B1307,Vendedores!$A$2:$A$41,Vendedores!$D$2:$D$41,"No hay datos")</f>
        <v>Región Central 2</v>
      </c>
      <c r="J1307" s="2" t="str">
        <f t="array" ref="J1307:N1307">_xlfn.XLOOKUP(A1307,Productos!$A$2:$A$61,Productos!$B$2:$F$61)</f>
        <v>Pantalón de sastre</v>
      </c>
      <c r="K1307" s="2" t="s">
        <v>22</v>
      </c>
      <c r="L1307" s="2" t="s">
        <v>10</v>
      </c>
      <c r="M1307" s="2" t="s">
        <v>75</v>
      </c>
      <c r="N1307" s="2" t="s">
        <v>14</v>
      </c>
    </row>
    <row r="1308">
      <c r="A1308" s="2" t="str">
        <f>IFERROR(__xludf.DUMMYFUNCTION("""COMPUTED_VALUE"""),"PR056")</f>
        <v>PR056</v>
      </c>
      <c r="B1308" s="2" t="str">
        <f>IFERROR(__xludf.DUMMYFUNCTION("""COMPUTED_VALUE"""),"VD045")</f>
        <v>VD045</v>
      </c>
      <c r="C1308" s="2">
        <f>IFERROR(__xludf.DUMMYFUNCTION("""COMPUTED_VALUE"""),6.0)</f>
        <v>6</v>
      </c>
      <c r="D1308" s="6">
        <f>IFERROR(__xludf.DUMMYFUNCTION("""COMPUTED_VALUE"""),560.98)</f>
        <v>560.98</v>
      </c>
      <c r="E1308" s="6">
        <f>IFERROR(__xludf.DUMMYFUNCTION("GOOGLEFINANCE(""Currency:BRLMXN"")*D1308"),1905.92955)</f>
        <v>1905.92955</v>
      </c>
      <c r="F1308" s="6">
        <f>IFERROR(__xludf.DUMMYFUNCTION("GOOGLEFINANCE(""Currency:BRLPEN"")*D1308"),367.778488)</f>
        <v>367.778488</v>
      </c>
      <c r="G1308" s="2" t="str">
        <f t="array" ref="G1308">_xlfn.XLOOKUP(B1308,Vendedores!$A$2:$A$41,Vendedores!$B$2:$B$41,"No hay datos")</f>
        <v>Rafael Morales</v>
      </c>
      <c r="H1308" s="2" t="str">
        <f t="array" ref="H1308">_xlfn.XLOOKUP(B1308,Vendedores!$A$2:$A$41,Vendedores!$C$2:$C$41,"No hay datos")</f>
        <v>Valle Dorado</v>
      </c>
      <c r="I1308" s="2" t="str">
        <f t="array" ref="I1308">_xlfn.XLOOKUP(B1308,Vendedores!$A$2:$A$41,Vendedores!$D$2:$D$41,"No hay datos")</f>
        <v>Región Central 2</v>
      </c>
      <c r="J1308" s="2" t="str">
        <f t="array" ref="J1308:N1308">_xlfn.XLOOKUP(A1308,Productos!$A$2:$A$61,Productos!$B$2:$F$61)</f>
        <v>Sandalia plana</v>
      </c>
      <c r="K1308" s="2">
        <v>36.0</v>
      </c>
      <c r="L1308" s="2" t="s">
        <v>33</v>
      </c>
      <c r="M1308" s="2" t="s">
        <v>106</v>
      </c>
      <c r="N1308" s="2" t="s">
        <v>35</v>
      </c>
    </row>
    <row r="1309">
      <c r="A1309" s="2" t="str">
        <f>IFERROR(__xludf.DUMMYFUNCTION("""COMPUTED_VALUE"""),"PR053")</f>
        <v>PR053</v>
      </c>
      <c r="B1309" s="2" t="str">
        <f>IFERROR(__xludf.DUMMYFUNCTION("""COMPUTED_VALUE"""),"VD028")</f>
        <v>VD028</v>
      </c>
      <c r="C1309" s="2">
        <f>IFERROR(__xludf.DUMMYFUNCTION("""COMPUTED_VALUE"""),6.0)</f>
        <v>6</v>
      </c>
      <c r="D1309" s="6">
        <f>IFERROR(__xludf.DUMMYFUNCTION("""COMPUTED_VALUE"""),311.38)</f>
        <v>311.38</v>
      </c>
      <c r="E1309" s="6">
        <f>IFERROR(__xludf.DUMMYFUNCTION("GOOGLEFINANCE(""Currency:BRLMXN"")*D1309"),1057.91355)</f>
        <v>1057.91355</v>
      </c>
      <c r="F1309" s="6">
        <f>IFERROR(__xludf.DUMMYFUNCTION("GOOGLEFINANCE(""Currency:BRLPEN"")*D1309"),204.140728)</f>
        <v>204.140728</v>
      </c>
      <c r="G1309" s="2" t="str">
        <f t="array" ref="G1309">_xlfn.XLOOKUP(B1309,Vendedores!$A$2:$A$41,Vendedores!$B$2:$B$41,"No hay datos")</f>
        <v>Rodrigo Almonte</v>
      </c>
      <c r="H1309" s="2" t="str">
        <f t="array" ref="H1309">_xlfn.XLOOKUP(B1309,Vendedores!$A$2:$A$41,Vendedores!$C$2:$C$41,"No hay datos")</f>
        <v>Valle Escondido</v>
      </c>
      <c r="I1309" s="2" t="str">
        <f t="array" ref="I1309">_xlfn.XLOOKUP(B1309,Vendedores!$A$2:$A$41,Vendedores!$D$2:$D$41,"No hay datos")</f>
        <v>Región Andina</v>
      </c>
      <c r="J1309" s="2" t="str">
        <f t="array" ref="J1309:N1309">_xlfn.XLOOKUP(A1309,Productos!$A$2:$A$61,Productos!$B$2:$F$61)</f>
        <v>Falda plisada</v>
      </c>
      <c r="K1309" s="2" t="s">
        <v>17</v>
      </c>
      <c r="L1309" s="2" t="s">
        <v>10</v>
      </c>
      <c r="M1309" s="2" t="s">
        <v>41</v>
      </c>
      <c r="N1309" s="2" t="s">
        <v>32</v>
      </c>
    </row>
    <row r="1310">
      <c r="A1310" s="2" t="str">
        <f>IFERROR(__xludf.DUMMYFUNCTION("""COMPUTED_VALUE"""),"PR015")</f>
        <v>PR015</v>
      </c>
      <c r="B1310" s="2" t="str">
        <f>IFERROR(__xludf.DUMMYFUNCTION("""COMPUTED_VALUE"""),"VD037")</f>
        <v>VD037</v>
      </c>
      <c r="C1310" s="2">
        <f>IFERROR(__xludf.DUMMYFUNCTION("""COMPUTED_VALUE"""),2.0)</f>
        <v>2</v>
      </c>
      <c r="D1310" s="6">
        <f>IFERROR(__xludf.DUMMYFUNCTION("""COMPUTED_VALUE"""),85.0)</f>
        <v>85</v>
      </c>
      <c r="E1310" s="6">
        <f>IFERROR(__xludf.DUMMYFUNCTION("GOOGLEFINANCE(""Currency:BRLMXN"")*D1310"),288.7875)</f>
        <v>288.7875</v>
      </c>
      <c r="F1310" s="6">
        <f>IFERROR(__xludf.DUMMYFUNCTION("GOOGLEFINANCE(""Currency:BRLPEN"")*D1310"),55.726)</f>
        <v>55.726</v>
      </c>
      <c r="G1310" s="2" t="str">
        <f t="array" ref="G1310">_xlfn.XLOOKUP(B1310,Vendedores!$A$2:$A$41,Vendedores!$B$2:$B$41,"No hay datos")</f>
        <v>Amanda Silva</v>
      </c>
      <c r="H1310" s="2" t="str">
        <f t="array" ref="H1310">_xlfn.XLOOKUP(B1310,Vendedores!$A$2:$A$41,Vendedores!$C$2:$C$41,"No hay datos")</f>
        <v>Villa Esperanza</v>
      </c>
      <c r="I1310" s="2" t="str">
        <f t="array" ref="I1310">_xlfn.XLOOKUP(B1310,Vendedores!$A$2:$A$41,Vendedores!$D$2:$D$41,"No hay datos")</f>
        <v>Región Sur 2</v>
      </c>
      <c r="J1310" s="2" t="str">
        <f t="array" ref="J1310:N1310">_xlfn.XLOOKUP(A1310,Productos!$A$2:$A$61,Productos!$B$2:$F$61)</f>
        <v>Playera estampada</v>
      </c>
      <c r="K1310" s="2" t="s">
        <v>22</v>
      </c>
      <c r="L1310" s="2" t="s">
        <v>10</v>
      </c>
      <c r="M1310" s="2" t="s">
        <v>101</v>
      </c>
      <c r="N1310" s="2" t="s">
        <v>102</v>
      </c>
    </row>
    <row r="1311">
      <c r="A1311" s="2" t="str">
        <f>IFERROR(__xludf.DUMMYFUNCTION("""COMPUTED_VALUE"""),"PR044")</f>
        <v>PR044</v>
      </c>
      <c r="B1311" s="2" t="str">
        <f>IFERROR(__xludf.DUMMYFUNCTION("""COMPUTED_VALUE"""),"VD043")</f>
        <v>VD043</v>
      </c>
      <c r="C1311" s="2">
        <f>IFERROR(__xludf.DUMMYFUNCTION("""COMPUTED_VALUE"""),4.0)</f>
        <v>4</v>
      </c>
      <c r="D1311" s="6">
        <f>IFERROR(__xludf.DUMMYFUNCTION("""COMPUTED_VALUE"""),310.3)</f>
        <v>310.3</v>
      </c>
      <c r="E1311" s="6">
        <f>IFERROR(__xludf.DUMMYFUNCTION("GOOGLEFINANCE(""Currency:BRLMXN"")*D1311"),1054.24425)</f>
        <v>1054.24425</v>
      </c>
      <c r="F1311" s="6">
        <f>IFERROR(__xludf.DUMMYFUNCTION("GOOGLEFINANCE(""Currency:BRLPEN"")*D1311"),203.43268)</f>
        <v>203.43268</v>
      </c>
      <c r="G1311" s="2" t="str">
        <f t="array" ref="G1311">_xlfn.XLOOKUP(B1311,Vendedores!$A$2:$A$41,Vendedores!$B$2:$B$41,"No hay datos")</f>
        <v>Carlos Henríquez</v>
      </c>
      <c r="H1311" s="2" t="str">
        <f t="array" ref="H1311">_xlfn.XLOOKUP(B1311,Vendedores!$A$2:$A$41,Vendedores!$C$2:$C$41,"No hay datos")</f>
        <v>Ciudad Aeropuerto</v>
      </c>
      <c r="I1311" s="2" t="str">
        <f t="array" ref="I1311">_xlfn.XLOOKUP(B1311,Vendedores!$A$2:$A$41,Vendedores!$D$2:$D$41,"No hay datos")</f>
        <v>Región Central 2</v>
      </c>
      <c r="J1311" s="2" t="str">
        <f t="array" ref="J1311:N1311">_xlfn.XLOOKUP(A1311,Productos!$A$2:$A$61,Productos!$B$2:$F$61)</f>
        <v>Vestido floral</v>
      </c>
      <c r="K1311" s="2" t="s">
        <v>17</v>
      </c>
      <c r="L1311" s="2" t="s">
        <v>10</v>
      </c>
      <c r="M1311" s="2" t="s">
        <v>105</v>
      </c>
      <c r="N1311" s="2" t="s">
        <v>40</v>
      </c>
    </row>
    <row r="1312">
      <c r="A1312" s="2" t="str">
        <f>IFERROR(__xludf.DUMMYFUNCTION("""COMPUTED_VALUE"""),"PR058")</f>
        <v>PR058</v>
      </c>
      <c r="B1312" s="2" t="str">
        <f>IFERROR(__xludf.DUMMYFUNCTION("""COMPUTED_VALUE"""),"VD013")</f>
        <v>VD013</v>
      </c>
      <c r="C1312" s="2">
        <f>IFERROR(__xludf.DUMMYFUNCTION("""COMPUTED_VALUE"""),5.0)</f>
        <v>5</v>
      </c>
      <c r="D1312" s="6">
        <f>IFERROR(__xludf.DUMMYFUNCTION("""COMPUTED_VALUE"""),954.0)</f>
        <v>954</v>
      </c>
      <c r="E1312" s="6">
        <f>IFERROR(__xludf.DUMMYFUNCTION("GOOGLEFINANCE(""Currency:BRLMXN"")*D1312"),3241.215)</f>
        <v>3241.215</v>
      </c>
      <c r="F1312" s="6">
        <f>IFERROR(__xludf.DUMMYFUNCTION("GOOGLEFINANCE(""Currency:BRLPEN"")*D1312"),625.4423999999999)</f>
        <v>625.4424</v>
      </c>
      <c r="G1312" s="2" t="str">
        <f t="array" ref="G1312">_xlfn.XLOOKUP(B1312,Vendedores!$A$2:$A$41,Vendedores!$B$2:$B$41,"No hay datos")</f>
        <v>Pedro Almonte</v>
      </c>
      <c r="H1312" s="2" t="str">
        <f t="array" ref="H1312">_xlfn.XLOOKUP(B1312,Vendedores!$A$2:$A$41,Vendedores!$C$2:$C$41,"No hay datos")</f>
        <v>Santa Rosa del Valle</v>
      </c>
      <c r="I1312" s="2" t="str">
        <f t="array" ref="I1312">_xlfn.XLOOKUP(B1312,Vendedores!$A$2:$A$41,Vendedores!$D$2:$D$41,"No hay datos")</f>
        <v>Región Norte</v>
      </c>
      <c r="J1312" s="2" t="str">
        <f t="array" ref="J1312:N1312">_xlfn.XLOOKUP(A1312,Productos!$A$2:$A$61,Productos!$B$2:$F$61)</f>
        <v>Pantalón de sastre</v>
      </c>
      <c r="K1312" s="2" t="s">
        <v>9</v>
      </c>
      <c r="L1312" s="2" t="s">
        <v>10</v>
      </c>
      <c r="M1312" s="2" t="s">
        <v>13</v>
      </c>
      <c r="N1312" s="2" t="s">
        <v>14</v>
      </c>
    </row>
    <row r="1313">
      <c r="A1313" s="2" t="str">
        <f>IFERROR(__xludf.DUMMYFUNCTION("""COMPUTED_VALUE"""),"PR006")</f>
        <v>PR006</v>
      </c>
      <c r="B1313" s="2" t="str">
        <f>IFERROR(__xludf.DUMMYFUNCTION("""COMPUTED_VALUE"""),"VD016")</f>
        <v>VD016</v>
      </c>
      <c r="C1313" s="2">
        <f>IFERROR(__xludf.DUMMYFUNCTION("""COMPUTED_VALUE"""),7.0)</f>
        <v>7</v>
      </c>
      <c r="D1313" s="6">
        <f>IFERROR(__xludf.DUMMYFUNCTION("""COMPUTED_VALUE"""),296.06)</f>
        <v>296.06</v>
      </c>
      <c r="E1313" s="6">
        <f>IFERROR(__xludf.DUMMYFUNCTION("GOOGLEFINANCE(""Currency:BRLMXN"")*D1313"),1005.86385)</f>
        <v>1005.86385</v>
      </c>
      <c r="F1313" s="6">
        <f>IFERROR(__xludf.DUMMYFUNCTION("GOOGLEFINANCE(""Currency:BRLPEN"")*D1313"),194.096936)</f>
        <v>194.096936</v>
      </c>
      <c r="G1313" s="2" t="str">
        <f t="array" ref="G1313">_xlfn.XLOOKUP(B1313,Vendedores!$A$2:$A$41,Vendedores!$B$2:$B$41,"No hay datos")</f>
        <v>Beatriz Linares</v>
      </c>
      <c r="H1313" s="2" t="str">
        <f t="array" ref="H1313">_xlfn.XLOOKUP(B1313,Vendedores!$A$2:$A$41,Vendedores!$C$2:$C$41,"No hay datos")</f>
        <v>Puerto Esperanza</v>
      </c>
      <c r="I1313" s="2" t="str">
        <f t="array" ref="I1313">_xlfn.XLOOKUP(B1313,Vendedores!$A$2:$A$41,Vendedores!$D$2:$D$41,"No hay datos")</f>
        <v>Región Sur</v>
      </c>
      <c r="J1313" s="2" t="str">
        <f t="array" ref="J1313:N1313">_xlfn.XLOOKUP(A1313,Productos!$A$2:$A$61,Productos!$B$2:$F$61)</f>
        <v>Gorra</v>
      </c>
      <c r="K1313" s="2" t="s">
        <v>29</v>
      </c>
      <c r="L1313" s="2" t="s">
        <v>30</v>
      </c>
      <c r="M1313" s="2" t="s">
        <v>48</v>
      </c>
      <c r="N1313" s="2" t="s">
        <v>38</v>
      </c>
    </row>
    <row r="1314">
      <c r="A1314" s="2" t="str">
        <f>IFERROR(__xludf.DUMMYFUNCTION("""COMPUTED_VALUE"""),"PR023")</f>
        <v>PR023</v>
      </c>
      <c r="B1314" s="2" t="str">
        <f>IFERROR(__xludf.DUMMYFUNCTION("""COMPUTED_VALUE"""),"VD021")</f>
        <v>VD021</v>
      </c>
      <c r="C1314" s="2">
        <f>IFERROR(__xludf.DUMMYFUNCTION("""COMPUTED_VALUE"""),14.0)</f>
        <v>14</v>
      </c>
      <c r="D1314" s="6">
        <f>IFERROR(__xludf.DUMMYFUNCTION("""COMPUTED_VALUE"""),3638.54)</f>
        <v>3638.54</v>
      </c>
      <c r="E1314" s="6">
        <f>IFERROR(__xludf.DUMMYFUNCTION("GOOGLEFINANCE(""Currency:BRLMXN"")*D1314"),12361.93965)</f>
        <v>12361.93965</v>
      </c>
      <c r="F1314" s="6">
        <f>IFERROR(__xludf.DUMMYFUNCTION("GOOGLEFINANCE(""Currency:BRLPEN"")*D1314"),2385.4268239999997)</f>
        <v>2385.426824</v>
      </c>
      <c r="G1314" s="2" t="str">
        <f t="array" ref="G1314">_xlfn.XLOOKUP(B1314,Vendedores!$A$2:$A$41,Vendedores!$B$2:$B$41,"No hay datos")</f>
        <v>Fernanda Méndez</v>
      </c>
      <c r="H1314" s="2" t="str">
        <f t="array" ref="H1314">_xlfn.XLOOKUP(B1314,Vendedores!$A$2:$A$41,Vendedores!$C$2:$C$41,"No hay datos")</f>
        <v>San Juan de la Sierra</v>
      </c>
      <c r="I1314" s="2" t="str">
        <f t="array" ref="I1314">_xlfn.XLOOKUP(B1314,Vendedores!$A$2:$A$41,Vendedores!$D$2:$D$41,"No hay datos")</f>
        <v>Región Central</v>
      </c>
      <c r="J1314" s="2" t="str">
        <f t="array" ref="J1314:N1314">_xlfn.XLOOKUP(A1314,Productos!$A$2:$A$61,Productos!$B$2:$F$61)</f>
        <v>Chaqueta de mezclilla</v>
      </c>
      <c r="K1314" s="2" t="s">
        <v>9</v>
      </c>
      <c r="L1314" s="2" t="s">
        <v>10</v>
      </c>
      <c r="M1314" s="2" t="s">
        <v>72</v>
      </c>
      <c r="N1314" s="2" t="s">
        <v>56</v>
      </c>
    </row>
    <row r="1315">
      <c r="A1315" s="2" t="str">
        <f>IFERROR(__xludf.DUMMYFUNCTION("""COMPUTED_VALUE"""),"PR055")</f>
        <v>PR055</v>
      </c>
      <c r="B1315" s="2" t="str">
        <f>IFERROR(__xludf.DUMMYFUNCTION("""COMPUTED_VALUE"""),"VD038")</f>
        <v>VD038</v>
      </c>
      <c r="C1315" s="2">
        <f>IFERROR(__xludf.DUMMYFUNCTION("""COMPUTED_VALUE"""),5.0)</f>
        <v>5</v>
      </c>
      <c r="D1315" s="6">
        <f>IFERROR(__xludf.DUMMYFUNCTION("""COMPUTED_VALUE"""),449.5)</f>
        <v>449.5</v>
      </c>
      <c r="E1315" s="6">
        <f>IFERROR(__xludf.DUMMYFUNCTION("GOOGLEFINANCE(""Currency:BRLMXN"")*D1315"),1527.17625)</f>
        <v>1527.17625</v>
      </c>
      <c r="F1315" s="6">
        <f>IFERROR(__xludf.DUMMYFUNCTION("GOOGLEFINANCE(""Currency:BRLPEN"")*D1315"),294.69219999999996)</f>
        <v>294.6922</v>
      </c>
      <c r="G1315" s="2" t="str">
        <f t="array" ref="G1315">_xlfn.XLOOKUP(B1315,Vendedores!$A$2:$A$41,Vendedores!$B$2:$B$41,"No hay datos")</f>
        <v>Bruno Olmedo</v>
      </c>
      <c r="H1315" s="2" t="str">
        <f t="array" ref="H1315">_xlfn.XLOOKUP(B1315,Vendedores!$A$2:$A$41,Vendedores!$C$2:$C$41,"No hay datos")</f>
        <v>Tierra Fertil</v>
      </c>
      <c r="I1315" s="2" t="str">
        <f t="array" ref="I1315">_xlfn.XLOOKUP(B1315,Vendedores!$A$2:$A$41,Vendedores!$D$2:$D$41,"No hay datos")</f>
        <v>Región Sur 2</v>
      </c>
      <c r="J1315" s="2" t="str">
        <f t="array" ref="J1315:N1315">_xlfn.XLOOKUP(A1315,Productos!$A$2:$A$61,Productos!$B$2:$F$61)</f>
        <v>Sandalia plana</v>
      </c>
      <c r="K1315" s="2">
        <v>35.0</v>
      </c>
      <c r="L1315" s="2" t="s">
        <v>33</v>
      </c>
      <c r="M1315" s="2" t="s">
        <v>34</v>
      </c>
      <c r="N1315" s="2" t="s">
        <v>35</v>
      </c>
    </row>
    <row r="1316">
      <c r="A1316" s="2" t="str">
        <f>IFERROR(__xludf.DUMMYFUNCTION("""COMPUTED_VALUE"""),"PR006")</f>
        <v>PR006</v>
      </c>
      <c r="B1316" s="2" t="str">
        <f>IFERROR(__xludf.DUMMYFUNCTION("""COMPUTED_VALUE"""),"VD046")</f>
        <v>VD046</v>
      </c>
      <c r="C1316" s="2">
        <f>IFERROR(__xludf.DUMMYFUNCTION("""COMPUTED_VALUE"""),7.0)</f>
        <v>7</v>
      </c>
      <c r="D1316" s="6">
        <f>IFERROR(__xludf.DUMMYFUNCTION("""COMPUTED_VALUE"""),293.27)</f>
        <v>293.27</v>
      </c>
      <c r="E1316" s="6">
        <f>IFERROR(__xludf.DUMMYFUNCTION("GOOGLEFINANCE(""Currency:BRLMXN"")*D1316"),996.384825)</f>
        <v>996.384825</v>
      </c>
      <c r="F1316" s="6">
        <f>IFERROR(__xludf.DUMMYFUNCTION("GOOGLEFINANCE(""Currency:BRLPEN"")*D1316"),192.26781199999996)</f>
        <v>192.267812</v>
      </c>
      <c r="G1316" s="2" t="str">
        <f t="array" ref="G1316">_xlfn.XLOOKUP(B1316,Vendedores!$A$2:$A$41,Vendedores!$B$2:$B$41,"No hay datos")</f>
        <v>Juliana Pérez</v>
      </c>
      <c r="H1316" s="2" t="str">
        <f t="array" ref="H1316">_xlfn.XLOOKUP(B1316,Vendedores!$A$2:$A$41,Vendedores!$C$2:$C$41,"No hay datos")</f>
        <v>Santa Cruz de la Sierra</v>
      </c>
      <c r="I1316" s="2" t="str">
        <f t="array" ref="I1316">_xlfn.XLOOKUP(B1316,Vendedores!$A$2:$A$41,Vendedores!$D$2:$D$41,"No hay datos")</f>
        <v>Región Central 2</v>
      </c>
      <c r="J1316" s="2" t="str">
        <f t="array" ref="J1316:N1316">_xlfn.XLOOKUP(A1316,Productos!$A$2:$A$61,Productos!$B$2:$F$61)</f>
        <v>Gorra</v>
      </c>
      <c r="K1316" s="2" t="s">
        <v>29</v>
      </c>
      <c r="L1316" s="2" t="s">
        <v>30</v>
      </c>
      <c r="M1316" s="2" t="s">
        <v>48</v>
      </c>
      <c r="N1316" s="2" t="s">
        <v>38</v>
      </c>
    </row>
    <row r="1317">
      <c r="A1317" s="2" t="str">
        <f>IFERROR(__xludf.DUMMYFUNCTION("""COMPUTED_VALUE"""),"PR033")</f>
        <v>PR033</v>
      </c>
      <c r="B1317" s="2" t="str">
        <f>IFERROR(__xludf.DUMMYFUNCTION("""COMPUTED_VALUE"""),"VD049")</f>
        <v>VD049</v>
      </c>
      <c r="C1317" s="2">
        <f>IFERROR(__xludf.DUMMYFUNCTION("""COMPUTED_VALUE"""),8.0)</f>
        <v>8</v>
      </c>
      <c r="D1317" s="6">
        <f>IFERROR(__xludf.DUMMYFUNCTION("""COMPUTED_VALUE"""),2287.12)</f>
        <v>2287.12</v>
      </c>
      <c r="E1317" s="6">
        <f>IFERROR(__xludf.DUMMYFUNCTION("GOOGLEFINANCE(""Currency:BRLMXN"")*D1317"),7770.490199999999)</f>
        <v>7770.4902</v>
      </c>
      <c r="F1317" s="6">
        <f>IFERROR(__xludf.DUMMYFUNCTION("GOOGLEFINANCE(""Currency:BRLPEN"")*D1317"),1499.4358719999998)</f>
        <v>1499.435872</v>
      </c>
      <c r="G1317" s="2" t="str">
        <f t="array" ref="G1317">_xlfn.XLOOKUP(B1317,Vendedores!$A$2:$A$41,Vendedores!$B$2:$B$41,"No hay datos")</f>
        <v>Fernando Navarro</v>
      </c>
      <c r="H1317" s="2" t="str">
        <f t="array" ref="H1317">_xlfn.XLOOKUP(B1317,Vendedores!$A$2:$A$41,Vendedores!$C$2:$C$41,"No hay datos")</f>
        <v>Colinas Verdes</v>
      </c>
      <c r="I1317" s="2" t="str">
        <f t="array" ref="I1317">_xlfn.XLOOKUP(B1317,Vendedores!$A$2:$A$41,Vendedores!$D$2:$D$41,"No hay datos")</f>
        <v>Región Central 2</v>
      </c>
      <c r="J1317" s="2" t="str">
        <f t="array" ref="J1317:N1317">_xlfn.XLOOKUP(A1317,Productos!$A$2:$A$61,Productos!$B$2:$F$61)</f>
        <v>Tenis Chunky</v>
      </c>
      <c r="K1317" s="2">
        <v>38.0</v>
      </c>
      <c r="L1317" s="2" t="s">
        <v>33</v>
      </c>
      <c r="M1317" s="2" t="s">
        <v>63</v>
      </c>
      <c r="N1317" s="2" t="s">
        <v>64</v>
      </c>
    </row>
    <row r="1318">
      <c r="A1318" s="2" t="str">
        <f>IFERROR(__xludf.DUMMYFUNCTION("""COMPUTED_VALUE"""),"PR028")</f>
        <v>PR028</v>
      </c>
      <c r="B1318" s="2" t="str">
        <f>IFERROR(__xludf.DUMMYFUNCTION("""COMPUTED_VALUE"""),"VD039")</f>
        <v>VD039</v>
      </c>
      <c r="C1318" s="2">
        <f>IFERROR(__xludf.DUMMYFUNCTION("""COMPUTED_VALUE"""),8.0)</f>
        <v>8</v>
      </c>
      <c r="D1318" s="6">
        <f>IFERROR(__xludf.DUMMYFUNCTION("""COMPUTED_VALUE"""),2119.15)</f>
        <v>2119.15</v>
      </c>
      <c r="E1318" s="6">
        <f>IFERROR(__xludf.DUMMYFUNCTION("GOOGLEFINANCE(""Currency:BRLMXN"")*D1318"),7199.812125)</f>
        <v>7199.812125</v>
      </c>
      <c r="F1318" s="6">
        <f>IFERROR(__xludf.DUMMYFUNCTION("GOOGLEFINANCE(""Currency:BRLPEN"")*D1318"),1389.31474)</f>
        <v>1389.31474</v>
      </c>
      <c r="G1318" s="2" t="str">
        <f t="array" ref="G1318">_xlfn.XLOOKUP(B1318,Vendedores!$A$2:$A$41,Vendedores!$B$2:$B$41,"No hay datos")</f>
        <v>Daniela Rodríguez</v>
      </c>
      <c r="H1318" s="2" t="str">
        <f t="array" ref="H1318">_xlfn.XLOOKUP(B1318,Vendedores!$A$2:$A$41,Vendedores!$C$2:$C$41,"No hay datos")</f>
        <v>Bahía del Sol</v>
      </c>
      <c r="I1318" s="2" t="str">
        <f t="array" ref="I1318">_xlfn.XLOOKUP(B1318,Vendedores!$A$2:$A$41,Vendedores!$D$2:$D$41,"No hay datos")</f>
        <v>Región Central 2</v>
      </c>
      <c r="J1318" s="2" t="str">
        <f t="array" ref="J1318:N1318">_xlfn.XLOOKUP(A1318,Productos!$A$2:$A$61,Productos!$B$2:$F$61)</f>
        <v>Tenis Atitas</v>
      </c>
      <c r="K1318" s="2">
        <v>36.0</v>
      </c>
      <c r="L1318" s="2" t="s">
        <v>33</v>
      </c>
      <c r="M1318" s="2" t="s">
        <v>55</v>
      </c>
      <c r="N1318" s="2" t="s">
        <v>56</v>
      </c>
    </row>
    <row r="1319">
      <c r="A1319" s="2" t="str">
        <f>IFERROR(__xludf.DUMMYFUNCTION("""COMPUTED_VALUE"""),"PR047")</f>
        <v>PR047</v>
      </c>
      <c r="B1319" s="2" t="str">
        <f>IFERROR(__xludf.DUMMYFUNCTION("""COMPUTED_VALUE"""),"VD049")</f>
        <v>VD049</v>
      </c>
      <c r="C1319" s="2">
        <f>IFERROR(__xludf.DUMMYFUNCTION("""COMPUTED_VALUE"""),2.0)</f>
        <v>2</v>
      </c>
      <c r="D1319" s="6">
        <f>IFERROR(__xludf.DUMMYFUNCTION("""COMPUTED_VALUE"""),608.79)</f>
        <v>608.79</v>
      </c>
      <c r="E1319" s="6">
        <f>IFERROR(__xludf.DUMMYFUNCTION("GOOGLEFINANCE(""Currency:BRLMXN"")*D1319"),2068.364025)</f>
        <v>2068.364025</v>
      </c>
      <c r="F1319" s="6">
        <f>IFERROR(__xludf.DUMMYFUNCTION("GOOGLEFINANCE(""Currency:BRLPEN"")*D1319"),399.12272399999995)</f>
        <v>399.122724</v>
      </c>
      <c r="G1319" s="2" t="str">
        <f t="array" ref="G1319">_xlfn.XLOOKUP(B1319,Vendedores!$A$2:$A$41,Vendedores!$B$2:$B$41,"No hay datos")</f>
        <v>Fernando Navarro</v>
      </c>
      <c r="H1319" s="2" t="str">
        <f t="array" ref="H1319">_xlfn.XLOOKUP(B1319,Vendedores!$A$2:$A$41,Vendedores!$C$2:$C$41,"No hay datos")</f>
        <v>Colinas Verdes</v>
      </c>
      <c r="I1319" s="2" t="str">
        <f t="array" ref="I1319">_xlfn.XLOOKUP(B1319,Vendedores!$A$2:$A$41,Vendedores!$D$2:$D$41,"No hay datos")</f>
        <v>Región Central 2</v>
      </c>
      <c r="J1319" s="2" t="str">
        <f t="array" ref="J1319:N1319">_xlfn.XLOOKUP(A1319,Productos!$A$2:$A$61,Productos!$B$2:$F$61)</f>
        <v>Chaqueta de cuero</v>
      </c>
      <c r="K1319" s="2" t="s">
        <v>17</v>
      </c>
      <c r="L1319" s="2" t="s">
        <v>10</v>
      </c>
      <c r="M1319" s="2" t="s">
        <v>43</v>
      </c>
      <c r="N1319" s="2" t="s">
        <v>44</v>
      </c>
    </row>
    <row r="1320">
      <c r="A1320" s="2" t="str">
        <f>IFERROR(__xludf.DUMMYFUNCTION("""COMPUTED_VALUE"""),"PR030")</f>
        <v>PR030</v>
      </c>
      <c r="B1320" s="2" t="str">
        <f>IFERROR(__xludf.DUMMYFUNCTION("""COMPUTED_VALUE"""),"VD040")</f>
        <v>VD040</v>
      </c>
      <c r="C1320" s="2">
        <f>IFERROR(__xludf.DUMMYFUNCTION("""COMPUTED_VALUE"""),10.0)</f>
        <v>10</v>
      </c>
      <c r="D1320" s="6">
        <f>IFERROR(__xludf.DUMMYFUNCTION("""COMPUTED_VALUE"""),2728.95)</f>
        <v>2728.95</v>
      </c>
      <c r="E1320" s="6">
        <f>IFERROR(__xludf.DUMMYFUNCTION("GOOGLEFINANCE(""Currency:BRLMXN"")*D1320"),9271.607624999999)</f>
        <v>9271.607625</v>
      </c>
      <c r="F1320" s="6">
        <f>IFERROR(__xludf.DUMMYFUNCTION("GOOGLEFINANCE(""Currency:BRLPEN"")*D1320"),1789.0996199999997)</f>
        <v>1789.09962</v>
      </c>
      <c r="G1320" s="2" t="str">
        <f t="array" ref="G1320">_xlfn.XLOOKUP(B1320,Vendedores!$A$2:$A$41,Vendedores!$B$2:$B$41,"No hay datos")</f>
        <v>Tatiana Montero</v>
      </c>
      <c r="H1320" s="2" t="str">
        <f t="array" ref="H1320">_xlfn.XLOOKUP(B1320,Vendedores!$A$2:$A$41,Vendedores!$C$2:$C$41,"No hay datos")</f>
        <v>Ciudad Industrial</v>
      </c>
      <c r="I1320" s="2" t="str">
        <f t="array" ref="I1320">_xlfn.XLOOKUP(B1320,Vendedores!$A$2:$A$41,Vendedores!$D$2:$D$41,"No hay datos")</f>
        <v>Región Central 2</v>
      </c>
      <c r="J1320" s="2" t="str">
        <f t="array" ref="J1320:N1320">_xlfn.XLOOKUP(A1320,Productos!$A$2:$A$61,Productos!$B$2:$F$61)</f>
        <v>Tenis Atitas</v>
      </c>
      <c r="K1320" s="2">
        <v>38.0</v>
      </c>
      <c r="L1320" s="2" t="s">
        <v>33</v>
      </c>
      <c r="M1320" s="2" t="s">
        <v>63</v>
      </c>
      <c r="N1320" s="2" t="s">
        <v>64</v>
      </c>
    </row>
    <row r="1321">
      <c r="A1321" s="2" t="str">
        <f>IFERROR(__xludf.DUMMYFUNCTION("""COMPUTED_VALUE"""),"PR017")</f>
        <v>PR017</v>
      </c>
      <c r="B1321" s="2" t="str">
        <f>IFERROR(__xludf.DUMMYFUNCTION("""COMPUTED_VALUE"""),"VD043")</f>
        <v>VD043</v>
      </c>
      <c r="C1321" s="2">
        <f>IFERROR(__xludf.DUMMYFUNCTION("""COMPUTED_VALUE"""),2.0)</f>
        <v>2</v>
      </c>
      <c r="D1321" s="6">
        <f>IFERROR(__xludf.DUMMYFUNCTION("""COMPUTED_VALUE"""),61.59)</f>
        <v>61.59</v>
      </c>
      <c r="E1321" s="6">
        <f>IFERROR(__xludf.DUMMYFUNCTION("GOOGLEFINANCE(""Currency:BRLMXN"")*D1321"),209.252025)</f>
        <v>209.252025</v>
      </c>
      <c r="F1321" s="6">
        <f>IFERROR(__xludf.DUMMYFUNCTION("GOOGLEFINANCE(""Currency:BRLPEN"")*D1321"),40.378404)</f>
        <v>40.378404</v>
      </c>
      <c r="G1321" s="2" t="str">
        <f t="array" ref="G1321">_xlfn.XLOOKUP(B1321,Vendedores!$A$2:$A$41,Vendedores!$B$2:$B$41,"No hay datos")</f>
        <v>Carlos Henríquez</v>
      </c>
      <c r="H1321" s="2" t="str">
        <f t="array" ref="H1321">_xlfn.XLOOKUP(B1321,Vendedores!$A$2:$A$41,Vendedores!$C$2:$C$41,"No hay datos")</f>
        <v>Ciudad Aeropuerto</v>
      </c>
      <c r="I1321" s="2" t="str">
        <f t="array" ref="I1321">_xlfn.XLOOKUP(B1321,Vendedores!$A$2:$A$41,Vendedores!$D$2:$D$41,"No hay datos")</f>
        <v>Región Central 2</v>
      </c>
      <c r="J1321" s="2" t="str">
        <f t="array" ref="J1321:N1321">_xlfn.XLOOKUP(A1321,Productos!$A$2:$A$61,Productos!$B$2:$F$61)</f>
        <v>Playera lisa</v>
      </c>
      <c r="K1321" s="2" t="s">
        <v>17</v>
      </c>
      <c r="L1321" s="2" t="s">
        <v>10</v>
      </c>
      <c r="M1321" s="2" t="s">
        <v>98</v>
      </c>
      <c r="N1321" s="2" t="s">
        <v>99</v>
      </c>
    </row>
    <row r="1322">
      <c r="A1322" s="2" t="str">
        <f>IFERROR(__xludf.DUMMYFUNCTION("""COMPUTED_VALUE"""),"PR018")</f>
        <v>PR018</v>
      </c>
      <c r="B1322" s="2" t="str">
        <f>IFERROR(__xludf.DUMMYFUNCTION("""COMPUTED_VALUE"""),"VD012")</f>
        <v>VD012</v>
      </c>
      <c r="C1322" s="2">
        <f>IFERROR(__xludf.DUMMYFUNCTION("""COMPUTED_VALUE"""),16.0)</f>
        <v>16</v>
      </c>
      <c r="D1322" s="6">
        <f>IFERROR(__xludf.DUMMYFUNCTION("""COMPUTED_VALUE"""),536.93)</f>
        <v>536.93</v>
      </c>
      <c r="E1322" s="6">
        <f>IFERROR(__xludf.DUMMYFUNCTION("GOOGLEFINANCE(""Currency:BRLMXN"")*D1322"),1824.2196749999998)</f>
        <v>1824.219675</v>
      </c>
      <c r="F1322" s="6">
        <f>IFERROR(__xludf.DUMMYFUNCTION("GOOGLEFINANCE(""Currency:BRLPEN"")*D1322"),352.01130799999993)</f>
        <v>352.011308</v>
      </c>
      <c r="G1322" s="2" t="str">
        <f t="array" ref="G1322">_xlfn.XLOOKUP(B1322,Vendedores!$A$2:$A$41,Vendedores!$B$2:$B$41,"No hay datos")</f>
        <v>Ana Olmedo</v>
      </c>
      <c r="H1322" s="2" t="str">
        <f t="array" ref="H1322">_xlfn.XLOOKUP(B1322,Vendedores!$A$2:$A$41,Vendedores!$C$2:$C$41,"No hay datos")</f>
        <v>Río Claro</v>
      </c>
      <c r="I1322" s="2" t="str">
        <f t="array" ref="I1322">_xlfn.XLOOKUP(B1322,Vendedores!$A$2:$A$41,Vendedores!$D$2:$D$41,"No hay datos")</f>
        <v>Región Central</v>
      </c>
      <c r="J1322" s="2" t="str">
        <f t="array" ref="J1322:N1322">_xlfn.XLOOKUP(A1322,Productos!$A$2:$A$61,Productos!$B$2:$F$61)</f>
        <v>Playera lisa</v>
      </c>
      <c r="K1322" s="2" t="s">
        <v>22</v>
      </c>
      <c r="L1322" s="2" t="s">
        <v>10</v>
      </c>
      <c r="M1322" s="2" t="s">
        <v>57</v>
      </c>
      <c r="N1322" s="2" t="s">
        <v>24</v>
      </c>
    </row>
    <row r="1323">
      <c r="A1323" s="2" t="str">
        <f>IFERROR(__xludf.DUMMYFUNCTION("""COMPUTED_VALUE"""),"PR044")</f>
        <v>PR044</v>
      </c>
      <c r="B1323" s="2" t="str">
        <f>IFERROR(__xludf.DUMMYFUNCTION("""COMPUTED_VALUE"""),"VD023")</f>
        <v>VD023</v>
      </c>
      <c r="C1323" s="2">
        <f>IFERROR(__xludf.DUMMYFUNCTION("""COMPUTED_VALUE"""),10.0)</f>
        <v>10</v>
      </c>
      <c r="D1323" s="6">
        <f>IFERROR(__xludf.DUMMYFUNCTION("""COMPUTED_VALUE"""),768.5)</f>
        <v>768.5</v>
      </c>
      <c r="E1323" s="6">
        <f>IFERROR(__xludf.DUMMYFUNCTION("GOOGLEFINANCE(""Currency:BRLMXN"")*D1323"),2610.9787499999998)</f>
        <v>2610.97875</v>
      </c>
      <c r="F1323" s="6">
        <f>IFERROR(__xludf.DUMMYFUNCTION("GOOGLEFINANCE(""Currency:BRLPEN"")*D1323"),503.8286)</f>
        <v>503.8286</v>
      </c>
      <c r="G1323" s="2" t="str">
        <f t="array" ref="G1323">_xlfn.XLOOKUP(B1323,Vendedores!$A$2:$A$41,Vendedores!$B$2:$B$41,"No hay datos")</f>
        <v>Juliana Castro</v>
      </c>
      <c r="H1323" s="2" t="str">
        <f t="array" ref="H1323">_xlfn.XLOOKUP(B1323,Vendedores!$A$2:$A$41,Vendedores!$C$2:$C$41,"No hay datos")</f>
        <v>San Miguel de los Pinos</v>
      </c>
      <c r="I1323" s="2" t="str">
        <f t="array" ref="I1323">_xlfn.XLOOKUP(B1323,Vendedores!$A$2:$A$41,Vendedores!$D$2:$D$41,"No hay datos")</f>
        <v>Región Sur</v>
      </c>
      <c r="J1323" s="2" t="str">
        <f t="array" ref="J1323:N1323">_xlfn.XLOOKUP(A1323,Productos!$A$2:$A$61,Productos!$B$2:$F$61)</f>
        <v>Vestido floral</v>
      </c>
      <c r="K1323" s="2" t="s">
        <v>17</v>
      </c>
      <c r="L1323" s="2" t="s">
        <v>10</v>
      </c>
      <c r="M1323" s="2" t="s">
        <v>105</v>
      </c>
      <c r="N1323" s="2" t="s">
        <v>40</v>
      </c>
    </row>
    <row r="1324">
      <c r="A1324" s="2" t="str">
        <f>IFERROR(__xludf.DUMMYFUNCTION("""COMPUTED_VALUE"""),"PR053")</f>
        <v>PR053</v>
      </c>
      <c r="B1324" s="2" t="str">
        <f>IFERROR(__xludf.DUMMYFUNCTION("""COMPUTED_VALUE"""),"VD029")</f>
        <v>VD029</v>
      </c>
      <c r="C1324" s="2">
        <f>IFERROR(__xludf.DUMMYFUNCTION("""COMPUTED_VALUE"""),12.0)</f>
        <v>12</v>
      </c>
      <c r="D1324" s="6">
        <f>IFERROR(__xludf.DUMMYFUNCTION("""COMPUTED_VALUE"""),628.74)</f>
        <v>628.74</v>
      </c>
      <c r="E1324" s="6">
        <f>IFERROR(__xludf.DUMMYFUNCTION("GOOGLEFINANCE(""Currency:BRLMXN"")*D1324"),2136.14415)</f>
        <v>2136.14415</v>
      </c>
      <c r="F1324" s="6">
        <f>IFERROR(__xludf.DUMMYFUNCTION("GOOGLEFINANCE(""Currency:BRLPEN"")*D1324"),412.20194399999997)</f>
        <v>412.201944</v>
      </c>
      <c r="G1324" s="2" t="str">
        <f t="array" ref="G1324">_xlfn.XLOOKUP(B1324,Vendedores!$A$2:$A$41,Vendedores!$B$2:$B$41,"No hay datos")</f>
        <v>Gabriela Sosa</v>
      </c>
      <c r="H1324" s="2" t="str">
        <f t="array" ref="H1324">_xlfn.XLOOKUP(B1324,Vendedores!$A$2:$A$41,Vendedores!$C$2:$C$41,"No hay datos")</f>
        <v>Selva Verde</v>
      </c>
      <c r="I1324" s="2" t="str">
        <f t="array" ref="I1324">_xlfn.XLOOKUP(B1324,Vendedores!$A$2:$A$41,Vendedores!$D$2:$D$41,"No hay datos")</f>
        <v>Región Amazónica</v>
      </c>
      <c r="J1324" s="2" t="str">
        <f t="array" ref="J1324:N1324">_xlfn.XLOOKUP(A1324,Productos!$A$2:$A$61,Productos!$B$2:$F$61)</f>
        <v>Falda plisada</v>
      </c>
      <c r="K1324" s="2" t="s">
        <v>17</v>
      </c>
      <c r="L1324" s="2" t="s">
        <v>10</v>
      </c>
      <c r="M1324" s="2" t="s">
        <v>41</v>
      </c>
      <c r="N1324" s="2" t="s">
        <v>32</v>
      </c>
    </row>
    <row r="1325">
      <c r="A1325" s="2" t="str">
        <f>IFERROR(__xludf.DUMMYFUNCTION("""COMPUTED_VALUE"""),"PR025")</f>
        <v>PR025</v>
      </c>
      <c r="B1325" s="2" t="str">
        <f>IFERROR(__xludf.DUMMYFUNCTION("""COMPUTED_VALUE"""),"VD015")</f>
        <v>VD015</v>
      </c>
      <c r="C1325" s="2">
        <f>IFERROR(__xludf.DUMMYFUNCTION("""COMPUTED_VALUE"""),7.0)</f>
        <v>7</v>
      </c>
      <c r="D1325" s="6">
        <f>IFERROR(__xludf.DUMMYFUNCTION("""COMPUTED_VALUE"""),2183.27)</f>
        <v>2183.27</v>
      </c>
      <c r="E1325" s="6">
        <f>IFERROR(__xludf.DUMMYFUNCTION("GOOGLEFINANCE(""Currency:BRLMXN"")*D1325"),7417.659825)</f>
        <v>7417.659825</v>
      </c>
      <c r="F1325" s="6">
        <f>IFERROR(__xludf.DUMMYFUNCTION("GOOGLEFINANCE(""Currency:BRLPEN"")*D1325"),1431.3518119999999)</f>
        <v>1431.351812</v>
      </c>
      <c r="G1325" s="2" t="str">
        <f t="array" ref="G1325">_xlfn.XLOOKUP(B1325,Vendedores!$A$2:$A$41,Vendedores!$B$2:$B$41,"No hay datos")</f>
        <v>Lucas Castillo</v>
      </c>
      <c r="H1325" s="2" t="str">
        <f t="array" ref="H1325">_xlfn.XLOOKUP(B1325,Vendedores!$A$2:$A$41,Vendedores!$C$2:$C$41,"No hay datos")</f>
        <v>San Miguel de los Pinos</v>
      </c>
      <c r="I1325" s="2" t="str">
        <f t="array" ref="I1325">_xlfn.XLOOKUP(B1325,Vendedores!$A$2:$A$41,Vendedores!$D$2:$D$41,"No hay datos")</f>
        <v>Región Sur</v>
      </c>
      <c r="J1325" s="2" t="str">
        <f t="array" ref="J1325:N1325">_xlfn.XLOOKUP(A1325,Productos!$A$2:$A$61,Productos!$B$2:$F$61)</f>
        <v>Chaqueta de mezclilla</v>
      </c>
      <c r="K1325" s="2" t="s">
        <v>22</v>
      </c>
      <c r="L1325" s="2" t="s">
        <v>10</v>
      </c>
      <c r="M1325" s="2" t="s">
        <v>107</v>
      </c>
      <c r="N1325" s="2" t="s">
        <v>16</v>
      </c>
    </row>
    <row r="1326">
      <c r="A1326" s="2" t="str">
        <f>IFERROR(__xludf.DUMMYFUNCTION("""COMPUTED_VALUE"""),"PR021")</f>
        <v>PR021</v>
      </c>
      <c r="B1326" s="2" t="str">
        <f>IFERROR(__xludf.DUMMYFUNCTION("""COMPUTED_VALUE"""),"VD030")</f>
        <v>VD030</v>
      </c>
      <c r="C1326" s="2">
        <f>IFERROR(__xludf.DUMMYFUNCTION("""COMPUTED_VALUE"""),18.0)</f>
        <v>18</v>
      </c>
      <c r="D1326" s="6">
        <f>IFERROR(__xludf.DUMMYFUNCTION("""COMPUTED_VALUE"""),5670.29)</f>
        <v>5670.29</v>
      </c>
      <c r="E1326" s="6">
        <f>IFERROR(__xludf.DUMMYFUNCTION("GOOGLEFINANCE(""Currency:BRLMXN"")*D1326"),19264.810275)</f>
        <v>19264.81028</v>
      </c>
      <c r="F1326" s="6">
        <f>IFERROR(__xludf.DUMMYFUNCTION("GOOGLEFINANCE(""Currency:BRLPEN"")*D1326"),3717.4421239999997)</f>
        <v>3717.442124</v>
      </c>
      <c r="G1326" s="2" t="str">
        <f t="array" ref="G1326">_xlfn.XLOOKUP(B1326,Vendedores!$A$2:$A$41,Vendedores!$B$2:$B$41,"No hay datos")</f>
        <v>Leonardo Rojas</v>
      </c>
      <c r="H1326" s="2" t="str">
        <f t="array" ref="H1326">_xlfn.XLOOKUP(B1326,Vendedores!$A$2:$A$41,Vendedores!$C$2:$C$41,"No hay datos")</f>
        <v>Villa del Sol</v>
      </c>
      <c r="I1326" s="2" t="str">
        <f t="array" ref="I1326">_xlfn.XLOOKUP(B1326,Vendedores!$A$2:$A$41,Vendedores!$D$2:$D$41,"No hay datos")</f>
        <v>Región Central 2</v>
      </c>
      <c r="J1326" s="2" t="str">
        <f t="array" ref="J1326:N1326">_xlfn.XLOOKUP(A1326,Productos!$A$2:$A$61,Productos!$B$2:$F$61)</f>
        <v>Chaqueta de cuero</v>
      </c>
      <c r="K1326" s="2" t="s">
        <v>17</v>
      </c>
      <c r="L1326" s="2" t="s">
        <v>10</v>
      </c>
      <c r="M1326" s="2" t="s">
        <v>80</v>
      </c>
      <c r="N1326" s="2" t="s">
        <v>81</v>
      </c>
    </row>
    <row r="1327">
      <c r="A1327" s="2" t="str">
        <f>IFERROR(__xludf.DUMMYFUNCTION("""COMPUTED_VALUE"""),"PR054")</f>
        <v>PR054</v>
      </c>
      <c r="B1327" s="2" t="str">
        <f>IFERROR(__xludf.DUMMYFUNCTION("""COMPUTED_VALUE"""),"VD026")</f>
        <v>VD026</v>
      </c>
      <c r="C1327" s="2">
        <f>IFERROR(__xludf.DUMMYFUNCTION("""COMPUTED_VALUE"""),10.0)</f>
        <v>10</v>
      </c>
      <c r="D1327" s="6">
        <f>IFERROR(__xludf.DUMMYFUNCTION("""COMPUTED_VALUE"""),523.95)</f>
        <v>523.95</v>
      </c>
      <c r="E1327" s="6">
        <f>IFERROR(__xludf.DUMMYFUNCTION("GOOGLEFINANCE(""Currency:BRLMXN"")*D1327"),1780.1201250000001)</f>
        <v>1780.120125</v>
      </c>
      <c r="F1327" s="6">
        <f>IFERROR(__xludf.DUMMYFUNCTION("GOOGLEFINANCE(""Currency:BRLPEN"")*D1327"),343.50162)</f>
        <v>343.50162</v>
      </c>
      <c r="G1327" s="2" t="str">
        <f t="array" ref="G1327">_xlfn.XLOOKUP(B1327,Vendedores!$A$2:$A$41,Vendedores!$B$2:$B$41,"No hay datos")</f>
        <v>Daniel Fernández</v>
      </c>
      <c r="H1327" s="2" t="str">
        <f t="array" ref="H1327">_xlfn.XLOOKUP(B1327,Vendedores!$A$2:$A$41,Vendedores!$C$2:$C$41,"No hay datos")</f>
        <v>Puerto Esperanza</v>
      </c>
      <c r="I1327" s="2" t="str">
        <f t="array" ref="I1327">_xlfn.XLOOKUP(B1327,Vendedores!$A$2:$A$41,Vendedores!$D$2:$D$41,"No hay datos")</f>
        <v>Región Sur</v>
      </c>
      <c r="J1327" s="2" t="str">
        <f t="array" ref="J1327:N1327">_xlfn.XLOOKUP(A1327,Productos!$A$2:$A$61,Productos!$B$2:$F$61)</f>
        <v>Falda plisada</v>
      </c>
      <c r="K1327" s="2" t="s">
        <v>22</v>
      </c>
      <c r="L1327" s="2" t="s">
        <v>10</v>
      </c>
      <c r="M1327" s="2" t="s">
        <v>42</v>
      </c>
      <c r="N1327" s="2" t="s">
        <v>32</v>
      </c>
    </row>
    <row r="1328">
      <c r="A1328" s="2" t="str">
        <f>IFERROR(__xludf.DUMMYFUNCTION("""COMPUTED_VALUE"""),"PR002")</f>
        <v>PR002</v>
      </c>
      <c r="B1328" s="2" t="str">
        <f>IFERROR(__xludf.DUMMYFUNCTION("""COMPUTED_VALUE"""),"VD019")</f>
        <v>VD019</v>
      </c>
      <c r="C1328" s="2">
        <f>IFERROR(__xludf.DUMMYFUNCTION("""COMPUTED_VALUE"""),2.0)</f>
        <v>2</v>
      </c>
      <c r="D1328" s="6">
        <f>IFERROR(__xludf.DUMMYFUNCTION("""COMPUTED_VALUE"""),153.78)</f>
        <v>153.78</v>
      </c>
      <c r="E1328" s="6">
        <f>IFERROR(__xludf.DUMMYFUNCTION("GOOGLEFINANCE(""Currency:BRLMXN"")*D1328"),522.46755)</f>
        <v>522.46755</v>
      </c>
      <c r="F1328" s="6">
        <f>IFERROR(__xludf.DUMMYFUNCTION("GOOGLEFINANCE(""Currency:BRLPEN"")*D1328"),100.818168)</f>
        <v>100.818168</v>
      </c>
      <c r="G1328" s="2" t="str">
        <f t="array" ref="G1328">_xlfn.XLOOKUP(B1328,Vendedores!$A$2:$A$41,Vendedores!$B$2:$B$41,"No hay datos")</f>
        <v>Rafael Sosa</v>
      </c>
      <c r="H1328" s="2" t="str">
        <f t="array" ref="H1328">_xlfn.XLOOKUP(B1328,Vendedores!$A$2:$A$41,Vendedores!$C$2:$C$41,"No hay datos")</f>
        <v>Selva Verde</v>
      </c>
      <c r="I1328" s="2" t="str">
        <f t="array" ref="I1328">_xlfn.XLOOKUP(B1328,Vendedores!$A$2:$A$41,Vendedores!$D$2:$D$41,"No hay datos")</f>
        <v>Región Amazónica</v>
      </c>
      <c r="J1328" s="2" t="str">
        <f t="array" ref="J1328:N1328">_xlfn.XLOOKUP(A1328,Productos!$A$2:$A$61,Productos!$B$2:$F$61)</f>
        <v>Bermuda</v>
      </c>
      <c r="K1328" s="2" t="s">
        <v>17</v>
      </c>
      <c r="L1328" s="2" t="s">
        <v>10</v>
      </c>
      <c r="M1328" s="2" t="s">
        <v>49</v>
      </c>
      <c r="N1328" s="2" t="s">
        <v>50</v>
      </c>
    </row>
    <row r="1329">
      <c r="A1329" s="2" t="str">
        <f>IFERROR(__xludf.DUMMYFUNCTION("""COMPUTED_VALUE"""),"PR022")</f>
        <v>PR022</v>
      </c>
      <c r="B1329" s="2" t="str">
        <f>IFERROR(__xludf.DUMMYFUNCTION("""COMPUTED_VALUE"""),"VD029")</f>
        <v>VD029</v>
      </c>
      <c r="C1329" s="2">
        <f>IFERROR(__xludf.DUMMYFUNCTION("""COMPUTED_VALUE"""),6.0)</f>
        <v>6</v>
      </c>
      <c r="D1329" s="6">
        <f>IFERROR(__xludf.DUMMYFUNCTION("""COMPUTED_VALUE"""),1980.0)</f>
        <v>1980</v>
      </c>
      <c r="E1329" s="6">
        <f>IFERROR(__xludf.DUMMYFUNCTION("GOOGLEFINANCE(""Currency:BRLMXN"")*D1329"),6727.05)</f>
        <v>6727.05</v>
      </c>
      <c r="F1329" s="6">
        <f>IFERROR(__xludf.DUMMYFUNCTION("GOOGLEFINANCE(""Currency:BRLPEN"")*D1329"),1298.088)</f>
        <v>1298.088</v>
      </c>
      <c r="G1329" s="2" t="str">
        <f t="array" ref="G1329">_xlfn.XLOOKUP(B1329,Vendedores!$A$2:$A$41,Vendedores!$B$2:$B$41,"No hay datos")</f>
        <v>Gabriela Sosa</v>
      </c>
      <c r="H1329" s="2" t="str">
        <f t="array" ref="H1329">_xlfn.XLOOKUP(B1329,Vendedores!$A$2:$A$41,Vendedores!$C$2:$C$41,"No hay datos")</f>
        <v>Selva Verde</v>
      </c>
      <c r="I1329" s="2" t="str">
        <f t="array" ref="I1329">_xlfn.XLOOKUP(B1329,Vendedores!$A$2:$A$41,Vendedores!$D$2:$D$41,"No hay datos")</f>
        <v>Región Amazónica</v>
      </c>
      <c r="J1329" s="2" t="str">
        <f t="array" ref="J1329:N1329">_xlfn.XLOOKUP(A1329,Productos!$A$2:$A$61,Productos!$B$2:$F$61)</f>
        <v>Chaqueta de cuero</v>
      </c>
      <c r="K1329" s="2" t="s">
        <v>22</v>
      </c>
      <c r="L1329" s="2" t="s">
        <v>10</v>
      </c>
      <c r="M1329" s="2" t="s">
        <v>78</v>
      </c>
      <c r="N1329" s="2" t="s">
        <v>79</v>
      </c>
    </row>
    <row r="1330">
      <c r="A1330" s="2" t="str">
        <f>IFERROR(__xludf.DUMMYFUNCTION("""COMPUTED_VALUE"""),"PR058")</f>
        <v>PR058</v>
      </c>
      <c r="B1330" s="2" t="str">
        <f>IFERROR(__xludf.DUMMYFUNCTION("""COMPUTED_VALUE"""),"VD024")</f>
        <v>VD024</v>
      </c>
      <c r="C1330" s="2">
        <f>IFERROR(__xludf.DUMMYFUNCTION("""COMPUTED_VALUE"""),5.0)</f>
        <v>5</v>
      </c>
      <c r="D1330" s="6">
        <f>IFERROR(__xludf.DUMMYFUNCTION("""COMPUTED_VALUE"""),954.0)</f>
        <v>954</v>
      </c>
      <c r="E1330" s="6">
        <f>IFERROR(__xludf.DUMMYFUNCTION("GOOGLEFINANCE(""Currency:BRLMXN"")*D1330"),3241.215)</f>
        <v>3241.215</v>
      </c>
      <c r="F1330" s="6">
        <f>IFERROR(__xludf.DUMMYFUNCTION("GOOGLEFINANCE(""Currency:BRLPEN"")*D1330"),625.4423999999999)</f>
        <v>625.4424</v>
      </c>
      <c r="G1330" s="2" t="str">
        <f t="array" ref="G1330">_xlfn.XLOOKUP(B1330,Vendedores!$A$2:$A$41,Vendedores!$B$2:$B$41,"No hay datos")</f>
        <v>Marcos Rivera</v>
      </c>
      <c r="H1330" s="2" t="str">
        <f t="array" ref="H1330">_xlfn.XLOOKUP(B1330,Vendedores!$A$2:$A$41,Vendedores!$C$2:$C$41,"No hay datos")</f>
        <v>Santa Rosa del Valle</v>
      </c>
      <c r="I1330" s="2" t="str">
        <f t="array" ref="I1330">_xlfn.XLOOKUP(B1330,Vendedores!$A$2:$A$41,Vendedores!$D$2:$D$41,"No hay datos")</f>
        <v>Región Norte</v>
      </c>
      <c r="J1330" s="2" t="str">
        <f t="array" ref="J1330:N1330">_xlfn.XLOOKUP(A1330,Productos!$A$2:$A$61,Productos!$B$2:$F$61)</f>
        <v>Pantalón de sastre</v>
      </c>
      <c r="K1330" s="2" t="s">
        <v>9</v>
      </c>
      <c r="L1330" s="2" t="s">
        <v>10</v>
      </c>
      <c r="M1330" s="2" t="s">
        <v>13</v>
      </c>
      <c r="N1330" s="2" t="s">
        <v>14</v>
      </c>
    </row>
    <row r="1331">
      <c r="A1331" s="2" t="str">
        <f>IFERROR(__xludf.DUMMYFUNCTION("""COMPUTED_VALUE"""),"PR055")</f>
        <v>PR055</v>
      </c>
      <c r="B1331" s="2" t="str">
        <f>IFERROR(__xludf.DUMMYFUNCTION("""COMPUTED_VALUE"""),"VD044")</f>
        <v>VD044</v>
      </c>
      <c r="C1331" s="2">
        <f>IFERROR(__xludf.DUMMYFUNCTION("""COMPUTED_VALUE"""),10.0)</f>
        <v>10</v>
      </c>
      <c r="D1331" s="6">
        <f>IFERROR(__xludf.DUMMYFUNCTION("""COMPUTED_VALUE"""),970.92)</f>
        <v>970.92</v>
      </c>
      <c r="E1331" s="6">
        <f>IFERROR(__xludf.DUMMYFUNCTION("GOOGLEFINANCE(""Currency:BRLMXN"")*D1331"),3298.7007)</f>
        <v>3298.7007</v>
      </c>
      <c r="F1331" s="6">
        <f>IFERROR(__xludf.DUMMYFUNCTION("GOOGLEFINANCE(""Currency:BRLPEN"")*D1331"),636.5351519999999)</f>
        <v>636.535152</v>
      </c>
      <c r="G1331" s="2" t="str">
        <f t="array" ref="G1331">_xlfn.XLOOKUP(B1331,Vendedores!$A$2:$A$41,Vendedores!$B$2:$B$41,"No hay datos")</f>
        <v>Silvia Menéndez</v>
      </c>
      <c r="H1331" s="2" t="str">
        <f t="array" ref="H1331">_xlfn.XLOOKUP(B1331,Vendedores!$A$2:$A$41,Vendedores!$C$2:$C$41,"No hay datos")</f>
        <v>San Antonio del Monte</v>
      </c>
      <c r="I1331" s="2" t="str">
        <f t="array" ref="I1331">_xlfn.XLOOKUP(B1331,Vendedores!$A$2:$A$41,Vendedores!$D$2:$D$41,"No hay datos")</f>
        <v>Región Central 2</v>
      </c>
      <c r="J1331" s="2" t="str">
        <f t="array" ref="J1331:N1331">_xlfn.XLOOKUP(A1331,Productos!$A$2:$A$61,Productos!$B$2:$F$61)</f>
        <v>Sandalia plana</v>
      </c>
      <c r="K1331" s="2">
        <v>35.0</v>
      </c>
      <c r="L1331" s="2" t="s">
        <v>33</v>
      </c>
      <c r="M1331" s="2" t="s">
        <v>34</v>
      </c>
      <c r="N1331" s="2" t="s">
        <v>35</v>
      </c>
    </row>
    <row r="1332">
      <c r="A1332" s="2" t="str">
        <f>IFERROR(__xludf.DUMMYFUNCTION("""COMPUTED_VALUE"""),"PR027")</f>
        <v>PR027</v>
      </c>
      <c r="B1332" s="2" t="str">
        <f>IFERROR(__xludf.DUMMYFUNCTION("""COMPUTED_VALUE"""),"VD018")</f>
        <v>VD018</v>
      </c>
      <c r="C1332" s="2">
        <f>IFERROR(__xludf.DUMMYFUNCTION("""COMPUTED_VALUE"""),4.0)</f>
        <v>4</v>
      </c>
      <c r="D1332" s="6">
        <f>IFERROR(__xludf.DUMMYFUNCTION("""COMPUTED_VALUE"""),480.0)</f>
        <v>480</v>
      </c>
      <c r="E1332" s="6">
        <f>IFERROR(__xludf.DUMMYFUNCTION("GOOGLEFINANCE(""Currency:BRLMXN"")*D1332"),1630.8)</f>
        <v>1630.8</v>
      </c>
      <c r="F1332" s="6">
        <f>IFERROR(__xludf.DUMMYFUNCTION("GOOGLEFINANCE(""Currency:BRLPEN"")*D1332"),314.688)</f>
        <v>314.688</v>
      </c>
      <c r="G1332" s="2" t="str">
        <f t="array" ref="G1332">_xlfn.XLOOKUP(B1332,Vendedores!$A$2:$A$41,Vendedores!$B$2:$B$41,"No hay datos")</f>
        <v>Leticia Rodríguez</v>
      </c>
      <c r="H1332" s="2" t="str">
        <f t="array" ref="H1332">_xlfn.XLOOKUP(B1332,Vendedores!$A$2:$A$41,Vendedores!$C$2:$C$41,"No hay datos")</f>
        <v>Playa Blanca</v>
      </c>
      <c r="I1332" s="2" t="str">
        <f t="array" ref="I1332">_xlfn.XLOOKUP(B1332,Vendedores!$A$2:$A$41,Vendedores!$D$2:$D$41,"No hay datos")</f>
        <v>Región Norte</v>
      </c>
      <c r="J1332" s="2" t="str">
        <f t="array" ref="J1332:N1332">_xlfn.XLOOKUP(A1332,Productos!$A$2:$A$61,Productos!$B$2:$F$61)</f>
        <v>Gafas redondas</v>
      </c>
      <c r="K1332" s="2" t="s">
        <v>29</v>
      </c>
      <c r="L1332" s="2" t="s">
        <v>30</v>
      </c>
      <c r="M1332" s="2" t="s">
        <v>53</v>
      </c>
      <c r="N1332" s="2" t="s">
        <v>54</v>
      </c>
    </row>
    <row r="1333">
      <c r="A1333" s="2" t="str">
        <f>IFERROR(__xludf.DUMMYFUNCTION("""COMPUTED_VALUE"""),"PR031")</f>
        <v>PR031</v>
      </c>
      <c r="B1333" s="2" t="str">
        <f>IFERROR(__xludf.DUMMYFUNCTION("""COMPUTED_VALUE"""),"VD046")</f>
        <v>VD046</v>
      </c>
      <c r="C1333" s="2">
        <f>IFERROR(__xludf.DUMMYFUNCTION("""COMPUTED_VALUE"""),5.0)</f>
        <v>5</v>
      </c>
      <c r="D1333" s="6">
        <f>IFERROR(__xludf.DUMMYFUNCTION("""COMPUTED_VALUE"""),1249.5)</f>
        <v>1249.5</v>
      </c>
      <c r="E1333" s="6">
        <f>IFERROR(__xludf.DUMMYFUNCTION("GOOGLEFINANCE(""Currency:BRLMXN"")*D1333"),4245.1762499999995)</f>
        <v>4245.17625</v>
      </c>
      <c r="F1333" s="6">
        <f>IFERROR(__xludf.DUMMYFUNCTION("GOOGLEFINANCE(""Currency:BRLPEN"")*D1333"),819.1722)</f>
        <v>819.1722</v>
      </c>
      <c r="G1333" s="2" t="str">
        <f t="array" ref="G1333">_xlfn.XLOOKUP(B1333,Vendedores!$A$2:$A$41,Vendedores!$B$2:$B$41,"No hay datos")</f>
        <v>Juliana Pérez</v>
      </c>
      <c r="H1333" s="2" t="str">
        <f t="array" ref="H1333">_xlfn.XLOOKUP(B1333,Vendedores!$A$2:$A$41,Vendedores!$C$2:$C$41,"No hay datos")</f>
        <v>Santa Cruz de la Sierra</v>
      </c>
      <c r="I1333" s="2" t="str">
        <f t="array" ref="I1333">_xlfn.XLOOKUP(B1333,Vendedores!$A$2:$A$41,Vendedores!$D$2:$D$41,"No hay datos")</f>
        <v>Región Central 2</v>
      </c>
      <c r="J1333" s="2" t="str">
        <f t="array" ref="J1333:N1333">_xlfn.XLOOKUP(A1333,Productos!$A$2:$A$61,Productos!$B$2:$F$61)</f>
        <v>Tenis Chunky</v>
      </c>
      <c r="K1333" s="2">
        <v>36.0</v>
      </c>
      <c r="L1333" s="2" t="s">
        <v>33</v>
      </c>
      <c r="M1333" s="2" t="s">
        <v>84</v>
      </c>
      <c r="N1333" s="2" t="s">
        <v>85</v>
      </c>
    </row>
    <row r="1334">
      <c r="A1334" s="2" t="str">
        <f>IFERROR(__xludf.DUMMYFUNCTION("""COMPUTED_VALUE"""),"PR021")</f>
        <v>PR021</v>
      </c>
      <c r="B1334" s="2" t="str">
        <f>IFERROR(__xludf.DUMMYFUNCTION("""COMPUTED_VALUE"""),"VD019")</f>
        <v>VD019</v>
      </c>
      <c r="C1334" s="2">
        <f>IFERROR(__xludf.DUMMYFUNCTION("""COMPUTED_VALUE"""),20.0)</f>
        <v>20</v>
      </c>
      <c r="D1334" s="6">
        <f>IFERROR(__xludf.DUMMYFUNCTION("""COMPUTED_VALUE"""),6300.32)</f>
        <v>6300.32</v>
      </c>
      <c r="E1334" s="6">
        <f>IFERROR(__xludf.DUMMYFUNCTION("GOOGLEFINANCE(""Currency:BRLMXN"")*D1334"),21405.337199999998)</f>
        <v>21405.3372</v>
      </c>
      <c r="F1334" s="6">
        <f>IFERROR(__xludf.DUMMYFUNCTION("GOOGLEFINANCE(""Currency:BRLPEN"")*D1334"),4130.489791999999)</f>
        <v>4130.489792</v>
      </c>
      <c r="G1334" s="2" t="str">
        <f t="array" ref="G1334">_xlfn.XLOOKUP(B1334,Vendedores!$A$2:$A$41,Vendedores!$B$2:$B$41,"No hay datos")</f>
        <v>Rafael Sosa</v>
      </c>
      <c r="H1334" s="2" t="str">
        <f t="array" ref="H1334">_xlfn.XLOOKUP(B1334,Vendedores!$A$2:$A$41,Vendedores!$C$2:$C$41,"No hay datos")</f>
        <v>Selva Verde</v>
      </c>
      <c r="I1334" s="2" t="str">
        <f t="array" ref="I1334">_xlfn.XLOOKUP(B1334,Vendedores!$A$2:$A$41,Vendedores!$D$2:$D$41,"No hay datos")</f>
        <v>Región Amazónica</v>
      </c>
      <c r="J1334" s="2" t="str">
        <f t="array" ref="J1334:N1334">_xlfn.XLOOKUP(A1334,Productos!$A$2:$A$61,Productos!$B$2:$F$61)</f>
        <v>Chaqueta de cuero</v>
      </c>
      <c r="K1334" s="2" t="s">
        <v>17</v>
      </c>
      <c r="L1334" s="2" t="s">
        <v>10</v>
      </c>
      <c r="M1334" s="2" t="s">
        <v>80</v>
      </c>
      <c r="N1334" s="2" t="s">
        <v>81</v>
      </c>
    </row>
    <row r="1335">
      <c r="A1335" s="2" t="str">
        <f>IFERROR(__xludf.DUMMYFUNCTION("""COMPUTED_VALUE"""),"PR001")</f>
        <v>PR001</v>
      </c>
      <c r="B1335" s="2" t="str">
        <f>IFERROR(__xludf.DUMMYFUNCTION("""COMPUTED_VALUE"""),"VD029")</f>
        <v>VD029</v>
      </c>
      <c r="C1335" s="2">
        <f>IFERROR(__xludf.DUMMYFUNCTION("""COMPUTED_VALUE"""),2.0)</f>
        <v>2</v>
      </c>
      <c r="D1335" s="6">
        <f>IFERROR(__xludf.DUMMYFUNCTION("""COMPUTED_VALUE"""),135.75)</f>
        <v>135.75</v>
      </c>
      <c r="E1335" s="6">
        <f>IFERROR(__xludf.DUMMYFUNCTION("GOOGLEFINANCE(""Currency:BRLMXN"")*D1335"),461.210625)</f>
        <v>461.210625</v>
      </c>
      <c r="F1335" s="6">
        <f>IFERROR(__xludf.DUMMYFUNCTION("GOOGLEFINANCE(""Currency:BRLPEN"")*D1335"),88.9977)</f>
        <v>88.9977</v>
      </c>
      <c r="G1335" s="2" t="str">
        <f t="array" ref="G1335">_xlfn.XLOOKUP(B1335,Vendedores!$A$2:$A$41,Vendedores!$B$2:$B$41,"No hay datos")</f>
        <v>Gabriela Sosa</v>
      </c>
      <c r="H1335" s="2" t="str">
        <f t="array" ref="H1335">_xlfn.XLOOKUP(B1335,Vendedores!$A$2:$A$41,Vendedores!$C$2:$C$41,"No hay datos")</f>
        <v>Selva Verde</v>
      </c>
      <c r="I1335" s="2" t="str">
        <f t="array" ref="I1335">_xlfn.XLOOKUP(B1335,Vendedores!$A$2:$A$41,Vendedores!$D$2:$D$41,"No hay datos")</f>
        <v>Región Amazónica</v>
      </c>
      <c r="J1335" s="2" t="str">
        <f t="array" ref="J1335:N1335">_xlfn.XLOOKUP(A1335,Productos!$A$2:$A$61,Productos!$B$2:$F$61)</f>
        <v>Bermuda</v>
      </c>
      <c r="K1335" s="2" t="s">
        <v>9</v>
      </c>
      <c r="L1335" s="2" t="s">
        <v>10</v>
      </c>
      <c r="M1335" s="2" t="s">
        <v>11</v>
      </c>
      <c r="N1335" s="2" t="s">
        <v>12</v>
      </c>
    </row>
    <row r="1336">
      <c r="A1336" s="2" t="str">
        <f>IFERROR(__xludf.DUMMYFUNCTION("""COMPUTED_VALUE"""),"PR055")</f>
        <v>PR055</v>
      </c>
      <c r="B1336" s="2" t="str">
        <f>IFERROR(__xludf.DUMMYFUNCTION("""COMPUTED_VALUE"""),"VD043")</f>
        <v>VD043</v>
      </c>
      <c r="C1336" s="2">
        <f>IFERROR(__xludf.DUMMYFUNCTION("""COMPUTED_VALUE"""),4.0)</f>
        <v>4</v>
      </c>
      <c r="D1336" s="6">
        <f>IFERROR(__xludf.DUMMYFUNCTION("""COMPUTED_VALUE"""),377.58)</f>
        <v>377.58</v>
      </c>
      <c r="E1336" s="6">
        <f>IFERROR(__xludf.DUMMYFUNCTION("GOOGLEFINANCE(""Currency:BRLMXN"")*D1336"),1282.8280499999998)</f>
        <v>1282.82805</v>
      </c>
      <c r="F1336" s="6">
        <f>IFERROR(__xludf.DUMMYFUNCTION("GOOGLEFINANCE(""Currency:BRLPEN"")*D1336"),247.54144799999997)</f>
        <v>247.541448</v>
      </c>
      <c r="G1336" s="2" t="str">
        <f t="array" ref="G1336">_xlfn.XLOOKUP(B1336,Vendedores!$A$2:$A$41,Vendedores!$B$2:$B$41,"No hay datos")</f>
        <v>Carlos Henríquez</v>
      </c>
      <c r="H1336" s="2" t="str">
        <f t="array" ref="H1336">_xlfn.XLOOKUP(B1336,Vendedores!$A$2:$A$41,Vendedores!$C$2:$C$41,"No hay datos")</f>
        <v>Ciudad Aeropuerto</v>
      </c>
      <c r="I1336" s="2" t="str">
        <f t="array" ref="I1336">_xlfn.XLOOKUP(B1336,Vendedores!$A$2:$A$41,Vendedores!$D$2:$D$41,"No hay datos")</f>
        <v>Región Central 2</v>
      </c>
      <c r="J1336" s="2" t="str">
        <f t="array" ref="J1336:N1336">_xlfn.XLOOKUP(A1336,Productos!$A$2:$A$61,Productos!$B$2:$F$61)</f>
        <v>Sandalia plana</v>
      </c>
      <c r="K1336" s="2">
        <v>35.0</v>
      </c>
      <c r="L1336" s="2" t="s">
        <v>33</v>
      </c>
      <c r="M1336" s="2" t="s">
        <v>34</v>
      </c>
      <c r="N1336" s="2" t="s">
        <v>35</v>
      </c>
    </row>
    <row r="1337">
      <c r="A1337" s="2" t="str">
        <f>IFERROR(__xludf.DUMMYFUNCTION("""COMPUTED_VALUE"""),"PR053")</f>
        <v>PR053</v>
      </c>
      <c r="B1337" s="2" t="str">
        <f>IFERROR(__xludf.DUMMYFUNCTION("""COMPUTED_VALUE"""),"VD033")</f>
        <v>VD033</v>
      </c>
      <c r="C1337" s="2">
        <f>IFERROR(__xludf.DUMMYFUNCTION("""COMPUTED_VALUE"""),3.0)</f>
        <v>3</v>
      </c>
      <c r="D1337" s="6">
        <f>IFERROR(__xludf.DUMMYFUNCTION("""COMPUTED_VALUE"""),164.67)</f>
        <v>164.67</v>
      </c>
      <c r="E1337" s="6">
        <f>IFERROR(__xludf.DUMMYFUNCTION("GOOGLEFINANCE(""Currency:BRLMXN"")*D1337"),559.466325)</f>
        <v>559.466325</v>
      </c>
      <c r="F1337" s="6">
        <f>IFERROR(__xludf.DUMMYFUNCTION("GOOGLEFINANCE(""Currency:BRLPEN"")*D1337"),107.95765199999998)</f>
        <v>107.957652</v>
      </c>
      <c r="G1337" s="2" t="str">
        <f t="array" ref="G1337">_xlfn.XLOOKUP(B1337,Vendedores!$A$2:$A$41,Vendedores!$B$2:$B$41,"No hay datos")</f>
        <v>Renata Flores</v>
      </c>
      <c r="H1337" s="2" t="str">
        <f t="array" ref="H1337">_xlfn.XLOOKUP(B1337,Vendedores!$A$2:$A$41,Vendedores!$C$2:$C$41,"No hay datos")</f>
        <v>Altos del Sur</v>
      </c>
      <c r="I1337" s="2" t="str">
        <f t="array" ref="I1337">_xlfn.XLOOKUP(B1337,Vendedores!$A$2:$A$41,Vendedores!$D$2:$D$41,"No hay datos")</f>
        <v>Región Central 2</v>
      </c>
      <c r="J1337" s="2" t="str">
        <f t="array" ref="J1337:N1337">_xlfn.XLOOKUP(A1337,Productos!$A$2:$A$61,Productos!$B$2:$F$61)</f>
        <v>Falda plisada</v>
      </c>
      <c r="K1337" s="2" t="s">
        <v>17</v>
      </c>
      <c r="L1337" s="2" t="s">
        <v>10</v>
      </c>
      <c r="M1337" s="2" t="s">
        <v>41</v>
      </c>
      <c r="N1337" s="2" t="s">
        <v>32</v>
      </c>
    </row>
    <row r="1338">
      <c r="A1338" s="2" t="str">
        <f>IFERROR(__xludf.DUMMYFUNCTION("""COMPUTED_VALUE"""),"PR024")</f>
        <v>PR024</v>
      </c>
      <c r="B1338" s="2" t="str">
        <f>IFERROR(__xludf.DUMMYFUNCTION("""COMPUTED_VALUE"""),"VD032")</f>
        <v>VD032</v>
      </c>
      <c r="C1338" s="2">
        <f>IFERROR(__xludf.DUMMYFUNCTION("""COMPUTED_VALUE"""),8.0)</f>
        <v>8</v>
      </c>
      <c r="D1338" s="6">
        <f>IFERROR(__xludf.DUMMYFUNCTION("""COMPUTED_VALUE"""),2183.16)</f>
        <v>2183.16</v>
      </c>
      <c r="E1338" s="6">
        <f>IFERROR(__xludf.DUMMYFUNCTION("GOOGLEFINANCE(""Currency:BRLMXN"")*D1338"),7417.286099999999)</f>
        <v>7417.2861</v>
      </c>
      <c r="F1338" s="6">
        <f>IFERROR(__xludf.DUMMYFUNCTION("GOOGLEFINANCE(""Currency:BRLPEN"")*D1338"),1431.2796959999998)</f>
        <v>1431.279696</v>
      </c>
      <c r="G1338" s="2" t="str">
        <f t="array" ref="G1338">_xlfn.XLOOKUP(B1338,Vendedores!$A$2:$A$41,Vendedores!$B$2:$B$41,"No hay datos")</f>
        <v>Eduardo Almonte</v>
      </c>
      <c r="H1338" s="2" t="str">
        <f t="array" ref="H1338">_xlfn.XLOOKUP(B1338,Vendedores!$A$2:$A$41,Vendedores!$C$2:$C$41,"No hay datos")</f>
        <v>Tierra Colorada</v>
      </c>
      <c r="I1338" s="2" t="str">
        <f t="array" ref="I1338">_xlfn.XLOOKUP(B1338,Vendedores!$A$2:$A$41,Vendedores!$D$2:$D$41,"No hay datos")</f>
        <v>Región Central 2</v>
      </c>
      <c r="J1338" s="2" t="str">
        <f t="array" ref="J1338:N1338">_xlfn.XLOOKUP(A1338,Productos!$A$2:$A$61,Productos!$B$2:$F$61)</f>
        <v>Chaqueta de mezclilla</v>
      </c>
      <c r="K1338" s="2" t="s">
        <v>17</v>
      </c>
      <c r="L1338" s="2" t="s">
        <v>10</v>
      </c>
      <c r="M1338" s="2" t="s">
        <v>92</v>
      </c>
      <c r="N1338" s="2" t="s">
        <v>64</v>
      </c>
    </row>
    <row r="1339">
      <c r="A1339" s="2" t="str">
        <f>IFERROR(__xludf.DUMMYFUNCTION("""COMPUTED_VALUE"""),"PR042")</f>
        <v>PR042</v>
      </c>
      <c r="B1339" s="2" t="str">
        <f>IFERROR(__xludf.DUMMYFUNCTION("""COMPUTED_VALUE"""),"VD041")</f>
        <v>VD041</v>
      </c>
      <c r="C1339" s="2">
        <f>IFERROR(__xludf.DUMMYFUNCTION("""COMPUTED_VALUE"""),16.0)</f>
        <v>16</v>
      </c>
      <c r="D1339" s="6">
        <f>IFERROR(__xludf.DUMMYFUNCTION("""COMPUTED_VALUE"""),931.1)</f>
        <v>931.1</v>
      </c>
      <c r="E1339" s="6">
        <f>IFERROR(__xludf.DUMMYFUNCTION("GOOGLEFINANCE(""Currency:BRLMXN"")*D1339"),3163.41225)</f>
        <v>3163.41225</v>
      </c>
      <c r="F1339" s="6">
        <f>IFERROR(__xludf.DUMMYFUNCTION("GOOGLEFINANCE(""Currency:BRLPEN"")*D1339"),610.42916)</f>
        <v>610.42916</v>
      </c>
      <c r="G1339" s="2" t="str">
        <f t="array" ref="G1339">_xlfn.XLOOKUP(B1339,Vendedores!$A$2:$A$41,Vendedores!$B$2:$B$41,"No hay datos")</f>
        <v>Alejandro Ramos</v>
      </c>
      <c r="H1339" s="2" t="str">
        <f t="array" ref="H1339">_xlfn.XLOOKUP(B1339,Vendedores!$A$2:$A$41,Vendedores!$C$2:$C$41,"No hay datos")</f>
        <v>San Martín de las Rosas</v>
      </c>
      <c r="I1339" s="2" t="str">
        <f t="array" ref="I1339">_xlfn.XLOOKUP(B1339,Vendedores!$A$2:$A$41,Vendedores!$D$2:$D$41,"No hay datos")</f>
        <v>Región Central 2</v>
      </c>
      <c r="J1339" s="2" t="str">
        <f t="array" ref="J1339:N1339">_xlfn.XLOOKUP(A1339,Productos!$A$2:$A$61,Productos!$B$2:$F$61)</f>
        <v>Playera confort</v>
      </c>
      <c r="K1339" s="2" t="s">
        <v>22</v>
      </c>
      <c r="L1339" s="2" t="s">
        <v>10</v>
      </c>
      <c r="M1339" s="2" t="s">
        <v>25</v>
      </c>
      <c r="N1339" s="2" t="s">
        <v>26</v>
      </c>
    </row>
    <row r="1340">
      <c r="A1340" s="2" t="str">
        <f>IFERROR(__xludf.DUMMYFUNCTION("""COMPUTED_VALUE"""),"PR021")</f>
        <v>PR021</v>
      </c>
      <c r="B1340" s="2" t="str">
        <f>IFERROR(__xludf.DUMMYFUNCTION("""COMPUTED_VALUE"""),"VD032")</f>
        <v>VD032</v>
      </c>
      <c r="C1340" s="2">
        <f>IFERROR(__xludf.DUMMYFUNCTION("""COMPUTED_VALUE"""),14.0)</f>
        <v>14</v>
      </c>
      <c r="D1340" s="6">
        <f>IFERROR(__xludf.DUMMYFUNCTION("""COMPUTED_VALUE"""),4240.6)</f>
        <v>4240.6</v>
      </c>
      <c r="E1340" s="6">
        <f>IFERROR(__xludf.DUMMYFUNCTION("GOOGLEFINANCE(""Currency:BRLMXN"")*D1340"),14407.4385)</f>
        <v>14407.4385</v>
      </c>
      <c r="F1340" s="6">
        <f>IFERROR(__xludf.DUMMYFUNCTION("GOOGLEFINANCE(""Currency:BRLPEN"")*D1340"),2780.13736)</f>
        <v>2780.13736</v>
      </c>
      <c r="G1340" s="2" t="str">
        <f t="array" ref="G1340">_xlfn.XLOOKUP(B1340,Vendedores!$A$2:$A$41,Vendedores!$B$2:$B$41,"No hay datos")</f>
        <v>Eduardo Almonte</v>
      </c>
      <c r="H1340" s="2" t="str">
        <f t="array" ref="H1340">_xlfn.XLOOKUP(B1340,Vendedores!$A$2:$A$41,Vendedores!$C$2:$C$41,"No hay datos")</f>
        <v>Tierra Colorada</v>
      </c>
      <c r="I1340" s="2" t="str">
        <f t="array" ref="I1340">_xlfn.XLOOKUP(B1340,Vendedores!$A$2:$A$41,Vendedores!$D$2:$D$41,"No hay datos")</f>
        <v>Región Central 2</v>
      </c>
      <c r="J1340" s="2" t="str">
        <f t="array" ref="J1340:N1340">_xlfn.XLOOKUP(A1340,Productos!$A$2:$A$61,Productos!$B$2:$F$61)</f>
        <v>Chaqueta de cuero</v>
      </c>
      <c r="K1340" s="2" t="s">
        <v>17</v>
      </c>
      <c r="L1340" s="2" t="s">
        <v>10</v>
      </c>
      <c r="M1340" s="2" t="s">
        <v>80</v>
      </c>
      <c r="N1340" s="2" t="s">
        <v>81</v>
      </c>
    </row>
    <row r="1341">
      <c r="A1341" s="2" t="str">
        <f>IFERROR(__xludf.DUMMYFUNCTION("""COMPUTED_VALUE"""),"PR056")</f>
        <v>PR056</v>
      </c>
      <c r="B1341" s="2" t="str">
        <f>IFERROR(__xludf.DUMMYFUNCTION("""COMPUTED_VALUE"""),"VD016")</f>
        <v>VD016</v>
      </c>
      <c r="C1341" s="2">
        <f>IFERROR(__xludf.DUMMYFUNCTION("""COMPUTED_VALUE"""),12.0)</f>
        <v>12</v>
      </c>
      <c r="D1341" s="6">
        <f>IFERROR(__xludf.DUMMYFUNCTION("""COMPUTED_VALUE"""),1175.89)</f>
        <v>1175.89</v>
      </c>
      <c r="E1341" s="6">
        <f>IFERROR(__xludf.DUMMYFUNCTION("GOOGLEFINANCE(""Currency:BRLMXN"")*D1341"),3995.086275)</f>
        <v>3995.086275</v>
      </c>
      <c r="F1341" s="6">
        <f>IFERROR(__xludf.DUMMYFUNCTION("GOOGLEFINANCE(""Currency:BRLPEN"")*D1341"),770.913484)</f>
        <v>770.913484</v>
      </c>
      <c r="G1341" s="2" t="str">
        <f t="array" ref="G1341">_xlfn.XLOOKUP(B1341,Vendedores!$A$2:$A$41,Vendedores!$B$2:$B$41,"No hay datos")</f>
        <v>Beatriz Linares</v>
      </c>
      <c r="H1341" s="2" t="str">
        <f t="array" ref="H1341">_xlfn.XLOOKUP(B1341,Vendedores!$A$2:$A$41,Vendedores!$C$2:$C$41,"No hay datos")</f>
        <v>Puerto Esperanza</v>
      </c>
      <c r="I1341" s="2" t="str">
        <f t="array" ref="I1341">_xlfn.XLOOKUP(B1341,Vendedores!$A$2:$A$41,Vendedores!$D$2:$D$41,"No hay datos")</f>
        <v>Región Sur</v>
      </c>
      <c r="J1341" s="2" t="str">
        <f t="array" ref="J1341:N1341">_xlfn.XLOOKUP(A1341,Productos!$A$2:$A$61,Productos!$B$2:$F$61)</f>
        <v>Sandalia plana</v>
      </c>
      <c r="K1341" s="2">
        <v>36.0</v>
      </c>
      <c r="L1341" s="2" t="s">
        <v>33</v>
      </c>
      <c r="M1341" s="2" t="s">
        <v>106</v>
      </c>
      <c r="N1341" s="2" t="s">
        <v>35</v>
      </c>
    </row>
    <row r="1342">
      <c r="A1342" s="2" t="str">
        <f>IFERROR(__xludf.DUMMYFUNCTION("""COMPUTED_VALUE"""),"PR006")</f>
        <v>PR006</v>
      </c>
      <c r="B1342" s="2" t="str">
        <f>IFERROR(__xludf.DUMMYFUNCTION("""COMPUTED_VALUE"""),"VD012")</f>
        <v>VD012</v>
      </c>
      <c r="C1342" s="2">
        <f>IFERROR(__xludf.DUMMYFUNCTION("""COMPUTED_VALUE"""),14.0)</f>
        <v>14</v>
      </c>
      <c r="D1342" s="6">
        <f>IFERROR(__xludf.DUMMYFUNCTION("""COMPUTED_VALUE"""),592.12)</f>
        <v>592.12</v>
      </c>
      <c r="E1342" s="6">
        <f>IFERROR(__xludf.DUMMYFUNCTION("GOOGLEFINANCE(""Currency:BRLMXN"")*D1342"),2011.7277)</f>
        <v>2011.7277</v>
      </c>
      <c r="F1342" s="6">
        <f>IFERROR(__xludf.DUMMYFUNCTION("GOOGLEFINANCE(""Currency:BRLPEN"")*D1342"),388.193872)</f>
        <v>388.193872</v>
      </c>
      <c r="G1342" s="2" t="str">
        <f t="array" ref="G1342">_xlfn.XLOOKUP(B1342,Vendedores!$A$2:$A$41,Vendedores!$B$2:$B$41,"No hay datos")</f>
        <v>Ana Olmedo</v>
      </c>
      <c r="H1342" s="2" t="str">
        <f t="array" ref="H1342">_xlfn.XLOOKUP(B1342,Vendedores!$A$2:$A$41,Vendedores!$C$2:$C$41,"No hay datos")</f>
        <v>Río Claro</v>
      </c>
      <c r="I1342" s="2" t="str">
        <f t="array" ref="I1342">_xlfn.XLOOKUP(B1342,Vendedores!$A$2:$A$41,Vendedores!$D$2:$D$41,"No hay datos")</f>
        <v>Región Central</v>
      </c>
      <c r="J1342" s="2" t="str">
        <f t="array" ref="J1342:N1342">_xlfn.XLOOKUP(A1342,Productos!$A$2:$A$61,Productos!$B$2:$F$61)</f>
        <v>Gorra</v>
      </c>
      <c r="K1342" s="2" t="s">
        <v>29</v>
      </c>
      <c r="L1342" s="2" t="s">
        <v>30</v>
      </c>
      <c r="M1342" s="2" t="s">
        <v>48</v>
      </c>
      <c r="N1342" s="2" t="s">
        <v>38</v>
      </c>
    </row>
    <row r="1343">
      <c r="A1343" s="2" t="str">
        <f>IFERROR(__xludf.DUMMYFUNCTION("""COMPUTED_VALUE"""),"PR029")</f>
        <v>PR029</v>
      </c>
      <c r="B1343" s="2" t="str">
        <f>IFERROR(__xludf.DUMMYFUNCTION("""COMPUTED_VALUE"""),"VD043")</f>
        <v>VD043</v>
      </c>
      <c r="C1343" s="2">
        <f>IFERROR(__xludf.DUMMYFUNCTION("""COMPUTED_VALUE"""),2.0)</f>
        <v>2</v>
      </c>
      <c r="D1343" s="6">
        <f>IFERROR(__xludf.DUMMYFUNCTION("""COMPUTED_VALUE"""),515.1)</f>
        <v>515.1</v>
      </c>
      <c r="E1343" s="6">
        <f>IFERROR(__xludf.DUMMYFUNCTION("GOOGLEFINANCE(""Currency:BRLMXN"")*D1343"),1750.05225)</f>
        <v>1750.05225</v>
      </c>
      <c r="F1343" s="6">
        <f>IFERROR(__xludf.DUMMYFUNCTION("GOOGLEFINANCE(""Currency:BRLPEN"")*D1343"),337.69956)</f>
        <v>337.69956</v>
      </c>
      <c r="G1343" s="2" t="str">
        <f t="array" ref="G1343">_xlfn.XLOOKUP(B1343,Vendedores!$A$2:$A$41,Vendedores!$B$2:$B$41,"No hay datos")</f>
        <v>Carlos Henríquez</v>
      </c>
      <c r="H1343" s="2" t="str">
        <f t="array" ref="H1343">_xlfn.XLOOKUP(B1343,Vendedores!$A$2:$A$41,Vendedores!$C$2:$C$41,"No hay datos")</f>
        <v>Ciudad Aeropuerto</v>
      </c>
      <c r="I1343" s="2" t="str">
        <f t="array" ref="I1343">_xlfn.XLOOKUP(B1343,Vendedores!$A$2:$A$41,Vendedores!$D$2:$D$41,"No hay datos")</f>
        <v>Región Central 2</v>
      </c>
      <c r="J1343" s="2" t="str">
        <f t="array" ref="J1343:N1343">_xlfn.XLOOKUP(A1343,Productos!$A$2:$A$61,Productos!$B$2:$F$61)</f>
        <v>Tenis Atitas</v>
      </c>
      <c r="K1343" s="2">
        <v>37.0</v>
      </c>
      <c r="L1343" s="2" t="s">
        <v>33</v>
      </c>
      <c r="M1343" s="2" t="s">
        <v>96</v>
      </c>
      <c r="N1343" s="2" t="s">
        <v>97</v>
      </c>
    </row>
    <row r="1344">
      <c r="A1344" s="2" t="str">
        <f>IFERROR(__xludf.DUMMYFUNCTION("""COMPUTED_VALUE"""),"PR037")</f>
        <v>PR037</v>
      </c>
      <c r="B1344" s="2" t="str">
        <f>IFERROR(__xludf.DUMMYFUNCTION("""COMPUTED_VALUE"""),"VD039")</f>
        <v>VD039</v>
      </c>
      <c r="C1344" s="2">
        <f>IFERROR(__xludf.DUMMYFUNCTION("""COMPUTED_VALUE"""),9.0)</f>
        <v>9</v>
      </c>
      <c r="D1344" s="6">
        <f>IFERROR(__xludf.DUMMYFUNCTION("""COMPUTED_VALUE"""),1335.6)</f>
        <v>1335.6</v>
      </c>
      <c r="E1344" s="6">
        <f>IFERROR(__xludf.DUMMYFUNCTION("GOOGLEFINANCE(""Currency:BRLMXN"")*D1344"),4537.701)</f>
        <v>4537.701</v>
      </c>
      <c r="F1344" s="6">
        <f>IFERROR(__xludf.DUMMYFUNCTION("GOOGLEFINANCE(""Currency:BRLPEN"")*D1344"),875.6193599999999)</f>
        <v>875.61936</v>
      </c>
      <c r="G1344" s="2" t="str">
        <f t="array" ref="G1344">_xlfn.XLOOKUP(B1344,Vendedores!$A$2:$A$41,Vendedores!$B$2:$B$41,"No hay datos")</f>
        <v>Daniela Rodríguez</v>
      </c>
      <c r="H1344" s="2" t="str">
        <f t="array" ref="H1344">_xlfn.XLOOKUP(B1344,Vendedores!$A$2:$A$41,Vendedores!$C$2:$C$41,"No hay datos")</f>
        <v>Bahía del Sol</v>
      </c>
      <c r="I1344" s="2" t="str">
        <f t="array" ref="I1344">_xlfn.XLOOKUP(B1344,Vendedores!$A$2:$A$41,Vendedores!$D$2:$D$41,"No hay datos")</f>
        <v>Región Central 2</v>
      </c>
      <c r="J1344" s="2" t="str">
        <f t="array" ref="J1344:N1344">_xlfn.XLOOKUP(A1344,Productos!$A$2:$A$61,Productos!$B$2:$F$61)</f>
        <v>Vestido largo</v>
      </c>
      <c r="K1344" s="2" t="s">
        <v>9</v>
      </c>
      <c r="L1344" s="2" t="s">
        <v>10</v>
      </c>
      <c r="M1344" s="2" t="s">
        <v>70</v>
      </c>
      <c r="N1344" s="2" t="s">
        <v>71</v>
      </c>
    </row>
    <row r="1345">
      <c r="A1345" s="2" t="str">
        <f>IFERROR(__xludf.DUMMYFUNCTION("""COMPUTED_VALUE"""),"PR028")</f>
        <v>PR028</v>
      </c>
      <c r="B1345" s="2" t="str">
        <f>IFERROR(__xludf.DUMMYFUNCTION("""COMPUTED_VALUE"""),"VD040")</f>
        <v>VD040</v>
      </c>
      <c r="C1345" s="2">
        <f>IFERROR(__xludf.DUMMYFUNCTION("""COMPUTED_VALUE"""),2.0)</f>
        <v>2</v>
      </c>
      <c r="D1345" s="6">
        <f>IFERROR(__xludf.DUMMYFUNCTION("""COMPUTED_VALUE"""),499.8)</f>
        <v>499.8</v>
      </c>
      <c r="E1345" s="6">
        <f>IFERROR(__xludf.DUMMYFUNCTION("GOOGLEFINANCE(""Currency:BRLMXN"")*D1345"),1698.0705)</f>
        <v>1698.0705</v>
      </c>
      <c r="F1345" s="6">
        <f>IFERROR(__xludf.DUMMYFUNCTION("GOOGLEFINANCE(""Currency:BRLPEN"")*D1345"),327.66888)</f>
        <v>327.66888</v>
      </c>
      <c r="G1345" s="2" t="str">
        <f t="array" ref="G1345">_xlfn.XLOOKUP(B1345,Vendedores!$A$2:$A$41,Vendedores!$B$2:$B$41,"No hay datos")</f>
        <v>Tatiana Montero</v>
      </c>
      <c r="H1345" s="2" t="str">
        <f t="array" ref="H1345">_xlfn.XLOOKUP(B1345,Vendedores!$A$2:$A$41,Vendedores!$C$2:$C$41,"No hay datos")</f>
        <v>Ciudad Industrial</v>
      </c>
      <c r="I1345" s="2" t="str">
        <f t="array" ref="I1345">_xlfn.XLOOKUP(B1345,Vendedores!$A$2:$A$41,Vendedores!$D$2:$D$41,"No hay datos")</f>
        <v>Región Central 2</v>
      </c>
      <c r="J1345" s="2" t="str">
        <f t="array" ref="J1345:N1345">_xlfn.XLOOKUP(A1345,Productos!$A$2:$A$61,Productos!$B$2:$F$61)</f>
        <v>Tenis Atitas</v>
      </c>
      <c r="K1345" s="2">
        <v>36.0</v>
      </c>
      <c r="L1345" s="2" t="s">
        <v>33</v>
      </c>
      <c r="M1345" s="2" t="s">
        <v>55</v>
      </c>
      <c r="N1345" s="2" t="s">
        <v>56</v>
      </c>
    </row>
    <row r="1346">
      <c r="A1346" s="2" t="str">
        <f>IFERROR(__xludf.DUMMYFUNCTION("""COMPUTED_VALUE"""),"PR054")</f>
        <v>PR054</v>
      </c>
      <c r="B1346" s="2" t="str">
        <f>IFERROR(__xludf.DUMMYFUNCTION("""COMPUTED_VALUE"""),"VD012")</f>
        <v>VD012</v>
      </c>
      <c r="C1346" s="2">
        <f>IFERROR(__xludf.DUMMYFUNCTION("""COMPUTED_VALUE"""),18.0)</f>
        <v>18</v>
      </c>
      <c r="D1346" s="6">
        <f>IFERROR(__xludf.DUMMYFUNCTION("""COMPUTED_VALUE"""),961.07)</f>
        <v>961.07</v>
      </c>
      <c r="E1346" s="6">
        <f>IFERROR(__xludf.DUMMYFUNCTION("GOOGLEFINANCE(""Currency:BRLMXN"")*D1346"),3265.235325)</f>
        <v>3265.235325</v>
      </c>
      <c r="F1346" s="6">
        <f>IFERROR(__xludf.DUMMYFUNCTION("GOOGLEFINANCE(""Currency:BRLPEN"")*D1346"),630.077492)</f>
        <v>630.077492</v>
      </c>
      <c r="G1346" s="2" t="str">
        <f t="array" ref="G1346">_xlfn.XLOOKUP(B1346,Vendedores!$A$2:$A$41,Vendedores!$B$2:$B$41,"No hay datos")</f>
        <v>Ana Olmedo</v>
      </c>
      <c r="H1346" s="2" t="str">
        <f t="array" ref="H1346">_xlfn.XLOOKUP(B1346,Vendedores!$A$2:$A$41,Vendedores!$C$2:$C$41,"No hay datos")</f>
        <v>Río Claro</v>
      </c>
      <c r="I1346" s="2" t="str">
        <f t="array" ref="I1346">_xlfn.XLOOKUP(B1346,Vendedores!$A$2:$A$41,Vendedores!$D$2:$D$41,"No hay datos")</f>
        <v>Región Central</v>
      </c>
      <c r="J1346" s="2" t="str">
        <f t="array" ref="J1346:N1346">_xlfn.XLOOKUP(A1346,Productos!$A$2:$A$61,Productos!$B$2:$F$61)</f>
        <v>Falda plisada</v>
      </c>
      <c r="K1346" s="2" t="s">
        <v>22</v>
      </c>
      <c r="L1346" s="2" t="s">
        <v>10</v>
      </c>
      <c r="M1346" s="2" t="s">
        <v>42</v>
      </c>
      <c r="N1346" s="2" t="s">
        <v>32</v>
      </c>
    </row>
    <row r="1347">
      <c r="A1347" s="2" t="str">
        <f>IFERROR(__xludf.DUMMYFUNCTION("""COMPUTED_VALUE"""),"PR023")</f>
        <v>PR023</v>
      </c>
      <c r="B1347" s="2" t="str">
        <f>IFERROR(__xludf.DUMMYFUNCTION("""COMPUTED_VALUE"""),"VD036")</f>
        <v>VD036</v>
      </c>
      <c r="C1347" s="2">
        <f>IFERROR(__xludf.DUMMYFUNCTION("""COMPUTED_VALUE"""),6.0)</f>
        <v>6</v>
      </c>
      <c r="D1347" s="6">
        <f>IFERROR(__xludf.DUMMYFUNCTION("""COMPUTED_VALUE"""),1514.39)</f>
        <v>1514.39</v>
      </c>
      <c r="E1347" s="6">
        <f>IFERROR(__xludf.DUMMYFUNCTION("GOOGLEFINANCE(""Currency:BRLMXN"")*D1347"),5145.140025000001)</f>
        <v>5145.140025</v>
      </c>
      <c r="F1347" s="6">
        <f>IFERROR(__xludf.DUMMYFUNCTION("GOOGLEFINANCE(""Currency:BRLPEN"")*D1347"),992.834084)</f>
        <v>992.834084</v>
      </c>
      <c r="G1347" s="2" t="str">
        <f t="array" ref="G1347">_xlfn.XLOOKUP(B1347,Vendedores!$A$2:$A$41,Vendedores!$B$2:$B$41,"No hay datos")</f>
        <v>Ricardo Sosa</v>
      </c>
      <c r="H1347" s="2" t="str">
        <f t="array" ref="H1347">_xlfn.XLOOKUP(B1347,Vendedores!$A$2:$A$41,Vendedores!$C$2:$C$41,"No hay datos")</f>
        <v>Puerto Nuevo</v>
      </c>
      <c r="I1347" s="2" t="str">
        <f t="array" ref="I1347">_xlfn.XLOOKUP(B1347,Vendedores!$A$2:$A$41,Vendedores!$D$2:$D$41,"No hay datos")</f>
        <v>Región Central 2</v>
      </c>
      <c r="J1347" s="2" t="str">
        <f t="array" ref="J1347:N1347">_xlfn.XLOOKUP(A1347,Productos!$A$2:$A$61,Productos!$B$2:$F$61)</f>
        <v>Chaqueta de mezclilla</v>
      </c>
      <c r="K1347" s="2" t="s">
        <v>9</v>
      </c>
      <c r="L1347" s="2" t="s">
        <v>10</v>
      </c>
      <c r="M1347" s="2" t="s">
        <v>72</v>
      </c>
      <c r="N1347" s="2" t="s">
        <v>56</v>
      </c>
    </row>
    <row r="1348">
      <c r="A1348" s="2" t="str">
        <f>IFERROR(__xludf.DUMMYFUNCTION("""COMPUTED_VALUE"""),"PR041")</f>
        <v>PR041</v>
      </c>
      <c r="B1348" s="2" t="str">
        <f>IFERROR(__xludf.DUMMYFUNCTION("""COMPUTED_VALUE"""),"VD013")</f>
        <v>VD013</v>
      </c>
      <c r="C1348" s="2">
        <f>IFERROR(__xludf.DUMMYFUNCTION("""COMPUTED_VALUE"""),9.0)</f>
        <v>9</v>
      </c>
      <c r="D1348" s="6">
        <f>IFERROR(__xludf.DUMMYFUNCTION("""COMPUTED_VALUE"""),503.98)</f>
        <v>503.98</v>
      </c>
      <c r="E1348" s="6">
        <f>IFERROR(__xludf.DUMMYFUNCTION("GOOGLEFINANCE(""Currency:BRLMXN"")*D1348"),1712.27205)</f>
        <v>1712.27205</v>
      </c>
      <c r="F1348" s="6">
        <f>IFERROR(__xludf.DUMMYFUNCTION("GOOGLEFINANCE(""Currency:BRLPEN"")*D1348"),330.409288)</f>
        <v>330.409288</v>
      </c>
      <c r="G1348" s="2" t="str">
        <f t="array" ref="G1348">_xlfn.XLOOKUP(B1348,Vendedores!$A$2:$A$41,Vendedores!$B$2:$B$41,"No hay datos")</f>
        <v>Pedro Almonte</v>
      </c>
      <c r="H1348" s="2" t="str">
        <f t="array" ref="H1348">_xlfn.XLOOKUP(B1348,Vendedores!$A$2:$A$41,Vendedores!$C$2:$C$41,"No hay datos")</f>
        <v>Santa Rosa del Valle</v>
      </c>
      <c r="I1348" s="2" t="str">
        <f t="array" ref="I1348">_xlfn.XLOOKUP(B1348,Vendedores!$A$2:$A$41,Vendedores!$D$2:$D$41,"No hay datos")</f>
        <v>Región Norte</v>
      </c>
      <c r="J1348" s="2" t="str">
        <f t="array" ref="J1348:N1348">_xlfn.XLOOKUP(A1348,Productos!$A$2:$A$61,Productos!$B$2:$F$61)</f>
        <v>Playera confort</v>
      </c>
      <c r="K1348" s="2" t="s">
        <v>17</v>
      </c>
      <c r="L1348" s="2" t="s">
        <v>10</v>
      </c>
      <c r="M1348" s="2" t="s">
        <v>95</v>
      </c>
      <c r="N1348" s="2" t="s">
        <v>26</v>
      </c>
    </row>
    <row r="1349">
      <c r="A1349" s="2" t="str">
        <f>IFERROR(__xludf.DUMMYFUNCTION("""COMPUTED_VALUE"""),"PR012")</f>
        <v>PR012</v>
      </c>
      <c r="B1349" s="2" t="str">
        <f>IFERROR(__xludf.DUMMYFUNCTION("""COMPUTED_VALUE"""),"VD015")</f>
        <v>VD015</v>
      </c>
      <c r="C1349" s="2">
        <f>IFERROR(__xludf.DUMMYFUNCTION("""COMPUTED_VALUE"""),10.0)</f>
        <v>10</v>
      </c>
      <c r="D1349" s="6">
        <f>IFERROR(__xludf.DUMMYFUNCTION("""COMPUTED_VALUE"""),518.34)</f>
        <v>518.34</v>
      </c>
      <c r="E1349" s="6">
        <f>IFERROR(__xludf.DUMMYFUNCTION("GOOGLEFINANCE(""Currency:BRLMXN"")*D1349"),1761.06015)</f>
        <v>1761.06015</v>
      </c>
      <c r="F1349" s="6">
        <f>IFERROR(__xludf.DUMMYFUNCTION("GOOGLEFINANCE(""Currency:BRLPEN"")*D1349"),339.823704)</f>
        <v>339.823704</v>
      </c>
      <c r="G1349" s="2" t="str">
        <f t="array" ref="G1349">_xlfn.XLOOKUP(B1349,Vendedores!$A$2:$A$41,Vendedores!$B$2:$B$41,"No hay datos")</f>
        <v>Lucas Castillo</v>
      </c>
      <c r="H1349" s="2" t="str">
        <f t="array" ref="H1349">_xlfn.XLOOKUP(B1349,Vendedores!$A$2:$A$41,Vendedores!$C$2:$C$41,"No hay datos")</f>
        <v>San Miguel de los Pinos</v>
      </c>
      <c r="I1349" s="2" t="str">
        <f t="array" ref="I1349">_xlfn.XLOOKUP(B1349,Vendedores!$A$2:$A$41,Vendedores!$D$2:$D$41,"No hay datos")</f>
        <v>Región Sur</v>
      </c>
      <c r="J1349" s="2" t="str">
        <f t="array" ref="J1349:N1349">_xlfn.XLOOKUP(A1349,Productos!$A$2:$A$61,Productos!$B$2:$F$61)</f>
        <v>Pantalón legging</v>
      </c>
      <c r="K1349" s="2" t="s">
        <v>22</v>
      </c>
      <c r="L1349" s="2" t="s">
        <v>10</v>
      </c>
      <c r="M1349" s="2" t="s">
        <v>88</v>
      </c>
      <c r="N1349" s="2" t="s">
        <v>89</v>
      </c>
    </row>
    <row r="1350">
      <c r="A1350" s="2" t="str">
        <f>IFERROR(__xludf.DUMMYFUNCTION("""COMPUTED_VALUE"""),"PR053")</f>
        <v>PR053</v>
      </c>
      <c r="B1350" s="2" t="str">
        <f>IFERROR(__xludf.DUMMYFUNCTION("""COMPUTED_VALUE"""),"VD021")</f>
        <v>VD021</v>
      </c>
      <c r="C1350" s="2">
        <f>IFERROR(__xludf.DUMMYFUNCTION("""COMPUTED_VALUE"""),18.0)</f>
        <v>18</v>
      </c>
      <c r="D1350" s="6">
        <f>IFERROR(__xludf.DUMMYFUNCTION("""COMPUTED_VALUE"""),898.2)</f>
        <v>898.2</v>
      </c>
      <c r="E1350" s="6">
        <f>IFERROR(__xludf.DUMMYFUNCTION("GOOGLEFINANCE(""Currency:BRLMXN"")*D1350"),3051.6345)</f>
        <v>3051.6345</v>
      </c>
      <c r="F1350" s="6">
        <f>IFERROR(__xludf.DUMMYFUNCTION("GOOGLEFINANCE(""Currency:BRLPEN"")*D1350"),588.85992)</f>
        <v>588.85992</v>
      </c>
      <c r="G1350" s="2" t="str">
        <f t="array" ref="G1350">_xlfn.XLOOKUP(B1350,Vendedores!$A$2:$A$41,Vendedores!$B$2:$B$41,"No hay datos")</f>
        <v>Fernanda Méndez</v>
      </c>
      <c r="H1350" s="2" t="str">
        <f t="array" ref="H1350">_xlfn.XLOOKUP(B1350,Vendedores!$A$2:$A$41,Vendedores!$C$2:$C$41,"No hay datos")</f>
        <v>San Juan de la Sierra</v>
      </c>
      <c r="I1350" s="2" t="str">
        <f t="array" ref="I1350">_xlfn.XLOOKUP(B1350,Vendedores!$A$2:$A$41,Vendedores!$D$2:$D$41,"No hay datos")</f>
        <v>Región Central</v>
      </c>
      <c r="J1350" s="2" t="str">
        <f t="array" ref="J1350:N1350">_xlfn.XLOOKUP(A1350,Productos!$A$2:$A$61,Productos!$B$2:$F$61)</f>
        <v>Falda plisada</v>
      </c>
      <c r="K1350" s="2" t="s">
        <v>17</v>
      </c>
      <c r="L1350" s="2" t="s">
        <v>10</v>
      </c>
      <c r="M1350" s="2" t="s">
        <v>41</v>
      </c>
      <c r="N1350" s="2" t="s">
        <v>32</v>
      </c>
    </row>
    <row r="1351">
      <c r="A1351" s="2" t="str">
        <f>IFERROR(__xludf.DUMMYFUNCTION("""COMPUTED_VALUE"""),"PR038")</f>
        <v>PR038</v>
      </c>
      <c r="B1351" s="2" t="str">
        <f>IFERROR(__xludf.DUMMYFUNCTION("""COMPUTED_VALUE"""),"VD013")</f>
        <v>VD013</v>
      </c>
      <c r="C1351" s="2">
        <f>IFERROR(__xludf.DUMMYFUNCTION("""COMPUTED_VALUE"""),2.0)</f>
        <v>2</v>
      </c>
      <c r="D1351" s="6">
        <f>IFERROR(__xludf.DUMMYFUNCTION("""COMPUTED_VALUE"""),311.52)</f>
        <v>311.52</v>
      </c>
      <c r="E1351" s="6">
        <f>IFERROR(__xludf.DUMMYFUNCTION("GOOGLEFINANCE(""Currency:BRLMXN"")*D1351"),1058.3891999999998)</f>
        <v>1058.3892</v>
      </c>
      <c r="F1351" s="6">
        <f>IFERROR(__xludf.DUMMYFUNCTION("GOOGLEFINANCE(""Currency:BRLPEN"")*D1351"),204.23251199999999)</f>
        <v>204.232512</v>
      </c>
      <c r="G1351" s="2" t="str">
        <f t="array" ref="G1351">_xlfn.XLOOKUP(B1351,Vendedores!$A$2:$A$41,Vendedores!$B$2:$B$41,"No hay datos")</f>
        <v>Pedro Almonte</v>
      </c>
      <c r="H1351" s="2" t="str">
        <f t="array" ref="H1351">_xlfn.XLOOKUP(B1351,Vendedores!$A$2:$A$41,Vendedores!$C$2:$C$41,"No hay datos")</f>
        <v>Santa Rosa del Valle</v>
      </c>
      <c r="I1351" s="2" t="str">
        <f t="array" ref="I1351">_xlfn.XLOOKUP(B1351,Vendedores!$A$2:$A$41,Vendedores!$D$2:$D$41,"No hay datos")</f>
        <v>Región Norte</v>
      </c>
      <c r="J1351" s="2" t="str">
        <f t="array" ref="J1351:N1351">_xlfn.XLOOKUP(A1351,Productos!$A$2:$A$61,Productos!$B$2:$F$61)</f>
        <v>Vestido largo</v>
      </c>
      <c r="K1351" s="2" t="s">
        <v>17</v>
      </c>
      <c r="L1351" s="2" t="s">
        <v>10</v>
      </c>
      <c r="M1351" s="2" t="s">
        <v>51</v>
      </c>
      <c r="N1351" s="2" t="s">
        <v>52</v>
      </c>
    </row>
    <row r="1352">
      <c r="A1352" s="2" t="str">
        <f>IFERROR(__xludf.DUMMYFUNCTION("""COMPUTED_VALUE"""),"PR009")</f>
        <v>PR009</v>
      </c>
      <c r="B1352" s="2" t="str">
        <f>IFERROR(__xludf.DUMMYFUNCTION("""COMPUTED_VALUE"""),"VD022")</f>
        <v>VD022</v>
      </c>
      <c r="C1352" s="2">
        <f>IFERROR(__xludf.DUMMYFUNCTION("""COMPUTED_VALUE"""),12.0)</f>
        <v>12</v>
      </c>
      <c r="D1352" s="6">
        <f>IFERROR(__xludf.DUMMYFUNCTION("""COMPUTED_VALUE"""),1181.69)</f>
        <v>1181.69</v>
      </c>
      <c r="E1352" s="6">
        <f>IFERROR(__xludf.DUMMYFUNCTION("GOOGLEFINANCE(""Currency:BRLMXN"")*D1352"),4014.791775)</f>
        <v>4014.791775</v>
      </c>
      <c r="F1352" s="6">
        <f>IFERROR(__xludf.DUMMYFUNCTION("GOOGLEFINANCE(""Currency:BRLPEN"")*D1352"),774.715964)</f>
        <v>774.715964</v>
      </c>
      <c r="G1352" s="2" t="str">
        <f t="array" ref="G1352">_xlfn.XLOOKUP(B1352,Vendedores!$A$2:$A$41,Vendedores!$B$2:$B$41,"No hay datos")</f>
        <v>Santiago Linares</v>
      </c>
      <c r="H1352" s="2" t="str">
        <f t="array" ref="H1352">_xlfn.XLOOKUP(B1352,Vendedores!$A$2:$A$41,Vendedores!$C$2:$C$41,"No hay datos")</f>
        <v>Vista Hermosa</v>
      </c>
      <c r="I1352" s="2" t="str">
        <f t="array" ref="I1352">_xlfn.XLOOKUP(B1352,Vendedores!$A$2:$A$41,Vendedores!$D$2:$D$41,"No hay datos")</f>
        <v>Región Central</v>
      </c>
      <c r="J1352" s="2" t="str">
        <f t="array" ref="J1352:N1352">_xlfn.XLOOKUP(A1352,Productos!$A$2:$A$61,Productos!$B$2:$F$61)</f>
        <v>Pantalón de mezclilla</v>
      </c>
      <c r="K1352" s="2" t="s">
        <v>22</v>
      </c>
      <c r="L1352" s="2" t="s">
        <v>10</v>
      </c>
      <c r="M1352" s="2" t="s">
        <v>76</v>
      </c>
      <c r="N1352" s="2" t="s">
        <v>77</v>
      </c>
    </row>
    <row r="1353">
      <c r="A1353" s="2" t="str">
        <f>IFERROR(__xludf.DUMMYFUNCTION("""COMPUTED_VALUE"""),"PR019")</f>
        <v>PR019</v>
      </c>
      <c r="B1353" s="2" t="str">
        <f>IFERROR(__xludf.DUMMYFUNCTION("""COMPUTED_VALUE"""),"VD025")</f>
        <v>VD025</v>
      </c>
      <c r="C1353" s="2">
        <f>IFERROR(__xludf.DUMMYFUNCTION("""COMPUTED_VALUE"""),14.0)</f>
        <v>14</v>
      </c>
      <c r="D1353" s="6">
        <f>IFERROR(__xludf.DUMMYFUNCTION("""COMPUTED_VALUE"""),705.59)</f>
        <v>705.59</v>
      </c>
      <c r="E1353" s="6">
        <f>IFERROR(__xludf.DUMMYFUNCTION("GOOGLEFINANCE(""Currency:BRLMXN"")*D1353"),2397.242025)</f>
        <v>2397.242025</v>
      </c>
      <c r="F1353" s="6">
        <f>IFERROR(__xludf.DUMMYFUNCTION("GOOGLEFINANCE(""Currency:BRLPEN"")*D1353"),462.584804)</f>
        <v>462.584804</v>
      </c>
      <c r="G1353" s="2" t="str">
        <f t="array" ref="G1353">_xlfn.XLOOKUP(B1353,Vendedores!$A$2:$A$41,Vendedores!$B$2:$B$41,"No hay datos")</f>
        <v>Alina Santana</v>
      </c>
      <c r="H1353" s="2" t="str">
        <f t="array" ref="H1353">_xlfn.XLOOKUP(B1353,Vendedores!$A$2:$A$41,Vendedores!$C$2:$C$41,"No hay datos")</f>
        <v>Playa Blanca</v>
      </c>
      <c r="I1353" s="2" t="str">
        <f t="array" ref="I1353">_xlfn.XLOOKUP(B1353,Vendedores!$A$2:$A$41,Vendedores!$D$2:$D$41,"No hay datos")</f>
        <v>Región Norte</v>
      </c>
      <c r="J1353" s="2" t="str">
        <f t="array" ref="J1353:N1353">_xlfn.XLOOKUP(A1353,Productos!$A$2:$A$61,Productos!$B$2:$F$61)</f>
        <v>Cinturón</v>
      </c>
      <c r="K1353" s="2" t="s">
        <v>29</v>
      </c>
      <c r="L1353" s="2" t="s">
        <v>30</v>
      </c>
      <c r="M1353" s="2" t="s">
        <v>31</v>
      </c>
      <c r="N1353" s="2" t="s">
        <v>32</v>
      </c>
    </row>
    <row r="1354">
      <c r="A1354" s="2" t="str">
        <f>IFERROR(__xludf.DUMMYFUNCTION("""COMPUTED_VALUE"""),"PR029")</f>
        <v>PR029</v>
      </c>
      <c r="B1354" s="2" t="str">
        <f>IFERROR(__xludf.DUMMYFUNCTION("""COMPUTED_VALUE"""),"VD018")</f>
        <v>VD018</v>
      </c>
      <c r="C1354" s="2">
        <f>IFERROR(__xludf.DUMMYFUNCTION("""COMPUTED_VALUE"""),1.0)</f>
        <v>1</v>
      </c>
      <c r="D1354" s="6">
        <f>IFERROR(__xludf.DUMMYFUNCTION("""COMPUTED_VALUE"""),257.55)</f>
        <v>257.55</v>
      </c>
      <c r="E1354" s="6">
        <f>IFERROR(__xludf.DUMMYFUNCTION("GOOGLEFINANCE(""Currency:BRLMXN"")*D1354"),875.026125)</f>
        <v>875.026125</v>
      </c>
      <c r="F1354" s="6">
        <f>IFERROR(__xludf.DUMMYFUNCTION("GOOGLEFINANCE(""Currency:BRLPEN"")*D1354"),168.84978)</f>
        <v>168.84978</v>
      </c>
      <c r="G1354" s="2" t="str">
        <f t="array" ref="G1354">_xlfn.XLOOKUP(B1354,Vendedores!$A$2:$A$41,Vendedores!$B$2:$B$41,"No hay datos")</f>
        <v>Leticia Rodríguez</v>
      </c>
      <c r="H1354" s="2" t="str">
        <f t="array" ref="H1354">_xlfn.XLOOKUP(B1354,Vendedores!$A$2:$A$41,Vendedores!$C$2:$C$41,"No hay datos")</f>
        <v>Playa Blanca</v>
      </c>
      <c r="I1354" s="2" t="str">
        <f t="array" ref="I1354">_xlfn.XLOOKUP(B1354,Vendedores!$A$2:$A$41,Vendedores!$D$2:$D$41,"No hay datos")</f>
        <v>Región Norte</v>
      </c>
      <c r="J1354" s="2" t="str">
        <f t="array" ref="J1354:N1354">_xlfn.XLOOKUP(A1354,Productos!$A$2:$A$61,Productos!$B$2:$F$61)</f>
        <v>Tenis Atitas</v>
      </c>
      <c r="K1354" s="2">
        <v>37.0</v>
      </c>
      <c r="L1354" s="2" t="s">
        <v>33</v>
      </c>
      <c r="M1354" s="2" t="s">
        <v>96</v>
      </c>
      <c r="N1354" s="2" t="s">
        <v>97</v>
      </c>
    </row>
    <row r="1355">
      <c r="A1355" s="2" t="str">
        <f>IFERROR(__xludf.DUMMYFUNCTION("""COMPUTED_VALUE"""),"PR032")</f>
        <v>PR032</v>
      </c>
      <c r="B1355" s="2" t="str">
        <f>IFERROR(__xludf.DUMMYFUNCTION("""COMPUTED_VALUE"""),"VD018")</f>
        <v>VD018</v>
      </c>
      <c r="C1355" s="2">
        <f>IFERROR(__xludf.DUMMYFUNCTION("""COMPUTED_VALUE"""),2.0)</f>
        <v>2</v>
      </c>
      <c r="D1355" s="6">
        <f>IFERROR(__xludf.DUMMYFUNCTION("""COMPUTED_VALUE"""),520.0)</f>
        <v>520</v>
      </c>
      <c r="E1355" s="6">
        <f>IFERROR(__xludf.DUMMYFUNCTION("GOOGLEFINANCE(""Currency:BRLMXN"")*D1355"),1766.7)</f>
        <v>1766.7</v>
      </c>
      <c r="F1355" s="6">
        <f>IFERROR(__xludf.DUMMYFUNCTION("GOOGLEFINANCE(""Currency:BRLPEN"")*D1355"),340.912)</f>
        <v>340.912</v>
      </c>
      <c r="G1355" s="2" t="str">
        <f t="array" ref="G1355">_xlfn.XLOOKUP(B1355,Vendedores!$A$2:$A$41,Vendedores!$B$2:$B$41,"No hay datos")</f>
        <v>Leticia Rodríguez</v>
      </c>
      <c r="H1355" s="2" t="str">
        <f t="array" ref="H1355">_xlfn.XLOOKUP(B1355,Vendedores!$A$2:$A$41,Vendedores!$C$2:$C$41,"No hay datos")</f>
        <v>Playa Blanca</v>
      </c>
      <c r="I1355" s="2" t="str">
        <f t="array" ref="I1355">_xlfn.XLOOKUP(B1355,Vendedores!$A$2:$A$41,Vendedores!$D$2:$D$41,"No hay datos")</f>
        <v>Región Norte</v>
      </c>
      <c r="J1355" s="2" t="str">
        <f t="array" ref="J1355:N1355">_xlfn.XLOOKUP(A1355,Productos!$A$2:$A$61,Productos!$B$2:$F$61)</f>
        <v>Tenis Chunky</v>
      </c>
      <c r="K1355" s="2">
        <v>37.0</v>
      </c>
      <c r="L1355" s="2" t="s">
        <v>33</v>
      </c>
      <c r="M1355" s="2" t="s">
        <v>61</v>
      </c>
      <c r="N1355" s="2" t="s">
        <v>62</v>
      </c>
    </row>
    <row r="1356">
      <c r="A1356" s="2" t="str">
        <f>IFERROR(__xludf.DUMMYFUNCTION("""COMPUTED_VALUE"""),"PR048")</f>
        <v>PR048</v>
      </c>
      <c r="B1356" s="2" t="str">
        <f>IFERROR(__xludf.DUMMYFUNCTION("""COMPUTED_VALUE"""),"VD042")</f>
        <v>VD042</v>
      </c>
      <c r="C1356" s="2">
        <f>IFERROR(__xludf.DUMMYFUNCTION("""COMPUTED_VALUE"""),2.0)</f>
        <v>2</v>
      </c>
      <c r="D1356" s="6">
        <f>IFERROR(__xludf.DUMMYFUNCTION("""COMPUTED_VALUE"""),585.6)</f>
        <v>585.6</v>
      </c>
      <c r="E1356" s="6">
        <f>IFERROR(__xludf.DUMMYFUNCTION("GOOGLEFINANCE(""Currency:BRLMXN"")*D1356"),1989.576)</f>
        <v>1989.576</v>
      </c>
      <c r="F1356" s="6">
        <f>IFERROR(__xludf.DUMMYFUNCTION("GOOGLEFINANCE(""Currency:BRLPEN"")*D1356"),383.91936)</f>
        <v>383.91936</v>
      </c>
      <c r="G1356" s="2" t="str">
        <f t="array" ref="G1356">_xlfn.XLOOKUP(B1356,Vendedores!$A$2:$A$41,Vendedores!$B$2:$B$41,"No hay datos")</f>
        <v>Priscila Duarte</v>
      </c>
      <c r="H1356" s="2" t="str">
        <f t="array" ref="H1356">_xlfn.XLOOKUP(B1356,Vendedores!$A$2:$A$41,Vendedores!$C$2:$C$41,"No hay datos")</f>
        <v>Villa Comercial</v>
      </c>
      <c r="I1356" s="2" t="str">
        <f t="array" ref="I1356">_xlfn.XLOOKUP(B1356,Vendedores!$A$2:$A$41,Vendedores!$D$2:$D$41,"No hay datos")</f>
        <v>Región Central 2</v>
      </c>
      <c r="J1356" s="2" t="str">
        <f t="array" ref="J1356:N1356">_xlfn.XLOOKUP(A1356,Productos!$A$2:$A$61,Productos!$B$2:$F$61)</f>
        <v>Chaqueta de cuero</v>
      </c>
      <c r="K1356" s="2" t="s">
        <v>22</v>
      </c>
      <c r="L1356" s="2" t="s">
        <v>10</v>
      </c>
      <c r="M1356" s="2" t="s">
        <v>94</v>
      </c>
      <c r="N1356" s="2" t="s">
        <v>44</v>
      </c>
    </row>
    <row r="1357">
      <c r="A1357" s="2" t="str">
        <f>IFERROR(__xludf.DUMMYFUNCTION("""COMPUTED_VALUE"""),"PR044")</f>
        <v>PR044</v>
      </c>
      <c r="B1357" s="2" t="str">
        <f>IFERROR(__xludf.DUMMYFUNCTION("""COMPUTED_VALUE"""),"VD042")</f>
        <v>VD042</v>
      </c>
      <c r="C1357" s="2">
        <f>IFERROR(__xludf.DUMMYFUNCTION("""COMPUTED_VALUE"""),8.0)</f>
        <v>8</v>
      </c>
      <c r="D1357" s="6">
        <f>IFERROR(__xludf.DUMMYFUNCTION("""COMPUTED_VALUE"""),626.4)</f>
        <v>626.4</v>
      </c>
      <c r="E1357" s="6">
        <f>IFERROR(__xludf.DUMMYFUNCTION("GOOGLEFINANCE(""Currency:BRLMXN"")*D1357"),2128.194)</f>
        <v>2128.194</v>
      </c>
      <c r="F1357" s="6">
        <f>IFERROR(__xludf.DUMMYFUNCTION("GOOGLEFINANCE(""Currency:BRLPEN"")*D1357"),410.66783999999996)</f>
        <v>410.66784</v>
      </c>
      <c r="G1357" s="2" t="str">
        <f t="array" ref="G1357">_xlfn.XLOOKUP(B1357,Vendedores!$A$2:$A$41,Vendedores!$B$2:$B$41,"No hay datos")</f>
        <v>Priscila Duarte</v>
      </c>
      <c r="H1357" s="2" t="str">
        <f t="array" ref="H1357">_xlfn.XLOOKUP(B1357,Vendedores!$A$2:$A$41,Vendedores!$C$2:$C$41,"No hay datos")</f>
        <v>Villa Comercial</v>
      </c>
      <c r="I1357" s="2" t="str">
        <f t="array" ref="I1357">_xlfn.XLOOKUP(B1357,Vendedores!$A$2:$A$41,Vendedores!$D$2:$D$41,"No hay datos")</f>
        <v>Región Central 2</v>
      </c>
      <c r="J1357" s="2" t="str">
        <f t="array" ref="J1357:N1357">_xlfn.XLOOKUP(A1357,Productos!$A$2:$A$61,Productos!$B$2:$F$61)</f>
        <v>Vestido floral</v>
      </c>
      <c r="K1357" s="2" t="s">
        <v>17</v>
      </c>
      <c r="L1357" s="2" t="s">
        <v>10</v>
      </c>
      <c r="M1357" s="2" t="s">
        <v>105</v>
      </c>
      <c r="N1357" s="2" t="s">
        <v>40</v>
      </c>
    </row>
    <row r="1358">
      <c r="A1358" s="2" t="str">
        <f>IFERROR(__xludf.DUMMYFUNCTION("""COMPUTED_VALUE"""),"PR007")</f>
        <v>PR007</v>
      </c>
      <c r="B1358" s="2" t="str">
        <f>IFERROR(__xludf.DUMMYFUNCTION("""COMPUTED_VALUE"""),"VD019")</f>
        <v>VD019</v>
      </c>
      <c r="C1358" s="2">
        <f>IFERROR(__xludf.DUMMYFUNCTION("""COMPUTED_VALUE"""),3.0)</f>
        <v>3</v>
      </c>
      <c r="D1358" s="6">
        <f>IFERROR(__xludf.DUMMYFUNCTION("""COMPUTED_VALUE"""),280.89)</f>
        <v>280.89</v>
      </c>
      <c r="E1358" s="6">
        <f>IFERROR(__xludf.DUMMYFUNCTION("GOOGLEFINANCE(""Currency:BRLMXN"")*D1358"),954.323775)</f>
        <v>954.323775</v>
      </c>
      <c r="F1358" s="6">
        <f>IFERROR(__xludf.DUMMYFUNCTION("GOOGLEFINANCE(""Currency:BRLPEN"")*D1358"),184.15148399999998)</f>
        <v>184.151484</v>
      </c>
      <c r="G1358" s="2" t="str">
        <f t="array" ref="G1358">_xlfn.XLOOKUP(B1358,Vendedores!$A$2:$A$41,Vendedores!$B$2:$B$41,"No hay datos")</f>
        <v>Rafael Sosa</v>
      </c>
      <c r="H1358" s="2" t="str">
        <f t="array" ref="H1358">_xlfn.XLOOKUP(B1358,Vendedores!$A$2:$A$41,Vendedores!$C$2:$C$41,"No hay datos")</f>
        <v>Selva Verde</v>
      </c>
      <c r="I1358" s="2" t="str">
        <f t="array" ref="I1358">_xlfn.XLOOKUP(B1358,Vendedores!$A$2:$A$41,Vendedores!$D$2:$D$41,"No hay datos")</f>
        <v>Región Amazónica</v>
      </c>
      <c r="J1358" s="2" t="str">
        <f t="array" ref="J1358:N1358">_xlfn.XLOOKUP(A1358,Productos!$A$2:$A$61,Productos!$B$2:$F$61)</f>
        <v>Pantalón de mezclilla</v>
      </c>
      <c r="K1358" s="2" t="s">
        <v>9</v>
      </c>
      <c r="L1358" s="2" t="s">
        <v>10</v>
      </c>
      <c r="M1358" s="2" t="s">
        <v>103</v>
      </c>
      <c r="N1358" s="2" t="s">
        <v>104</v>
      </c>
    </row>
    <row r="1359">
      <c r="A1359" s="2" t="str">
        <f>IFERROR(__xludf.DUMMYFUNCTION("""COMPUTED_VALUE"""),"PR018")</f>
        <v>PR018</v>
      </c>
      <c r="B1359" s="2" t="str">
        <f>IFERROR(__xludf.DUMMYFUNCTION("""COMPUTED_VALUE"""),"VD029")</f>
        <v>VD029</v>
      </c>
      <c r="C1359" s="2">
        <f>IFERROR(__xludf.DUMMYFUNCTION("""COMPUTED_VALUE"""),20.0)</f>
        <v>20</v>
      </c>
      <c r="D1359" s="6">
        <f>IFERROR(__xludf.DUMMYFUNCTION("""COMPUTED_VALUE"""),717.22)</f>
        <v>717.22</v>
      </c>
      <c r="E1359" s="6">
        <f>IFERROR(__xludf.DUMMYFUNCTION("GOOGLEFINANCE(""Currency:BRLMXN"")*D1359"),2436.75495)</f>
        <v>2436.75495</v>
      </c>
      <c r="F1359" s="6">
        <f>IFERROR(__xludf.DUMMYFUNCTION("GOOGLEFINANCE(""Currency:BRLPEN"")*D1359"),470.209432)</f>
        <v>470.209432</v>
      </c>
      <c r="G1359" s="2" t="str">
        <f t="array" ref="G1359">_xlfn.XLOOKUP(B1359,Vendedores!$A$2:$A$41,Vendedores!$B$2:$B$41,"No hay datos")</f>
        <v>Gabriela Sosa</v>
      </c>
      <c r="H1359" s="2" t="str">
        <f t="array" ref="H1359">_xlfn.XLOOKUP(B1359,Vendedores!$A$2:$A$41,Vendedores!$C$2:$C$41,"No hay datos")</f>
        <v>Selva Verde</v>
      </c>
      <c r="I1359" s="2" t="str">
        <f t="array" ref="I1359">_xlfn.XLOOKUP(B1359,Vendedores!$A$2:$A$41,Vendedores!$D$2:$D$41,"No hay datos")</f>
        <v>Región Amazónica</v>
      </c>
      <c r="J1359" s="2" t="str">
        <f t="array" ref="J1359:N1359">_xlfn.XLOOKUP(A1359,Productos!$A$2:$A$61,Productos!$B$2:$F$61)</f>
        <v>Playera lisa</v>
      </c>
      <c r="K1359" s="2" t="s">
        <v>22</v>
      </c>
      <c r="L1359" s="2" t="s">
        <v>10</v>
      </c>
      <c r="M1359" s="2" t="s">
        <v>57</v>
      </c>
      <c r="N1359" s="2" t="s">
        <v>24</v>
      </c>
    </row>
    <row r="1360">
      <c r="A1360" s="2" t="str">
        <f>IFERROR(__xludf.DUMMYFUNCTION("""COMPUTED_VALUE"""),"PR017")</f>
        <v>PR017</v>
      </c>
      <c r="B1360" s="2" t="str">
        <f>IFERROR(__xludf.DUMMYFUNCTION("""COMPUTED_VALUE"""),"VD028")</f>
        <v>VD028</v>
      </c>
      <c r="C1360" s="2">
        <f>IFERROR(__xludf.DUMMYFUNCTION("""COMPUTED_VALUE"""),9.0)</f>
        <v>9</v>
      </c>
      <c r="D1360" s="6">
        <f>IFERROR(__xludf.DUMMYFUNCTION("""COMPUTED_VALUE"""),279.86)</f>
        <v>279.86</v>
      </c>
      <c r="E1360" s="6">
        <f>IFERROR(__xludf.DUMMYFUNCTION("GOOGLEFINANCE(""Currency:BRLMXN"")*D1360"),950.82435)</f>
        <v>950.82435</v>
      </c>
      <c r="F1360" s="6">
        <f>IFERROR(__xludf.DUMMYFUNCTION("GOOGLEFINANCE(""Currency:BRLPEN"")*D1360"),183.476216)</f>
        <v>183.476216</v>
      </c>
      <c r="G1360" s="2" t="str">
        <f t="array" ref="G1360">_xlfn.XLOOKUP(B1360,Vendedores!$A$2:$A$41,Vendedores!$B$2:$B$41,"No hay datos")</f>
        <v>Rodrigo Almonte</v>
      </c>
      <c r="H1360" s="2" t="str">
        <f t="array" ref="H1360">_xlfn.XLOOKUP(B1360,Vendedores!$A$2:$A$41,Vendedores!$C$2:$C$41,"No hay datos")</f>
        <v>Valle Escondido</v>
      </c>
      <c r="I1360" s="2" t="str">
        <f t="array" ref="I1360">_xlfn.XLOOKUP(B1360,Vendedores!$A$2:$A$41,Vendedores!$D$2:$D$41,"No hay datos")</f>
        <v>Región Andina</v>
      </c>
      <c r="J1360" s="2" t="str">
        <f t="array" ref="J1360:N1360">_xlfn.XLOOKUP(A1360,Productos!$A$2:$A$61,Productos!$B$2:$F$61)</f>
        <v>Playera lisa</v>
      </c>
      <c r="K1360" s="2" t="s">
        <v>17</v>
      </c>
      <c r="L1360" s="2" t="s">
        <v>10</v>
      </c>
      <c r="M1360" s="2" t="s">
        <v>98</v>
      </c>
      <c r="N1360" s="2" t="s">
        <v>99</v>
      </c>
    </row>
    <row r="1361">
      <c r="A1361" s="2" t="str">
        <f>IFERROR(__xludf.DUMMYFUNCTION("""COMPUTED_VALUE"""),"PR053")</f>
        <v>PR053</v>
      </c>
      <c r="B1361" s="2" t="str">
        <f>IFERROR(__xludf.DUMMYFUNCTION("""COMPUTED_VALUE"""),"VD014")</f>
        <v>VD014</v>
      </c>
      <c r="C1361" s="2">
        <f>IFERROR(__xludf.DUMMYFUNCTION("""COMPUTED_VALUE"""),8.0)</f>
        <v>8</v>
      </c>
      <c r="D1361" s="6">
        <f>IFERROR(__xludf.DUMMYFUNCTION("""COMPUTED_VALUE"""),419.16)</f>
        <v>419.16</v>
      </c>
      <c r="E1361" s="6">
        <f>IFERROR(__xludf.DUMMYFUNCTION("GOOGLEFINANCE(""Currency:BRLMXN"")*D1361"),1424.0961)</f>
        <v>1424.0961</v>
      </c>
      <c r="F1361" s="6">
        <f>IFERROR(__xludf.DUMMYFUNCTION("GOOGLEFINANCE(""Currency:BRLPEN"")*D1361"),274.801296)</f>
        <v>274.801296</v>
      </c>
      <c r="G1361" s="2" t="str">
        <f t="array" ref="G1361">_xlfn.XLOOKUP(B1361,Vendedores!$A$2:$A$41,Vendedores!$B$2:$B$41,"No hay datos")</f>
        <v>Carla Flores</v>
      </c>
      <c r="H1361" s="2" t="str">
        <f t="array" ref="H1361">_xlfn.XLOOKUP(B1361,Vendedores!$A$2:$A$41,Vendedores!$C$2:$C$41,"No hay datos")</f>
        <v>Valle Escondido</v>
      </c>
      <c r="I1361" s="2" t="str">
        <f t="array" ref="I1361">_xlfn.XLOOKUP(B1361,Vendedores!$A$2:$A$41,Vendedores!$D$2:$D$41,"No hay datos")</f>
        <v>Región Andina</v>
      </c>
      <c r="J1361" s="2" t="str">
        <f t="array" ref="J1361:N1361">_xlfn.XLOOKUP(A1361,Productos!$A$2:$A$61,Productos!$B$2:$F$61)</f>
        <v>Falda plisada</v>
      </c>
      <c r="K1361" s="2" t="s">
        <v>17</v>
      </c>
      <c r="L1361" s="2" t="s">
        <v>10</v>
      </c>
      <c r="M1361" s="2" t="s">
        <v>41</v>
      </c>
      <c r="N1361" s="2" t="s">
        <v>32</v>
      </c>
    </row>
    <row r="1362">
      <c r="A1362" s="2" t="str">
        <f>IFERROR(__xludf.DUMMYFUNCTION("""COMPUTED_VALUE"""),"PR059")</f>
        <v>PR059</v>
      </c>
      <c r="B1362" s="2" t="str">
        <f>IFERROR(__xludf.DUMMYFUNCTION("""COMPUTED_VALUE"""),"VD015")</f>
        <v>VD015</v>
      </c>
      <c r="C1362" s="2">
        <f>IFERROR(__xludf.DUMMYFUNCTION("""COMPUTED_VALUE"""),1.0)</f>
        <v>1</v>
      </c>
      <c r="D1362" s="6">
        <f>IFERROR(__xludf.DUMMYFUNCTION("""COMPUTED_VALUE"""),181.8)</f>
        <v>181.8</v>
      </c>
      <c r="E1362" s="6">
        <f>IFERROR(__xludf.DUMMYFUNCTION("GOOGLEFINANCE(""Currency:BRLMXN"")*D1362"),617.6655000000001)</f>
        <v>617.6655</v>
      </c>
      <c r="F1362" s="6">
        <f>IFERROR(__xludf.DUMMYFUNCTION("GOOGLEFINANCE(""Currency:BRLPEN"")*D1362"),119.18808)</f>
        <v>119.18808</v>
      </c>
      <c r="G1362" s="2" t="str">
        <f t="array" ref="G1362">_xlfn.XLOOKUP(B1362,Vendedores!$A$2:$A$41,Vendedores!$B$2:$B$41,"No hay datos")</f>
        <v>Lucas Castillo</v>
      </c>
      <c r="H1362" s="2" t="str">
        <f t="array" ref="H1362">_xlfn.XLOOKUP(B1362,Vendedores!$A$2:$A$41,Vendedores!$C$2:$C$41,"No hay datos")</f>
        <v>San Miguel de los Pinos</v>
      </c>
      <c r="I1362" s="2" t="str">
        <f t="array" ref="I1362">_xlfn.XLOOKUP(B1362,Vendedores!$A$2:$A$41,Vendedores!$D$2:$D$41,"No hay datos")</f>
        <v>Región Sur</v>
      </c>
      <c r="J1362" s="2" t="str">
        <f t="array" ref="J1362:N1362">_xlfn.XLOOKUP(A1362,Productos!$A$2:$A$61,Productos!$B$2:$F$61)</f>
        <v>Pantalón de sastre</v>
      </c>
      <c r="K1362" s="2" t="s">
        <v>17</v>
      </c>
      <c r="L1362" s="2" t="s">
        <v>10</v>
      </c>
      <c r="M1362" s="2" t="s">
        <v>28</v>
      </c>
      <c r="N1362" s="2" t="s">
        <v>14</v>
      </c>
    </row>
    <row r="1363">
      <c r="A1363" s="2" t="str">
        <f>IFERROR(__xludf.DUMMYFUNCTION("""COMPUTED_VALUE"""),"PR014")</f>
        <v>PR014</v>
      </c>
      <c r="B1363" s="2" t="str">
        <f>IFERROR(__xludf.DUMMYFUNCTION("""COMPUTED_VALUE"""),"VD018")</f>
        <v>VD018</v>
      </c>
      <c r="C1363" s="2">
        <f>IFERROR(__xludf.DUMMYFUNCTION("""COMPUTED_VALUE"""),16.0)</f>
        <v>16</v>
      </c>
      <c r="D1363" s="6">
        <f>IFERROR(__xludf.DUMMYFUNCTION("""COMPUTED_VALUE"""),651.17)</f>
        <v>651.17</v>
      </c>
      <c r="E1363" s="6">
        <f>IFERROR(__xludf.DUMMYFUNCTION("GOOGLEFINANCE(""Currency:BRLMXN"")*D1363"),2212.350075)</f>
        <v>2212.350075</v>
      </c>
      <c r="F1363" s="6">
        <f>IFERROR(__xludf.DUMMYFUNCTION("GOOGLEFINANCE(""Currency:BRLPEN"")*D1363"),426.90705199999996)</f>
        <v>426.907052</v>
      </c>
      <c r="G1363" s="2" t="str">
        <f t="array" ref="G1363">_xlfn.XLOOKUP(B1363,Vendedores!$A$2:$A$41,Vendedores!$B$2:$B$41,"No hay datos")</f>
        <v>Leticia Rodríguez</v>
      </c>
      <c r="H1363" s="2" t="str">
        <f t="array" ref="H1363">_xlfn.XLOOKUP(B1363,Vendedores!$A$2:$A$41,Vendedores!$C$2:$C$41,"No hay datos")</f>
        <v>Playa Blanca</v>
      </c>
      <c r="I1363" s="2" t="str">
        <f t="array" ref="I1363">_xlfn.XLOOKUP(B1363,Vendedores!$A$2:$A$41,Vendedores!$D$2:$D$41,"No hay datos")</f>
        <v>Región Norte</v>
      </c>
      <c r="J1363" s="2" t="str">
        <f t="array" ref="J1363:N1363">_xlfn.XLOOKUP(A1363,Productos!$A$2:$A$61,Productos!$B$2:$F$61)</f>
        <v>Playera estampada</v>
      </c>
      <c r="K1363" s="2" t="s">
        <v>17</v>
      </c>
      <c r="L1363" s="2" t="s">
        <v>10</v>
      </c>
      <c r="M1363" s="2" t="s">
        <v>37</v>
      </c>
      <c r="N1363" s="2" t="s">
        <v>38</v>
      </c>
    </row>
    <row r="1364">
      <c r="A1364" s="2" t="str">
        <f>IFERROR(__xludf.DUMMYFUNCTION("""COMPUTED_VALUE"""),"PR022")</f>
        <v>PR022</v>
      </c>
      <c r="B1364" s="2" t="str">
        <f>IFERROR(__xludf.DUMMYFUNCTION("""COMPUTED_VALUE"""),"VD032")</f>
        <v>VD032</v>
      </c>
      <c r="C1364" s="2">
        <f>IFERROR(__xludf.DUMMYFUNCTION("""COMPUTED_VALUE"""),10.0)</f>
        <v>10</v>
      </c>
      <c r="D1364" s="6">
        <f>IFERROR(__xludf.DUMMYFUNCTION("""COMPUTED_VALUE"""),3150.0)</f>
        <v>3150</v>
      </c>
      <c r="E1364" s="6">
        <f>IFERROR(__xludf.DUMMYFUNCTION("GOOGLEFINANCE(""Currency:BRLMXN"")*D1364"),10702.125)</f>
        <v>10702.125</v>
      </c>
      <c r="F1364" s="6">
        <f>IFERROR(__xludf.DUMMYFUNCTION("GOOGLEFINANCE(""Currency:BRLPEN"")*D1364"),2065.14)</f>
        <v>2065.14</v>
      </c>
      <c r="G1364" s="2" t="str">
        <f t="array" ref="G1364">_xlfn.XLOOKUP(B1364,Vendedores!$A$2:$A$41,Vendedores!$B$2:$B$41,"No hay datos")</f>
        <v>Eduardo Almonte</v>
      </c>
      <c r="H1364" s="2" t="str">
        <f t="array" ref="H1364">_xlfn.XLOOKUP(B1364,Vendedores!$A$2:$A$41,Vendedores!$C$2:$C$41,"No hay datos")</f>
        <v>Tierra Colorada</v>
      </c>
      <c r="I1364" s="2" t="str">
        <f t="array" ref="I1364">_xlfn.XLOOKUP(B1364,Vendedores!$A$2:$A$41,Vendedores!$D$2:$D$41,"No hay datos")</f>
        <v>Región Central 2</v>
      </c>
      <c r="J1364" s="2" t="str">
        <f t="array" ref="J1364:N1364">_xlfn.XLOOKUP(A1364,Productos!$A$2:$A$61,Productos!$B$2:$F$61)</f>
        <v>Chaqueta de cuero</v>
      </c>
      <c r="K1364" s="2" t="s">
        <v>22</v>
      </c>
      <c r="L1364" s="2" t="s">
        <v>10</v>
      </c>
      <c r="M1364" s="2" t="s">
        <v>78</v>
      </c>
      <c r="N1364" s="2" t="s">
        <v>79</v>
      </c>
    </row>
    <row r="1365">
      <c r="A1365" s="2" t="str">
        <f>IFERROR(__xludf.DUMMYFUNCTION("""COMPUTED_VALUE"""),"PR007")</f>
        <v>PR007</v>
      </c>
      <c r="B1365" s="2" t="str">
        <f>IFERROR(__xludf.DUMMYFUNCTION("""COMPUTED_VALUE"""),"VD028")</f>
        <v>VD028</v>
      </c>
      <c r="C1365" s="2">
        <f>IFERROR(__xludf.DUMMYFUNCTION("""COMPUTED_VALUE"""),10.0)</f>
        <v>10</v>
      </c>
      <c r="D1365" s="6">
        <f>IFERROR(__xludf.DUMMYFUNCTION("""COMPUTED_VALUE"""),859.0)</f>
        <v>859</v>
      </c>
      <c r="E1365" s="6">
        <f>IFERROR(__xludf.DUMMYFUNCTION("GOOGLEFINANCE(""Currency:BRLMXN"")*D1365"),2918.4525)</f>
        <v>2918.4525</v>
      </c>
      <c r="F1365" s="6">
        <f>IFERROR(__xludf.DUMMYFUNCTION("GOOGLEFINANCE(""Currency:BRLPEN"")*D1365"),563.1604)</f>
        <v>563.1604</v>
      </c>
      <c r="G1365" s="2" t="str">
        <f t="array" ref="G1365">_xlfn.XLOOKUP(B1365,Vendedores!$A$2:$A$41,Vendedores!$B$2:$B$41,"No hay datos")</f>
        <v>Rodrigo Almonte</v>
      </c>
      <c r="H1365" s="2" t="str">
        <f t="array" ref="H1365">_xlfn.XLOOKUP(B1365,Vendedores!$A$2:$A$41,Vendedores!$C$2:$C$41,"No hay datos")</f>
        <v>Valle Escondido</v>
      </c>
      <c r="I1365" s="2" t="str">
        <f t="array" ref="I1365">_xlfn.XLOOKUP(B1365,Vendedores!$A$2:$A$41,Vendedores!$D$2:$D$41,"No hay datos")</f>
        <v>Región Andina</v>
      </c>
      <c r="J1365" s="2" t="str">
        <f t="array" ref="J1365:N1365">_xlfn.XLOOKUP(A1365,Productos!$A$2:$A$61,Productos!$B$2:$F$61)</f>
        <v>Pantalón de mezclilla</v>
      </c>
      <c r="K1365" s="2" t="s">
        <v>9</v>
      </c>
      <c r="L1365" s="2" t="s">
        <v>10</v>
      </c>
      <c r="M1365" s="2" t="s">
        <v>103</v>
      </c>
      <c r="N1365" s="2" t="s">
        <v>104</v>
      </c>
    </row>
    <row r="1366">
      <c r="A1366" s="2" t="str">
        <f>IFERROR(__xludf.DUMMYFUNCTION("""COMPUTED_VALUE"""),"PR035")</f>
        <v>PR035</v>
      </c>
      <c r="B1366" s="2" t="str">
        <f>IFERROR(__xludf.DUMMYFUNCTION("""COMPUTED_VALUE"""),"VD049")</f>
        <v>VD049</v>
      </c>
      <c r="C1366" s="2">
        <f>IFERROR(__xludf.DUMMYFUNCTION("""COMPUTED_VALUE"""),8.0)</f>
        <v>8</v>
      </c>
      <c r="D1366" s="6">
        <f>IFERROR(__xludf.DUMMYFUNCTION("""COMPUTED_VALUE"""),775.07)</f>
        <v>775.07</v>
      </c>
      <c r="E1366" s="6">
        <f>IFERROR(__xludf.DUMMYFUNCTION("GOOGLEFINANCE(""Currency:BRLMXN"")*D1366"),2633.300325)</f>
        <v>2633.300325</v>
      </c>
      <c r="F1366" s="6">
        <f>IFERROR(__xludf.DUMMYFUNCTION("GOOGLEFINANCE(""Currency:BRLPEN"")*D1366"),508.135892)</f>
        <v>508.135892</v>
      </c>
      <c r="G1366" s="2" t="str">
        <f t="array" ref="G1366">_xlfn.XLOOKUP(B1366,Vendedores!$A$2:$A$41,Vendedores!$B$2:$B$41,"No hay datos")</f>
        <v>Fernando Navarro</v>
      </c>
      <c r="H1366" s="2" t="str">
        <f t="array" ref="H1366">_xlfn.XLOOKUP(B1366,Vendedores!$A$2:$A$41,Vendedores!$C$2:$C$41,"No hay datos")</f>
        <v>Colinas Verdes</v>
      </c>
      <c r="I1366" s="2" t="str">
        <f t="array" ref="I1366">_xlfn.XLOOKUP(B1366,Vendedores!$A$2:$A$41,Vendedores!$D$2:$D$41,"No hay datos")</f>
        <v>Región Central 2</v>
      </c>
      <c r="J1366" s="2" t="str">
        <f t="array" ref="J1366:N1366">_xlfn.XLOOKUP(A1366,Productos!$A$2:$A$61,Productos!$B$2:$F$61)</f>
        <v>Vestido corto</v>
      </c>
      <c r="K1366" s="2" t="s">
        <v>17</v>
      </c>
      <c r="L1366" s="2" t="s">
        <v>10</v>
      </c>
      <c r="M1366" s="2" t="s">
        <v>18</v>
      </c>
      <c r="N1366" s="2" t="s">
        <v>19</v>
      </c>
    </row>
    <row r="1367">
      <c r="A1367" s="2" t="str">
        <f>IFERROR(__xludf.DUMMYFUNCTION("""COMPUTED_VALUE"""),"PR024")</f>
        <v>PR024</v>
      </c>
      <c r="B1367" s="2" t="str">
        <f>IFERROR(__xludf.DUMMYFUNCTION("""COMPUTED_VALUE"""),"VD037")</f>
        <v>VD037</v>
      </c>
      <c r="C1367" s="2">
        <f>IFERROR(__xludf.DUMMYFUNCTION("""COMPUTED_VALUE"""),5.0)</f>
        <v>5</v>
      </c>
      <c r="D1367" s="6">
        <f>IFERROR(__xludf.DUMMYFUNCTION("""COMPUTED_VALUE"""),1299.5)</f>
        <v>1299.5</v>
      </c>
      <c r="E1367" s="6">
        <f>IFERROR(__xludf.DUMMYFUNCTION("GOOGLEFINANCE(""Currency:BRLMXN"")*D1367"),4415.0512499999995)</f>
        <v>4415.05125</v>
      </c>
      <c r="F1367" s="6">
        <f>IFERROR(__xludf.DUMMYFUNCTION("GOOGLEFINANCE(""Currency:BRLPEN"")*D1367"),851.9522)</f>
        <v>851.9522</v>
      </c>
      <c r="G1367" s="2" t="str">
        <f t="array" ref="G1367">_xlfn.XLOOKUP(B1367,Vendedores!$A$2:$A$41,Vendedores!$B$2:$B$41,"No hay datos")</f>
        <v>Amanda Silva</v>
      </c>
      <c r="H1367" s="2" t="str">
        <f t="array" ref="H1367">_xlfn.XLOOKUP(B1367,Vendedores!$A$2:$A$41,Vendedores!$C$2:$C$41,"No hay datos")</f>
        <v>Villa Esperanza</v>
      </c>
      <c r="I1367" s="2" t="str">
        <f t="array" ref="I1367">_xlfn.XLOOKUP(B1367,Vendedores!$A$2:$A$41,Vendedores!$D$2:$D$41,"No hay datos")</f>
        <v>Región Sur 2</v>
      </c>
      <c r="J1367" s="2" t="str">
        <f t="array" ref="J1367:N1367">_xlfn.XLOOKUP(A1367,Productos!$A$2:$A$61,Productos!$B$2:$F$61)</f>
        <v>Chaqueta de mezclilla</v>
      </c>
      <c r="K1367" s="2" t="s">
        <v>17</v>
      </c>
      <c r="L1367" s="2" t="s">
        <v>10</v>
      </c>
      <c r="M1367" s="2" t="s">
        <v>92</v>
      </c>
      <c r="N1367" s="2" t="s">
        <v>64</v>
      </c>
    </row>
    <row r="1368">
      <c r="A1368" s="2" t="str">
        <f>IFERROR(__xludf.DUMMYFUNCTION("""COMPUTED_VALUE"""),"PR057")</f>
        <v>PR057</v>
      </c>
      <c r="B1368" s="2" t="str">
        <f>IFERROR(__xludf.DUMMYFUNCTION("""COMPUTED_VALUE"""),"VD033")</f>
        <v>VD033</v>
      </c>
      <c r="C1368" s="2">
        <f>IFERROR(__xludf.DUMMYFUNCTION("""COMPUTED_VALUE"""),14.0)</f>
        <v>14</v>
      </c>
      <c r="D1368" s="6">
        <f>IFERROR(__xludf.DUMMYFUNCTION("""COMPUTED_VALUE"""),1296.36)</f>
        <v>1296.36</v>
      </c>
      <c r="E1368" s="6">
        <f>IFERROR(__xludf.DUMMYFUNCTION("GOOGLEFINANCE(""Currency:BRLMXN"")*D1368"),4404.3831)</f>
        <v>4404.3831</v>
      </c>
      <c r="F1368" s="6">
        <f>IFERROR(__xludf.DUMMYFUNCTION("GOOGLEFINANCE(""Currency:BRLPEN"")*D1368"),849.8936159999998)</f>
        <v>849.893616</v>
      </c>
      <c r="G1368" s="2" t="str">
        <f t="array" ref="G1368">_xlfn.XLOOKUP(B1368,Vendedores!$A$2:$A$41,Vendedores!$B$2:$B$41,"No hay datos")</f>
        <v>Renata Flores</v>
      </c>
      <c r="H1368" s="2" t="str">
        <f t="array" ref="H1368">_xlfn.XLOOKUP(B1368,Vendedores!$A$2:$A$41,Vendedores!$C$2:$C$41,"No hay datos")</f>
        <v>Altos del Sur</v>
      </c>
      <c r="I1368" s="2" t="str">
        <f t="array" ref="I1368">_xlfn.XLOOKUP(B1368,Vendedores!$A$2:$A$41,Vendedores!$D$2:$D$41,"No hay datos")</f>
        <v>Región Central 2</v>
      </c>
      <c r="J1368" s="2" t="str">
        <f t="array" ref="J1368:N1368">_xlfn.XLOOKUP(A1368,Productos!$A$2:$A$61,Productos!$B$2:$F$61)</f>
        <v>Sandalia plana</v>
      </c>
      <c r="K1368" s="2">
        <v>37.0</v>
      </c>
      <c r="L1368" s="2" t="s">
        <v>33</v>
      </c>
      <c r="M1368" s="2" t="s">
        <v>58</v>
      </c>
      <c r="N1368" s="2" t="s">
        <v>35</v>
      </c>
    </row>
    <row r="1369">
      <c r="A1369" s="2" t="str">
        <f>IFERROR(__xludf.DUMMYFUNCTION("""COMPUTED_VALUE"""),"PR047")</f>
        <v>PR047</v>
      </c>
      <c r="B1369" s="2" t="str">
        <f>IFERROR(__xludf.DUMMYFUNCTION("""COMPUTED_VALUE"""),"VD037")</f>
        <v>VD037</v>
      </c>
      <c r="C1369" s="2">
        <f>IFERROR(__xludf.DUMMYFUNCTION("""COMPUTED_VALUE"""),3.0)</f>
        <v>3</v>
      </c>
      <c r="D1369" s="6">
        <f>IFERROR(__xludf.DUMMYFUNCTION("""COMPUTED_VALUE"""),913.19)</f>
        <v>913.19</v>
      </c>
      <c r="E1369" s="6">
        <f>IFERROR(__xludf.DUMMYFUNCTION("GOOGLEFINANCE(""Currency:BRLMXN"")*D1369"),3102.5630250000004)</f>
        <v>3102.563025</v>
      </c>
      <c r="F1369" s="6">
        <f>IFERROR(__xludf.DUMMYFUNCTION("GOOGLEFINANCE(""Currency:BRLPEN"")*D1369"),598.687364)</f>
        <v>598.687364</v>
      </c>
      <c r="G1369" s="2" t="str">
        <f t="array" ref="G1369">_xlfn.XLOOKUP(B1369,Vendedores!$A$2:$A$41,Vendedores!$B$2:$B$41,"No hay datos")</f>
        <v>Amanda Silva</v>
      </c>
      <c r="H1369" s="2" t="str">
        <f t="array" ref="H1369">_xlfn.XLOOKUP(B1369,Vendedores!$A$2:$A$41,Vendedores!$C$2:$C$41,"No hay datos")</f>
        <v>Villa Esperanza</v>
      </c>
      <c r="I1369" s="2" t="str">
        <f t="array" ref="I1369">_xlfn.XLOOKUP(B1369,Vendedores!$A$2:$A$41,Vendedores!$D$2:$D$41,"No hay datos")</f>
        <v>Región Sur 2</v>
      </c>
      <c r="J1369" s="2" t="str">
        <f t="array" ref="J1369:N1369">_xlfn.XLOOKUP(A1369,Productos!$A$2:$A$61,Productos!$B$2:$F$61)</f>
        <v>Chaqueta de cuero</v>
      </c>
      <c r="K1369" s="2" t="s">
        <v>17</v>
      </c>
      <c r="L1369" s="2" t="s">
        <v>10</v>
      </c>
      <c r="M1369" s="2" t="s">
        <v>43</v>
      </c>
      <c r="N1369" s="2" t="s">
        <v>44</v>
      </c>
    </row>
    <row r="1370">
      <c r="A1370" s="2" t="str">
        <f>IFERROR(__xludf.DUMMYFUNCTION("""COMPUTED_VALUE"""),"PR035")</f>
        <v>PR035</v>
      </c>
      <c r="B1370" s="2" t="str">
        <f>IFERROR(__xludf.DUMMYFUNCTION("""COMPUTED_VALUE"""),"VD042")</f>
        <v>VD042</v>
      </c>
      <c r="C1370" s="2">
        <f>IFERROR(__xludf.DUMMYFUNCTION("""COMPUTED_VALUE"""),20.0)</f>
        <v>20</v>
      </c>
      <c r="D1370" s="6">
        <f>IFERROR(__xludf.DUMMYFUNCTION("""COMPUTED_VALUE"""),1937.68)</f>
        <v>1937.68</v>
      </c>
      <c r="E1370" s="6">
        <f>IFERROR(__xludf.DUMMYFUNCTION("GOOGLEFINANCE(""Currency:BRLMXN"")*D1370"),6583.2678000000005)</f>
        <v>6583.2678</v>
      </c>
      <c r="F1370" s="6">
        <f>IFERROR(__xludf.DUMMYFUNCTION("GOOGLEFINANCE(""Currency:BRLPEN"")*D1370"),1270.343008)</f>
        <v>1270.343008</v>
      </c>
      <c r="G1370" s="2" t="str">
        <f t="array" ref="G1370">_xlfn.XLOOKUP(B1370,Vendedores!$A$2:$A$41,Vendedores!$B$2:$B$41,"No hay datos")</f>
        <v>Priscila Duarte</v>
      </c>
      <c r="H1370" s="2" t="str">
        <f t="array" ref="H1370">_xlfn.XLOOKUP(B1370,Vendedores!$A$2:$A$41,Vendedores!$C$2:$C$41,"No hay datos")</f>
        <v>Villa Comercial</v>
      </c>
      <c r="I1370" s="2" t="str">
        <f t="array" ref="I1370">_xlfn.XLOOKUP(B1370,Vendedores!$A$2:$A$41,Vendedores!$D$2:$D$41,"No hay datos")</f>
        <v>Región Central 2</v>
      </c>
      <c r="J1370" s="2" t="str">
        <f t="array" ref="J1370:N1370">_xlfn.XLOOKUP(A1370,Productos!$A$2:$A$61,Productos!$B$2:$F$61)</f>
        <v>Vestido corto</v>
      </c>
      <c r="K1370" s="2" t="s">
        <v>17</v>
      </c>
      <c r="L1370" s="2" t="s">
        <v>10</v>
      </c>
      <c r="M1370" s="2" t="s">
        <v>18</v>
      </c>
      <c r="N1370" s="2" t="s">
        <v>19</v>
      </c>
    </row>
    <row r="1371">
      <c r="A1371" s="2" t="str">
        <f>IFERROR(__xludf.DUMMYFUNCTION("""COMPUTED_VALUE"""),"PR007")</f>
        <v>PR007</v>
      </c>
      <c r="B1371" s="2" t="str">
        <f>IFERROR(__xludf.DUMMYFUNCTION("""COMPUTED_VALUE"""),"VD026")</f>
        <v>VD026</v>
      </c>
      <c r="C1371" s="2">
        <f>IFERROR(__xludf.DUMMYFUNCTION("""COMPUTED_VALUE"""),3.0)</f>
        <v>3</v>
      </c>
      <c r="D1371" s="6">
        <f>IFERROR(__xludf.DUMMYFUNCTION("""COMPUTED_VALUE"""),270.59)</f>
        <v>270.59</v>
      </c>
      <c r="E1371" s="6">
        <f>IFERROR(__xludf.DUMMYFUNCTION("GOOGLEFINANCE(""Currency:BRLMXN"")*D1371"),919.3295249999999)</f>
        <v>919.329525</v>
      </c>
      <c r="F1371" s="6">
        <f>IFERROR(__xludf.DUMMYFUNCTION("GOOGLEFINANCE(""Currency:BRLPEN"")*D1371"),177.39880399999998)</f>
        <v>177.398804</v>
      </c>
      <c r="G1371" s="2" t="str">
        <f t="array" ref="G1371">_xlfn.XLOOKUP(B1371,Vendedores!$A$2:$A$41,Vendedores!$B$2:$B$41,"No hay datos")</f>
        <v>Daniel Fernández</v>
      </c>
      <c r="H1371" s="2" t="str">
        <f t="array" ref="H1371">_xlfn.XLOOKUP(B1371,Vendedores!$A$2:$A$41,Vendedores!$C$2:$C$41,"No hay datos")</f>
        <v>Puerto Esperanza</v>
      </c>
      <c r="I1371" s="2" t="str">
        <f t="array" ref="I1371">_xlfn.XLOOKUP(B1371,Vendedores!$A$2:$A$41,Vendedores!$D$2:$D$41,"No hay datos")</f>
        <v>Región Sur</v>
      </c>
      <c r="J1371" s="2" t="str">
        <f t="array" ref="J1371:N1371">_xlfn.XLOOKUP(A1371,Productos!$A$2:$A$61,Productos!$B$2:$F$61)</f>
        <v>Pantalón de mezclilla</v>
      </c>
      <c r="K1371" s="2" t="s">
        <v>9</v>
      </c>
      <c r="L1371" s="2" t="s">
        <v>10</v>
      </c>
      <c r="M1371" s="2" t="s">
        <v>103</v>
      </c>
      <c r="N1371" s="2" t="s">
        <v>104</v>
      </c>
    </row>
    <row r="1372">
      <c r="A1372" s="2" t="str">
        <f>IFERROR(__xludf.DUMMYFUNCTION("""COMPUTED_VALUE"""),"PR002")</f>
        <v>PR002</v>
      </c>
      <c r="B1372" s="2" t="str">
        <f>IFERROR(__xludf.DUMMYFUNCTION("""COMPUTED_VALUE"""),"VD013")</f>
        <v>VD013</v>
      </c>
      <c r="C1372" s="2">
        <f>IFERROR(__xludf.DUMMYFUNCTION("""COMPUTED_VALUE"""),5.0)</f>
        <v>5</v>
      </c>
      <c r="D1372" s="6">
        <f>IFERROR(__xludf.DUMMYFUNCTION("""COMPUTED_VALUE"""),373.97)</f>
        <v>373.97</v>
      </c>
      <c r="E1372" s="6">
        <f>IFERROR(__xludf.DUMMYFUNCTION("GOOGLEFINANCE(""Currency:BRLMXN"")*D1372"),1270.563075)</f>
        <v>1270.563075</v>
      </c>
      <c r="F1372" s="6">
        <f>IFERROR(__xludf.DUMMYFUNCTION("GOOGLEFINANCE(""Currency:BRLPEN"")*D1372"),245.174732)</f>
        <v>245.174732</v>
      </c>
      <c r="G1372" s="2" t="str">
        <f t="array" ref="G1372">_xlfn.XLOOKUP(B1372,Vendedores!$A$2:$A$41,Vendedores!$B$2:$B$41,"No hay datos")</f>
        <v>Pedro Almonte</v>
      </c>
      <c r="H1372" s="2" t="str">
        <f t="array" ref="H1372">_xlfn.XLOOKUP(B1372,Vendedores!$A$2:$A$41,Vendedores!$C$2:$C$41,"No hay datos")</f>
        <v>Santa Rosa del Valle</v>
      </c>
      <c r="I1372" s="2" t="str">
        <f t="array" ref="I1372">_xlfn.XLOOKUP(B1372,Vendedores!$A$2:$A$41,Vendedores!$D$2:$D$41,"No hay datos")</f>
        <v>Región Norte</v>
      </c>
      <c r="J1372" s="2" t="str">
        <f t="array" ref="J1372:N1372">_xlfn.XLOOKUP(A1372,Productos!$A$2:$A$61,Productos!$B$2:$F$61)</f>
        <v>Bermuda</v>
      </c>
      <c r="K1372" s="2" t="s">
        <v>17</v>
      </c>
      <c r="L1372" s="2" t="s">
        <v>10</v>
      </c>
      <c r="M1372" s="2" t="s">
        <v>49</v>
      </c>
      <c r="N1372" s="2" t="s">
        <v>50</v>
      </c>
    </row>
    <row r="1373">
      <c r="A1373" s="2" t="str">
        <f>IFERROR(__xludf.DUMMYFUNCTION("""COMPUTED_VALUE"""),"PR035")</f>
        <v>PR035</v>
      </c>
      <c r="B1373" s="2" t="str">
        <f>IFERROR(__xludf.DUMMYFUNCTION("""COMPUTED_VALUE"""),"VD036")</f>
        <v>VD036</v>
      </c>
      <c r="C1373" s="2">
        <f>IFERROR(__xludf.DUMMYFUNCTION("""COMPUTED_VALUE"""),2.0)</f>
        <v>2</v>
      </c>
      <c r="D1373" s="6">
        <f>IFERROR(__xludf.DUMMYFUNCTION("""COMPUTED_VALUE"""),184.63)</f>
        <v>184.63</v>
      </c>
      <c r="E1373" s="6">
        <f>IFERROR(__xludf.DUMMYFUNCTION("GOOGLEFINANCE(""Currency:BRLMXN"")*D1373"),627.2804249999999)</f>
        <v>627.280425</v>
      </c>
      <c r="F1373" s="6">
        <f>IFERROR(__xludf.DUMMYFUNCTION("GOOGLEFINANCE(""Currency:BRLPEN"")*D1373"),121.04342799999999)</f>
        <v>121.043428</v>
      </c>
      <c r="G1373" s="2" t="str">
        <f t="array" ref="G1373">_xlfn.XLOOKUP(B1373,Vendedores!$A$2:$A$41,Vendedores!$B$2:$B$41,"No hay datos")</f>
        <v>Ricardo Sosa</v>
      </c>
      <c r="H1373" s="2" t="str">
        <f t="array" ref="H1373">_xlfn.XLOOKUP(B1373,Vendedores!$A$2:$A$41,Vendedores!$C$2:$C$41,"No hay datos")</f>
        <v>Puerto Nuevo</v>
      </c>
      <c r="I1373" s="2" t="str">
        <f t="array" ref="I1373">_xlfn.XLOOKUP(B1373,Vendedores!$A$2:$A$41,Vendedores!$D$2:$D$41,"No hay datos")</f>
        <v>Región Central 2</v>
      </c>
      <c r="J1373" s="2" t="str">
        <f t="array" ref="J1373:N1373">_xlfn.XLOOKUP(A1373,Productos!$A$2:$A$61,Productos!$B$2:$F$61)</f>
        <v>Vestido corto</v>
      </c>
      <c r="K1373" s="2" t="s">
        <v>17</v>
      </c>
      <c r="L1373" s="2" t="s">
        <v>10</v>
      </c>
      <c r="M1373" s="2" t="s">
        <v>18</v>
      </c>
      <c r="N1373" s="2" t="s">
        <v>19</v>
      </c>
    </row>
    <row r="1374">
      <c r="A1374" s="2" t="str">
        <f>IFERROR(__xludf.DUMMYFUNCTION("""COMPUTED_VALUE"""),"PR049")</f>
        <v>PR049</v>
      </c>
      <c r="B1374" s="2" t="str">
        <f>IFERROR(__xludf.DUMMYFUNCTION("""COMPUTED_VALUE"""),"VD026")</f>
        <v>VD026</v>
      </c>
      <c r="C1374" s="2">
        <f>IFERROR(__xludf.DUMMYFUNCTION("""COMPUTED_VALUE"""),10.0)</f>
        <v>10</v>
      </c>
      <c r="D1374" s="6">
        <f>IFERROR(__xludf.DUMMYFUNCTION("""COMPUTED_VALUE"""),348.74)</f>
        <v>348.74</v>
      </c>
      <c r="E1374" s="6">
        <f>IFERROR(__xludf.DUMMYFUNCTION("GOOGLEFINANCE(""Currency:BRLMXN"")*D1374"),1184.8441500000001)</f>
        <v>1184.84415</v>
      </c>
      <c r="F1374" s="6">
        <f>IFERROR(__xludf.DUMMYFUNCTION("GOOGLEFINANCE(""Currency:BRLPEN"")*D1374"),228.63394399999999)</f>
        <v>228.633944</v>
      </c>
      <c r="G1374" s="2" t="str">
        <f t="array" ref="G1374">_xlfn.XLOOKUP(B1374,Vendedores!$A$2:$A$41,Vendedores!$B$2:$B$41,"No hay datos")</f>
        <v>Daniel Fernández</v>
      </c>
      <c r="H1374" s="2" t="str">
        <f t="array" ref="H1374">_xlfn.XLOOKUP(B1374,Vendedores!$A$2:$A$41,Vendedores!$C$2:$C$41,"No hay datos")</f>
        <v>Puerto Esperanza</v>
      </c>
      <c r="I1374" s="2" t="str">
        <f t="array" ref="I1374">_xlfn.XLOOKUP(B1374,Vendedores!$A$2:$A$41,Vendedores!$D$2:$D$41,"No hay datos")</f>
        <v>Región Sur</v>
      </c>
      <c r="J1374" s="2" t="str">
        <f t="array" ref="J1374:N1374">_xlfn.XLOOKUP(A1374,Productos!$A$2:$A$61,Productos!$B$2:$F$61)</f>
        <v>Playera a rayas</v>
      </c>
      <c r="K1374" s="2" t="s">
        <v>9</v>
      </c>
      <c r="L1374" s="2" t="s">
        <v>10</v>
      </c>
      <c r="M1374" s="2" t="s">
        <v>47</v>
      </c>
      <c r="N1374" s="2" t="s">
        <v>24</v>
      </c>
    </row>
    <row r="1375">
      <c r="A1375" s="2" t="str">
        <f>IFERROR(__xludf.DUMMYFUNCTION("""COMPUTED_VALUE"""),"PR048")</f>
        <v>PR048</v>
      </c>
      <c r="B1375" s="2" t="str">
        <f>IFERROR(__xludf.DUMMYFUNCTION("""COMPUTED_VALUE"""),"VD019")</f>
        <v>VD019</v>
      </c>
      <c r="C1375" s="2">
        <f>IFERROR(__xludf.DUMMYFUNCTION("""COMPUTED_VALUE"""),14.0)</f>
        <v>14</v>
      </c>
      <c r="D1375" s="6">
        <f>IFERROR(__xludf.DUMMYFUNCTION("""COMPUTED_VALUE"""),4139.77)</f>
        <v>4139.77</v>
      </c>
      <c r="E1375" s="6">
        <f>IFERROR(__xludf.DUMMYFUNCTION("GOOGLEFINANCE(""Currency:BRLMXN"")*D1375"),14064.868575000002)</f>
        <v>14064.86858</v>
      </c>
      <c r="F1375" s="6">
        <f>IFERROR(__xludf.DUMMYFUNCTION("GOOGLEFINANCE(""Currency:BRLPEN"")*D1375"),2714.0332120000003)</f>
        <v>2714.033212</v>
      </c>
      <c r="G1375" s="2" t="str">
        <f t="array" ref="G1375">_xlfn.XLOOKUP(B1375,Vendedores!$A$2:$A$41,Vendedores!$B$2:$B$41,"No hay datos")</f>
        <v>Rafael Sosa</v>
      </c>
      <c r="H1375" s="2" t="str">
        <f t="array" ref="H1375">_xlfn.XLOOKUP(B1375,Vendedores!$A$2:$A$41,Vendedores!$C$2:$C$41,"No hay datos")</f>
        <v>Selva Verde</v>
      </c>
      <c r="I1375" s="2" t="str">
        <f t="array" ref="I1375">_xlfn.XLOOKUP(B1375,Vendedores!$A$2:$A$41,Vendedores!$D$2:$D$41,"No hay datos")</f>
        <v>Región Amazónica</v>
      </c>
      <c r="J1375" s="2" t="str">
        <f t="array" ref="J1375:N1375">_xlfn.XLOOKUP(A1375,Productos!$A$2:$A$61,Productos!$B$2:$F$61)</f>
        <v>Chaqueta de cuero</v>
      </c>
      <c r="K1375" s="2" t="s">
        <v>22</v>
      </c>
      <c r="L1375" s="2" t="s">
        <v>10</v>
      </c>
      <c r="M1375" s="2" t="s">
        <v>94</v>
      </c>
      <c r="N1375" s="2" t="s">
        <v>44</v>
      </c>
    </row>
    <row r="1376">
      <c r="A1376" s="2" t="str">
        <f>IFERROR(__xludf.DUMMYFUNCTION("""COMPUTED_VALUE"""),"PR058")</f>
        <v>PR058</v>
      </c>
      <c r="B1376" s="2" t="str">
        <f>IFERROR(__xludf.DUMMYFUNCTION("""COMPUTED_VALUE"""),"VD029")</f>
        <v>VD029</v>
      </c>
      <c r="C1376" s="2">
        <f>IFERROR(__xludf.DUMMYFUNCTION("""COMPUTED_VALUE"""),5.0)</f>
        <v>5</v>
      </c>
      <c r="D1376" s="6">
        <f>IFERROR(__xludf.DUMMYFUNCTION("""COMPUTED_VALUE"""),918.0)</f>
        <v>918</v>
      </c>
      <c r="E1376" s="6">
        <f>IFERROR(__xludf.DUMMYFUNCTION("GOOGLEFINANCE(""Currency:BRLMXN"")*D1376"),3118.9049999999997)</f>
        <v>3118.905</v>
      </c>
      <c r="F1376" s="6">
        <f>IFERROR(__xludf.DUMMYFUNCTION("GOOGLEFINANCE(""Currency:BRLPEN"")*D1376"),601.8408)</f>
        <v>601.8408</v>
      </c>
      <c r="G1376" s="2" t="str">
        <f t="array" ref="G1376">_xlfn.XLOOKUP(B1376,Vendedores!$A$2:$A$41,Vendedores!$B$2:$B$41,"No hay datos")</f>
        <v>Gabriela Sosa</v>
      </c>
      <c r="H1376" s="2" t="str">
        <f t="array" ref="H1376">_xlfn.XLOOKUP(B1376,Vendedores!$A$2:$A$41,Vendedores!$C$2:$C$41,"No hay datos")</f>
        <v>Selva Verde</v>
      </c>
      <c r="I1376" s="2" t="str">
        <f t="array" ref="I1376">_xlfn.XLOOKUP(B1376,Vendedores!$A$2:$A$41,Vendedores!$D$2:$D$41,"No hay datos")</f>
        <v>Región Amazónica</v>
      </c>
      <c r="J1376" s="2" t="str">
        <f t="array" ref="J1376:N1376">_xlfn.XLOOKUP(A1376,Productos!$A$2:$A$61,Productos!$B$2:$F$61)</f>
        <v>Pantalón de sastre</v>
      </c>
      <c r="K1376" s="2" t="s">
        <v>9</v>
      </c>
      <c r="L1376" s="2" t="s">
        <v>10</v>
      </c>
      <c r="M1376" s="2" t="s">
        <v>13</v>
      </c>
      <c r="N1376" s="2" t="s">
        <v>14</v>
      </c>
    </row>
    <row r="1377">
      <c r="A1377" s="2" t="str">
        <f>IFERROR(__xludf.DUMMYFUNCTION("""COMPUTED_VALUE"""),"PR032")</f>
        <v>PR032</v>
      </c>
      <c r="B1377" s="2" t="str">
        <f>IFERROR(__xludf.DUMMYFUNCTION("""COMPUTED_VALUE"""),"VD038")</f>
        <v>VD038</v>
      </c>
      <c r="C1377" s="2">
        <f>IFERROR(__xludf.DUMMYFUNCTION("""COMPUTED_VALUE"""),8.0)</f>
        <v>8</v>
      </c>
      <c r="D1377" s="6">
        <f>IFERROR(__xludf.DUMMYFUNCTION("""COMPUTED_VALUE"""),2080.0)</f>
        <v>2080</v>
      </c>
      <c r="E1377" s="6">
        <f>IFERROR(__xludf.DUMMYFUNCTION("GOOGLEFINANCE(""Currency:BRLMXN"")*D1377"),7066.8)</f>
        <v>7066.8</v>
      </c>
      <c r="F1377" s="6">
        <f>IFERROR(__xludf.DUMMYFUNCTION("GOOGLEFINANCE(""Currency:BRLPEN"")*D1377"),1363.648)</f>
        <v>1363.648</v>
      </c>
      <c r="G1377" s="2" t="str">
        <f t="array" ref="G1377">_xlfn.XLOOKUP(B1377,Vendedores!$A$2:$A$41,Vendedores!$B$2:$B$41,"No hay datos")</f>
        <v>Bruno Olmedo</v>
      </c>
      <c r="H1377" s="2" t="str">
        <f t="array" ref="H1377">_xlfn.XLOOKUP(B1377,Vendedores!$A$2:$A$41,Vendedores!$C$2:$C$41,"No hay datos")</f>
        <v>Tierra Fertil</v>
      </c>
      <c r="I1377" s="2" t="str">
        <f t="array" ref="I1377">_xlfn.XLOOKUP(B1377,Vendedores!$A$2:$A$41,Vendedores!$D$2:$D$41,"No hay datos")</f>
        <v>Región Sur 2</v>
      </c>
      <c r="J1377" s="2" t="str">
        <f t="array" ref="J1377:N1377">_xlfn.XLOOKUP(A1377,Productos!$A$2:$A$61,Productos!$B$2:$F$61)</f>
        <v>Tenis Chunky</v>
      </c>
      <c r="K1377" s="2">
        <v>37.0</v>
      </c>
      <c r="L1377" s="2" t="s">
        <v>33</v>
      </c>
      <c r="M1377" s="2" t="s">
        <v>61</v>
      </c>
      <c r="N1377" s="2" t="s">
        <v>62</v>
      </c>
    </row>
    <row r="1378">
      <c r="A1378" s="2" t="str">
        <f>IFERROR(__xludf.DUMMYFUNCTION("""COMPUTED_VALUE"""),"PR009")</f>
        <v>PR009</v>
      </c>
      <c r="B1378" s="2" t="str">
        <f>IFERROR(__xludf.DUMMYFUNCTION("""COMPUTED_VALUE"""),"VD032")</f>
        <v>VD032</v>
      </c>
      <c r="C1378" s="2">
        <f>IFERROR(__xludf.DUMMYFUNCTION("""COMPUTED_VALUE"""),20.0)</f>
        <v>20</v>
      </c>
      <c r="D1378" s="6">
        <f>IFERROR(__xludf.DUMMYFUNCTION("""COMPUTED_VALUE"""),1969.48)</f>
        <v>1969.48</v>
      </c>
      <c r="E1378" s="6">
        <f>IFERROR(__xludf.DUMMYFUNCTION("GOOGLEFINANCE(""Currency:BRLMXN"")*D1378"),6691.3083)</f>
        <v>6691.3083</v>
      </c>
      <c r="F1378" s="6">
        <f>IFERROR(__xludf.DUMMYFUNCTION("GOOGLEFINANCE(""Currency:BRLPEN"")*D1378"),1291.191088)</f>
        <v>1291.191088</v>
      </c>
      <c r="G1378" s="2" t="str">
        <f t="array" ref="G1378">_xlfn.XLOOKUP(B1378,Vendedores!$A$2:$A$41,Vendedores!$B$2:$B$41,"No hay datos")</f>
        <v>Eduardo Almonte</v>
      </c>
      <c r="H1378" s="2" t="str">
        <f t="array" ref="H1378">_xlfn.XLOOKUP(B1378,Vendedores!$A$2:$A$41,Vendedores!$C$2:$C$41,"No hay datos")</f>
        <v>Tierra Colorada</v>
      </c>
      <c r="I1378" s="2" t="str">
        <f t="array" ref="I1378">_xlfn.XLOOKUP(B1378,Vendedores!$A$2:$A$41,Vendedores!$D$2:$D$41,"No hay datos")</f>
        <v>Región Central 2</v>
      </c>
      <c r="J1378" s="2" t="str">
        <f t="array" ref="J1378:N1378">_xlfn.XLOOKUP(A1378,Productos!$A$2:$A$61,Productos!$B$2:$F$61)</f>
        <v>Pantalón de mezclilla</v>
      </c>
      <c r="K1378" s="2" t="s">
        <v>22</v>
      </c>
      <c r="L1378" s="2" t="s">
        <v>10</v>
      </c>
      <c r="M1378" s="2" t="s">
        <v>76</v>
      </c>
      <c r="N1378" s="2" t="s">
        <v>77</v>
      </c>
    </row>
    <row r="1379">
      <c r="A1379" s="2" t="str">
        <f>IFERROR(__xludf.DUMMYFUNCTION("""COMPUTED_VALUE"""),"PR060")</f>
        <v>PR060</v>
      </c>
      <c r="B1379" s="2" t="str">
        <f>IFERROR(__xludf.DUMMYFUNCTION("""COMPUTED_VALUE"""),"VD032")</f>
        <v>VD032</v>
      </c>
      <c r="C1379" s="2">
        <f>IFERROR(__xludf.DUMMYFUNCTION("""COMPUTED_VALUE"""),5.0)</f>
        <v>5</v>
      </c>
      <c r="D1379" s="6">
        <f>IFERROR(__xludf.DUMMYFUNCTION("""COMPUTED_VALUE"""),927.0)</f>
        <v>927</v>
      </c>
      <c r="E1379" s="6">
        <f>IFERROR(__xludf.DUMMYFUNCTION("GOOGLEFINANCE(""Currency:BRLMXN"")*D1379"),3149.4825)</f>
        <v>3149.4825</v>
      </c>
      <c r="F1379" s="6">
        <f>IFERROR(__xludf.DUMMYFUNCTION("GOOGLEFINANCE(""Currency:BRLPEN"")*D1379"),607.7411999999999)</f>
        <v>607.7412</v>
      </c>
      <c r="G1379" s="2" t="str">
        <f t="array" ref="G1379">_xlfn.XLOOKUP(B1379,Vendedores!$A$2:$A$41,Vendedores!$B$2:$B$41,"No hay datos")</f>
        <v>Eduardo Almonte</v>
      </c>
      <c r="H1379" s="2" t="str">
        <f t="array" ref="H1379">_xlfn.XLOOKUP(B1379,Vendedores!$A$2:$A$41,Vendedores!$C$2:$C$41,"No hay datos")</f>
        <v>Tierra Colorada</v>
      </c>
      <c r="I1379" s="2" t="str">
        <f t="array" ref="I1379">_xlfn.XLOOKUP(B1379,Vendedores!$A$2:$A$41,Vendedores!$D$2:$D$41,"No hay datos")</f>
        <v>Región Central 2</v>
      </c>
      <c r="J1379" s="2" t="str">
        <f t="array" ref="J1379:N1379">_xlfn.XLOOKUP(A1379,Productos!$A$2:$A$61,Productos!$B$2:$F$61)</f>
        <v>Pantalón de sastre</v>
      </c>
      <c r="K1379" s="2" t="s">
        <v>22</v>
      </c>
      <c r="L1379" s="2" t="s">
        <v>10</v>
      </c>
      <c r="M1379" s="2" t="s">
        <v>75</v>
      </c>
      <c r="N1379" s="2" t="s">
        <v>14</v>
      </c>
    </row>
    <row r="1380">
      <c r="A1380" s="2" t="str">
        <f>IFERROR(__xludf.DUMMYFUNCTION("""COMPUTED_VALUE"""),"PR026")</f>
        <v>PR026</v>
      </c>
      <c r="B1380" s="2" t="str">
        <f>IFERROR(__xludf.DUMMYFUNCTION("""COMPUTED_VALUE"""),"VD026")</f>
        <v>VD026</v>
      </c>
      <c r="C1380" s="2">
        <f>IFERROR(__xludf.DUMMYFUNCTION("""COMPUTED_VALUE"""),14.0)</f>
        <v>14</v>
      </c>
      <c r="D1380" s="6">
        <f>IFERROR(__xludf.DUMMYFUNCTION("""COMPUTED_VALUE"""),5290.49)</f>
        <v>5290.49</v>
      </c>
      <c r="E1380" s="6">
        <f>IFERROR(__xludf.DUMMYFUNCTION("GOOGLEFINANCE(""Currency:BRLMXN"")*D1380"),17974.439775)</f>
        <v>17974.43978</v>
      </c>
      <c r="F1380" s="6">
        <f>IFERROR(__xludf.DUMMYFUNCTION("GOOGLEFINANCE(""Currency:BRLPEN"")*D1380"),3468.4452439999995)</f>
        <v>3468.445244</v>
      </c>
      <c r="G1380" s="2" t="str">
        <f t="array" ref="G1380">_xlfn.XLOOKUP(B1380,Vendedores!$A$2:$A$41,Vendedores!$B$2:$B$41,"No hay datos")</f>
        <v>Daniel Fernández</v>
      </c>
      <c r="H1380" s="2" t="str">
        <f t="array" ref="H1380">_xlfn.XLOOKUP(B1380,Vendedores!$A$2:$A$41,Vendedores!$C$2:$C$41,"No hay datos")</f>
        <v>Puerto Esperanza</v>
      </c>
      <c r="I1380" s="2" t="str">
        <f t="array" ref="I1380">_xlfn.XLOOKUP(B1380,Vendedores!$A$2:$A$41,Vendedores!$D$2:$D$41,"No hay datos")</f>
        <v>Región Sur</v>
      </c>
      <c r="J1380" s="2" t="str">
        <f t="array" ref="J1380:N1380">_xlfn.XLOOKUP(A1380,Productos!$A$2:$A$61,Productos!$B$2:$F$61)</f>
        <v>Gafas cuadradas</v>
      </c>
      <c r="K1380" s="2" t="s">
        <v>29</v>
      </c>
      <c r="L1380" s="2" t="s">
        <v>30</v>
      </c>
      <c r="M1380" s="2" t="s">
        <v>90</v>
      </c>
      <c r="N1380" s="2" t="s">
        <v>91</v>
      </c>
    </row>
    <row r="1381">
      <c r="A1381" s="2" t="str">
        <f>IFERROR(__xludf.DUMMYFUNCTION("""COMPUTED_VALUE"""),"PR012")</f>
        <v>PR012</v>
      </c>
      <c r="B1381" s="2" t="str">
        <f>IFERROR(__xludf.DUMMYFUNCTION("""COMPUTED_VALUE"""),"VD035")</f>
        <v>VD035</v>
      </c>
      <c r="C1381" s="2">
        <f>IFERROR(__xludf.DUMMYFUNCTION("""COMPUTED_VALUE"""),16.0)</f>
        <v>16</v>
      </c>
      <c r="D1381" s="6">
        <f>IFERROR(__xludf.DUMMYFUNCTION("""COMPUTED_VALUE"""),852.82)</f>
        <v>852.82</v>
      </c>
      <c r="E1381" s="6">
        <f>IFERROR(__xludf.DUMMYFUNCTION("GOOGLEFINANCE(""Currency:BRLMXN"")*D1381"),2897.45595)</f>
        <v>2897.45595</v>
      </c>
      <c r="F1381" s="6">
        <f>IFERROR(__xludf.DUMMYFUNCTION("GOOGLEFINANCE(""Currency:BRLPEN"")*D1381"),559.108792)</f>
        <v>559.108792</v>
      </c>
      <c r="G1381" s="2" t="str">
        <f t="array" ref="G1381">_xlfn.XLOOKUP(B1381,Vendedores!$A$2:$A$41,Vendedores!$B$2:$B$41,"No hay datos")</f>
        <v>Carolina Méndez</v>
      </c>
      <c r="H1381" s="2" t="str">
        <f t="array" ref="H1381">_xlfn.XLOOKUP(B1381,Vendedores!$A$2:$A$41,Vendedores!$C$2:$C$41,"No hay datos")</f>
        <v>Valle de los Robles</v>
      </c>
      <c r="I1381" s="2" t="str">
        <f t="array" ref="I1381">_xlfn.XLOOKUP(B1381,Vendedores!$A$2:$A$41,Vendedores!$D$2:$D$41,"No hay datos")</f>
        <v>Región Central 2</v>
      </c>
      <c r="J1381" s="2" t="str">
        <f t="array" ref="J1381:N1381">_xlfn.XLOOKUP(A1381,Productos!$A$2:$A$61,Productos!$B$2:$F$61)</f>
        <v>Pantalón legging</v>
      </c>
      <c r="K1381" s="2" t="s">
        <v>22</v>
      </c>
      <c r="L1381" s="2" t="s">
        <v>10</v>
      </c>
      <c r="M1381" s="2" t="s">
        <v>88</v>
      </c>
      <c r="N1381" s="2" t="s">
        <v>89</v>
      </c>
    </row>
    <row r="1382">
      <c r="A1382" s="2" t="str">
        <f>IFERROR(__xludf.DUMMYFUNCTION("""COMPUTED_VALUE"""),"PR036")</f>
        <v>PR036</v>
      </c>
      <c r="B1382" s="2" t="str">
        <f>IFERROR(__xludf.DUMMYFUNCTION("""COMPUTED_VALUE"""),"VD046")</f>
        <v>VD046</v>
      </c>
      <c r="C1382" s="2">
        <f>IFERROR(__xludf.DUMMYFUNCTION("""COMPUTED_VALUE"""),5.0)</f>
        <v>5</v>
      </c>
      <c r="D1382" s="6">
        <f>IFERROR(__xludf.DUMMYFUNCTION("""COMPUTED_VALUE"""),514.25)</f>
        <v>514.25</v>
      </c>
      <c r="E1382" s="6">
        <f>IFERROR(__xludf.DUMMYFUNCTION("GOOGLEFINANCE(""Currency:BRLMXN"")*D1382"),1747.164375)</f>
        <v>1747.164375</v>
      </c>
      <c r="F1382" s="6">
        <f>IFERROR(__xludf.DUMMYFUNCTION("GOOGLEFINANCE(""Currency:BRLPEN"")*D1382"),337.1423)</f>
        <v>337.1423</v>
      </c>
      <c r="G1382" s="2" t="str">
        <f t="array" ref="G1382">_xlfn.XLOOKUP(B1382,Vendedores!$A$2:$A$41,Vendedores!$B$2:$B$41,"No hay datos")</f>
        <v>Juliana Pérez</v>
      </c>
      <c r="H1382" s="2" t="str">
        <f t="array" ref="H1382">_xlfn.XLOOKUP(B1382,Vendedores!$A$2:$A$41,Vendedores!$C$2:$C$41,"No hay datos")</f>
        <v>Santa Cruz de la Sierra</v>
      </c>
      <c r="I1382" s="2" t="str">
        <f t="array" ref="I1382">_xlfn.XLOOKUP(B1382,Vendedores!$A$2:$A$41,Vendedores!$D$2:$D$41,"No hay datos")</f>
        <v>Región Central 2</v>
      </c>
      <c r="J1382" s="2" t="str">
        <f t="array" ref="J1382:N1382">_xlfn.XLOOKUP(A1382,Productos!$A$2:$A$61,Productos!$B$2:$F$61)</f>
        <v>Vestido corto</v>
      </c>
      <c r="K1382" s="2" t="s">
        <v>22</v>
      </c>
      <c r="L1382" s="2" t="s">
        <v>10</v>
      </c>
      <c r="M1382" s="2" t="s">
        <v>82</v>
      </c>
      <c r="N1382" s="2" t="s">
        <v>83</v>
      </c>
    </row>
    <row r="1383">
      <c r="A1383" s="2" t="str">
        <f>IFERROR(__xludf.DUMMYFUNCTION("""COMPUTED_VALUE"""),"PR022")</f>
        <v>PR022</v>
      </c>
      <c r="B1383" s="2" t="str">
        <f>IFERROR(__xludf.DUMMYFUNCTION("""COMPUTED_VALUE"""),"VD011")</f>
        <v>VD011</v>
      </c>
      <c r="C1383" s="2">
        <f>IFERROR(__xludf.DUMMYFUNCTION("""COMPUTED_VALUE"""),9.0)</f>
        <v>9</v>
      </c>
      <c r="D1383" s="6">
        <f>IFERROR(__xludf.DUMMYFUNCTION("""COMPUTED_VALUE"""),2835.0)</f>
        <v>2835</v>
      </c>
      <c r="E1383" s="6">
        <f>IFERROR(__xludf.DUMMYFUNCTION("GOOGLEFINANCE(""Currency:BRLMXN"")*D1383"),9631.9125)</f>
        <v>9631.9125</v>
      </c>
      <c r="F1383" s="6">
        <f>IFERROR(__xludf.DUMMYFUNCTION("GOOGLEFINANCE(""Currency:BRLPEN"")*D1383"),1858.626)</f>
        <v>1858.626</v>
      </c>
      <c r="G1383" s="2" t="str">
        <f t="array" ref="G1383">_xlfn.XLOOKUP(B1383,Vendedores!$A$2:$A$41,Vendedores!$B$2:$B$41,"No hay datos")</f>
        <v>Juan Santos</v>
      </c>
      <c r="H1383" s="2" t="str">
        <f t="array" ref="H1383">_xlfn.XLOOKUP(B1383,Vendedores!$A$2:$A$41,Vendedores!$C$2:$C$41,"No hay datos")</f>
        <v>Vista Hermosa</v>
      </c>
      <c r="I1383" s="2" t="str">
        <f t="array" ref="I1383">_xlfn.XLOOKUP(B1383,Vendedores!$A$2:$A$41,Vendedores!$D$2:$D$41,"No hay datos")</f>
        <v>Región Central</v>
      </c>
      <c r="J1383" s="2" t="str">
        <f t="array" ref="J1383:N1383">_xlfn.XLOOKUP(A1383,Productos!$A$2:$A$61,Productos!$B$2:$F$61)</f>
        <v>Chaqueta de cuero</v>
      </c>
      <c r="K1383" s="2" t="s">
        <v>22</v>
      </c>
      <c r="L1383" s="2" t="s">
        <v>10</v>
      </c>
      <c r="M1383" s="2" t="s">
        <v>78</v>
      </c>
      <c r="N1383" s="2" t="s">
        <v>79</v>
      </c>
    </row>
    <row r="1384">
      <c r="A1384" s="2" t="str">
        <f>IFERROR(__xludf.DUMMYFUNCTION("""COMPUTED_VALUE"""),"PR030")</f>
        <v>PR030</v>
      </c>
      <c r="B1384" s="2" t="str">
        <f>IFERROR(__xludf.DUMMYFUNCTION("""COMPUTED_VALUE"""),"VD023")</f>
        <v>VD023</v>
      </c>
      <c r="C1384" s="2">
        <f>IFERROR(__xludf.DUMMYFUNCTION("""COMPUTED_VALUE"""),8.0)</f>
        <v>8</v>
      </c>
      <c r="D1384" s="6">
        <f>IFERROR(__xludf.DUMMYFUNCTION("""COMPUTED_VALUE"""),2245.54)</f>
        <v>2245.54</v>
      </c>
      <c r="E1384" s="6">
        <f>IFERROR(__xludf.DUMMYFUNCTION("GOOGLEFINANCE(""Currency:BRLMXN"")*D1384"),7629.22215)</f>
        <v>7629.22215</v>
      </c>
      <c r="F1384" s="6">
        <f>IFERROR(__xludf.DUMMYFUNCTION("GOOGLEFINANCE(""Currency:BRLPEN"")*D1384"),1472.1760239999999)</f>
        <v>1472.176024</v>
      </c>
      <c r="G1384" s="2" t="str">
        <f t="array" ref="G1384">_xlfn.XLOOKUP(B1384,Vendedores!$A$2:$A$41,Vendedores!$B$2:$B$41,"No hay datos")</f>
        <v>Juliana Castro</v>
      </c>
      <c r="H1384" s="2" t="str">
        <f t="array" ref="H1384">_xlfn.XLOOKUP(B1384,Vendedores!$A$2:$A$41,Vendedores!$C$2:$C$41,"No hay datos")</f>
        <v>San Miguel de los Pinos</v>
      </c>
      <c r="I1384" s="2" t="str">
        <f t="array" ref="I1384">_xlfn.XLOOKUP(B1384,Vendedores!$A$2:$A$41,Vendedores!$D$2:$D$41,"No hay datos")</f>
        <v>Región Sur</v>
      </c>
      <c r="J1384" s="2" t="str">
        <f t="array" ref="J1384:N1384">_xlfn.XLOOKUP(A1384,Productos!$A$2:$A$61,Productos!$B$2:$F$61)</f>
        <v>Tenis Atitas</v>
      </c>
      <c r="K1384" s="2">
        <v>38.0</v>
      </c>
      <c r="L1384" s="2" t="s">
        <v>33</v>
      </c>
      <c r="M1384" s="2" t="s">
        <v>63</v>
      </c>
      <c r="N1384" s="2" t="s">
        <v>64</v>
      </c>
    </row>
    <row r="1385">
      <c r="A1385" s="2" t="str">
        <f>IFERROR(__xludf.DUMMYFUNCTION("""COMPUTED_VALUE"""),"PR019")</f>
        <v>PR019</v>
      </c>
      <c r="B1385" s="2" t="str">
        <f>IFERROR(__xludf.DUMMYFUNCTION("""COMPUTED_VALUE"""),"VD039")</f>
        <v>VD039</v>
      </c>
      <c r="C1385" s="2">
        <f>IFERROR(__xludf.DUMMYFUNCTION("""COMPUTED_VALUE"""),16.0)</f>
        <v>16</v>
      </c>
      <c r="D1385" s="6">
        <f>IFERROR(__xludf.DUMMYFUNCTION("""COMPUTED_VALUE"""),822.35)</f>
        <v>822.35</v>
      </c>
      <c r="E1385" s="6">
        <f>IFERROR(__xludf.DUMMYFUNCTION("GOOGLEFINANCE(""Currency:BRLMXN"")*D1385"),2793.934125)</f>
        <v>2793.934125</v>
      </c>
      <c r="F1385" s="6">
        <f>IFERROR(__xludf.DUMMYFUNCTION("GOOGLEFINANCE(""Currency:BRLPEN"")*D1385"),539.13266)</f>
        <v>539.13266</v>
      </c>
      <c r="G1385" s="2" t="str">
        <f t="array" ref="G1385">_xlfn.XLOOKUP(B1385,Vendedores!$A$2:$A$41,Vendedores!$B$2:$B$41,"No hay datos")</f>
        <v>Daniela Rodríguez</v>
      </c>
      <c r="H1385" s="2" t="str">
        <f t="array" ref="H1385">_xlfn.XLOOKUP(B1385,Vendedores!$A$2:$A$41,Vendedores!$C$2:$C$41,"No hay datos")</f>
        <v>Bahía del Sol</v>
      </c>
      <c r="I1385" s="2" t="str">
        <f t="array" ref="I1385">_xlfn.XLOOKUP(B1385,Vendedores!$A$2:$A$41,Vendedores!$D$2:$D$41,"No hay datos")</f>
        <v>Región Central 2</v>
      </c>
      <c r="J1385" s="2" t="str">
        <f t="array" ref="J1385:N1385">_xlfn.XLOOKUP(A1385,Productos!$A$2:$A$61,Productos!$B$2:$F$61)</f>
        <v>Cinturón</v>
      </c>
      <c r="K1385" s="2" t="s">
        <v>29</v>
      </c>
      <c r="L1385" s="2" t="s">
        <v>30</v>
      </c>
      <c r="M1385" s="2" t="s">
        <v>31</v>
      </c>
      <c r="N1385" s="2" t="s">
        <v>32</v>
      </c>
    </row>
    <row r="1386">
      <c r="A1386" s="2" t="str">
        <f>IFERROR(__xludf.DUMMYFUNCTION("""COMPUTED_VALUE"""),"PR016")</f>
        <v>PR016</v>
      </c>
      <c r="B1386" s="2" t="str">
        <f>IFERROR(__xludf.DUMMYFUNCTION("""COMPUTED_VALUE"""),"VD018")</f>
        <v>VD018</v>
      </c>
      <c r="C1386" s="2">
        <f>IFERROR(__xludf.DUMMYFUNCTION("""COMPUTED_VALUE"""),9.0)</f>
        <v>9</v>
      </c>
      <c r="D1386" s="6">
        <f>IFERROR(__xludf.DUMMYFUNCTION("""COMPUTED_VALUE"""),244.76)</f>
        <v>244.76</v>
      </c>
      <c r="E1386" s="6">
        <f>IFERROR(__xludf.DUMMYFUNCTION("GOOGLEFINANCE(""Currency:BRLMXN"")*D1386"),831.5721)</f>
        <v>831.5721</v>
      </c>
      <c r="F1386" s="6">
        <f>IFERROR(__xludf.DUMMYFUNCTION("GOOGLEFINANCE(""Currency:BRLPEN"")*D1386"),160.464656)</f>
        <v>160.464656</v>
      </c>
      <c r="G1386" s="2" t="str">
        <f t="array" ref="G1386">_xlfn.XLOOKUP(B1386,Vendedores!$A$2:$A$41,Vendedores!$B$2:$B$41,"No hay datos")</f>
        <v>Leticia Rodríguez</v>
      </c>
      <c r="H1386" s="2" t="str">
        <f t="array" ref="H1386">_xlfn.XLOOKUP(B1386,Vendedores!$A$2:$A$41,Vendedores!$C$2:$C$41,"No hay datos")</f>
        <v>Playa Blanca</v>
      </c>
      <c r="I1386" s="2" t="str">
        <f t="array" ref="I1386">_xlfn.XLOOKUP(B1386,Vendedores!$A$2:$A$41,Vendedores!$D$2:$D$41,"No hay datos")</f>
        <v>Región Norte</v>
      </c>
      <c r="J1386" s="2" t="str">
        <f t="array" ref="J1386:N1386">_xlfn.XLOOKUP(A1386,Productos!$A$2:$A$61,Productos!$B$2:$F$61)</f>
        <v>Playera lisa</v>
      </c>
      <c r="K1386" s="2" t="s">
        <v>9</v>
      </c>
      <c r="L1386" s="2" t="s">
        <v>10</v>
      </c>
      <c r="M1386" s="2" t="s">
        <v>20</v>
      </c>
      <c r="N1386" s="2" t="s">
        <v>21</v>
      </c>
    </row>
    <row r="1387">
      <c r="A1387" s="2" t="str">
        <f>IFERROR(__xludf.DUMMYFUNCTION("""COMPUTED_VALUE"""),"PR014")</f>
        <v>PR014</v>
      </c>
      <c r="B1387" s="2" t="str">
        <f>IFERROR(__xludf.DUMMYFUNCTION("""COMPUTED_VALUE"""),"VD027")</f>
        <v>VD027</v>
      </c>
      <c r="C1387" s="2">
        <f>IFERROR(__xludf.DUMMYFUNCTION("""COMPUTED_VALUE"""),10.0)</f>
        <v>10</v>
      </c>
      <c r="D1387" s="6">
        <f>IFERROR(__xludf.DUMMYFUNCTION("""COMPUTED_VALUE"""),410.97)</f>
        <v>410.97</v>
      </c>
      <c r="E1387" s="6">
        <f>IFERROR(__xludf.DUMMYFUNCTION("GOOGLEFINANCE(""Currency:BRLMXN"")*D1387"),1396.270575)</f>
        <v>1396.270575</v>
      </c>
      <c r="F1387" s="6">
        <f>IFERROR(__xludf.DUMMYFUNCTION("GOOGLEFINANCE(""Currency:BRLPEN"")*D1387"),269.431932)</f>
        <v>269.431932</v>
      </c>
      <c r="G1387" s="2" t="str">
        <f t="array" ref="G1387">_xlfn.XLOOKUP(B1387,Vendedores!$A$2:$A$41,Vendedores!$B$2:$B$41,"No hay datos")</f>
        <v>Patricia Cortés</v>
      </c>
      <c r="H1387" s="2" t="str">
        <f t="array" ref="H1387">_xlfn.XLOOKUP(B1387,Vendedores!$A$2:$A$41,Vendedores!$C$2:$C$41,"No hay datos")</f>
        <v>Costa Azul</v>
      </c>
      <c r="I1387" s="2" t="str">
        <f t="array" ref="I1387">_xlfn.XLOOKUP(B1387,Vendedores!$A$2:$A$41,Vendedores!$D$2:$D$41,"No hay datos")</f>
        <v>Región Norte</v>
      </c>
      <c r="J1387" s="2" t="str">
        <f t="array" ref="J1387:N1387">_xlfn.XLOOKUP(A1387,Productos!$A$2:$A$61,Productos!$B$2:$F$61)</f>
        <v>Playera estampada</v>
      </c>
      <c r="K1387" s="2" t="s">
        <v>17</v>
      </c>
      <c r="L1387" s="2" t="s">
        <v>10</v>
      </c>
      <c r="M1387" s="2" t="s">
        <v>37</v>
      </c>
      <c r="N1387" s="2" t="s">
        <v>38</v>
      </c>
    </row>
    <row r="1388">
      <c r="A1388" s="2" t="str">
        <f>IFERROR(__xludf.DUMMYFUNCTION("""COMPUTED_VALUE"""),"PR044")</f>
        <v>PR044</v>
      </c>
      <c r="B1388" s="2" t="str">
        <f>IFERROR(__xludf.DUMMYFUNCTION("""COMPUTED_VALUE"""),"VD025")</f>
        <v>VD025</v>
      </c>
      <c r="C1388" s="2">
        <f>IFERROR(__xludf.DUMMYFUNCTION("""COMPUTED_VALUE"""),14.0)</f>
        <v>14</v>
      </c>
      <c r="D1388" s="6">
        <f>IFERROR(__xludf.DUMMYFUNCTION("""COMPUTED_VALUE"""),1116.5)</f>
        <v>1116.5</v>
      </c>
      <c r="E1388" s="6">
        <f>IFERROR(__xludf.DUMMYFUNCTION("GOOGLEFINANCE(""Currency:BRLMXN"")*D1388"),3793.30875)</f>
        <v>3793.30875</v>
      </c>
      <c r="F1388" s="6">
        <f>IFERROR(__xludf.DUMMYFUNCTION("GOOGLEFINANCE(""Currency:BRLPEN"")*D1388"),731.9774)</f>
        <v>731.9774</v>
      </c>
      <c r="G1388" s="2" t="str">
        <f t="array" ref="G1388">_xlfn.XLOOKUP(B1388,Vendedores!$A$2:$A$41,Vendedores!$B$2:$B$41,"No hay datos")</f>
        <v>Alina Santana</v>
      </c>
      <c r="H1388" s="2" t="str">
        <f t="array" ref="H1388">_xlfn.XLOOKUP(B1388,Vendedores!$A$2:$A$41,Vendedores!$C$2:$C$41,"No hay datos")</f>
        <v>Playa Blanca</v>
      </c>
      <c r="I1388" s="2" t="str">
        <f t="array" ref="I1388">_xlfn.XLOOKUP(B1388,Vendedores!$A$2:$A$41,Vendedores!$D$2:$D$41,"No hay datos")</f>
        <v>Región Norte</v>
      </c>
      <c r="J1388" s="2" t="str">
        <f t="array" ref="J1388:N1388">_xlfn.XLOOKUP(A1388,Productos!$A$2:$A$61,Productos!$B$2:$F$61)</f>
        <v>Vestido floral</v>
      </c>
      <c r="K1388" s="2" t="s">
        <v>17</v>
      </c>
      <c r="L1388" s="2" t="s">
        <v>10</v>
      </c>
      <c r="M1388" s="2" t="s">
        <v>105</v>
      </c>
      <c r="N1388" s="2" t="s">
        <v>40</v>
      </c>
    </row>
    <row r="1389">
      <c r="A1389" s="2" t="str">
        <f>IFERROR(__xludf.DUMMYFUNCTION("""COMPUTED_VALUE"""),"PR014")</f>
        <v>PR014</v>
      </c>
      <c r="B1389" s="2" t="str">
        <f>IFERROR(__xludf.DUMMYFUNCTION("""COMPUTED_VALUE"""),"VD024")</f>
        <v>VD024</v>
      </c>
      <c r="C1389" s="2">
        <f>IFERROR(__xludf.DUMMYFUNCTION("""COMPUTED_VALUE"""),5.0)</f>
        <v>5</v>
      </c>
      <c r="D1389" s="6">
        <f>IFERROR(__xludf.DUMMYFUNCTION("""COMPUTED_VALUE"""),203.49)</f>
        <v>203.49</v>
      </c>
      <c r="E1389" s="6">
        <f>IFERROR(__xludf.DUMMYFUNCTION("GOOGLEFINANCE(""Currency:BRLMXN"")*D1389"),691.3572750000001)</f>
        <v>691.357275</v>
      </c>
      <c r="F1389" s="6">
        <f>IFERROR(__xludf.DUMMYFUNCTION("GOOGLEFINANCE(""Currency:BRLPEN"")*D1389"),133.408044)</f>
        <v>133.408044</v>
      </c>
      <c r="G1389" s="2" t="str">
        <f t="array" ref="G1389">_xlfn.XLOOKUP(B1389,Vendedores!$A$2:$A$41,Vendedores!$B$2:$B$41,"No hay datos")</f>
        <v>Marcos Rivera</v>
      </c>
      <c r="H1389" s="2" t="str">
        <f t="array" ref="H1389">_xlfn.XLOOKUP(B1389,Vendedores!$A$2:$A$41,Vendedores!$C$2:$C$41,"No hay datos")</f>
        <v>Santa Rosa del Valle</v>
      </c>
      <c r="I1389" s="2" t="str">
        <f t="array" ref="I1389">_xlfn.XLOOKUP(B1389,Vendedores!$A$2:$A$41,Vendedores!$D$2:$D$41,"No hay datos")</f>
        <v>Región Norte</v>
      </c>
      <c r="J1389" s="2" t="str">
        <f t="array" ref="J1389:N1389">_xlfn.XLOOKUP(A1389,Productos!$A$2:$A$61,Productos!$B$2:$F$61)</f>
        <v>Playera estampada</v>
      </c>
      <c r="K1389" s="2" t="s">
        <v>17</v>
      </c>
      <c r="L1389" s="2" t="s">
        <v>10</v>
      </c>
      <c r="M1389" s="2" t="s">
        <v>37</v>
      </c>
      <c r="N1389" s="2" t="s">
        <v>38</v>
      </c>
    </row>
    <row r="1390">
      <c r="A1390" s="2" t="str">
        <f>IFERROR(__xludf.DUMMYFUNCTION("""COMPUTED_VALUE"""),"PR019")</f>
        <v>PR019</v>
      </c>
      <c r="B1390" s="2" t="str">
        <f>IFERROR(__xludf.DUMMYFUNCTION("""COMPUTED_VALUE"""),"VD043")</f>
        <v>VD043</v>
      </c>
      <c r="C1390" s="2">
        <f>IFERROR(__xludf.DUMMYFUNCTION("""COMPUTED_VALUE"""),12.0)</f>
        <v>12</v>
      </c>
      <c r="D1390" s="6">
        <f>IFERROR(__xludf.DUMMYFUNCTION("""COMPUTED_VALUE"""),604.79)</f>
        <v>604.79</v>
      </c>
      <c r="E1390" s="6">
        <f>IFERROR(__xludf.DUMMYFUNCTION("GOOGLEFINANCE(""Currency:BRLMXN"")*D1390"),2054.7740249999997)</f>
        <v>2054.774025</v>
      </c>
      <c r="F1390" s="6">
        <f>IFERROR(__xludf.DUMMYFUNCTION("GOOGLEFINANCE(""Currency:BRLPEN"")*D1390"),396.500324)</f>
        <v>396.500324</v>
      </c>
      <c r="G1390" s="2" t="str">
        <f t="array" ref="G1390">_xlfn.XLOOKUP(B1390,Vendedores!$A$2:$A$41,Vendedores!$B$2:$B$41,"No hay datos")</f>
        <v>Carlos Henríquez</v>
      </c>
      <c r="H1390" s="2" t="str">
        <f t="array" ref="H1390">_xlfn.XLOOKUP(B1390,Vendedores!$A$2:$A$41,Vendedores!$C$2:$C$41,"No hay datos")</f>
        <v>Ciudad Aeropuerto</v>
      </c>
      <c r="I1390" s="2" t="str">
        <f t="array" ref="I1390">_xlfn.XLOOKUP(B1390,Vendedores!$A$2:$A$41,Vendedores!$D$2:$D$41,"No hay datos")</f>
        <v>Región Central 2</v>
      </c>
      <c r="J1390" s="2" t="str">
        <f t="array" ref="J1390:N1390">_xlfn.XLOOKUP(A1390,Productos!$A$2:$A$61,Productos!$B$2:$F$61)</f>
        <v>Cinturón</v>
      </c>
      <c r="K1390" s="2" t="s">
        <v>29</v>
      </c>
      <c r="L1390" s="2" t="s">
        <v>30</v>
      </c>
      <c r="M1390" s="2" t="s">
        <v>31</v>
      </c>
      <c r="N1390" s="2" t="s">
        <v>32</v>
      </c>
    </row>
    <row r="1391">
      <c r="A1391" s="2" t="str">
        <f>IFERROR(__xludf.DUMMYFUNCTION("""COMPUTED_VALUE"""),"PR003")</f>
        <v>PR003</v>
      </c>
      <c r="B1391" s="2" t="str">
        <f>IFERROR(__xludf.DUMMYFUNCTION("""COMPUTED_VALUE"""),"VD039")</f>
        <v>VD039</v>
      </c>
      <c r="C1391" s="2">
        <f>IFERROR(__xludf.DUMMYFUNCTION("""COMPUTED_VALUE"""),5.0)</f>
        <v>5</v>
      </c>
      <c r="D1391" s="6">
        <f>IFERROR(__xludf.DUMMYFUNCTION("""COMPUTED_VALUE"""),354.5)</f>
        <v>354.5</v>
      </c>
      <c r="E1391" s="6">
        <f>IFERROR(__xludf.DUMMYFUNCTION("GOOGLEFINANCE(""Currency:BRLMXN"")*D1391"),1204.41375)</f>
        <v>1204.41375</v>
      </c>
      <c r="F1391" s="6">
        <f>IFERROR(__xludf.DUMMYFUNCTION("GOOGLEFINANCE(""Currency:BRLPEN"")*D1391"),232.41019999999997)</f>
        <v>232.4102</v>
      </c>
      <c r="G1391" s="2" t="str">
        <f t="array" ref="G1391">_xlfn.XLOOKUP(B1391,Vendedores!$A$2:$A$41,Vendedores!$B$2:$B$41,"No hay datos")</f>
        <v>Daniela Rodríguez</v>
      </c>
      <c r="H1391" s="2" t="str">
        <f t="array" ref="H1391">_xlfn.XLOOKUP(B1391,Vendedores!$A$2:$A$41,Vendedores!$C$2:$C$41,"No hay datos")</f>
        <v>Bahía del Sol</v>
      </c>
      <c r="I1391" s="2" t="str">
        <f t="array" ref="I1391">_xlfn.XLOOKUP(B1391,Vendedores!$A$2:$A$41,Vendedores!$D$2:$D$41,"No hay datos")</f>
        <v>Región Central 2</v>
      </c>
      <c r="J1391" s="2" t="str">
        <f t="array" ref="J1391:N1391">_xlfn.XLOOKUP(A1391,Productos!$A$2:$A$61,Productos!$B$2:$F$61)</f>
        <v>Bermuda</v>
      </c>
      <c r="K1391" s="2" t="s">
        <v>22</v>
      </c>
      <c r="L1391" s="2" t="s">
        <v>10</v>
      </c>
      <c r="M1391" s="2" t="s">
        <v>45</v>
      </c>
      <c r="N1391" s="2" t="s">
        <v>46</v>
      </c>
    </row>
    <row r="1392">
      <c r="A1392" s="2" t="str">
        <f>IFERROR(__xludf.DUMMYFUNCTION("""COMPUTED_VALUE"""),"PR054")</f>
        <v>PR054</v>
      </c>
      <c r="B1392" s="2" t="str">
        <f>IFERROR(__xludf.DUMMYFUNCTION("""COMPUTED_VALUE"""),"VD019")</f>
        <v>VD019</v>
      </c>
      <c r="C1392" s="2">
        <f>IFERROR(__xludf.DUMMYFUNCTION("""COMPUTED_VALUE"""),4.0)</f>
        <v>4</v>
      </c>
      <c r="D1392" s="6">
        <f>IFERROR(__xludf.DUMMYFUNCTION("""COMPUTED_VALUE"""),217.56)</f>
        <v>217.56</v>
      </c>
      <c r="E1392" s="6">
        <f>IFERROR(__xludf.DUMMYFUNCTION("GOOGLEFINANCE(""Currency:BRLMXN"")*D1392"),739.1601)</f>
        <v>739.1601</v>
      </c>
      <c r="F1392" s="6">
        <f>IFERROR(__xludf.DUMMYFUNCTION("GOOGLEFINANCE(""Currency:BRLPEN"")*D1392"),142.63233599999998)</f>
        <v>142.632336</v>
      </c>
      <c r="G1392" s="2" t="str">
        <f t="array" ref="G1392">_xlfn.XLOOKUP(B1392,Vendedores!$A$2:$A$41,Vendedores!$B$2:$B$41,"No hay datos")</f>
        <v>Rafael Sosa</v>
      </c>
      <c r="H1392" s="2" t="str">
        <f t="array" ref="H1392">_xlfn.XLOOKUP(B1392,Vendedores!$A$2:$A$41,Vendedores!$C$2:$C$41,"No hay datos")</f>
        <v>Selva Verde</v>
      </c>
      <c r="I1392" s="2" t="str">
        <f t="array" ref="I1392">_xlfn.XLOOKUP(B1392,Vendedores!$A$2:$A$41,Vendedores!$D$2:$D$41,"No hay datos")</f>
        <v>Región Amazónica</v>
      </c>
      <c r="J1392" s="2" t="str">
        <f t="array" ref="J1392:N1392">_xlfn.XLOOKUP(A1392,Productos!$A$2:$A$61,Productos!$B$2:$F$61)</f>
        <v>Falda plisada</v>
      </c>
      <c r="K1392" s="2" t="s">
        <v>22</v>
      </c>
      <c r="L1392" s="2" t="s">
        <v>10</v>
      </c>
      <c r="M1392" s="2" t="s">
        <v>42</v>
      </c>
      <c r="N1392" s="2" t="s">
        <v>32</v>
      </c>
    </row>
    <row r="1393">
      <c r="A1393" s="2" t="str">
        <f>IFERROR(__xludf.DUMMYFUNCTION("""COMPUTED_VALUE"""),"PR003")</f>
        <v>PR003</v>
      </c>
      <c r="B1393" s="2" t="str">
        <f>IFERROR(__xludf.DUMMYFUNCTION("""COMPUTED_VALUE"""),"VD030")</f>
        <v>VD030</v>
      </c>
      <c r="C1393" s="2">
        <f>IFERROR(__xludf.DUMMYFUNCTION("""COMPUTED_VALUE"""),5.0)</f>
        <v>5</v>
      </c>
      <c r="D1393" s="6">
        <f>IFERROR(__xludf.DUMMYFUNCTION("""COMPUTED_VALUE"""),386.41)</f>
        <v>386.41</v>
      </c>
      <c r="E1393" s="6">
        <f>IFERROR(__xludf.DUMMYFUNCTION("GOOGLEFINANCE(""Currency:BRLMXN"")*D1393"),1312.8279750000002)</f>
        <v>1312.827975</v>
      </c>
      <c r="F1393" s="6">
        <f>IFERROR(__xludf.DUMMYFUNCTION("GOOGLEFINANCE(""Currency:BRLPEN"")*D1393"),253.330396)</f>
        <v>253.330396</v>
      </c>
      <c r="G1393" s="2" t="str">
        <f t="array" ref="G1393">_xlfn.XLOOKUP(B1393,Vendedores!$A$2:$A$41,Vendedores!$B$2:$B$41,"No hay datos")</f>
        <v>Leonardo Rojas</v>
      </c>
      <c r="H1393" s="2" t="str">
        <f t="array" ref="H1393">_xlfn.XLOOKUP(B1393,Vendedores!$A$2:$A$41,Vendedores!$C$2:$C$41,"No hay datos")</f>
        <v>Villa del Sol</v>
      </c>
      <c r="I1393" s="2" t="str">
        <f t="array" ref="I1393">_xlfn.XLOOKUP(B1393,Vendedores!$A$2:$A$41,Vendedores!$D$2:$D$41,"No hay datos")</f>
        <v>Región Central 2</v>
      </c>
      <c r="J1393" s="2" t="str">
        <f t="array" ref="J1393:N1393">_xlfn.XLOOKUP(A1393,Productos!$A$2:$A$61,Productos!$B$2:$F$61)</f>
        <v>Bermuda</v>
      </c>
      <c r="K1393" s="2" t="s">
        <v>22</v>
      </c>
      <c r="L1393" s="2" t="s">
        <v>10</v>
      </c>
      <c r="M1393" s="2" t="s">
        <v>45</v>
      </c>
      <c r="N1393" s="2" t="s">
        <v>46</v>
      </c>
    </row>
    <row r="1394">
      <c r="A1394" s="2" t="str">
        <f>IFERROR(__xludf.DUMMYFUNCTION("""COMPUTED_VALUE"""),"PR033")</f>
        <v>PR033</v>
      </c>
      <c r="B1394" s="2" t="str">
        <f>IFERROR(__xludf.DUMMYFUNCTION("""COMPUTED_VALUE"""),"VD025")</f>
        <v>VD025</v>
      </c>
      <c r="C1394" s="2">
        <f>IFERROR(__xludf.DUMMYFUNCTION("""COMPUTED_VALUE"""),2.0)</f>
        <v>2</v>
      </c>
      <c r="D1394" s="6">
        <f>IFERROR(__xludf.DUMMYFUNCTION("""COMPUTED_VALUE"""),550.99)</f>
        <v>550.99</v>
      </c>
      <c r="E1394" s="6">
        <f>IFERROR(__xludf.DUMMYFUNCTION("GOOGLEFINANCE(""Currency:BRLMXN"")*D1394"),1871.988525)</f>
        <v>1871.988525</v>
      </c>
      <c r="F1394" s="6">
        <f>IFERROR(__xludf.DUMMYFUNCTION("GOOGLEFINANCE(""Currency:BRLPEN"")*D1394"),361.229044)</f>
        <v>361.229044</v>
      </c>
      <c r="G1394" s="2" t="str">
        <f t="array" ref="G1394">_xlfn.XLOOKUP(B1394,Vendedores!$A$2:$A$41,Vendedores!$B$2:$B$41,"No hay datos")</f>
        <v>Alina Santana</v>
      </c>
      <c r="H1394" s="2" t="str">
        <f t="array" ref="H1394">_xlfn.XLOOKUP(B1394,Vendedores!$A$2:$A$41,Vendedores!$C$2:$C$41,"No hay datos")</f>
        <v>Playa Blanca</v>
      </c>
      <c r="I1394" s="2" t="str">
        <f t="array" ref="I1394">_xlfn.XLOOKUP(B1394,Vendedores!$A$2:$A$41,Vendedores!$D$2:$D$41,"No hay datos")</f>
        <v>Región Norte</v>
      </c>
      <c r="J1394" s="2" t="str">
        <f t="array" ref="J1394:N1394">_xlfn.XLOOKUP(A1394,Productos!$A$2:$A$61,Productos!$B$2:$F$61)</f>
        <v>Tenis Chunky</v>
      </c>
      <c r="K1394" s="2">
        <v>38.0</v>
      </c>
      <c r="L1394" s="2" t="s">
        <v>33</v>
      </c>
      <c r="M1394" s="2" t="s">
        <v>63</v>
      </c>
      <c r="N1394" s="2" t="s">
        <v>64</v>
      </c>
    </row>
    <row r="1395">
      <c r="A1395" s="2" t="str">
        <f>IFERROR(__xludf.DUMMYFUNCTION("""COMPUTED_VALUE"""),"PR054")</f>
        <v>PR054</v>
      </c>
      <c r="B1395" s="2" t="str">
        <f>IFERROR(__xludf.DUMMYFUNCTION("""COMPUTED_VALUE"""),"VD028")</f>
        <v>VD028</v>
      </c>
      <c r="C1395" s="2">
        <f>IFERROR(__xludf.DUMMYFUNCTION("""COMPUTED_VALUE"""),5.0)</f>
        <v>5</v>
      </c>
      <c r="D1395" s="6">
        <f>IFERROR(__xludf.DUMMYFUNCTION("""COMPUTED_VALUE"""),274.45)</f>
        <v>274.45</v>
      </c>
      <c r="E1395" s="6">
        <f>IFERROR(__xludf.DUMMYFUNCTION("GOOGLEFINANCE(""Currency:BRLMXN"")*D1395"),932.4438749999999)</f>
        <v>932.443875</v>
      </c>
      <c r="F1395" s="6">
        <f>IFERROR(__xludf.DUMMYFUNCTION("GOOGLEFINANCE(""Currency:BRLPEN"")*D1395"),179.92942)</f>
        <v>179.92942</v>
      </c>
      <c r="G1395" s="2" t="str">
        <f t="array" ref="G1395">_xlfn.XLOOKUP(B1395,Vendedores!$A$2:$A$41,Vendedores!$B$2:$B$41,"No hay datos")</f>
        <v>Rodrigo Almonte</v>
      </c>
      <c r="H1395" s="2" t="str">
        <f t="array" ref="H1395">_xlfn.XLOOKUP(B1395,Vendedores!$A$2:$A$41,Vendedores!$C$2:$C$41,"No hay datos")</f>
        <v>Valle Escondido</v>
      </c>
      <c r="I1395" s="2" t="str">
        <f t="array" ref="I1395">_xlfn.XLOOKUP(B1395,Vendedores!$A$2:$A$41,Vendedores!$D$2:$D$41,"No hay datos")</f>
        <v>Región Andina</v>
      </c>
      <c r="J1395" s="2" t="str">
        <f t="array" ref="J1395:N1395">_xlfn.XLOOKUP(A1395,Productos!$A$2:$A$61,Productos!$B$2:$F$61)</f>
        <v>Falda plisada</v>
      </c>
      <c r="K1395" s="2" t="s">
        <v>22</v>
      </c>
      <c r="L1395" s="2" t="s">
        <v>10</v>
      </c>
      <c r="M1395" s="2" t="s">
        <v>42</v>
      </c>
      <c r="N1395" s="2" t="s">
        <v>32</v>
      </c>
    </row>
    <row r="1396">
      <c r="A1396" s="2" t="str">
        <f>IFERROR(__xludf.DUMMYFUNCTION("""COMPUTED_VALUE"""),"PR050")</f>
        <v>PR050</v>
      </c>
      <c r="B1396" s="2" t="str">
        <f>IFERROR(__xludf.DUMMYFUNCTION("""COMPUTED_VALUE"""),"VD043")</f>
        <v>VD043</v>
      </c>
      <c r="C1396" s="2">
        <f>IFERROR(__xludf.DUMMYFUNCTION("""COMPUTED_VALUE"""),4.0)</f>
        <v>4</v>
      </c>
      <c r="D1396" s="6">
        <f>IFERROR(__xludf.DUMMYFUNCTION("""COMPUTED_VALUE"""),132.92)</f>
        <v>132.92</v>
      </c>
      <c r="E1396" s="6">
        <f>IFERROR(__xludf.DUMMYFUNCTION("GOOGLEFINANCE(""Currency:BRLMXN"")*D1396"),451.59569999999997)</f>
        <v>451.5957</v>
      </c>
      <c r="F1396" s="6">
        <f>IFERROR(__xludf.DUMMYFUNCTION("GOOGLEFINANCE(""Currency:BRLPEN"")*D1396"),87.14235199999999)</f>
        <v>87.142352</v>
      </c>
      <c r="G1396" s="2" t="str">
        <f t="array" ref="G1396">_xlfn.XLOOKUP(B1396,Vendedores!$A$2:$A$41,Vendedores!$B$2:$B$41,"No hay datos")</f>
        <v>Carlos Henríquez</v>
      </c>
      <c r="H1396" s="2" t="str">
        <f t="array" ref="H1396">_xlfn.XLOOKUP(B1396,Vendedores!$A$2:$A$41,Vendedores!$C$2:$C$41,"No hay datos")</f>
        <v>Ciudad Aeropuerto</v>
      </c>
      <c r="I1396" s="2" t="str">
        <f t="array" ref="I1396">_xlfn.XLOOKUP(B1396,Vendedores!$A$2:$A$41,Vendedores!$D$2:$D$41,"No hay datos")</f>
        <v>Región Central 2</v>
      </c>
      <c r="J1396" s="2" t="str">
        <f t="array" ref="J1396:N1396">_xlfn.XLOOKUP(A1396,Productos!$A$2:$A$61,Productos!$B$2:$F$61)</f>
        <v>Playera a rayas</v>
      </c>
      <c r="K1396" s="2" t="s">
        <v>17</v>
      </c>
      <c r="L1396" s="2" t="s">
        <v>10</v>
      </c>
      <c r="M1396" s="2" t="s">
        <v>27</v>
      </c>
      <c r="N1396" s="2" t="s">
        <v>24</v>
      </c>
    </row>
    <row r="1397">
      <c r="A1397" s="2" t="str">
        <f>IFERROR(__xludf.DUMMYFUNCTION("""COMPUTED_VALUE"""),"PR029")</f>
        <v>PR029</v>
      </c>
      <c r="B1397" s="2" t="str">
        <f>IFERROR(__xludf.DUMMYFUNCTION("""COMPUTED_VALUE"""),"VD021")</f>
        <v>VD021</v>
      </c>
      <c r="C1397" s="2">
        <f>IFERROR(__xludf.DUMMYFUNCTION("""COMPUTED_VALUE"""),6.0)</f>
        <v>6</v>
      </c>
      <c r="D1397" s="6">
        <f>IFERROR(__xludf.DUMMYFUNCTION("""COMPUTED_VALUE"""),1683.0)</f>
        <v>1683</v>
      </c>
      <c r="E1397" s="6">
        <f>IFERROR(__xludf.DUMMYFUNCTION("GOOGLEFINANCE(""Currency:BRLMXN"")*D1397"),5717.9925)</f>
        <v>5717.9925</v>
      </c>
      <c r="F1397" s="6">
        <f>IFERROR(__xludf.DUMMYFUNCTION("GOOGLEFINANCE(""Currency:BRLPEN"")*D1397"),1103.3747999999998)</f>
        <v>1103.3748</v>
      </c>
      <c r="G1397" s="2" t="str">
        <f t="array" ref="G1397">_xlfn.XLOOKUP(B1397,Vendedores!$A$2:$A$41,Vendedores!$B$2:$B$41,"No hay datos")</f>
        <v>Fernanda Méndez</v>
      </c>
      <c r="H1397" s="2" t="str">
        <f t="array" ref="H1397">_xlfn.XLOOKUP(B1397,Vendedores!$A$2:$A$41,Vendedores!$C$2:$C$41,"No hay datos")</f>
        <v>San Juan de la Sierra</v>
      </c>
      <c r="I1397" s="2" t="str">
        <f t="array" ref="I1397">_xlfn.XLOOKUP(B1397,Vendedores!$A$2:$A$41,Vendedores!$D$2:$D$41,"No hay datos")</f>
        <v>Región Central</v>
      </c>
      <c r="J1397" s="2" t="str">
        <f t="array" ref="J1397:N1397">_xlfn.XLOOKUP(A1397,Productos!$A$2:$A$61,Productos!$B$2:$F$61)</f>
        <v>Tenis Atitas</v>
      </c>
      <c r="K1397" s="2">
        <v>37.0</v>
      </c>
      <c r="L1397" s="2" t="s">
        <v>33</v>
      </c>
      <c r="M1397" s="2" t="s">
        <v>96</v>
      </c>
      <c r="N1397" s="2" t="s">
        <v>97</v>
      </c>
    </row>
    <row r="1398">
      <c r="A1398" s="2" t="str">
        <f>IFERROR(__xludf.DUMMYFUNCTION("""COMPUTED_VALUE"""),"PR057")</f>
        <v>PR057</v>
      </c>
      <c r="B1398" s="2" t="str">
        <f>IFERROR(__xludf.DUMMYFUNCTION("""COMPUTED_VALUE"""),"VD033")</f>
        <v>VD033</v>
      </c>
      <c r="C1398" s="2">
        <f>IFERROR(__xludf.DUMMYFUNCTION("""COMPUTED_VALUE"""),6.0)</f>
        <v>6</v>
      </c>
      <c r="D1398" s="6">
        <f>IFERROR(__xludf.DUMMYFUNCTION("""COMPUTED_VALUE"""),566.37)</f>
        <v>566.37</v>
      </c>
      <c r="E1398" s="6">
        <f>IFERROR(__xludf.DUMMYFUNCTION("GOOGLEFINANCE(""Currency:BRLMXN"")*D1398"),1924.2420749999999)</f>
        <v>1924.242075</v>
      </c>
      <c r="F1398" s="6">
        <f>IFERROR(__xludf.DUMMYFUNCTION("GOOGLEFINANCE(""Currency:BRLPEN"")*D1398"),371.312172)</f>
        <v>371.312172</v>
      </c>
      <c r="G1398" s="2" t="str">
        <f t="array" ref="G1398">_xlfn.XLOOKUP(B1398,Vendedores!$A$2:$A$41,Vendedores!$B$2:$B$41,"No hay datos")</f>
        <v>Renata Flores</v>
      </c>
      <c r="H1398" s="2" t="str">
        <f t="array" ref="H1398">_xlfn.XLOOKUP(B1398,Vendedores!$A$2:$A$41,Vendedores!$C$2:$C$41,"No hay datos")</f>
        <v>Altos del Sur</v>
      </c>
      <c r="I1398" s="2" t="str">
        <f t="array" ref="I1398">_xlfn.XLOOKUP(B1398,Vendedores!$A$2:$A$41,Vendedores!$D$2:$D$41,"No hay datos")</f>
        <v>Región Central 2</v>
      </c>
      <c r="J1398" s="2" t="str">
        <f t="array" ref="J1398:N1398">_xlfn.XLOOKUP(A1398,Productos!$A$2:$A$61,Productos!$B$2:$F$61)</f>
        <v>Sandalia plana</v>
      </c>
      <c r="K1398" s="2">
        <v>37.0</v>
      </c>
      <c r="L1398" s="2" t="s">
        <v>33</v>
      </c>
      <c r="M1398" s="2" t="s">
        <v>58</v>
      </c>
      <c r="N1398" s="2" t="s">
        <v>35</v>
      </c>
    </row>
    <row r="1399">
      <c r="A1399" s="2" t="str">
        <f>IFERROR(__xludf.DUMMYFUNCTION("""COMPUTED_VALUE"""),"PR006")</f>
        <v>PR006</v>
      </c>
      <c r="B1399" s="2" t="str">
        <f>IFERROR(__xludf.DUMMYFUNCTION("""COMPUTED_VALUE"""),"VD028")</f>
        <v>VD028</v>
      </c>
      <c r="C1399" s="2">
        <f>IFERROR(__xludf.DUMMYFUNCTION("""COMPUTED_VALUE"""),16.0)</f>
        <v>16</v>
      </c>
      <c r="D1399" s="6">
        <f>IFERROR(__xludf.DUMMYFUNCTION("""COMPUTED_VALUE"""),689.47)</f>
        <v>689.47</v>
      </c>
      <c r="E1399" s="6">
        <f>IFERROR(__xludf.DUMMYFUNCTION("GOOGLEFINANCE(""Currency:BRLMXN"")*D1399"),2342.474325)</f>
        <v>2342.474325</v>
      </c>
      <c r="F1399" s="6">
        <f>IFERROR(__xludf.DUMMYFUNCTION("GOOGLEFINANCE(""Currency:BRLPEN"")*D1399"),452.016532)</f>
        <v>452.016532</v>
      </c>
      <c r="G1399" s="2" t="str">
        <f t="array" ref="G1399">_xlfn.XLOOKUP(B1399,Vendedores!$A$2:$A$41,Vendedores!$B$2:$B$41,"No hay datos")</f>
        <v>Rodrigo Almonte</v>
      </c>
      <c r="H1399" s="2" t="str">
        <f t="array" ref="H1399">_xlfn.XLOOKUP(B1399,Vendedores!$A$2:$A$41,Vendedores!$C$2:$C$41,"No hay datos")</f>
        <v>Valle Escondido</v>
      </c>
      <c r="I1399" s="2" t="str">
        <f t="array" ref="I1399">_xlfn.XLOOKUP(B1399,Vendedores!$A$2:$A$41,Vendedores!$D$2:$D$41,"No hay datos")</f>
        <v>Región Andina</v>
      </c>
      <c r="J1399" s="2" t="str">
        <f t="array" ref="J1399:N1399">_xlfn.XLOOKUP(A1399,Productos!$A$2:$A$61,Productos!$B$2:$F$61)</f>
        <v>Gorra</v>
      </c>
      <c r="K1399" s="2" t="s">
        <v>29</v>
      </c>
      <c r="L1399" s="2" t="s">
        <v>30</v>
      </c>
      <c r="M1399" s="2" t="s">
        <v>48</v>
      </c>
      <c r="N1399" s="2" t="s">
        <v>38</v>
      </c>
    </row>
    <row r="1400">
      <c r="A1400" s="2" t="str">
        <f>IFERROR(__xludf.DUMMYFUNCTION("""COMPUTED_VALUE"""),"PR006")</f>
        <v>PR006</v>
      </c>
      <c r="B1400" s="2" t="str">
        <f>IFERROR(__xludf.DUMMYFUNCTION("""COMPUTED_VALUE"""),"VD032")</f>
        <v>VD032</v>
      </c>
      <c r="C1400" s="2">
        <f>IFERROR(__xludf.DUMMYFUNCTION("""COMPUTED_VALUE"""),8.0)</f>
        <v>8</v>
      </c>
      <c r="D1400" s="6">
        <f>IFERROR(__xludf.DUMMYFUNCTION("""COMPUTED_VALUE"""),347.93)</f>
        <v>347.93</v>
      </c>
      <c r="E1400" s="6">
        <f>IFERROR(__xludf.DUMMYFUNCTION("GOOGLEFINANCE(""Currency:BRLMXN"")*D1400"),1182.092175)</f>
        <v>1182.092175</v>
      </c>
      <c r="F1400" s="6">
        <f>IFERROR(__xludf.DUMMYFUNCTION("GOOGLEFINANCE(""Currency:BRLPEN"")*D1400"),228.10290799999999)</f>
        <v>228.102908</v>
      </c>
      <c r="G1400" s="2" t="str">
        <f t="array" ref="G1400">_xlfn.XLOOKUP(B1400,Vendedores!$A$2:$A$41,Vendedores!$B$2:$B$41,"No hay datos")</f>
        <v>Eduardo Almonte</v>
      </c>
      <c r="H1400" s="2" t="str">
        <f t="array" ref="H1400">_xlfn.XLOOKUP(B1400,Vendedores!$A$2:$A$41,Vendedores!$C$2:$C$41,"No hay datos")</f>
        <v>Tierra Colorada</v>
      </c>
      <c r="I1400" s="2" t="str">
        <f t="array" ref="I1400">_xlfn.XLOOKUP(B1400,Vendedores!$A$2:$A$41,Vendedores!$D$2:$D$41,"No hay datos")</f>
        <v>Región Central 2</v>
      </c>
      <c r="J1400" s="2" t="str">
        <f t="array" ref="J1400:N1400">_xlfn.XLOOKUP(A1400,Productos!$A$2:$A$61,Productos!$B$2:$F$61)</f>
        <v>Gorra</v>
      </c>
      <c r="K1400" s="2" t="s">
        <v>29</v>
      </c>
      <c r="L1400" s="2" t="s">
        <v>30</v>
      </c>
      <c r="M1400" s="2" t="s">
        <v>48</v>
      </c>
      <c r="N1400" s="2" t="s">
        <v>38</v>
      </c>
    </row>
    <row r="1401">
      <c r="A1401" s="2" t="str">
        <f>IFERROR(__xludf.DUMMYFUNCTION("""COMPUTED_VALUE"""),"PR014")</f>
        <v>PR014</v>
      </c>
      <c r="B1401" s="2" t="str">
        <f>IFERROR(__xludf.DUMMYFUNCTION("""COMPUTED_VALUE"""),"VD028")</f>
        <v>VD028</v>
      </c>
      <c r="C1401" s="2">
        <f>IFERROR(__xludf.DUMMYFUNCTION("""COMPUTED_VALUE"""),7.0)</f>
        <v>7</v>
      </c>
      <c r="D1401" s="6">
        <f>IFERROR(__xludf.DUMMYFUNCTION("""COMPUTED_VALUE"""),290.47)</f>
        <v>290.47</v>
      </c>
      <c r="E1401" s="6">
        <f>IFERROR(__xludf.DUMMYFUNCTION("GOOGLEFINANCE(""Currency:BRLMXN"")*D1401"),986.8718250000001)</f>
        <v>986.871825</v>
      </c>
      <c r="F1401" s="6">
        <f>IFERROR(__xludf.DUMMYFUNCTION("GOOGLEFINANCE(""Currency:BRLPEN"")*D1401"),190.432132)</f>
        <v>190.432132</v>
      </c>
      <c r="G1401" s="2" t="str">
        <f t="array" ref="G1401">_xlfn.XLOOKUP(B1401,Vendedores!$A$2:$A$41,Vendedores!$B$2:$B$41,"No hay datos")</f>
        <v>Rodrigo Almonte</v>
      </c>
      <c r="H1401" s="2" t="str">
        <f t="array" ref="H1401">_xlfn.XLOOKUP(B1401,Vendedores!$A$2:$A$41,Vendedores!$C$2:$C$41,"No hay datos")</f>
        <v>Valle Escondido</v>
      </c>
      <c r="I1401" s="2" t="str">
        <f t="array" ref="I1401">_xlfn.XLOOKUP(B1401,Vendedores!$A$2:$A$41,Vendedores!$D$2:$D$41,"No hay datos")</f>
        <v>Región Andina</v>
      </c>
      <c r="J1401" s="2" t="str">
        <f t="array" ref="J1401:N1401">_xlfn.XLOOKUP(A1401,Productos!$A$2:$A$61,Productos!$B$2:$F$61)</f>
        <v>Playera estampada</v>
      </c>
      <c r="K1401" s="2" t="s">
        <v>17</v>
      </c>
      <c r="L1401" s="2" t="s">
        <v>10</v>
      </c>
      <c r="M1401" s="2" t="s">
        <v>37</v>
      </c>
      <c r="N1401" s="2" t="s">
        <v>38</v>
      </c>
    </row>
    <row r="1402">
      <c r="A1402" s="2" t="str">
        <f>IFERROR(__xludf.DUMMYFUNCTION("""COMPUTED_VALUE"""),"PR027")</f>
        <v>PR027</v>
      </c>
      <c r="B1402" s="2" t="str">
        <f>IFERROR(__xludf.DUMMYFUNCTION("""COMPUTED_VALUE"""),"VD042")</f>
        <v>VD042</v>
      </c>
      <c r="C1402" s="2">
        <f>IFERROR(__xludf.DUMMYFUNCTION("""COMPUTED_VALUE"""),8.0)</f>
        <v>8</v>
      </c>
      <c r="D1402" s="6">
        <f>IFERROR(__xludf.DUMMYFUNCTION("""COMPUTED_VALUE"""),960.0)</f>
        <v>960</v>
      </c>
      <c r="E1402" s="6">
        <f>IFERROR(__xludf.DUMMYFUNCTION("GOOGLEFINANCE(""Currency:BRLMXN"")*D1402"),3261.6)</f>
        <v>3261.6</v>
      </c>
      <c r="F1402" s="6">
        <f>IFERROR(__xludf.DUMMYFUNCTION("GOOGLEFINANCE(""Currency:BRLPEN"")*D1402"),629.376)</f>
        <v>629.376</v>
      </c>
      <c r="G1402" s="2" t="str">
        <f t="array" ref="G1402">_xlfn.XLOOKUP(B1402,Vendedores!$A$2:$A$41,Vendedores!$B$2:$B$41,"No hay datos")</f>
        <v>Priscila Duarte</v>
      </c>
      <c r="H1402" s="2" t="str">
        <f t="array" ref="H1402">_xlfn.XLOOKUP(B1402,Vendedores!$A$2:$A$41,Vendedores!$C$2:$C$41,"No hay datos")</f>
        <v>Villa Comercial</v>
      </c>
      <c r="I1402" s="2" t="str">
        <f t="array" ref="I1402">_xlfn.XLOOKUP(B1402,Vendedores!$A$2:$A$41,Vendedores!$D$2:$D$41,"No hay datos")</f>
        <v>Región Central 2</v>
      </c>
      <c r="J1402" s="2" t="str">
        <f t="array" ref="J1402:N1402">_xlfn.XLOOKUP(A1402,Productos!$A$2:$A$61,Productos!$B$2:$F$61)</f>
        <v>Gafas redondas</v>
      </c>
      <c r="K1402" s="2" t="s">
        <v>29</v>
      </c>
      <c r="L1402" s="2" t="s">
        <v>30</v>
      </c>
      <c r="M1402" s="2" t="s">
        <v>53</v>
      </c>
      <c r="N1402" s="2" t="s">
        <v>54</v>
      </c>
    </row>
    <row r="1403">
      <c r="A1403" s="2" t="str">
        <f>IFERROR(__xludf.DUMMYFUNCTION("""COMPUTED_VALUE"""),"PR004")</f>
        <v>PR004</v>
      </c>
      <c r="B1403" s="2" t="str">
        <f>IFERROR(__xludf.DUMMYFUNCTION("""COMPUTED_VALUE"""),"VD012")</f>
        <v>VD012</v>
      </c>
      <c r="C1403" s="2">
        <f>IFERROR(__xludf.DUMMYFUNCTION("""COMPUTED_VALUE"""),4.0)</f>
        <v>4</v>
      </c>
      <c r="D1403" s="6">
        <f>IFERROR(__xludf.DUMMYFUNCTION("""COMPUTED_VALUE"""),620.6)</f>
        <v>620.6</v>
      </c>
      <c r="E1403" s="6">
        <f>IFERROR(__xludf.DUMMYFUNCTION("GOOGLEFINANCE(""Currency:BRLMXN"")*D1403"),2108.4885)</f>
        <v>2108.4885</v>
      </c>
      <c r="F1403" s="6">
        <f>IFERROR(__xludf.DUMMYFUNCTION("GOOGLEFINANCE(""Currency:BRLPEN"")*D1403"),406.86536)</f>
        <v>406.86536</v>
      </c>
      <c r="G1403" s="2" t="str">
        <f t="array" ref="G1403">_xlfn.XLOOKUP(B1403,Vendedores!$A$2:$A$41,Vendedores!$B$2:$B$41,"No hay datos")</f>
        <v>Ana Olmedo</v>
      </c>
      <c r="H1403" s="2" t="str">
        <f t="array" ref="H1403">_xlfn.XLOOKUP(B1403,Vendedores!$A$2:$A$41,Vendedores!$C$2:$C$41,"No hay datos")</f>
        <v>Río Claro</v>
      </c>
      <c r="I1403" s="2" t="str">
        <f t="array" ref="I1403">_xlfn.XLOOKUP(B1403,Vendedores!$A$2:$A$41,Vendedores!$D$2:$D$41,"No hay datos")</f>
        <v>Región Central</v>
      </c>
      <c r="J1403" s="2" t="str">
        <f t="array" ref="J1403:N1403">_xlfn.XLOOKUP(A1403,Productos!$A$2:$A$61,Productos!$B$2:$F$61)</f>
        <v>Bolso versátil</v>
      </c>
      <c r="K1403" s="2" t="s">
        <v>29</v>
      </c>
      <c r="L1403" s="2" t="s">
        <v>30</v>
      </c>
      <c r="M1403" s="2" t="s">
        <v>59</v>
      </c>
      <c r="N1403" s="2" t="s">
        <v>60</v>
      </c>
    </row>
    <row r="1404">
      <c r="A1404" s="2" t="str">
        <f>IFERROR(__xludf.DUMMYFUNCTION("""COMPUTED_VALUE"""),"PR020")</f>
        <v>PR020</v>
      </c>
      <c r="B1404" s="2" t="str">
        <f>IFERROR(__xludf.DUMMYFUNCTION("""COMPUTED_VALUE"""),"VD018")</f>
        <v>VD018</v>
      </c>
      <c r="C1404" s="2">
        <f>IFERROR(__xludf.DUMMYFUNCTION("""COMPUTED_VALUE"""),10.0)</f>
        <v>10</v>
      </c>
      <c r="D1404" s="6">
        <f>IFERROR(__xludf.DUMMYFUNCTION("""COMPUTED_VALUE"""),3118.96)</f>
        <v>3118.96</v>
      </c>
      <c r="E1404" s="6">
        <f>IFERROR(__xludf.DUMMYFUNCTION("GOOGLEFINANCE(""Currency:BRLMXN"")*D1404"),10596.6666)</f>
        <v>10596.6666</v>
      </c>
      <c r="F1404" s="6">
        <f>IFERROR(__xludf.DUMMYFUNCTION("GOOGLEFINANCE(""Currency:BRLPEN"")*D1404"),2044.790176)</f>
        <v>2044.790176</v>
      </c>
      <c r="G1404" s="2" t="str">
        <f t="array" ref="G1404">_xlfn.XLOOKUP(B1404,Vendedores!$A$2:$A$41,Vendedores!$B$2:$B$41,"No hay datos")</f>
        <v>Leticia Rodríguez</v>
      </c>
      <c r="H1404" s="2" t="str">
        <f t="array" ref="H1404">_xlfn.XLOOKUP(B1404,Vendedores!$A$2:$A$41,Vendedores!$C$2:$C$41,"No hay datos")</f>
        <v>Playa Blanca</v>
      </c>
      <c r="I1404" s="2" t="str">
        <f t="array" ref="I1404">_xlfn.XLOOKUP(B1404,Vendedores!$A$2:$A$41,Vendedores!$D$2:$D$41,"No hay datos")</f>
        <v>Región Norte</v>
      </c>
      <c r="J1404" s="2" t="str">
        <f t="array" ref="J1404:N1404">_xlfn.XLOOKUP(A1404,Productos!$A$2:$A$61,Productos!$B$2:$F$61)</f>
        <v>Chaqueta de cuero</v>
      </c>
      <c r="K1404" s="2" t="s">
        <v>9</v>
      </c>
      <c r="L1404" s="2" t="s">
        <v>10</v>
      </c>
      <c r="M1404" s="2" t="s">
        <v>15</v>
      </c>
      <c r="N1404" s="2" t="s">
        <v>16</v>
      </c>
    </row>
    <row r="1405">
      <c r="A1405" s="2" t="str">
        <f>IFERROR(__xludf.DUMMYFUNCTION("""COMPUTED_VALUE"""),"PR004")</f>
        <v>PR004</v>
      </c>
      <c r="B1405" s="2" t="str">
        <f>IFERROR(__xludf.DUMMYFUNCTION("""COMPUTED_VALUE"""),"VD032")</f>
        <v>VD032</v>
      </c>
      <c r="C1405" s="2">
        <f>IFERROR(__xludf.DUMMYFUNCTION("""COMPUTED_VALUE"""),14.0)</f>
        <v>14</v>
      </c>
      <c r="D1405" s="6">
        <f>IFERROR(__xludf.DUMMYFUNCTION("""COMPUTED_VALUE"""),2172.1)</f>
        <v>2172.1</v>
      </c>
      <c r="E1405" s="6">
        <f>IFERROR(__xludf.DUMMYFUNCTION("GOOGLEFINANCE(""Currency:BRLMXN"")*D1405"),7379.70975)</f>
        <v>7379.70975</v>
      </c>
      <c r="F1405" s="6">
        <f>IFERROR(__xludf.DUMMYFUNCTION("GOOGLEFINANCE(""Currency:BRLPEN"")*D1405"),1424.02876)</f>
        <v>1424.02876</v>
      </c>
      <c r="G1405" s="2" t="str">
        <f t="array" ref="G1405">_xlfn.XLOOKUP(B1405,Vendedores!$A$2:$A$41,Vendedores!$B$2:$B$41,"No hay datos")</f>
        <v>Eduardo Almonte</v>
      </c>
      <c r="H1405" s="2" t="str">
        <f t="array" ref="H1405">_xlfn.XLOOKUP(B1405,Vendedores!$A$2:$A$41,Vendedores!$C$2:$C$41,"No hay datos")</f>
        <v>Tierra Colorada</v>
      </c>
      <c r="I1405" s="2" t="str">
        <f t="array" ref="I1405">_xlfn.XLOOKUP(B1405,Vendedores!$A$2:$A$41,Vendedores!$D$2:$D$41,"No hay datos")</f>
        <v>Región Central 2</v>
      </c>
      <c r="J1405" s="2" t="str">
        <f t="array" ref="J1405:N1405">_xlfn.XLOOKUP(A1405,Productos!$A$2:$A$61,Productos!$B$2:$F$61)</f>
        <v>Bolso versátil</v>
      </c>
      <c r="K1405" s="2" t="s">
        <v>29</v>
      </c>
      <c r="L1405" s="2" t="s">
        <v>30</v>
      </c>
      <c r="M1405" s="2" t="s">
        <v>59</v>
      </c>
      <c r="N1405" s="2" t="s">
        <v>60</v>
      </c>
    </row>
    <row r="1406">
      <c r="A1406" s="2" t="str">
        <f>IFERROR(__xludf.DUMMYFUNCTION("""COMPUTED_VALUE"""),"PR014")</f>
        <v>PR014</v>
      </c>
      <c r="B1406" s="2" t="str">
        <f>IFERROR(__xludf.DUMMYFUNCTION("""COMPUTED_VALUE"""),"VD036")</f>
        <v>VD036</v>
      </c>
      <c r="C1406" s="2">
        <f>IFERROR(__xludf.DUMMYFUNCTION("""COMPUTED_VALUE"""),3.0)</f>
        <v>3</v>
      </c>
      <c r="D1406" s="6">
        <f>IFERROR(__xludf.DUMMYFUNCTION("""COMPUTED_VALUE"""),124.49)</f>
        <v>124.49</v>
      </c>
      <c r="E1406" s="6">
        <f>IFERROR(__xludf.DUMMYFUNCTION("GOOGLEFINANCE(""Currency:BRLMXN"")*D1406"),422.954775)</f>
        <v>422.954775</v>
      </c>
      <c r="F1406" s="6">
        <f>IFERROR(__xludf.DUMMYFUNCTION("GOOGLEFINANCE(""Currency:BRLPEN"")*D1406"),81.61564399999999)</f>
        <v>81.615644</v>
      </c>
      <c r="G1406" s="2" t="str">
        <f t="array" ref="G1406">_xlfn.XLOOKUP(B1406,Vendedores!$A$2:$A$41,Vendedores!$B$2:$B$41,"No hay datos")</f>
        <v>Ricardo Sosa</v>
      </c>
      <c r="H1406" s="2" t="str">
        <f t="array" ref="H1406">_xlfn.XLOOKUP(B1406,Vendedores!$A$2:$A$41,Vendedores!$C$2:$C$41,"No hay datos")</f>
        <v>Puerto Nuevo</v>
      </c>
      <c r="I1406" s="2" t="str">
        <f t="array" ref="I1406">_xlfn.XLOOKUP(B1406,Vendedores!$A$2:$A$41,Vendedores!$D$2:$D$41,"No hay datos")</f>
        <v>Región Central 2</v>
      </c>
      <c r="J1406" s="2" t="str">
        <f t="array" ref="J1406:N1406">_xlfn.XLOOKUP(A1406,Productos!$A$2:$A$61,Productos!$B$2:$F$61)</f>
        <v>Playera estampada</v>
      </c>
      <c r="K1406" s="2" t="s">
        <v>17</v>
      </c>
      <c r="L1406" s="2" t="s">
        <v>10</v>
      </c>
      <c r="M1406" s="2" t="s">
        <v>37</v>
      </c>
      <c r="N1406" s="2" t="s">
        <v>38</v>
      </c>
    </row>
    <row r="1407">
      <c r="A1407" s="2" t="str">
        <f>IFERROR(__xludf.DUMMYFUNCTION("""COMPUTED_VALUE"""),"PR033")</f>
        <v>PR033</v>
      </c>
      <c r="B1407" s="2" t="str">
        <f>IFERROR(__xludf.DUMMYFUNCTION("""COMPUTED_VALUE"""),"VD011")</f>
        <v>VD011</v>
      </c>
      <c r="C1407" s="2">
        <f>IFERROR(__xludf.DUMMYFUNCTION("""COMPUTED_VALUE"""),12.0)</f>
        <v>12</v>
      </c>
      <c r="D1407" s="6">
        <f>IFERROR(__xludf.DUMMYFUNCTION("""COMPUTED_VALUE"""),3149.99)</f>
        <v>3149.99</v>
      </c>
      <c r="E1407" s="6">
        <f>IFERROR(__xludf.DUMMYFUNCTION("GOOGLEFINANCE(""Currency:BRLMXN"")*D1407"),10702.091025)</f>
        <v>10702.09103</v>
      </c>
      <c r="F1407" s="6">
        <f>IFERROR(__xludf.DUMMYFUNCTION("GOOGLEFINANCE(""Currency:BRLPEN"")*D1407"),2065.1334439999996)</f>
        <v>2065.133444</v>
      </c>
      <c r="G1407" s="2" t="str">
        <f t="array" ref="G1407">_xlfn.XLOOKUP(B1407,Vendedores!$A$2:$A$41,Vendedores!$B$2:$B$41,"No hay datos")</f>
        <v>Juan Santos</v>
      </c>
      <c r="H1407" s="2" t="str">
        <f t="array" ref="H1407">_xlfn.XLOOKUP(B1407,Vendedores!$A$2:$A$41,Vendedores!$C$2:$C$41,"No hay datos")</f>
        <v>Vista Hermosa</v>
      </c>
      <c r="I1407" s="2" t="str">
        <f t="array" ref="I1407">_xlfn.XLOOKUP(B1407,Vendedores!$A$2:$A$41,Vendedores!$D$2:$D$41,"No hay datos")</f>
        <v>Región Central</v>
      </c>
      <c r="J1407" s="2" t="str">
        <f t="array" ref="J1407:N1407">_xlfn.XLOOKUP(A1407,Productos!$A$2:$A$61,Productos!$B$2:$F$61)</f>
        <v>Tenis Chunky</v>
      </c>
      <c r="K1407" s="2">
        <v>38.0</v>
      </c>
      <c r="L1407" s="2" t="s">
        <v>33</v>
      </c>
      <c r="M1407" s="2" t="s">
        <v>63</v>
      </c>
      <c r="N1407" s="2" t="s">
        <v>64</v>
      </c>
    </row>
    <row r="1408">
      <c r="A1408" s="2" t="str">
        <f>IFERROR(__xludf.DUMMYFUNCTION("""COMPUTED_VALUE"""),"PR049")</f>
        <v>PR049</v>
      </c>
      <c r="B1408" s="2" t="str">
        <f>IFERROR(__xludf.DUMMYFUNCTION("""COMPUTED_VALUE"""),"VD021")</f>
        <v>VD021</v>
      </c>
      <c r="C1408" s="2">
        <f>IFERROR(__xludf.DUMMYFUNCTION("""COMPUTED_VALUE"""),5.0)</f>
        <v>5</v>
      </c>
      <c r="D1408" s="6">
        <f>IFERROR(__xludf.DUMMYFUNCTION("""COMPUTED_VALUE"""),164.5)</f>
        <v>164.5</v>
      </c>
      <c r="E1408" s="6">
        <f>IFERROR(__xludf.DUMMYFUNCTION("GOOGLEFINANCE(""Currency:BRLMXN"")*D1408"),558.88875)</f>
        <v>558.88875</v>
      </c>
      <c r="F1408" s="6">
        <f>IFERROR(__xludf.DUMMYFUNCTION("GOOGLEFINANCE(""Currency:BRLPEN"")*D1408"),107.8462)</f>
        <v>107.8462</v>
      </c>
      <c r="G1408" s="2" t="str">
        <f t="array" ref="G1408">_xlfn.XLOOKUP(B1408,Vendedores!$A$2:$A$41,Vendedores!$B$2:$B$41,"No hay datos")</f>
        <v>Fernanda Méndez</v>
      </c>
      <c r="H1408" s="2" t="str">
        <f t="array" ref="H1408">_xlfn.XLOOKUP(B1408,Vendedores!$A$2:$A$41,Vendedores!$C$2:$C$41,"No hay datos")</f>
        <v>San Juan de la Sierra</v>
      </c>
      <c r="I1408" s="2" t="str">
        <f t="array" ref="I1408">_xlfn.XLOOKUP(B1408,Vendedores!$A$2:$A$41,Vendedores!$D$2:$D$41,"No hay datos")</f>
        <v>Región Central</v>
      </c>
      <c r="J1408" s="2" t="str">
        <f t="array" ref="J1408:N1408">_xlfn.XLOOKUP(A1408,Productos!$A$2:$A$61,Productos!$B$2:$F$61)</f>
        <v>Playera a rayas</v>
      </c>
      <c r="K1408" s="2" t="s">
        <v>9</v>
      </c>
      <c r="L1408" s="2" t="s">
        <v>10</v>
      </c>
      <c r="M1408" s="2" t="s">
        <v>47</v>
      </c>
      <c r="N1408" s="2" t="s">
        <v>24</v>
      </c>
    </row>
    <row r="1409">
      <c r="A1409" s="2" t="str">
        <f>IFERROR(__xludf.DUMMYFUNCTION("""COMPUTED_VALUE"""),"PR021")</f>
        <v>PR021</v>
      </c>
      <c r="B1409" s="2" t="str">
        <f>IFERROR(__xludf.DUMMYFUNCTION("""COMPUTED_VALUE"""),"VD045")</f>
        <v>VD045</v>
      </c>
      <c r="C1409" s="2">
        <f>IFERROR(__xludf.DUMMYFUNCTION("""COMPUTED_VALUE"""),16.0)</f>
        <v>16</v>
      </c>
      <c r="D1409" s="6">
        <f>IFERROR(__xludf.DUMMYFUNCTION("""COMPUTED_VALUE"""),5088.72)</f>
        <v>5088.72</v>
      </c>
      <c r="E1409" s="6">
        <f>IFERROR(__xludf.DUMMYFUNCTION("GOOGLEFINANCE(""Currency:BRLMXN"")*D1409"),17288.9262)</f>
        <v>17288.9262</v>
      </c>
      <c r="F1409" s="6">
        <f>IFERROR(__xludf.DUMMYFUNCTION("GOOGLEFINANCE(""Currency:BRLPEN"")*D1409"),3336.164832)</f>
        <v>3336.164832</v>
      </c>
      <c r="G1409" s="2" t="str">
        <f t="array" ref="G1409">_xlfn.XLOOKUP(B1409,Vendedores!$A$2:$A$41,Vendedores!$B$2:$B$41,"No hay datos")</f>
        <v>Rafael Morales</v>
      </c>
      <c r="H1409" s="2" t="str">
        <f t="array" ref="H1409">_xlfn.XLOOKUP(B1409,Vendedores!$A$2:$A$41,Vendedores!$C$2:$C$41,"No hay datos")</f>
        <v>Valle Dorado</v>
      </c>
      <c r="I1409" s="2" t="str">
        <f t="array" ref="I1409">_xlfn.XLOOKUP(B1409,Vendedores!$A$2:$A$41,Vendedores!$D$2:$D$41,"No hay datos")</f>
        <v>Región Central 2</v>
      </c>
      <c r="J1409" s="2" t="str">
        <f t="array" ref="J1409:N1409">_xlfn.XLOOKUP(A1409,Productos!$A$2:$A$61,Productos!$B$2:$F$61)</f>
        <v>Chaqueta de cuero</v>
      </c>
      <c r="K1409" s="2" t="s">
        <v>17</v>
      </c>
      <c r="L1409" s="2" t="s">
        <v>10</v>
      </c>
      <c r="M1409" s="2" t="s">
        <v>80</v>
      </c>
      <c r="N1409" s="2" t="s">
        <v>81</v>
      </c>
    </row>
    <row r="1410">
      <c r="A1410" s="2" t="str">
        <f>IFERROR(__xludf.DUMMYFUNCTION("""COMPUTED_VALUE"""),"PR018")</f>
        <v>PR018</v>
      </c>
      <c r="B1410" s="2" t="str">
        <f>IFERROR(__xludf.DUMMYFUNCTION("""COMPUTED_VALUE"""),"VD017")</f>
        <v>VD017</v>
      </c>
      <c r="C1410" s="2">
        <f>IFERROR(__xludf.DUMMYFUNCTION("""COMPUTED_VALUE"""),8.0)</f>
        <v>8</v>
      </c>
      <c r="D1410" s="6">
        <f>IFERROR(__xludf.DUMMYFUNCTION("""COMPUTED_VALUE"""),268.46)</f>
        <v>268.46</v>
      </c>
      <c r="E1410" s="6">
        <f>IFERROR(__xludf.DUMMYFUNCTION("GOOGLEFINANCE(""Currency:BRLMXN"")*D1410"),912.0928499999999)</f>
        <v>912.09285</v>
      </c>
      <c r="F1410" s="6">
        <f>IFERROR(__xludf.DUMMYFUNCTION("GOOGLEFINANCE(""Currency:BRLPEN"")*D1410"),176.00237599999997)</f>
        <v>176.002376</v>
      </c>
      <c r="G1410" s="2" t="str">
        <f t="array" ref="G1410">_xlfn.XLOOKUP(B1410,Vendedores!$A$2:$A$41,Vendedores!$B$2:$B$41,"No hay datos")</f>
        <v>Bruno Peralta</v>
      </c>
      <c r="H1410" s="2" t="str">
        <f t="array" ref="H1410">_xlfn.XLOOKUP(B1410,Vendedores!$A$2:$A$41,Vendedores!$C$2:$C$41,"No hay datos")</f>
        <v>Costa Azul</v>
      </c>
      <c r="I1410" s="2" t="str">
        <f t="array" ref="I1410">_xlfn.XLOOKUP(B1410,Vendedores!$A$2:$A$41,Vendedores!$D$2:$D$41,"No hay datos")</f>
        <v>Región Norte</v>
      </c>
      <c r="J1410" s="2" t="str">
        <f t="array" ref="J1410:N1410">_xlfn.XLOOKUP(A1410,Productos!$A$2:$A$61,Productos!$B$2:$F$61)</f>
        <v>Playera lisa</v>
      </c>
      <c r="K1410" s="2" t="s">
        <v>22</v>
      </c>
      <c r="L1410" s="2" t="s">
        <v>10</v>
      </c>
      <c r="M1410" s="2" t="s">
        <v>57</v>
      </c>
      <c r="N1410" s="2" t="s">
        <v>24</v>
      </c>
    </row>
    <row r="1411">
      <c r="A1411" s="2" t="str">
        <f>IFERROR(__xludf.DUMMYFUNCTION("""COMPUTED_VALUE"""),"PR038")</f>
        <v>PR038</v>
      </c>
      <c r="B1411" s="2" t="str">
        <f>IFERROR(__xludf.DUMMYFUNCTION("""COMPUTED_VALUE"""),"VD028")</f>
        <v>VD028</v>
      </c>
      <c r="C1411" s="2">
        <f>IFERROR(__xludf.DUMMYFUNCTION("""COMPUTED_VALUE"""),6.0)</f>
        <v>6</v>
      </c>
      <c r="D1411" s="6">
        <f>IFERROR(__xludf.DUMMYFUNCTION("""COMPUTED_VALUE"""),908.84)</f>
        <v>908.84</v>
      </c>
      <c r="E1411" s="6">
        <f>IFERROR(__xludf.DUMMYFUNCTION("GOOGLEFINANCE(""Currency:BRLMXN"")*D1411"),3087.7839)</f>
        <v>3087.7839</v>
      </c>
      <c r="F1411" s="6">
        <f>IFERROR(__xludf.DUMMYFUNCTION("GOOGLEFINANCE(""Currency:BRLPEN"")*D1411"),595.835504)</f>
        <v>595.835504</v>
      </c>
      <c r="G1411" s="2" t="str">
        <f t="array" ref="G1411">_xlfn.XLOOKUP(B1411,Vendedores!$A$2:$A$41,Vendedores!$B$2:$B$41,"No hay datos")</f>
        <v>Rodrigo Almonte</v>
      </c>
      <c r="H1411" s="2" t="str">
        <f t="array" ref="H1411">_xlfn.XLOOKUP(B1411,Vendedores!$A$2:$A$41,Vendedores!$C$2:$C$41,"No hay datos")</f>
        <v>Valle Escondido</v>
      </c>
      <c r="I1411" s="2" t="str">
        <f t="array" ref="I1411">_xlfn.XLOOKUP(B1411,Vendedores!$A$2:$A$41,Vendedores!$D$2:$D$41,"No hay datos")</f>
        <v>Región Andina</v>
      </c>
      <c r="J1411" s="2" t="str">
        <f t="array" ref="J1411:N1411">_xlfn.XLOOKUP(A1411,Productos!$A$2:$A$61,Productos!$B$2:$F$61)</f>
        <v>Vestido largo</v>
      </c>
      <c r="K1411" s="2" t="s">
        <v>17</v>
      </c>
      <c r="L1411" s="2" t="s">
        <v>10</v>
      </c>
      <c r="M1411" s="2" t="s">
        <v>51</v>
      </c>
      <c r="N1411" s="2" t="s">
        <v>52</v>
      </c>
    </row>
    <row r="1412">
      <c r="A1412" s="2" t="str">
        <f>IFERROR(__xludf.DUMMYFUNCTION("""COMPUTED_VALUE"""),"PR037")</f>
        <v>PR037</v>
      </c>
      <c r="B1412" s="2" t="str">
        <f>IFERROR(__xludf.DUMMYFUNCTION("""COMPUTED_VALUE"""),"VD019")</f>
        <v>VD019</v>
      </c>
      <c r="C1412" s="2">
        <f>IFERROR(__xludf.DUMMYFUNCTION("""COMPUTED_VALUE"""),5.0)</f>
        <v>5</v>
      </c>
      <c r="D1412" s="6">
        <f>IFERROR(__xludf.DUMMYFUNCTION("""COMPUTED_VALUE"""),707.0)</f>
        <v>707</v>
      </c>
      <c r="E1412" s="6">
        <f>IFERROR(__xludf.DUMMYFUNCTION("GOOGLEFINANCE(""Currency:BRLMXN"")*D1412"),2402.0325)</f>
        <v>2402.0325</v>
      </c>
      <c r="F1412" s="6">
        <f>IFERROR(__xludf.DUMMYFUNCTION("GOOGLEFINANCE(""Currency:BRLPEN"")*D1412"),463.50919999999996)</f>
        <v>463.5092</v>
      </c>
      <c r="G1412" s="2" t="str">
        <f t="array" ref="G1412">_xlfn.XLOOKUP(B1412,Vendedores!$A$2:$A$41,Vendedores!$B$2:$B$41,"No hay datos")</f>
        <v>Rafael Sosa</v>
      </c>
      <c r="H1412" s="2" t="str">
        <f t="array" ref="H1412">_xlfn.XLOOKUP(B1412,Vendedores!$A$2:$A$41,Vendedores!$C$2:$C$41,"No hay datos")</f>
        <v>Selva Verde</v>
      </c>
      <c r="I1412" s="2" t="str">
        <f t="array" ref="I1412">_xlfn.XLOOKUP(B1412,Vendedores!$A$2:$A$41,Vendedores!$D$2:$D$41,"No hay datos")</f>
        <v>Región Amazónica</v>
      </c>
      <c r="J1412" s="2" t="str">
        <f t="array" ref="J1412:N1412">_xlfn.XLOOKUP(A1412,Productos!$A$2:$A$61,Productos!$B$2:$F$61)</f>
        <v>Vestido largo</v>
      </c>
      <c r="K1412" s="2" t="s">
        <v>9</v>
      </c>
      <c r="L1412" s="2" t="s">
        <v>10</v>
      </c>
      <c r="M1412" s="2" t="s">
        <v>70</v>
      </c>
      <c r="N1412" s="2" t="s">
        <v>71</v>
      </c>
    </row>
    <row r="1413">
      <c r="A1413" s="2" t="str">
        <f>IFERROR(__xludf.DUMMYFUNCTION("""COMPUTED_VALUE"""),"PR041")</f>
        <v>PR041</v>
      </c>
      <c r="B1413" s="2" t="str">
        <f>IFERROR(__xludf.DUMMYFUNCTION("""COMPUTED_VALUE"""),"VD024")</f>
        <v>VD024</v>
      </c>
      <c r="C1413" s="2">
        <f>IFERROR(__xludf.DUMMYFUNCTION("""COMPUTED_VALUE"""),10.0)</f>
        <v>10</v>
      </c>
      <c r="D1413" s="6">
        <f>IFERROR(__xludf.DUMMYFUNCTION("""COMPUTED_VALUE"""),576.45)</f>
        <v>576.45</v>
      </c>
      <c r="E1413" s="6">
        <f>IFERROR(__xludf.DUMMYFUNCTION("GOOGLEFINANCE(""Currency:BRLMXN"")*D1413"),1958.4888750000002)</f>
        <v>1958.488875</v>
      </c>
      <c r="F1413" s="6">
        <f>IFERROR(__xludf.DUMMYFUNCTION("GOOGLEFINANCE(""Currency:BRLPEN"")*D1413"),377.92062)</f>
        <v>377.92062</v>
      </c>
      <c r="G1413" s="2" t="str">
        <f t="array" ref="G1413">_xlfn.XLOOKUP(B1413,Vendedores!$A$2:$A$41,Vendedores!$B$2:$B$41,"No hay datos")</f>
        <v>Marcos Rivera</v>
      </c>
      <c r="H1413" s="2" t="str">
        <f t="array" ref="H1413">_xlfn.XLOOKUP(B1413,Vendedores!$A$2:$A$41,Vendedores!$C$2:$C$41,"No hay datos")</f>
        <v>Santa Rosa del Valle</v>
      </c>
      <c r="I1413" s="2" t="str">
        <f t="array" ref="I1413">_xlfn.XLOOKUP(B1413,Vendedores!$A$2:$A$41,Vendedores!$D$2:$D$41,"No hay datos")</f>
        <v>Región Norte</v>
      </c>
      <c r="J1413" s="2" t="str">
        <f t="array" ref="J1413:N1413">_xlfn.XLOOKUP(A1413,Productos!$A$2:$A$61,Productos!$B$2:$F$61)</f>
        <v>Playera confort</v>
      </c>
      <c r="K1413" s="2" t="s">
        <v>17</v>
      </c>
      <c r="L1413" s="2" t="s">
        <v>10</v>
      </c>
      <c r="M1413" s="2" t="s">
        <v>95</v>
      </c>
      <c r="N1413" s="2" t="s">
        <v>26</v>
      </c>
    </row>
    <row r="1414">
      <c r="A1414" s="2" t="str">
        <f>IFERROR(__xludf.DUMMYFUNCTION("""COMPUTED_VALUE"""),"PR014")</f>
        <v>PR014</v>
      </c>
      <c r="B1414" s="2" t="str">
        <f>IFERROR(__xludf.DUMMYFUNCTION("""COMPUTED_VALUE"""),"VD034")</f>
        <v>VD034</v>
      </c>
      <c r="C1414" s="2">
        <f>IFERROR(__xludf.DUMMYFUNCTION("""COMPUTED_VALUE"""),6.0)</f>
        <v>6</v>
      </c>
      <c r="D1414" s="6">
        <f>IFERROR(__xludf.DUMMYFUNCTION("""COMPUTED_VALUE"""),260.95)</f>
        <v>260.95</v>
      </c>
      <c r="E1414" s="6">
        <f>IFERROR(__xludf.DUMMYFUNCTION("GOOGLEFINANCE(""Currency:BRLMXN"")*D1414"),886.5776249999999)</f>
        <v>886.577625</v>
      </c>
      <c r="F1414" s="6">
        <f>IFERROR(__xludf.DUMMYFUNCTION("GOOGLEFINANCE(""Currency:BRLPEN"")*D1414"),171.07881999999998)</f>
        <v>171.07882</v>
      </c>
      <c r="G1414" s="2" t="str">
        <f t="array" ref="G1414">_xlfn.XLOOKUP(B1414,Vendedores!$A$2:$A$41,Vendedores!$B$2:$B$41,"No hay datos")</f>
        <v>Felipe Carvajal</v>
      </c>
      <c r="H1414" s="2" t="str">
        <f t="array" ref="H1414">_xlfn.XLOOKUP(B1414,Vendedores!$A$2:$A$41,Vendedores!$C$2:$C$41,"No hay datos")</f>
        <v>San Pedro del Río</v>
      </c>
      <c r="I1414" s="2" t="str">
        <f t="array" ref="I1414">_xlfn.XLOOKUP(B1414,Vendedores!$A$2:$A$41,Vendedores!$D$2:$D$41,"No hay datos")</f>
        <v>Región Sur 2</v>
      </c>
      <c r="J1414" s="2" t="str">
        <f t="array" ref="J1414:N1414">_xlfn.XLOOKUP(A1414,Productos!$A$2:$A$61,Productos!$B$2:$F$61)</f>
        <v>Playera estampada</v>
      </c>
      <c r="K1414" s="2" t="s">
        <v>17</v>
      </c>
      <c r="L1414" s="2" t="s">
        <v>10</v>
      </c>
      <c r="M1414" s="2" t="s">
        <v>37</v>
      </c>
      <c r="N1414" s="2" t="s">
        <v>38</v>
      </c>
    </row>
    <row r="1415">
      <c r="A1415" s="2" t="str">
        <f>IFERROR(__xludf.DUMMYFUNCTION("""COMPUTED_VALUE"""),"PR002")</f>
        <v>PR002</v>
      </c>
      <c r="B1415" s="2" t="str">
        <f>IFERROR(__xludf.DUMMYFUNCTION("""COMPUTED_VALUE"""),"VD041")</f>
        <v>VD041</v>
      </c>
      <c r="C1415" s="2">
        <f>IFERROR(__xludf.DUMMYFUNCTION("""COMPUTED_VALUE"""),8.0)</f>
        <v>8</v>
      </c>
      <c r="D1415" s="6">
        <f>IFERROR(__xludf.DUMMYFUNCTION("""COMPUTED_VALUE"""),609.53)</f>
        <v>609.53</v>
      </c>
      <c r="E1415" s="6">
        <f>IFERROR(__xludf.DUMMYFUNCTION("GOOGLEFINANCE(""Currency:BRLMXN"")*D1415"),2070.878175)</f>
        <v>2070.878175</v>
      </c>
      <c r="F1415" s="6">
        <f>IFERROR(__xludf.DUMMYFUNCTION("GOOGLEFINANCE(""Currency:BRLPEN"")*D1415"),399.60786799999994)</f>
        <v>399.607868</v>
      </c>
      <c r="G1415" s="2" t="str">
        <f t="array" ref="G1415">_xlfn.XLOOKUP(B1415,Vendedores!$A$2:$A$41,Vendedores!$B$2:$B$41,"No hay datos")</f>
        <v>Alejandro Ramos</v>
      </c>
      <c r="H1415" s="2" t="str">
        <f t="array" ref="H1415">_xlfn.XLOOKUP(B1415,Vendedores!$A$2:$A$41,Vendedores!$C$2:$C$41,"No hay datos")</f>
        <v>San Martín de las Rosas</v>
      </c>
      <c r="I1415" s="2" t="str">
        <f t="array" ref="I1415">_xlfn.XLOOKUP(B1415,Vendedores!$A$2:$A$41,Vendedores!$D$2:$D$41,"No hay datos")</f>
        <v>Región Central 2</v>
      </c>
      <c r="J1415" s="2" t="str">
        <f t="array" ref="J1415:N1415">_xlfn.XLOOKUP(A1415,Productos!$A$2:$A$61,Productos!$B$2:$F$61)</f>
        <v>Bermuda</v>
      </c>
      <c r="K1415" s="2" t="s">
        <v>17</v>
      </c>
      <c r="L1415" s="2" t="s">
        <v>10</v>
      </c>
      <c r="M1415" s="2" t="s">
        <v>49</v>
      </c>
      <c r="N1415" s="2" t="s">
        <v>50</v>
      </c>
    </row>
    <row r="1416">
      <c r="A1416" s="2" t="str">
        <f>IFERROR(__xludf.DUMMYFUNCTION("""COMPUTED_VALUE"""),"PR023")</f>
        <v>PR023</v>
      </c>
      <c r="B1416" s="2" t="str">
        <f>IFERROR(__xludf.DUMMYFUNCTION("""COMPUTED_VALUE"""),"VD035")</f>
        <v>VD035</v>
      </c>
      <c r="C1416" s="2">
        <f>IFERROR(__xludf.DUMMYFUNCTION("""COMPUTED_VALUE"""),6.0)</f>
        <v>6</v>
      </c>
      <c r="D1416" s="6">
        <f>IFERROR(__xludf.DUMMYFUNCTION("""COMPUTED_VALUE"""),1604.36)</f>
        <v>1604.36</v>
      </c>
      <c r="E1416" s="6">
        <f>IFERROR(__xludf.DUMMYFUNCTION("GOOGLEFINANCE(""Currency:BRLMXN"")*D1416"),5450.813099999999)</f>
        <v>5450.8131</v>
      </c>
      <c r="F1416" s="6">
        <f>IFERROR(__xludf.DUMMYFUNCTION("GOOGLEFINANCE(""Currency:BRLPEN"")*D1416"),1051.8184159999998)</f>
        <v>1051.818416</v>
      </c>
      <c r="G1416" s="2" t="str">
        <f t="array" ref="G1416">_xlfn.XLOOKUP(B1416,Vendedores!$A$2:$A$41,Vendedores!$B$2:$B$41,"No hay datos")</f>
        <v>Carolina Méndez</v>
      </c>
      <c r="H1416" s="2" t="str">
        <f t="array" ref="H1416">_xlfn.XLOOKUP(B1416,Vendedores!$A$2:$A$41,Vendedores!$C$2:$C$41,"No hay datos")</f>
        <v>Valle de los Robles</v>
      </c>
      <c r="I1416" s="2" t="str">
        <f t="array" ref="I1416">_xlfn.XLOOKUP(B1416,Vendedores!$A$2:$A$41,Vendedores!$D$2:$D$41,"No hay datos")</f>
        <v>Región Central 2</v>
      </c>
      <c r="J1416" s="2" t="str">
        <f t="array" ref="J1416:N1416">_xlfn.XLOOKUP(A1416,Productos!$A$2:$A$61,Productos!$B$2:$F$61)</f>
        <v>Chaqueta de mezclilla</v>
      </c>
      <c r="K1416" s="2" t="s">
        <v>9</v>
      </c>
      <c r="L1416" s="2" t="s">
        <v>10</v>
      </c>
      <c r="M1416" s="2" t="s">
        <v>72</v>
      </c>
      <c r="N1416" s="2" t="s">
        <v>56</v>
      </c>
    </row>
    <row r="1417">
      <c r="A1417" s="2" t="str">
        <f>IFERROR(__xludf.DUMMYFUNCTION("""COMPUTED_VALUE"""),"PR008")</f>
        <v>PR008</v>
      </c>
      <c r="B1417" s="2" t="str">
        <f>IFERROR(__xludf.DUMMYFUNCTION("""COMPUTED_VALUE"""),"VD043")</f>
        <v>VD043</v>
      </c>
      <c r="C1417" s="2">
        <f>IFERROR(__xludf.DUMMYFUNCTION("""COMPUTED_VALUE"""),8.0)</f>
        <v>8</v>
      </c>
      <c r="D1417" s="6">
        <f>IFERROR(__xludf.DUMMYFUNCTION("""COMPUTED_VALUE"""),726.39)</f>
        <v>726.39</v>
      </c>
      <c r="E1417" s="6">
        <f>IFERROR(__xludf.DUMMYFUNCTION("GOOGLEFINANCE(""Currency:BRLMXN"")*D1417"),2467.910025)</f>
        <v>2467.910025</v>
      </c>
      <c r="F1417" s="6">
        <f>IFERROR(__xludf.DUMMYFUNCTION("GOOGLEFINANCE(""Currency:BRLPEN"")*D1417"),476.22128399999997)</f>
        <v>476.221284</v>
      </c>
      <c r="G1417" s="2" t="str">
        <f t="array" ref="G1417">_xlfn.XLOOKUP(B1417,Vendedores!$A$2:$A$41,Vendedores!$B$2:$B$41,"No hay datos")</f>
        <v>Carlos Henríquez</v>
      </c>
      <c r="H1417" s="2" t="str">
        <f t="array" ref="H1417">_xlfn.XLOOKUP(B1417,Vendedores!$A$2:$A$41,Vendedores!$C$2:$C$41,"No hay datos")</f>
        <v>Ciudad Aeropuerto</v>
      </c>
      <c r="I1417" s="2" t="str">
        <f t="array" ref="I1417">_xlfn.XLOOKUP(B1417,Vendedores!$A$2:$A$41,Vendedores!$D$2:$D$41,"No hay datos")</f>
        <v>Región Central 2</v>
      </c>
      <c r="J1417" s="2" t="str">
        <f t="array" ref="J1417:N1417">_xlfn.XLOOKUP(A1417,Productos!$A$2:$A$61,Productos!$B$2:$F$61)</f>
        <v>Pantalón de mezclilla</v>
      </c>
      <c r="K1417" s="2" t="s">
        <v>17</v>
      </c>
      <c r="L1417" s="2" t="s">
        <v>10</v>
      </c>
      <c r="M1417" s="2" t="s">
        <v>65</v>
      </c>
      <c r="N1417" s="2" t="s">
        <v>35</v>
      </c>
    </row>
    <row r="1418">
      <c r="A1418" s="2" t="str">
        <f>IFERROR(__xludf.DUMMYFUNCTION("""COMPUTED_VALUE"""),"PR053")</f>
        <v>PR053</v>
      </c>
      <c r="B1418" s="2" t="str">
        <f>IFERROR(__xludf.DUMMYFUNCTION("""COMPUTED_VALUE"""),"VD037")</f>
        <v>VD037</v>
      </c>
      <c r="C1418" s="2">
        <f>IFERROR(__xludf.DUMMYFUNCTION("""COMPUTED_VALUE"""),8.0)</f>
        <v>8</v>
      </c>
      <c r="D1418" s="6">
        <f>IFERROR(__xludf.DUMMYFUNCTION("""COMPUTED_VALUE"""),415.17)</f>
        <v>415.17</v>
      </c>
      <c r="E1418" s="6">
        <f>IFERROR(__xludf.DUMMYFUNCTION("GOOGLEFINANCE(""Currency:BRLMXN"")*D1418"),1410.5400750000001)</f>
        <v>1410.540075</v>
      </c>
      <c r="F1418" s="6">
        <f>IFERROR(__xludf.DUMMYFUNCTION("GOOGLEFINANCE(""Currency:BRLPEN"")*D1418"),272.185452)</f>
        <v>272.185452</v>
      </c>
      <c r="G1418" s="2" t="str">
        <f t="array" ref="G1418">_xlfn.XLOOKUP(B1418,Vendedores!$A$2:$A$41,Vendedores!$B$2:$B$41,"No hay datos")</f>
        <v>Amanda Silva</v>
      </c>
      <c r="H1418" s="2" t="str">
        <f t="array" ref="H1418">_xlfn.XLOOKUP(B1418,Vendedores!$A$2:$A$41,Vendedores!$C$2:$C$41,"No hay datos")</f>
        <v>Villa Esperanza</v>
      </c>
      <c r="I1418" s="2" t="str">
        <f t="array" ref="I1418">_xlfn.XLOOKUP(B1418,Vendedores!$A$2:$A$41,Vendedores!$D$2:$D$41,"No hay datos")</f>
        <v>Región Sur 2</v>
      </c>
      <c r="J1418" s="2" t="str">
        <f t="array" ref="J1418:N1418">_xlfn.XLOOKUP(A1418,Productos!$A$2:$A$61,Productos!$B$2:$F$61)</f>
        <v>Falda plisada</v>
      </c>
      <c r="K1418" s="2" t="s">
        <v>17</v>
      </c>
      <c r="L1418" s="2" t="s">
        <v>10</v>
      </c>
      <c r="M1418" s="2" t="s">
        <v>41</v>
      </c>
      <c r="N1418" s="2" t="s">
        <v>32</v>
      </c>
    </row>
    <row r="1419">
      <c r="A1419" s="2" t="str">
        <f>IFERROR(__xludf.DUMMYFUNCTION("""COMPUTED_VALUE"""),"PR014")</f>
        <v>PR014</v>
      </c>
      <c r="B1419" s="2" t="str">
        <f>IFERROR(__xludf.DUMMYFUNCTION("""COMPUTED_VALUE"""),"VD026")</f>
        <v>VD026</v>
      </c>
      <c r="C1419" s="2">
        <f>IFERROR(__xludf.DUMMYFUNCTION("""COMPUTED_VALUE"""),3.0)</f>
        <v>3</v>
      </c>
      <c r="D1419" s="6">
        <f>IFERROR(__xludf.DUMMYFUNCTION("""COMPUTED_VALUE"""),129.28)</f>
        <v>129.28</v>
      </c>
      <c r="E1419" s="6">
        <f>IFERROR(__xludf.DUMMYFUNCTION("GOOGLEFINANCE(""Currency:BRLMXN"")*D1419"),439.2288)</f>
        <v>439.2288</v>
      </c>
      <c r="F1419" s="6">
        <f>IFERROR(__xludf.DUMMYFUNCTION("GOOGLEFINANCE(""Currency:BRLPEN"")*D1419"),84.755968)</f>
        <v>84.755968</v>
      </c>
      <c r="G1419" s="2" t="str">
        <f t="array" ref="G1419">_xlfn.XLOOKUP(B1419,Vendedores!$A$2:$A$41,Vendedores!$B$2:$B$41,"No hay datos")</f>
        <v>Daniel Fernández</v>
      </c>
      <c r="H1419" s="2" t="str">
        <f t="array" ref="H1419">_xlfn.XLOOKUP(B1419,Vendedores!$A$2:$A$41,Vendedores!$C$2:$C$41,"No hay datos")</f>
        <v>Puerto Esperanza</v>
      </c>
      <c r="I1419" s="2" t="str">
        <f t="array" ref="I1419">_xlfn.XLOOKUP(B1419,Vendedores!$A$2:$A$41,Vendedores!$D$2:$D$41,"No hay datos")</f>
        <v>Región Sur</v>
      </c>
      <c r="J1419" s="2" t="str">
        <f t="array" ref="J1419:N1419">_xlfn.XLOOKUP(A1419,Productos!$A$2:$A$61,Productos!$B$2:$F$61)</f>
        <v>Playera estampada</v>
      </c>
      <c r="K1419" s="2" t="s">
        <v>17</v>
      </c>
      <c r="L1419" s="2" t="s">
        <v>10</v>
      </c>
      <c r="M1419" s="2" t="s">
        <v>37</v>
      </c>
      <c r="N1419" s="2" t="s">
        <v>38</v>
      </c>
    </row>
    <row r="1420">
      <c r="A1420" s="2" t="str">
        <f>IFERROR(__xludf.DUMMYFUNCTION("""COMPUTED_VALUE"""),"PR028")</f>
        <v>PR028</v>
      </c>
      <c r="B1420" s="2" t="str">
        <f>IFERROR(__xludf.DUMMYFUNCTION("""COMPUTED_VALUE"""),"VD015")</f>
        <v>VD015</v>
      </c>
      <c r="C1420" s="2">
        <f>IFERROR(__xludf.DUMMYFUNCTION("""COMPUTED_VALUE"""),2.0)</f>
        <v>2</v>
      </c>
      <c r="D1420" s="6">
        <f>IFERROR(__xludf.DUMMYFUNCTION("""COMPUTED_VALUE"""),544.78)</f>
        <v>544.78</v>
      </c>
      <c r="E1420" s="6">
        <f>IFERROR(__xludf.DUMMYFUNCTION("GOOGLEFINANCE(""Currency:BRLMXN"")*D1420"),1850.89005)</f>
        <v>1850.89005</v>
      </c>
      <c r="F1420" s="6">
        <f>IFERROR(__xludf.DUMMYFUNCTION("GOOGLEFINANCE(""Currency:BRLPEN"")*D1420"),357.157768)</f>
        <v>357.157768</v>
      </c>
      <c r="G1420" s="2" t="str">
        <f t="array" ref="G1420">_xlfn.XLOOKUP(B1420,Vendedores!$A$2:$A$41,Vendedores!$B$2:$B$41,"No hay datos")</f>
        <v>Lucas Castillo</v>
      </c>
      <c r="H1420" s="2" t="str">
        <f t="array" ref="H1420">_xlfn.XLOOKUP(B1420,Vendedores!$A$2:$A$41,Vendedores!$C$2:$C$41,"No hay datos")</f>
        <v>San Miguel de los Pinos</v>
      </c>
      <c r="I1420" s="2" t="str">
        <f t="array" ref="I1420">_xlfn.XLOOKUP(B1420,Vendedores!$A$2:$A$41,Vendedores!$D$2:$D$41,"No hay datos")</f>
        <v>Región Sur</v>
      </c>
      <c r="J1420" s="2" t="str">
        <f t="array" ref="J1420:N1420">_xlfn.XLOOKUP(A1420,Productos!$A$2:$A$61,Productos!$B$2:$F$61)</f>
        <v>Tenis Atitas</v>
      </c>
      <c r="K1420" s="2">
        <v>36.0</v>
      </c>
      <c r="L1420" s="2" t="s">
        <v>33</v>
      </c>
      <c r="M1420" s="2" t="s">
        <v>55</v>
      </c>
      <c r="N1420" s="2" t="s">
        <v>56</v>
      </c>
    </row>
    <row r="1421">
      <c r="A1421" s="2" t="str">
        <f>IFERROR(__xludf.DUMMYFUNCTION("""COMPUTED_VALUE"""),"PR059")</f>
        <v>PR059</v>
      </c>
      <c r="B1421" s="2" t="str">
        <f>IFERROR(__xludf.DUMMYFUNCTION("""COMPUTED_VALUE"""),"VD028")</f>
        <v>VD028</v>
      </c>
      <c r="C1421" s="2">
        <f>IFERROR(__xludf.DUMMYFUNCTION("""COMPUTED_VALUE"""),8.0)</f>
        <v>8</v>
      </c>
      <c r="D1421" s="6">
        <f>IFERROR(__xludf.DUMMYFUNCTION("""COMPUTED_VALUE"""),1440.0)</f>
        <v>1440</v>
      </c>
      <c r="E1421" s="6">
        <f>IFERROR(__xludf.DUMMYFUNCTION("GOOGLEFINANCE(""Currency:BRLMXN"")*D1421"),4892.4)</f>
        <v>4892.4</v>
      </c>
      <c r="F1421" s="6">
        <f>IFERROR(__xludf.DUMMYFUNCTION("GOOGLEFINANCE(""Currency:BRLPEN"")*D1421"),944.064)</f>
        <v>944.064</v>
      </c>
      <c r="G1421" s="2" t="str">
        <f t="array" ref="G1421">_xlfn.XLOOKUP(B1421,Vendedores!$A$2:$A$41,Vendedores!$B$2:$B$41,"No hay datos")</f>
        <v>Rodrigo Almonte</v>
      </c>
      <c r="H1421" s="2" t="str">
        <f t="array" ref="H1421">_xlfn.XLOOKUP(B1421,Vendedores!$A$2:$A$41,Vendedores!$C$2:$C$41,"No hay datos")</f>
        <v>Valle Escondido</v>
      </c>
      <c r="I1421" s="2" t="str">
        <f t="array" ref="I1421">_xlfn.XLOOKUP(B1421,Vendedores!$A$2:$A$41,Vendedores!$D$2:$D$41,"No hay datos")</f>
        <v>Región Andina</v>
      </c>
      <c r="J1421" s="2" t="str">
        <f t="array" ref="J1421:N1421">_xlfn.XLOOKUP(A1421,Productos!$A$2:$A$61,Productos!$B$2:$F$61)</f>
        <v>Pantalón de sastre</v>
      </c>
      <c r="K1421" s="2" t="s">
        <v>17</v>
      </c>
      <c r="L1421" s="2" t="s">
        <v>10</v>
      </c>
      <c r="M1421" s="2" t="s">
        <v>28</v>
      </c>
      <c r="N1421" s="2" t="s">
        <v>14</v>
      </c>
    </row>
    <row r="1422">
      <c r="A1422" s="2" t="str">
        <f>IFERROR(__xludf.DUMMYFUNCTION("""COMPUTED_VALUE"""),"PR053")</f>
        <v>PR053</v>
      </c>
      <c r="B1422" s="2" t="str">
        <f>IFERROR(__xludf.DUMMYFUNCTION("""COMPUTED_VALUE"""),"VD031")</f>
        <v>VD031</v>
      </c>
      <c r="C1422" s="2">
        <f>IFERROR(__xludf.DUMMYFUNCTION("""COMPUTED_VALUE"""),6.0)</f>
        <v>6</v>
      </c>
      <c r="D1422" s="6">
        <f>IFERROR(__xludf.DUMMYFUNCTION("""COMPUTED_VALUE"""),329.34)</f>
        <v>329.34</v>
      </c>
      <c r="E1422" s="6">
        <f>IFERROR(__xludf.DUMMYFUNCTION("GOOGLEFINANCE(""Currency:BRLMXN"")*D1422"),1118.93265)</f>
        <v>1118.93265</v>
      </c>
      <c r="F1422" s="6">
        <f>IFERROR(__xludf.DUMMYFUNCTION("GOOGLEFINANCE(""Currency:BRLPEN"")*D1422"),215.91530399999996)</f>
        <v>215.915304</v>
      </c>
      <c r="G1422" s="2" t="str">
        <f t="array" ref="G1422">_xlfn.XLOOKUP(B1422,Vendedores!$A$2:$A$41,Vendedores!$B$2:$B$41,"No hay datos")</f>
        <v>Vanessa Martínez</v>
      </c>
      <c r="H1422" s="2" t="str">
        <f t="array" ref="H1422">_xlfn.XLOOKUP(B1422,Vendedores!$A$2:$A$41,Vendedores!$C$2:$C$41,"No hay datos")</f>
        <v>Monte Verde</v>
      </c>
      <c r="I1422" s="2" t="str">
        <f t="array" ref="I1422">_xlfn.XLOOKUP(B1422,Vendedores!$A$2:$A$41,Vendedores!$D$2:$D$41,"No hay datos")</f>
        <v>Región Central 2</v>
      </c>
      <c r="J1422" s="2" t="str">
        <f t="array" ref="J1422:N1422">_xlfn.XLOOKUP(A1422,Productos!$A$2:$A$61,Productos!$B$2:$F$61)</f>
        <v>Falda plisada</v>
      </c>
      <c r="K1422" s="2" t="s">
        <v>17</v>
      </c>
      <c r="L1422" s="2" t="s">
        <v>10</v>
      </c>
      <c r="M1422" s="2" t="s">
        <v>41</v>
      </c>
      <c r="N1422" s="2" t="s">
        <v>32</v>
      </c>
    </row>
    <row r="1423">
      <c r="A1423" s="2" t="str">
        <f>IFERROR(__xludf.DUMMYFUNCTION("""COMPUTED_VALUE"""),"PR005")</f>
        <v>PR005</v>
      </c>
      <c r="B1423" s="2" t="str">
        <f>IFERROR(__xludf.DUMMYFUNCTION("""COMPUTED_VALUE"""),"VD046")</f>
        <v>VD046</v>
      </c>
      <c r="C1423" s="2">
        <f>IFERROR(__xludf.DUMMYFUNCTION("""COMPUTED_VALUE"""),14.0)</f>
        <v>14</v>
      </c>
      <c r="D1423" s="6">
        <f>IFERROR(__xludf.DUMMYFUNCTION("""COMPUTED_VALUE"""),3674.99)</f>
        <v>3674.99</v>
      </c>
      <c r="E1423" s="6">
        <f>IFERROR(__xludf.DUMMYFUNCTION("GOOGLEFINANCE(""Currency:BRLMXN"")*D1423"),12485.778525)</f>
        <v>12485.77853</v>
      </c>
      <c r="F1423" s="6">
        <f>IFERROR(__xludf.DUMMYFUNCTION("GOOGLEFINANCE(""Currency:BRLPEN"")*D1423"),2409.3234439999997)</f>
        <v>2409.323444</v>
      </c>
      <c r="G1423" s="2" t="str">
        <f t="array" ref="G1423">_xlfn.XLOOKUP(B1423,Vendedores!$A$2:$A$41,Vendedores!$B$2:$B$41,"No hay datos")</f>
        <v>Juliana Pérez</v>
      </c>
      <c r="H1423" s="2" t="str">
        <f t="array" ref="H1423">_xlfn.XLOOKUP(B1423,Vendedores!$A$2:$A$41,Vendedores!$C$2:$C$41,"No hay datos")</f>
        <v>Santa Cruz de la Sierra</v>
      </c>
      <c r="I1423" s="2" t="str">
        <f t="array" ref="I1423">_xlfn.XLOOKUP(B1423,Vendedores!$A$2:$A$41,Vendedores!$D$2:$D$41,"No hay datos")</f>
        <v>Región Central 2</v>
      </c>
      <c r="J1423" s="2" t="str">
        <f t="array" ref="J1423:N1423">_xlfn.XLOOKUP(A1423,Productos!$A$2:$A$61,Productos!$B$2:$F$61)</f>
        <v>Bolso de cuero</v>
      </c>
      <c r="K1423" s="2" t="s">
        <v>29</v>
      </c>
      <c r="L1423" s="2" t="s">
        <v>30</v>
      </c>
      <c r="M1423" s="2" t="s">
        <v>100</v>
      </c>
      <c r="N1423" s="2" t="s">
        <v>64</v>
      </c>
    </row>
    <row r="1424">
      <c r="A1424" s="2" t="str">
        <f>IFERROR(__xludf.DUMMYFUNCTION("""COMPUTED_VALUE"""),"PR016")</f>
        <v>PR016</v>
      </c>
      <c r="B1424" s="2" t="str">
        <f>IFERROR(__xludf.DUMMYFUNCTION("""COMPUTED_VALUE"""),"VD047")</f>
        <v>VD047</v>
      </c>
      <c r="C1424" s="2">
        <f>IFERROR(__xludf.DUMMYFUNCTION("""COMPUTED_VALUE"""),6.0)</f>
        <v>6</v>
      </c>
      <c r="D1424" s="6">
        <f>IFERROR(__xludf.DUMMYFUNCTION("""COMPUTED_VALUE"""),158.51)</f>
        <v>158.51</v>
      </c>
      <c r="E1424" s="6">
        <f>IFERROR(__xludf.DUMMYFUNCTION("GOOGLEFINANCE(""Currency:BRLMXN"")*D1424"),538.5377249999999)</f>
        <v>538.537725</v>
      </c>
      <c r="F1424" s="6">
        <f>IFERROR(__xludf.DUMMYFUNCTION("GOOGLEFINANCE(""Currency:BRLPEN"")*D1424"),103.91915599999999)</f>
        <v>103.919156</v>
      </c>
      <c r="G1424" s="2" t="str">
        <f t="array" ref="G1424">_xlfn.XLOOKUP(B1424,Vendedores!$A$2:$A$41,Vendedores!$B$2:$B$41,"No hay datos")</f>
        <v>Andrés López</v>
      </c>
      <c r="H1424" s="2" t="str">
        <f t="array" ref="H1424">_xlfn.XLOOKUP(B1424,Vendedores!$A$2:$A$41,Vendedores!$C$2:$C$41,"No hay datos")</f>
        <v>Villa Progreso</v>
      </c>
      <c r="I1424" s="2" t="str">
        <f t="array" ref="I1424">_xlfn.XLOOKUP(B1424,Vendedores!$A$2:$A$41,Vendedores!$D$2:$D$41,"No hay datos")</f>
        <v>Región Central 2</v>
      </c>
      <c r="J1424" s="2" t="str">
        <f t="array" ref="J1424:N1424">_xlfn.XLOOKUP(A1424,Productos!$A$2:$A$61,Productos!$B$2:$F$61)</f>
        <v>Playera lisa</v>
      </c>
      <c r="K1424" s="2" t="s">
        <v>9</v>
      </c>
      <c r="L1424" s="2" t="s">
        <v>10</v>
      </c>
      <c r="M1424" s="2" t="s">
        <v>20</v>
      </c>
      <c r="N1424" s="2" t="s">
        <v>21</v>
      </c>
    </row>
    <row r="1425">
      <c r="A1425" s="2" t="str">
        <f>IFERROR(__xludf.DUMMYFUNCTION("""COMPUTED_VALUE"""),"PR019")</f>
        <v>PR019</v>
      </c>
      <c r="B1425" s="2" t="str">
        <f>IFERROR(__xludf.DUMMYFUNCTION("""COMPUTED_VALUE"""),"VD023")</f>
        <v>VD023</v>
      </c>
      <c r="C1425" s="2">
        <f>IFERROR(__xludf.DUMMYFUNCTION("""COMPUTED_VALUE"""),8.0)</f>
        <v>8</v>
      </c>
      <c r="D1425" s="6">
        <f>IFERROR(__xludf.DUMMYFUNCTION("""COMPUTED_VALUE"""),407.18)</f>
        <v>407.18</v>
      </c>
      <c r="E1425" s="6">
        <f>IFERROR(__xludf.DUMMYFUNCTION("GOOGLEFINANCE(""Currency:BRLMXN"")*D1425"),1383.39405)</f>
        <v>1383.39405</v>
      </c>
      <c r="F1425" s="6">
        <f>IFERROR(__xludf.DUMMYFUNCTION("GOOGLEFINANCE(""Currency:BRLPEN"")*D1425"),266.947208)</f>
        <v>266.947208</v>
      </c>
      <c r="G1425" s="2" t="str">
        <f t="array" ref="G1425">_xlfn.XLOOKUP(B1425,Vendedores!$A$2:$A$41,Vendedores!$B$2:$B$41,"No hay datos")</f>
        <v>Juliana Castro</v>
      </c>
      <c r="H1425" s="2" t="str">
        <f t="array" ref="H1425">_xlfn.XLOOKUP(B1425,Vendedores!$A$2:$A$41,Vendedores!$C$2:$C$41,"No hay datos")</f>
        <v>San Miguel de los Pinos</v>
      </c>
      <c r="I1425" s="2" t="str">
        <f t="array" ref="I1425">_xlfn.XLOOKUP(B1425,Vendedores!$A$2:$A$41,Vendedores!$D$2:$D$41,"No hay datos")</f>
        <v>Región Sur</v>
      </c>
      <c r="J1425" s="2" t="str">
        <f t="array" ref="J1425:N1425">_xlfn.XLOOKUP(A1425,Productos!$A$2:$A$61,Productos!$B$2:$F$61)</f>
        <v>Cinturón</v>
      </c>
      <c r="K1425" s="2" t="s">
        <v>29</v>
      </c>
      <c r="L1425" s="2" t="s">
        <v>30</v>
      </c>
      <c r="M1425" s="2" t="s">
        <v>31</v>
      </c>
      <c r="N1425" s="2" t="s">
        <v>32</v>
      </c>
    </row>
    <row r="1426">
      <c r="A1426" s="2" t="str">
        <f>IFERROR(__xludf.DUMMYFUNCTION("""COMPUTED_VALUE"""),"PR049")</f>
        <v>PR049</v>
      </c>
      <c r="B1426" s="2" t="str">
        <f>IFERROR(__xludf.DUMMYFUNCTION("""COMPUTED_VALUE"""),"VD028")</f>
        <v>VD028</v>
      </c>
      <c r="C1426" s="2">
        <f>IFERROR(__xludf.DUMMYFUNCTION("""COMPUTED_VALUE"""),2.0)</f>
        <v>2</v>
      </c>
      <c r="D1426" s="6">
        <f>IFERROR(__xludf.DUMMYFUNCTION("""COMPUTED_VALUE"""),69.75)</f>
        <v>69.75</v>
      </c>
      <c r="E1426" s="6">
        <f>IFERROR(__xludf.DUMMYFUNCTION("GOOGLEFINANCE(""Currency:BRLMXN"")*D1426"),236.975625)</f>
        <v>236.975625</v>
      </c>
      <c r="F1426" s="6">
        <f>IFERROR(__xludf.DUMMYFUNCTION("GOOGLEFINANCE(""Currency:BRLPEN"")*D1426"),45.7281)</f>
        <v>45.7281</v>
      </c>
      <c r="G1426" s="2" t="str">
        <f t="array" ref="G1426">_xlfn.XLOOKUP(B1426,Vendedores!$A$2:$A$41,Vendedores!$B$2:$B$41,"No hay datos")</f>
        <v>Rodrigo Almonte</v>
      </c>
      <c r="H1426" s="2" t="str">
        <f t="array" ref="H1426">_xlfn.XLOOKUP(B1426,Vendedores!$A$2:$A$41,Vendedores!$C$2:$C$41,"No hay datos")</f>
        <v>Valle Escondido</v>
      </c>
      <c r="I1426" s="2" t="str">
        <f t="array" ref="I1426">_xlfn.XLOOKUP(B1426,Vendedores!$A$2:$A$41,Vendedores!$D$2:$D$41,"No hay datos")</f>
        <v>Región Andina</v>
      </c>
      <c r="J1426" s="2" t="str">
        <f t="array" ref="J1426:N1426">_xlfn.XLOOKUP(A1426,Productos!$A$2:$A$61,Productos!$B$2:$F$61)</f>
        <v>Playera a rayas</v>
      </c>
      <c r="K1426" s="2" t="s">
        <v>9</v>
      </c>
      <c r="L1426" s="2" t="s">
        <v>10</v>
      </c>
      <c r="M1426" s="2" t="s">
        <v>47</v>
      </c>
      <c r="N1426" s="2" t="s">
        <v>24</v>
      </c>
    </row>
    <row r="1427">
      <c r="A1427" s="2" t="str">
        <f>IFERROR(__xludf.DUMMYFUNCTION("""COMPUTED_VALUE"""),"PR036")</f>
        <v>PR036</v>
      </c>
      <c r="B1427" s="2" t="str">
        <f>IFERROR(__xludf.DUMMYFUNCTION("""COMPUTED_VALUE"""),"VD043")</f>
        <v>VD043</v>
      </c>
      <c r="C1427" s="2">
        <f>IFERROR(__xludf.DUMMYFUNCTION("""COMPUTED_VALUE"""),4.0)</f>
        <v>4</v>
      </c>
      <c r="D1427" s="6">
        <f>IFERROR(__xludf.DUMMYFUNCTION("""COMPUTED_VALUE"""),381.48)</f>
        <v>381.48</v>
      </c>
      <c r="E1427" s="6">
        <f>IFERROR(__xludf.DUMMYFUNCTION("GOOGLEFINANCE(""Currency:BRLMXN"")*D1427"),1296.0783000000001)</f>
        <v>1296.0783</v>
      </c>
      <c r="F1427" s="6">
        <f>IFERROR(__xludf.DUMMYFUNCTION("GOOGLEFINANCE(""Currency:BRLPEN"")*D1427"),250.098288)</f>
        <v>250.098288</v>
      </c>
      <c r="G1427" s="2" t="str">
        <f t="array" ref="G1427">_xlfn.XLOOKUP(B1427,Vendedores!$A$2:$A$41,Vendedores!$B$2:$B$41,"No hay datos")</f>
        <v>Carlos Henríquez</v>
      </c>
      <c r="H1427" s="2" t="str">
        <f t="array" ref="H1427">_xlfn.XLOOKUP(B1427,Vendedores!$A$2:$A$41,Vendedores!$C$2:$C$41,"No hay datos")</f>
        <v>Ciudad Aeropuerto</v>
      </c>
      <c r="I1427" s="2" t="str">
        <f t="array" ref="I1427">_xlfn.XLOOKUP(B1427,Vendedores!$A$2:$A$41,Vendedores!$D$2:$D$41,"No hay datos")</f>
        <v>Región Central 2</v>
      </c>
      <c r="J1427" s="2" t="str">
        <f t="array" ref="J1427:N1427">_xlfn.XLOOKUP(A1427,Productos!$A$2:$A$61,Productos!$B$2:$F$61)</f>
        <v>Vestido corto</v>
      </c>
      <c r="K1427" s="2" t="s">
        <v>22</v>
      </c>
      <c r="L1427" s="2" t="s">
        <v>10</v>
      </c>
      <c r="M1427" s="2" t="s">
        <v>82</v>
      </c>
      <c r="N1427" s="2" t="s">
        <v>83</v>
      </c>
    </row>
    <row r="1428">
      <c r="A1428" s="2" t="str">
        <f>IFERROR(__xludf.DUMMYFUNCTION("""COMPUTED_VALUE"""),"PR027")</f>
        <v>PR027</v>
      </c>
      <c r="B1428" s="2" t="str">
        <f>IFERROR(__xludf.DUMMYFUNCTION("""COMPUTED_VALUE"""),"VD019")</f>
        <v>VD019</v>
      </c>
      <c r="C1428" s="2">
        <f>IFERROR(__xludf.DUMMYFUNCTION("""COMPUTED_VALUE"""),1.0)</f>
        <v>1</v>
      </c>
      <c r="D1428" s="6">
        <f>IFERROR(__xludf.DUMMYFUNCTION("""COMPUTED_VALUE"""),122.4)</f>
        <v>122.4</v>
      </c>
      <c r="E1428" s="6">
        <f>IFERROR(__xludf.DUMMYFUNCTION("GOOGLEFINANCE(""Currency:BRLMXN"")*D1428"),415.85400000000004)</f>
        <v>415.854</v>
      </c>
      <c r="F1428" s="6">
        <f>IFERROR(__xludf.DUMMYFUNCTION("GOOGLEFINANCE(""Currency:BRLPEN"")*D1428"),80.24544)</f>
        <v>80.24544</v>
      </c>
      <c r="G1428" s="2" t="str">
        <f t="array" ref="G1428">_xlfn.XLOOKUP(B1428,Vendedores!$A$2:$A$41,Vendedores!$B$2:$B$41,"No hay datos")</f>
        <v>Rafael Sosa</v>
      </c>
      <c r="H1428" s="2" t="str">
        <f t="array" ref="H1428">_xlfn.XLOOKUP(B1428,Vendedores!$A$2:$A$41,Vendedores!$C$2:$C$41,"No hay datos")</f>
        <v>Selva Verde</v>
      </c>
      <c r="I1428" s="2" t="str">
        <f t="array" ref="I1428">_xlfn.XLOOKUP(B1428,Vendedores!$A$2:$A$41,Vendedores!$D$2:$D$41,"No hay datos")</f>
        <v>Región Amazónica</v>
      </c>
      <c r="J1428" s="2" t="str">
        <f t="array" ref="J1428:N1428">_xlfn.XLOOKUP(A1428,Productos!$A$2:$A$61,Productos!$B$2:$F$61)</f>
        <v>Gafas redondas</v>
      </c>
      <c r="K1428" s="2" t="s">
        <v>29</v>
      </c>
      <c r="L1428" s="2" t="s">
        <v>30</v>
      </c>
      <c r="M1428" s="2" t="s">
        <v>53</v>
      </c>
      <c r="N1428" s="2" t="s">
        <v>54</v>
      </c>
    </row>
    <row r="1429">
      <c r="A1429" s="2" t="str">
        <f>IFERROR(__xludf.DUMMYFUNCTION("""COMPUTED_VALUE"""),"PR028")</f>
        <v>PR028</v>
      </c>
      <c r="B1429" s="2" t="str">
        <f>IFERROR(__xludf.DUMMYFUNCTION("""COMPUTED_VALUE"""),"VD020")</f>
        <v>VD020</v>
      </c>
      <c r="C1429" s="2">
        <f>IFERROR(__xludf.DUMMYFUNCTION("""COMPUTED_VALUE"""),14.0)</f>
        <v>14</v>
      </c>
      <c r="D1429" s="6">
        <f>IFERROR(__xludf.DUMMYFUNCTION("""COMPUTED_VALUE"""),3533.59)</f>
        <v>3533.59</v>
      </c>
      <c r="E1429" s="6">
        <f>IFERROR(__xludf.DUMMYFUNCTION("GOOGLEFINANCE(""Currency:BRLMXN"")*D1429"),12005.372025)</f>
        <v>12005.37203</v>
      </c>
      <c r="F1429" s="6">
        <f>IFERROR(__xludf.DUMMYFUNCTION("GOOGLEFINANCE(""Currency:BRLPEN"")*D1429"),2316.621604)</f>
        <v>2316.621604</v>
      </c>
      <c r="G1429" s="2" t="str">
        <f t="array" ref="G1429">_xlfn.XLOOKUP(B1429,Vendedores!$A$2:$A$41,Vendedores!$B$2:$B$41,"No hay datos")</f>
        <v>Gustavo Morales</v>
      </c>
      <c r="H1429" s="2" t="str">
        <f t="array" ref="H1429">_xlfn.XLOOKUP(B1429,Vendedores!$A$2:$A$41,Vendedores!$C$2:$C$41,"No hay datos")</f>
        <v>Villa del Sol</v>
      </c>
      <c r="I1429" s="2" t="str">
        <f t="array" ref="I1429">_xlfn.XLOOKUP(B1429,Vendedores!$A$2:$A$41,Vendedores!$D$2:$D$41,"No hay datos")</f>
        <v>Región Central 2</v>
      </c>
      <c r="J1429" s="2" t="str">
        <f t="array" ref="J1429:N1429">_xlfn.XLOOKUP(A1429,Productos!$A$2:$A$61,Productos!$B$2:$F$61)</f>
        <v>Tenis Atitas</v>
      </c>
      <c r="K1429" s="2">
        <v>36.0</v>
      </c>
      <c r="L1429" s="2" t="s">
        <v>33</v>
      </c>
      <c r="M1429" s="2" t="s">
        <v>55</v>
      </c>
      <c r="N1429" s="2" t="s">
        <v>56</v>
      </c>
    </row>
    <row r="1430">
      <c r="A1430" s="2" t="str">
        <f>IFERROR(__xludf.DUMMYFUNCTION("""COMPUTED_VALUE"""),"PR022")</f>
        <v>PR022</v>
      </c>
      <c r="B1430" s="2" t="str">
        <f>IFERROR(__xludf.DUMMYFUNCTION("""COMPUTED_VALUE"""),"VD010")</f>
        <v>VD010</v>
      </c>
      <c r="C1430" s="2">
        <f>IFERROR(__xludf.DUMMYFUNCTION("""COMPUTED_VALUE"""),20.0)</f>
        <v>20</v>
      </c>
      <c r="D1430" s="6">
        <f>IFERROR(__xludf.DUMMYFUNCTION("""COMPUTED_VALUE"""),6060.0)</f>
        <v>6060</v>
      </c>
      <c r="E1430" s="6">
        <f>IFERROR(__xludf.DUMMYFUNCTION("GOOGLEFINANCE(""Currency:BRLMXN"")*D1430"),20588.85)</f>
        <v>20588.85</v>
      </c>
      <c r="F1430" s="6">
        <f>IFERROR(__xludf.DUMMYFUNCTION("GOOGLEFINANCE(""Currency:BRLPEN"")*D1430"),3972.9359999999997)</f>
        <v>3972.936</v>
      </c>
      <c r="G1430" s="2" t="str">
        <f t="array" ref="G1430">_xlfn.XLOOKUP(B1430,Vendedores!$A$2:$A$41,Vendedores!$B$2:$B$41,"No hay datos")</f>
        <v>María Silva</v>
      </c>
      <c r="H1430" s="2" t="str">
        <f t="array" ref="H1430">_xlfn.XLOOKUP(B1430,Vendedores!$A$2:$A$41,Vendedores!$C$2:$C$41,"No hay datos")</f>
        <v>San Juan de la Sierra</v>
      </c>
      <c r="I1430" s="2" t="str">
        <f t="array" ref="I1430">_xlfn.XLOOKUP(B1430,Vendedores!$A$2:$A$41,Vendedores!$D$2:$D$41,"No hay datos")</f>
        <v>Región Central</v>
      </c>
      <c r="J1430" s="2" t="str">
        <f t="array" ref="J1430:N1430">_xlfn.XLOOKUP(A1430,Productos!$A$2:$A$61,Productos!$B$2:$F$61)</f>
        <v>Chaqueta de cuero</v>
      </c>
      <c r="K1430" s="2" t="s">
        <v>22</v>
      </c>
      <c r="L1430" s="2" t="s">
        <v>10</v>
      </c>
      <c r="M1430" s="2" t="s">
        <v>78</v>
      </c>
      <c r="N1430" s="2" t="s">
        <v>79</v>
      </c>
    </row>
    <row r="1431">
      <c r="A1431" s="2" t="str">
        <f>IFERROR(__xludf.DUMMYFUNCTION("""COMPUTED_VALUE"""),"PR059")</f>
        <v>PR059</v>
      </c>
      <c r="B1431" s="2" t="str">
        <f>IFERROR(__xludf.DUMMYFUNCTION("""COMPUTED_VALUE"""),"VD010")</f>
        <v>VD010</v>
      </c>
      <c r="C1431" s="2">
        <f>IFERROR(__xludf.DUMMYFUNCTION("""COMPUTED_VALUE"""),8.0)</f>
        <v>8</v>
      </c>
      <c r="D1431" s="6">
        <f>IFERROR(__xludf.DUMMYFUNCTION("""COMPUTED_VALUE"""),1584.0)</f>
        <v>1584</v>
      </c>
      <c r="E1431" s="6">
        <f>IFERROR(__xludf.DUMMYFUNCTION("GOOGLEFINANCE(""Currency:BRLMXN"")*D1431"),5381.64)</f>
        <v>5381.64</v>
      </c>
      <c r="F1431" s="6">
        <f>IFERROR(__xludf.DUMMYFUNCTION("GOOGLEFINANCE(""Currency:BRLPEN"")*D1431"),1038.4704)</f>
        <v>1038.4704</v>
      </c>
      <c r="G1431" s="2" t="str">
        <f t="array" ref="G1431">_xlfn.XLOOKUP(B1431,Vendedores!$A$2:$A$41,Vendedores!$B$2:$B$41,"No hay datos")</f>
        <v>María Silva</v>
      </c>
      <c r="H1431" s="2" t="str">
        <f t="array" ref="H1431">_xlfn.XLOOKUP(B1431,Vendedores!$A$2:$A$41,Vendedores!$C$2:$C$41,"No hay datos")</f>
        <v>San Juan de la Sierra</v>
      </c>
      <c r="I1431" s="2" t="str">
        <f t="array" ref="I1431">_xlfn.XLOOKUP(B1431,Vendedores!$A$2:$A$41,Vendedores!$D$2:$D$41,"No hay datos")</f>
        <v>Región Central</v>
      </c>
      <c r="J1431" s="2" t="str">
        <f t="array" ref="J1431:N1431">_xlfn.XLOOKUP(A1431,Productos!$A$2:$A$61,Productos!$B$2:$F$61)</f>
        <v>Pantalón de sastre</v>
      </c>
      <c r="K1431" s="2" t="s">
        <v>17</v>
      </c>
      <c r="L1431" s="2" t="s">
        <v>10</v>
      </c>
      <c r="M1431" s="2" t="s">
        <v>28</v>
      </c>
      <c r="N1431" s="2" t="s">
        <v>14</v>
      </c>
    </row>
    <row r="1432">
      <c r="A1432" s="2" t="str">
        <f>IFERROR(__xludf.DUMMYFUNCTION("""COMPUTED_VALUE"""),"PR059")</f>
        <v>PR059</v>
      </c>
      <c r="B1432" s="2" t="str">
        <f>IFERROR(__xludf.DUMMYFUNCTION("""COMPUTED_VALUE"""),"VD029")</f>
        <v>VD029</v>
      </c>
      <c r="C1432" s="2">
        <f>IFERROR(__xludf.DUMMYFUNCTION("""COMPUTED_VALUE"""),18.0)</f>
        <v>18</v>
      </c>
      <c r="D1432" s="6">
        <f>IFERROR(__xludf.DUMMYFUNCTION("""COMPUTED_VALUE"""),3564.0)</f>
        <v>3564</v>
      </c>
      <c r="E1432" s="6">
        <f>IFERROR(__xludf.DUMMYFUNCTION("GOOGLEFINANCE(""Currency:BRLMXN"")*D1432"),12108.69)</f>
        <v>12108.69</v>
      </c>
      <c r="F1432" s="6">
        <f>IFERROR(__xludf.DUMMYFUNCTION("GOOGLEFINANCE(""Currency:BRLPEN"")*D1432"),2336.5584)</f>
        <v>2336.5584</v>
      </c>
      <c r="G1432" s="2" t="str">
        <f t="array" ref="G1432">_xlfn.XLOOKUP(B1432,Vendedores!$A$2:$A$41,Vendedores!$B$2:$B$41,"No hay datos")</f>
        <v>Gabriela Sosa</v>
      </c>
      <c r="H1432" s="2" t="str">
        <f t="array" ref="H1432">_xlfn.XLOOKUP(B1432,Vendedores!$A$2:$A$41,Vendedores!$C$2:$C$41,"No hay datos")</f>
        <v>Selva Verde</v>
      </c>
      <c r="I1432" s="2" t="str">
        <f t="array" ref="I1432">_xlfn.XLOOKUP(B1432,Vendedores!$A$2:$A$41,Vendedores!$D$2:$D$41,"No hay datos")</f>
        <v>Región Amazónica</v>
      </c>
      <c r="J1432" s="2" t="str">
        <f t="array" ref="J1432:N1432">_xlfn.XLOOKUP(A1432,Productos!$A$2:$A$61,Productos!$B$2:$F$61)</f>
        <v>Pantalón de sastre</v>
      </c>
      <c r="K1432" s="2" t="s">
        <v>17</v>
      </c>
      <c r="L1432" s="2" t="s">
        <v>10</v>
      </c>
      <c r="M1432" s="2" t="s">
        <v>28</v>
      </c>
      <c r="N1432" s="2" t="s">
        <v>14</v>
      </c>
    </row>
    <row r="1433">
      <c r="A1433" s="2" t="str">
        <f>IFERROR(__xludf.DUMMYFUNCTION("""COMPUTED_VALUE"""),"PR056")</f>
        <v>PR056</v>
      </c>
      <c r="B1433" s="2" t="str">
        <f>IFERROR(__xludf.DUMMYFUNCTION("""COMPUTED_VALUE"""),"VD011")</f>
        <v>VD011</v>
      </c>
      <c r="C1433" s="2">
        <f>IFERROR(__xludf.DUMMYFUNCTION("""COMPUTED_VALUE"""),12.0)</f>
        <v>12</v>
      </c>
      <c r="D1433" s="6">
        <f>IFERROR(__xludf.DUMMYFUNCTION("""COMPUTED_VALUE"""),1121.95)</f>
        <v>1121.95</v>
      </c>
      <c r="E1433" s="6">
        <f>IFERROR(__xludf.DUMMYFUNCTION("GOOGLEFINANCE(""Currency:BRLMXN"")*D1433"),3811.8251250000003)</f>
        <v>3811.825125</v>
      </c>
      <c r="F1433" s="6">
        <f>IFERROR(__xludf.DUMMYFUNCTION("GOOGLEFINANCE(""Currency:BRLPEN"")*D1433"),735.55042)</f>
        <v>735.55042</v>
      </c>
      <c r="G1433" s="2" t="str">
        <f t="array" ref="G1433">_xlfn.XLOOKUP(B1433,Vendedores!$A$2:$A$41,Vendedores!$B$2:$B$41,"No hay datos")</f>
        <v>Juan Santos</v>
      </c>
      <c r="H1433" s="2" t="str">
        <f t="array" ref="H1433">_xlfn.XLOOKUP(B1433,Vendedores!$A$2:$A$41,Vendedores!$C$2:$C$41,"No hay datos")</f>
        <v>Vista Hermosa</v>
      </c>
      <c r="I1433" s="2" t="str">
        <f t="array" ref="I1433">_xlfn.XLOOKUP(B1433,Vendedores!$A$2:$A$41,Vendedores!$D$2:$D$41,"No hay datos")</f>
        <v>Región Central</v>
      </c>
      <c r="J1433" s="2" t="str">
        <f t="array" ref="J1433:N1433">_xlfn.XLOOKUP(A1433,Productos!$A$2:$A$61,Productos!$B$2:$F$61)</f>
        <v>Sandalia plana</v>
      </c>
      <c r="K1433" s="2">
        <v>36.0</v>
      </c>
      <c r="L1433" s="2" t="s">
        <v>33</v>
      </c>
      <c r="M1433" s="2" t="s">
        <v>106</v>
      </c>
      <c r="N1433" s="2" t="s">
        <v>35</v>
      </c>
    </row>
    <row r="1434">
      <c r="A1434" s="2" t="str">
        <f>IFERROR(__xludf.DUMMYFUNCTION("""COMPUTED_VALUE"""),"PR033")</f>
        <v>PR033</v>
      </c>
      <c r="B1434" s="2" t="str">
        <f>IFERROR(__xludf.DUMMYFUNCTION("""COMPUTED_VALUE"""),"VD027")</f>
        <v>VD027</v>
      </c>
      <c r="C1434" s="2">
        <f>IFERROR(__xludf.DUMMYFUNCTION("""COMPUTED_VALUE"""),6.0)</f>
        <v>6</v>
      </c>
      <c r="D1434" s="6">
        <f>IFERROR(__xludf.DUMMYFUNCTION("""COMPUTED_VALUE"""),1699.75)</f>
        <v>1699.75</v>
      </c>
      <c r="E1434" s="6">
        <f>IFERROR(__xludf.DUMMYFUNCTION("GOOGLEFINANCE(""Currency:BRLMXN"")*D1434"),5774.900625)</f>
        <v>5774.900625</v>
      </c>
      <c r="F1434" s="6">
        <f>IFERROR(__xludf.DUMMYFUNCTION("GOOGLEFINANCE(""Currency:BRLPEN"")*D1434"),1114.3561)</f>
        <v>1114.3561</v>
      </c>
      <c r="G1434" s="2" t="str">
        <f t="array" ref="G1434">_xlfn.XLOOKUP(B1434,Vendedores!$A$2:$A$41,Vendedores!$B$2:$B$41,"No hay datos")</f>
        <v>Patricia Cortés</v>
      </c>
      <c r="H1434" s="2" t="str">
        <f t="array" ref="H1434">_xlfn.XLOOKUP(B1434,Vendedores!$A$2:$A$41,Vendedores!$C$2:$C$41,"No hay datos")</f>
        <v>Costa Azul</v>
      </c>
      <c r="I1434" s="2" t="str">
        <f t="array" ref="I1434">_xlfn.XLOOKUP(B1434,Vendedores!$A$2:$A$41,Vendedores!$D$2:$D$41,"No hay datos")</f>
        <v>Región Norte</v>
      </c>
      <c r="J1434" s="2" t="str">
        <f t="array" ref="J1434:N1434">_xlfn.XLOOKUP(A1434,Productos!$A$2:$A$61,Productos!$B$2:$F$61)</f>
        <v>Tenis Chunky</v>
      </c>
      <c r="K1434" s="2">
        <v>38.0</v>
      </c>
      <c r="L1434" s="2" t="s">
        <v>33</v>
      </c>
      <c r="M1434" s="2" t="s">
        <v>63</v>
      </c>
      <c r="N1434" s="2" t="s">
        <v>64</v>
      </c>
    </row>
    <row r="1435">
      <c r="A1435" s="2" t="str">
        <f>IFERROR(__xludf.DUMMYFUNCTION("""COMPUTED_VALUE"""),"PR021")</f>
        <v>PR021</v>
      </c>
      <c r="B1435" s="2" t="str">
        <f>IFERROR(__xludf.DUMMYFUNCTION("""COMPUTED_VALUE"""),"VD038")</f>
        <v>VD038</v>
      </c>
      <c r="C1435" s="2">
        <f>IFERROR(__xludf.DUMMYFUNCTION("""COMPUTED_VALUE"""),2.0)</f>
        <v>2</v>
      </c>
      <c r="D1435" s="6">
        <f>IFERROR(__xludf.DUMMYFUNCTION("""COMPUTED_VALUE"""),605.8)</f>
        <v>605.8</v>
      </c>
      <c r="E1435" s="6">
        <f>IFERROR(__xludf.DUMMYFUNCTION("GOOGLEFINANCE(""Currency:BRLMXN"")*D1435"),2058.2055)</f>
        <v>2058.2055</v>
      </c>
      <c r="F1435" s="6">
        <f>IFERROR(__xludf.DUMMYFUNCTION("GOOGLEFINANCE(""Currency:BRLPEN"")*D1435"),397.16247999999996)</f>
        <v>397.16248</v>
      </c>
      <c r="G1435" s="2" t="str">
        <f t="array" ref="G1435">_xlfn.XLOOKUP(B1435,Vendedores!$A$2:$A$41,Vendedores!$B$2:$B$41,"No hay datos")</f>
        <v>Bruno Olmedo</v>
      </c>
      <c r="H1435" s="2" t="str">
        <f t="array" ref="H1435">_xlfn.XLOOKUP(B1435,Vendedores!$A$2:$A$41,Vendedores!$C$2:$C$41,"No hay datos")</f>
        <v>Tierra Fertil</v>
      </c>
      <c r="I1435" s="2" t="str">
        <f t="array" ref="I1435">_xlfn.XLOOKUP(B1435,Vendedores!$A$2:$A$41,Vendedores!$D$2:$D$41,"No hay datos")</f>
        <v>Región Sur 2</v>
      </c>
      <c r="J1435" s="2" t="str">
        <f t="array" ref="J1435:N1435">_xlfn.XLOOKUP(A1435,Productos!$A$2:$A$61,Productos!$B$2:$F$61)</f>
        <v>Chaqueta de cuero</v>
      </c>
      <c r="K1435" s="2" t="s">
        <v>17</v>
      </c>
      <c r="L1435" s="2" t="s">
        <v>10</v>
      </c>
      <c r="M1435" s="2" t="s">
        <v>80</v>
      </c>
      <c r="N1435" s="2" t="s">
        <v>81</v>
      </c>
    </row>
    <row r="1436">
      <c r="A1436" s="2" t="str">
        <f>IFERROR(__xludf.DUMMYFUNCTION("""COMPUTED_VALUE"""),"PR045")</f>
        <v>PR045</v>
      </c>
      <c r="B1436" s="2" t="str">
        <f>IFERROR(__xludf.DUMMYFUNCTION("""COMPUTED_VALUE"""),"VD018")</f>
        <v>VD018</v>
      </c>
      <c r="C1436" s="2">
        <f>IFERROR(__xludf.DUMMYFUNCTION("""COMPUTED_VALUE"""),6.0)</f>
        <v>6</v>
      </c>
      <c r="D1436" s="6">
        <f>IFERROR(__xludf.DUMMYFUNCTION("""COMPUTED_VALUE"""),443.7)</f>
        <v>443.7</v>
      </c>
      <c r="E1436" s="6">
        <f>IFERROR(__xludf.DUMMYFUNCTION("GOOGLEFINANCE(""Currency:BRLMXN"")*D1436"),1507.47075)</f>
        <v>1507.47075</v>
      </c>
      <c r="F1436" s="6">
        <f>IFERROR(__xludf.DUMMYFUNCTION("GOOGLEFINANCE(""Currency:BRLPEN"")*D1436"),290.88971999999995)</f>
        <v>290.88972</v>
      </c>
      <c r="G1436" s="2" t="str">
        <f t="array" ref="G1436">_xlfn.XLOOKUP(B1436,Vendedores!$A$2:$A$41,Vendedores!$B$2:$B$41,"No hay datos")</f>
        <v>Leticia Rodríguez</v>
      </c>
      <c r="H1436" s="2" t="str">
        <f t="array" ref="H1436">_xlfn.XLOOKUP(B1436,Vendedores!$A$2:$A$41,Vendedores!$C$2:$C$41,"No hay datos")</f>
        <v>Playa Blanca</v>
      </c>
      <c r="I1436" s="2" t="str">
        <f t="array" ref="I1436">_xlfn.XLOOKUP(B1436,Vendedores!$A$2:$A$41,Vendedores!$D$2:$D$41,"No hay datos")</f>
        <v>Región Norte</v>
      </c>
      <c r="J1436" s="2" t="str">
        <f t="array" ref="J1436:N1436">_xlfn.XLOOKUP(A1436,Productos!$A$2:$A$61,Productos!$B$2:$F$61)</f>
        <v>Vestido floral</v>
      </c>
      <c r="K1436" s="2" t="s">
        <v>22</v>
      </c>
      <c r="L1436" s="2" t="s">
        <v>10</v>
      </c>
      <c r="M1436" s="2" t="s">
        <v>39</v>
      </c>
      <c r="N1436" s="2" t="s">
        <v>40</v>
      </c>
    </row>
    <row r="1437">
      <c r="A1437" s="2" t="str">
        <f>IFERROR(__xludf.DUMMYFUNCTION("""COMPUTED_VALUE"""),"PR055")</f>
        <v>PR055</v>
      </c>
      <c r="B1437" s="2" t="str">
        <f>IFERROR(__xludf.DUMMYFUNCTION("""COMPUTED_VALUE"""),"VD019")</f>
        <v>VD019</v>
      </c>
      <c r="C1437" s="2">
        <f>IFERROR(__xludf.DUMMYFUNCTION("""COMPUTED_VALUE"""),6.0)</f>
        <v>6</v>
      </c>
      <c r="D1437" s="6">
        <f>IFERROR(__xludf.DUMMYFUNCTION("""COMPUTED_VALUE"""),560.98)</f>
        <v>560.98</v>
      </c>
      <c r="E1437" s="6">
        <f>IFERROR(__xludf.DUMMYFUNCTION("GOOGLEFINANCE(""Currency:BRLMXN"")*D1437"),1905.92955)</f>
        <v>1905.92955</v>
      </c>
      <c r="F1437" s="6">
        <f>IFERROR(__xludf.DUMMYFUNCTION("GOOGLEFINANCE(""Currency:BRLPEN"")*D1437"),367.778488)</f>
        <v>367.778488</v>
      </c>
      <c r="G1437" s="2" t="str">
        <f t="array" ref="G1437">_xlfn.XLOOKUP(B1437,Vendedores!$A$2:$A$41,Vendedores!$B$2:$B$41,"No hay datos")</f>
        <v>Rafael Sosa</v>
      </c>
      <c r="H1437" s="2" t="str">
        <f t="array" ref="H1437">_xlfn.XLOOKUP(B1437,Vendedores!$A$2:$A$41,Vendedores!$C$2:$C$41,"No hay datos")</f>
        <v>Selva Verde</v>
      </c>
      <c r="I1437" s="2" t="str">
        <f t="array" ref="I1437">_xlfn.XLOOKUP(B1437,Vendedores!$A$2:$A$41,Vendedores!$D$2:$D$41,"No hay datos")</f>
        <v>Región Amazónica</v>
      </c>
      <c r="J1437" s="2" t="str">
        <f t="array" ref="J1437:N1437">_xlfn.XLOOKUP(A1437,Productos!$A$2:$A$61,Productos!$B$2:$F$61)</f>
        <v>Sandalia plana</v>
      </c>
      <c r="K1437" s="2">
        <v>35.0</v>
      </c>
      <c r="L1437" s="2" t="s">
        <v>33</v>
      </c>
      <c r="M1437" s="2" t="s">
        <v>34</v>
      </c>
      <c r="N1437" s="2" t="s">
        <v>35</v>
      </c>
    </row>
    <row r="1438">
      <c r="A1438" s="2" t="str">
        <f>IFERROR(__xludf.DUMMYFUNCTION("""COMPUTED_VALUE"""),"PR017")</f>
        <v>PR017</v>
      </c>
      <c r="B1438" s="2" t="str">
        <f>IFERROR(__xludf.DUMMYFUNCTION("""COMPUTED_VALUE"""),"VD013")</f>
        <v>VD013</v>
      </c>
      <c r="C1438" s="2">
        <f>IFERROR(__xludf.DUMMYFUNCTION("""COMPUTED_VALUE"""),9.0)</f>
        <v>9</v>
      </c>
      <c r="D1438" s="6">
        <f>IFERROR(__xludf.DUMMYFUNCTION("""COMPUTED_VALUE"""),282.56)</f>
        <v>282.56</v>
      </c>
      <c r="E1438" s="6">
        <f>IFERROR(__xludf.DUMMYFUNCTION("GOOGLEFINANCE(""Currency:BRLMXN"")*D1438"),959.9976)</f>
        <v>959.9976</v>
      </c>
      <c r="F1438" s="6">
        <f>IFERROR(__xludf.DUMMYFUNCTION("GOOGLEFINANCE(""Currency:BRLPEN"")*D1438"),185.24633599999999)</f>
        <v>185.246336</v>
      </c>
      <c r="G1438" s="2" t="str">
        <f t="array" ref="G1438">_xlfn.XLOOKUP(B1438,Vendedores!$A$2:$A$41,Vendedores!$B$2:$B$41,"No hay datos")</f>
        <v>Pedro Almonte</v>
      </c>
      <c r="H1438" s="2" t="str">
        <f t="array" ref="H1438">_xlfn.XLOOKUP(B1438,Vendedores!$A$2:$A$41,Vendedores!$C$2:$C$41,"No hay datos")</f>
        <v>Santa Rosa del Valle</v>
      </c>
      <c r="I1438" s="2" t="str">
        <f t="array" ref="I1438">_xlfn.XLOOKUP(B1438,Vendedores!$A$2:$A$41,Vendedores!$D$2:$D$41,"No hay datos")</f>
        <v>Región Norte</v>
      </c>
      <c r="J1438" s="2" t="str">
        <f t="array" ref="J1438:N1438">_xlfn.XLOOKUP(A1438,Productos!$A$2:$A$61,Productos!$B$2:$F$61)</f>
        <v>Playera lisa</v>
      </c>
      <c r="K1438" s="2" t="s">
        <v>17</v>
      </c>
      <c r="L1438" s="2" t="s">
        <v>10</v>
      </c>
      <c r="M1438" s="2" t="s">
        <v>98</v>
      </c>
      <c r="N1438" s="2" t="s">
        <v>99</v>
      </c>
    </row>
    <row r="1439">
      <c r="A1439" s="2" t="str">
        <f>IFERROR(__xludf.DUMMYFUNCTION("""COMPUTED_VALUE"""),"PR039")</f>
        <v>PR039</v>
      </c>
      <c r="B1439" s="2" t="str">
        <f>IFERROR(__xludf.DUMMYFUNCTION("""COMPUTED_VALUE"""),"VD040")</f>
        <v>VD040</v>
      </c>
      <c r="C1439" s="2">
        <f>IFERROR(__xludf.DUMMYFUNCTION("""COMPUTED_VALUE"""),4.0)</f>
        <v>4</v>
      </c>
      <c r="D1439" s="6">
        <f>IFERROR(__xludf.DUMMYFUNCTION("""COMPUTED_VALUE"""),601.52)</f>
        <v>601.52</v>
      </c>
      <c r="E1439" s="6">
        <f>IFERROR(__xludf.DUMMYFUNCTION("GOOGLEFINANCE(""Currency:BRLMXN"")*D1439"),2043.6642)</f>
        <v>2043.6642</v>
      </c>
      <c r="F1439" s="6">
        <f>IFERROR(__xludf.DUMMYFUNCTION("GOOGLEFINANCE(""Currency:BRLPEN"")*D1439"),394.35651199999995)</f>
        <v>394.356512</v>
      </c>
      <c r="G1439" s="2" t="str">
        <f t="array" ref="G1439">_xlfn.XLOOKUP(B1439,Vendedores!$A$2:$A$41,Vendedores!$B$2:$B$41,"No hay datos")</f>
        <v>Tatiana Montero</v>
      </c>
      <c r="H1439" s="2" t="str">
        <f t="array" ref="H1439">_xlfn.XLOOKUP(B1439,Vendedores!$A$2:$A$41,Vendedores!$C$2:$C$41,"No hay datos")</f>
        <v>Ciudad Industrial</v>
      </c>
      <c r="I1439" s="2" t="str">
        <f t="array" ref="I1439">_xlfn.XLOOKUP(B1439,Vendedores!$A$2:$A$41,Vendedores!$D$2:$D$41,"No hay datos")</f>
        <v>Región Central 2</v>
      </c>
      <c r="J1439" s="2" t="str">
        <f t="array" ref="J1439:N1439">_xlfn.XLOOKUP(A1439,Productos!$A$2:$A$61,Productos!$B$2:$F$61)</f>
        <v>Vestido largo</v>
      </c>
      <c r="K1439" s="2" t="s">
        <v>22</v>
      </c>
      <c r="L1439" s="2" t="s">
        <v>10</v>
      </c>
      <c r="M1439" s="2" t="s">
        <v>73</v>
      </c>
      <c r="N1439" s="2" t="s">
        <v>74</v>
      </c>
    </row>
    <row r="1440">
      <c r="A1440" s="2" t="str">
        <f>IFERROR(__xludf.DUMMYFUNCTION("""COMPUTED_VALUE"""),"PR060")</f>
        <v>PR060</v>
      </c>
      <c r="B1440" s="2" t="str">
        <f>IFERROR(__xludf.DUMMYFUNCTION("""COMPUTED_VALUE"""),"VD037")</f>
        <v>VD037</v>
      </c>
      <c r="C1440" s="2">
        <f>IFERROR(__xludf.DUMMYFUNCTION("""COMPUTED_VALUE"""),10.0)</f>
        <v>10</v>
      </c>
      <c r="D1440" s="6">
        <f>IFERROR(__xludf.DUMMYFUNCTION("""COMPUTED_VALUE"""),1818.0)</f>
        <v>1818</v>
      </c>
      <c r="E1440" s="6">
        <f>IFERROR(__xludf.DUMMYFUNCTION("GOOGLEFINANCE(""Currency:BRLMXN"")*D1440"),6176.655)</f>
        <v>6176.655</v>
      </c>
      <c r="F1440" s="6">
        <f>IFERROR(__xludf.DUMMYFUNCTION("GOOGLEFINANCE(""Currency:BRLPEN"")*D1440"),1191.8808)</f>
        <v>1191.8808</v>
      </c>
      <c r="G1440" s="2" t="str">
        <f t="array" ref="G1440">_xlfn.XLOOKUP(B1440,Vendedores!$A$2:$A$41,Vendedores!$B$2:$B$41,"No hay datos")</f>
        <v>Amanda Silva</v>
      </c>
      <c r="H1440" s="2" t="str">
        <f t="array" ref="H1440">_xlfn.XLOOKUP(B1440,Vendedores!$A$2:$A$41,Vendedores!$C$2:$C$41,"No hay datos")</f>
        <v>Villa Esperanza</v>
      </c>
      <c r="I1440" s="2" t="str">
        <f t="array" ref="I1440">_xlfn.XLOOKUP(B1440,Vendedores!$A$2:$A$41,Vendedores!$D$2:$D$41,"No hay datos")</f>
        <v>Región Sur 2</v>
      </c>
      <c r="J1440" s="2" t="str">
        <f t="array" ref="J1440:N1440">_xlfn.XLOOKUP(A1440,Productos!$A$2:$A$61,Productos!$B$2:$F$61)</f>
        <v>Pantalón de sastre</v>
      </c>
      <c r="K1440" s="2" t="s">
        <v>22</v>
      </c>
      <c r="L1440" s="2" t="s">
        <v>10</v>
      </c>
      <c r="M1440" s="2" t="s">
        <v>75</v>
      </c>
      <c r="N1440" s="2" t="s">
        <v>14</v>
      </c>
    </row>
    <row r="1441">
      <c r="A1441" s="2" t="str">
        <f>IFERROR(__xludf.DUMMYFUNCTION("""COMPUTED_VALUE"""),"PR029")</f>
        <v>PR029</v>
      </c>
      <c r="B1441" s="2" t="str">
        <f>IFERROR(__xludf.DUMMYFUNCTION("""COMPUTED_VALUE"""),"VD013")</f>
        <v>VD013</v>
      </c>
      <c r="C1441" s="2">
        <f>IFERROR(__xludf.DUMMYFUNCTION("""COMPUTED_VALUE"""),7.0)</f>
        <v>7</v>
      </c>
      <c r="D1441" s="6">
        <f>IFERROR(__xludf.DUMMYFUNCTION("""COMPUTED_VALUE"""),1963.5)</f>
        <v>1963.5</v>
      </c>
      <c r="E1441" s="6">
        <f>IFERROR(__xludf.DUMMYFUNCTION("GOOGLEFINANCE(""Currency:BRLMXN"")*D1441"),6670.99125)</f>
        <v>6670.99125</v>
      </c>
      <c r="F1441" s="6">
        <f>IFERROR(__xludf.DUMMYFUNCTION("GOOGLEFINANCE(""Currency:BRLPEN"")*D1441"),1287.2705999999998)</f>
        <v>1287.2706</v>
      </c>
      <c r="G1441" s="2" t="str">
        <f t="array" ref="G1441">_xlfn.XLOOKUP(B1441,Vendedores!$A$2:$A$41,Vendedores!$B$2:$B$41,"No hay datos")</f>
        <v>Pedro Almonte</v>
      </c>
      <c r="H1441" s="2" t="str">
        <f t="array" ref="H1441">_xlfn.XLOOKUP(B1441,Vendedores!$A$2:$A$41,Vendedores!$C$2:$C$41,"No hay datos")</f>
        <v>Santa Rosa del Valle</v>
      </c>
      <c r="I1441" s="2" t="str">
        <f t="array" ref="I1441">_xlfn.XLOOKUP(B1441,Vendedores!$A$2:$A$41,Vendedores!$D$2:$D$41,"No hay datos")</f>
        <v>Región Norte</v>
      </c>
      <c r="J1441" s="2" t="str">
        <f t="array" ref="J1441:N1441">_xlfn.XLOOKUP(A1441,Productos!$A$2:$A$61,Productos!$B$2:$F$61)</f>
        <v>Tenis Atitas</v>
      </c>
      <c r="K1441" s="2">
        <v>37.0</v>
      </c>
      <c r="L1441" s="2" t="s">
        <v>33</v>
      </c>
      <c r="M1441" s="2" t="s">
        <v>96</v>
      </c>
      <c r="N1441" s="2" t="s">
        <v>97</v>
      </c>
    </row>
    <row r="1442">
      <c r="A1442" s="2" t="str">
        <f>IFERROR(__xludf.DUMMYFUNCTION("""COMPUTED_VALUE"""),"PR009")</f>
        <v>PR009</v>
      </c>
      <c r="B1442" s="2" t="str">
        <f>IFERROR(__xludf.DUMMYFUNCTION("""COMPUTED_VALUE"""),"VD011")</f>
        <v>VD011</v>
      </c>
      <c r="C1442" s="2">
        <f>IFERROR(__xludf.DUMMYFUNCTION("""COMPUTED_VALUE"""),14.0)</f>
        <v>14</v>
      </c>
      <c r="D1442" s="6">
        <f>IFERROR(__xludf.DUMMYFUNCTION("""COMPUTED_VALUE"""),1365.63)</f>
        <v>1365.63</v>
      </c>
      <c r="E1442" s="6">
        <f>IFERROR(__xludf.DUMMYFUNCTION("GOOGLEFINANCE(""Currency:BRLMXN"")*D1442"),4639.727925)</f>
        <v>4639.727925</v>
      </c>
      <c r="F1442" s="6">
        <f>IFERROR(__xludf.DUMMYFUNCTION("GOOGLEFINANCE(""Currency:BRLPEN"")*D1442"),895.3070280000001)</f>
        <v>895.307028</v>
      </c>
      <c r="G1442" s="2" t="str">
        <f t="array" ref="G1442">_xlfn.XLOOKUP(B1442,Vendedores!$A$2:$A$41,Vendedores!$B$2:$B$41,"No hay datos")</f>
        <v>Juan Santos</v>
      </c>
      <c r="H1442" s="2" t="str">
        <f t="array" ref="H1442">_xlfn.XLOOKUP(B1442,Vendedores!$A$2:$A$41,Vendedores!$C$2:$C$41,"No hay datos")</f>
        <v>Vista Hermosa</v>
      </c>
      <c r="I1442" s="2" t="str">
        <f t="array" ref="I1442">_xlfn.XLOOKUP(B1442,Vendedores!$A$2:$A$41,Vendedores!$D$2:$D$41,"No hay datos")</f>
        <v>Región Central</v>
      </c>
      <c r="J1442" s="2" t="str">
        <f t="array" ref="J1442:N1442">_xlfn.XLOOKUP(A1442,Productos!$A$2:$A$61,Productos!$B$2:$F$61)</f>
        <v>Pantalón de mezclilla</v>
      </c>
      <c r="K1442" s="2" t="s">
        <v>22</v>
      </c>
      <c r="L1442" s="2" t="s">
        <v>10</v>
      </c>
      <c r="M1442" s="2" t="s">
        <v>76</v>
      </c>
      <c r="N1442" s="2" t="s">
        <v>77</v>
      </c>
    </row>
    <row r="1443">
      <c r="A1443" s="2" t="str">
        <f>IFERROR(__xludf.DUMMYFUNCTION("""COMPUTED_VALUE"""),"PR050")</f>
        <v>PR050</v>
      </c>
      <c r="B1443" s="2" t="str">
        <f>IFERROR(__xludf.DUMMYFUNCTION("""COMPUTED_VALUE"""),"VD033")</f>
        <v>VD033</v>
      </c>
      <c r="C1443" s="2">
        <f>IFERROR(__xludf.DUMMYFUNCTION("""COMPUTED_VALUE"""),6.0)</f>
        <v>6</v>
      </c>
      <c r="D1443" s="6">
        <f>IFERROR(__xludf.DUMMYFUNCTION("""COMPUTED_VALUE"""),205.3)</f>
        <v>205.3</v>
      </c>
      <c r="E1443" s="6">
        <f>IFERROR(__xludf.DUMMYFUNCTION("GOOGLEFINANCE(""Currency:BRLMXN"")*D1443"),697.50675)</f>
        <v>697.50675</v>
      </c>
      <c r="F1443" s="6">
        <f>IFERROR(__xludf.DUMMYFUNCTION("GOOGLEFINANCE(""Currency:BRLPEN"")*D1443"),134.59468)</f>
        <v>134.59468</v>
      </c>
      <c r="G1443" s="2" t="str">
        <f t="array" ref="G1443">_xlfn.XLOOKUP(B1443,Vendedores!$A$2:$A$41,Vendedores!$B$2:$B$41,"No hay datos")</f>
        <v>Renata Flores</v>
      </c>
      <c r="H1443" s="2" t="str">
        <f t="array" ref="H1443">_xlfn.XLOOKUP(B1443,Vendedores!$A$2:$A$41,Vendedores!$C$2:$C$41,"No hay datos")</f>
        <v>Altos del Sur</v>
      </c>
      <c r="I1443" s="2" t="str">
        <f t="array" ref="I1443">_xlfn.XLOOKUP(B1443,Vendedores!$A$2:$A$41,Vendedores!$D$2:$D$41,"No hay datos")</f>
        <v>Región Central 2</v>
      </c>
      <c r="J1443" s="2" t="str">
        <f t="array" ref="J1443:N1443">_xlfn.XLOOKUP(A1443,Productos!$A$2:$A$61,Productos!$B$2:$F$61)</f>
        <v>Playera a rayas</v>
      </c>
      <c r="K1443" s="2" t="s">
        <v>17</v>
      </c>
      <c r="L1443" s="2" t="s">
        <v>10</v>
      </c>
      <c r="M1443" s="2" t="s">
        <v>27</v>
      </c>
      <c r="N1443" s="2" t="s">
        <v>24</v>
      </c>
    </row>
    <row r="1444">
      <c r="A1444" s="2" t="str">
        <f>IFERROR(__xludf.DUMMYFUNCTION("""COMPUTED_VALUE"""),"PR004")</f>
        <v>PR004</v>
      </c>
      <c r="B1444" s="2" t="str">
        <f>IFERROR(__xludf.DUMMYFUNCTION("""COMPUTED_VALUE"""),"VD021")</f>
        <v>VD021</v>
      </c>
      <c r="C1444" s="2">
        <f>IFERROR(__xludf.DUMMYFUNCTION("""COMPUTED_VALUE"""),8.0)</f>
        <v>8</v>
      </c>
      <c r="D1444" s="6">
        <f>IFERROR(__xludf.DUMMYFUNCTION("""COMPUTED_VALUE"""),1264.4)</f>
        <v>1264.4</v>
      </c>
      <c r="E1444" s="6">
        <f>IFERROR(__xludf.DUMMYFUNCTION("GOOGLEFINANCE(""Currency:BRLMXN"")*D1444"),4295.799)</f>
        <v>4295.799</v>
      </c>
      <c r="F1444" s="6">
        <f>IFERROR(__xludf.DUMMYFUNCTION("GOOGLEFINANCE(""Currency:BRLPEN"")*D1444"),828.94064)</f>
        <v>828.94064</v>
      </c>
      <c r="G1444" s="2" t="str">
        <f t="array" ref="G1444">_xlfn.XLOOKUP(B1444,Vendedores!$A$2:$A$41,Vendedores!$B$2:$B$41,"No hay datos")</f>
        <v>Fernanda Méndez</v>
      </c>
      <c r="H1444" s="2" t="str">
        <f t="array" ref="H1444">_xlfn.XLOOKUP(B1444,Vendedores!$A$2:$A$41,Vendedores!$C$2:$C$41,"No hay datos")</f>
        <v>San Juan de la Sierra</v>
      </c>
      <c r="I1444" s="2" t="str">
        <f t="array" ref="I1444">_xlfn.XLOOKUP(B1444,Vendedores!$A$2:$A$41,Vendedores!$D$2:$D$41,"No hay datos")</f>
        <v>Región Central</v>
      </c>
      <c r="J1444" s="2" t="str">
        <f t="array" ref="J1444:N1444">_xlfn.XLOOKUP(A1444,Productos!$A$2:$A$61,Productos!$B$2:$F$61)</f>
        <v>Bolso versátil</v>
      </c>
      <c r="K1444" s="2" t="s">
        <v>29</v>
      </c>
      <c r="L1444" s="2" t="s">
        <v>30</v>
      </c>
      <c r="M1444" s="2" t="s">
        <v>59</v>
      </c>
      <c r="N1444" s="2" t="s">
        <v>60</v>
      </c>
    </row>
    <row r="1445">
      <c r="A1445" s="2" t="str">
        <f>IFERROR(__xludf.DUMMYFUNCTION("""COMPUTED_VALUE"""),"PR017")</f>
        <v>PR017</v>
      </c>
      <c r="B1445" s="2" t="str">
        <f>IFERROR(__xludf.DUMMYFUNCTION("""COMPUTED_VALUE"""),"VD045")</f>
        <v>VD045</v>
      </c>
      <c r="C1445" s="2">
        <f>IFERROR(__xludf.DUMMYFUNCTION("""COMPUTED_VALUE"""),9.0)</f>
        <v>9</v>
      </c>
      <c r="D1445" s="6">
        <f>IFERROR(__xludf.DUMMYFUNCTION("""COMPUTED_VALUE"""),269.1)</f>
        <v>269.1</v>
      </c>
      <c r="E1445" s="6">
        <f>IFERROR(__xludf.DUMMYFUNCTION("GOOGLEFINANCE(""Currency:BRLMXN"")*D1445"),914.2672500000001)</f>
        <v>914.26725</v>
      </c>
      <c r="F1445" s="6">
        <f>IFERROR(__xludf.DUMMYFUNCTION("GOOGLEFINANCE(""Currency:BRLPEN"")*D1445"),176.42196)</f>
        <v>176.42196</v>
      </c>
      <c r="G1445" s="2" t="str">
        <f t="array" ref="G1445">_xlfn.XLOOKUP(B1445,Vendedores!$A$2:$A$41,Vendedores!$B$2:$B$41,"No hay datos")</f>
        <v>Rafael Morales</v>
      </c>
      <c r="H1445" s="2" t="str">
        <f t="array" ref="H1445">_xlfn.XLOOKUP(B1445,Vendedores!$A$2:$A$41,Vendedores!$C$2:$C$41,"No hay datos")</f>
        <v>Valle Dorado</v>
      </c>
      <c r="I1445" s="2" t="str">
        <f t="array" ref="I1445">_xlfn.XLOOKUP(B1445,Vendedores!$A$2:$A$41,Vendedores!$D$2:$D$41,"No hay datos")</f>
        <v>Región Central 2</v>
      </c>
      <c r="J1445" s="2" t="str">
        <f t="array" ref="J1445:N1445">_xlfn.XLOOKUP(A1445,Productos!$A$2:$A$61,Productos!$B$2:$F$61)</f>
        <v>Playera lisa</v>
      </c>
      <c r="K1445" s="2" t="s">
        <v>17</v>
      </c>
      <c r="L1445" s="2" t="s">
        <v>10</v>
      </c>
      <c r="M1445" s="2" t="s">
        <v>98</v>
      </c>
      <c r="N1445" s="2" t="s">
        <v>99</v>
      </c>
    </row>
    <row r="1446">
      <c r="A1446" s="2" t="str">
        <f>IFERROR(__xludf.DUMMYFUNCTION("""COMPUTED_VALUE"""),"PR054")</f>
        <v>PR054</v>
      </c>
      <c r="B1446" s="2" t="str">
        <f>IFERROR(__xludf.DUMMYFUNCTION("""COMPUTED_VALUE"""),"VD049")</f>
        <v>VD049</v>
      </c>
      <c r="C1446" s="2">
        <f>IFERROR(__xludf.DUMMYFUNCTION("""COMPUTED_VALUE"""),8.0)</f>
        <v>8</v>
      </c>
      <c r="D1446" s="6">
        <f>IFERROR(__xludf.DUMMYFUNCTION("""COMPUTED_VALUE"""),403.19)</f>
        <v>403.19</v>
      </c>
      <c r="E1446" s="6">
        <f>IFERROR(__xludf.DUMMYFUNCTION("GOOGLEFINANCE(""Currency:BRLMXN"")*D1446"),1369.838025)</f>
        <v>1369.838025</v>
      </c>
      <c r="F1446" s="6">
        <f>IFERROR(__xludf.DUMMYFUNCTION("GOOGLEFINANCE(""Currency:BRLPEN"")*D1446"),264.331364)</f>
        <v>264.331364</v>
      </c>
      <c r="G1446" s="2" t="str">
        <f t="array" ref="G1446">_xlfn.XLOOKUP(B1446,Vendedores!$A$2:$A$41,Vendedores!$B$2:$B$41,"No hay datos")</f>
        <v>Fernando Navarro</v>
      </c>
      <c r="H1446" s="2" t="str">
        <f t="array" ref="H1446">_xlfn.XLOOKUP(B1446,Vendedores!$A$2:$A$41,Vendedores!$C$2:$C$41,"No hay datos")</f>
        <v>Colinas Verdes</v>
      </c>
      <c r="I1446" s="2" t="str">
        <f t="array" ref="I1446">_xlfn.XLOOKUP(B1446,Vendedores!$A$2:$A$41,Vendedores!$D$2:$D$41,"No hay datos")</f>
        <v>Región Central 2</v>
      </c>
      <c r="J1446" s="2" t="str">
        <f t="array" ref="J1446:N1446">_xlfn.XLOOKUP(A1446,Productos!$A$2:$A$61,Productos!$B$2:$F$61)</f>
        <v>Falda plisada</v>
      </c>
      <c r="K1446" s="2" t="s">
        <v>22</v>
      </c>
      <c r="L1446" s="2" t="s">
        <v>10</v>
      </c>
      <c r="M1446" s="2" t="s">
        <v>42</v>
      </c>
      <c r="N1446" s="2" t="s">
        <v>32</v>
      </c>
    </row>
    <row r="1447">
      <c r="A1447" s="2" t="str">
        <f>IFERROR(__xludf.DUMMYFUNCTION("""COMPUTED_VALUE"""),"PR028")</f>
        <v>PR028</v>
      </c>
      <c r="B1447" s="2" t="str">
        <f>IFERROR(__xludf.DUMMYFUNCTION("""COMPUTED_VALUE"""),"VD033")</f>
        <v>VD033</v>
      </c>
      <c r="C1447" s="2">
        <f>IFERROR(__xludf.DUMMYFUNCTION("""COMPUTED_VALUE"""),8.0)</f>
        <v>8</v>
      </c>
      <c r="D1447" s="6">
        <f>IFERROR(__xludf.DUMMYFUNCTION("""COMPUTED_VALUE"""),2119.15)</f>
        <v>2119.15</v>
      </c>
      <c r="E1447" s="6">
        <f>IFERROR(__xludf.DUMMYFUNCTION("GOOGLEFINANCE(""Currency:BRLMXN"")*D1447"),7199.812125)</f>
        <v>7199.812125</v>
      </c>
      <c r="F1447" s="6">
        <f>IFERROR(__xludf.DUMMYFUNCTION("GOOGLEFINANCE(""Currency:BRLPEN"")*D1447"),1389.31474)</f>
        <v>1389.31474</v>
      </c>
      <c r="G1447" s="2" t="str">
        <f t="array" ref="G1447">_xlfn.XLOOKUP(B1447,Vendedores!$A$2:$A$41,Vendedores!$B$2:$B$41,"No hay datos")</f>
        <v>Renata Flores</v>
      </c>
      <c r="H1447" s="2" t="str">
        <f t="array" ref="H1447">_xlfn.XLOOKUP(B1447,Vendedores!$A$2:$A$41,Vendedores!$C$2:$C$41,"No hay datos")</f>
        <v>Altos del Sur</v>
      </c>
      <c r="I1447" s="2" t="str">
        <f t="array" ref="I1447">_xlfn.XLOOKUP(B1447,Vendedores!$A$2:$A$41,Vendedores!$D$2:$D$41,"No hay datos")</f>
        <v>Región Central 2</v>
      </c>
      <c r="J1447" s="2" t="str">
        <f t="array" ref="J1447:N1447">_xlfn.XLOOKUP(A1447,Productos!$A$2:$A$61,Productos!$B$2:$F$61)</f>
        <v>Tenis Atitas</v>
      </c>
      <c r="K1447" s="2">
        <v>36.0</v>
      </c>
      <c r="L1447" s="2" t="s">
        <v>33</v>
      </c>
      <c r="M1447" s="2" t="s">
        <v>55</v>
      </c>
      <c r="N1447" s="2" t="s">
        <v>56</v>
      </c>
    </row>
    <row r="1448">
      <c r="A1448" s="2" t="str">
        <f>IFERROR(__xludf.DUMMYFUNCTION("""COMPUTED_VALUE"""),"PR037")</f>
        <v>PR037</v>
      </c>
      <c r="B1448" s="2" t="str">
        <f>IFERROR(__xludf.DUMMYFUNCTION("""COMPUTED_VALUE"""),"VD024")</f>
        <v>VD024</v>
      </c>
      <c r="C1448" s="2">
        <f>IFERROR(__xludf.DUMMYFUNCTION("""COMPUTED_VALUE"""),6.0)</f>
        <v>6</v>
      </c>
      <c r="D1448" s="6">
        <f>IFERROR(__xludf.DUMMYFUNCTION("""COMPUTED_VALUE"""),924.0)</f>
        <v>924</v>
      </c>
      <c r="E1448" s="6">
        <f>IFERROR(__xludf.DUMMYFUNCTION("GOOGLEFINANCE(""Currency:BRLMXN"")*D1448"),3139.29)</f>
        <v>3139.29</v>
      </c>
      <c r="F1448" s="6">
        <f>IFERROR(__xludf.DUMMYFUNCTION("GOOGLEFINANCE(""Currency:BRLPEN"")*D1448"),605.7744)</f>
        <v>605.7744</v>
      </c>
      <c r="G1448" s="2" t="str">
        <f t="array" ref="G1448">_xlfn.XLOOKUP(B1448,Vendedores!$A$2:$A$41,Vendedores!$B$2:$B$41,"No hay datos")</f>
        <v>Marcos Rivera</v>
      </c>
      <c r="H1448" s="2" t="str">
        <f t="array" ref="H1448">_xlfn.XLOOKUP(B1448,Vendedores!$A$2:$A$41,Vendedores!$C$2:$C$41,"No hay datos")</f>
        <v>Santa Rosa del Valle</v>
      </c>
      <c r="I1448" s="2" t="str">
        <f t="array" ref="I1448">_xlfn.XLOOKUP(B1448,Vendedores!$A$2:$A$41,Vendedores!$D$2:$D$41,"No hay datos")</f>
        <v>Región Norte</v>
      </c>
      <c r="J1448" s="2" t="str">
        <f t="array" ref="J1448:N1448">_xlfn.XLOOKUP(A1448,Productos!$A$2:$A$61,Productos!$B$2:$F$61)</f>
        <v>Vestido largo</v>
      </c>
      <c r="K1448" s="2" t="s">
        <v>9</v>
      </c>
      <c r="L1448" s="2" t="s">
        <v>10</v>
      </c>
      <c r="M1448" s="2" t="s">
        <v>70</v>
      </c>
      <c r="N1448" s="2" t="s">
        <v>71</v>
      </c>
    </row>
    <row r="1449">
      <c r="A1449" s="2" t="str">
        <f>IFERROR(__xludf.DUMMYFUNCTION("""COMPUTED_VALUE"""),"PR011")</f>
        <v>PR011</v>
      </c>
      <c r="B1449" s="2" t="str">
        <f>IFERROR(__xludf.DUMMYFUNCTION("""COMPUTED_VALUE"""),"VD012")</f>
        <v>VD012</v>
      </c>
      <c r="C1449" s="2">
        <f>IFERROR(__xludf.DUMMYFUNCTION("""COMPUTED_VALUE"""),3.0)</f>
        <v>3</v>
      </c>
      <c r="D1449" s="6">
        <f>IFERROR(__xludf.DUMMYFUNCTION("""COMPUTED_VALUE"""),143.51)</f>
        <v>143.51</v>
      </c>
      <c r="E1449" s="6">
        <f>IFERROR(__xludf.DUMMYFUNCTION("GOOGLEFINANCE(""Currency:BRLMXN"")*D1449"),487.575225)</f>
        <v>487.575225</v>
      </c>
      <c r="F1449" s="6">
        <f>IFERROR(__xludf.DUMMYFUNCTION("GOOGLEFINANCE(""Currency:BRLPEN"")*D1449"),94.08515599999998)</f>
        <v>94.085156</v>
      </c>
      <c r="G1449" s="2" t="str">
        <f t="array" ref="G1449">_xlfn.XLOOKUP(B1449,Vendedores!$A$2:$A$41,Vendedores!$B$2:$B$41,"No hay datos")</f>
        <v>Ana Olmedo</v>
      </c>
      <c r="H1449" s="2" t="str">
        <f t="array" ref="H1449">_xlfn.XLOOKUP(B1449,Vendedores!$A$2:$A$41,Vendedores!$C$2:$C$41,"No hay datos")</f>
        <v>Río Claro</v>
      </c>
      <c r="I1449" s="2" t="str">
        <f t="array" ref="I1449">_xlfn.XLOOKUP(B1449,Vendedores!$A$2:$A$41,Vendedores!$D$2:$D$41,"No hay datos")</f>
        <v>Región Central</v>
      </c>
      <c r="J1449" s="2" t="str">
        <f t="array" ref="J1449:N1449">_xlfn.XLOOKUP(A1449,Productos!$A$2:$A$61,Productos!$B$2:$F$61)</f>
        <v>Pantalón legging</v>
      </c>
      <c r="K1449" s="2" t="s">
        <v>17</v>
      </c>
      <c r="L1449" s="2" t="s">
        <v>10</v>
      </c>
      <c r="M1449" s="2" t="s">
        <v>67</v>
      </c>
      <c r="N1449" s="2" t="s">
        <v>68</v>
      </c>
    </row>
    <row r="1450">
      <c r="A1450" s="2" t="str">
        <f>IFERROR(__xludf.DUMMYFUNCTION("""COMPUTED_VALUE"""),"PR047")</f>
        <v>PR047</v>
      </c>
      <c r="B1450" s="2" t="str">
        <f>IFERROR(__xludf.DUMMYFUNCTION("""COMPUTED_VALUE"""),"VD037")</f>
        <v>VD037</v>
      </c>
      <c r="C1450" s="2">
        <f>IFERROR(__xludf.DUMMYFUNCTION("""COMPUTED_VALUE"""),6.0)</f>
        <v>6</v>
      </c>
      <c r="D1450" s="6">
        <f>IFERROR(__xludf.DUMMYFUNCTION("""COMPUTED_VALUE"""),1808.98)</f>
        <v>1808.98</v>
      </c>
      <c r="E1450" s="6">
        <f>IFERROR(__xludf.DUMMYFUNCTION("GOOGLEFINANCE(""Currency:BRLMXN"")*D1450"),6146.00955)</f>
        <v>6146.00955</v>
      </c>
      <c r="F1450" s="6">
        <f>IFERROR(__xludf.DUMMYFUNCTION("GOOGLEFINANCE(""Currency:BRLPEN"")*D1450"),1185.967288)</f>
        <v>1185.967288</v>
      </c>
      <c r="G1450" s="2" t="str">
        <f t="array" ref="G1450">_xlfn.XLOOKUP(B1450,Vendedores!$A$2:$A$41,Vendedores!$B$2:$B$41,"No hay datos")</f>
        <v>Amanda Silva</v>
      </c>
      <c r="H1450" s="2" t="str">
        <f t="array" ref="H1450">_xlfn.XLOOKUP(B1450,Vendedores!$A$2:$A$41,Vendedores!$C$2:$C$41,"No hay datos")</f>
        <v>Villa Esperanza</v>
      </c>
      <c r="I1450" s="2" t="str">
        <f t="array" ref="I1450">_xlfn.XLOOKUP(B1450,Vendedores!$A$2:$A$41,Vendedores!$D$2:$D$41,"No hay datos")</f>
        <v>Región Sur 2</v>
      </c>
      <c r="J1450" s="2" t="str">
        <f t="array" ref="J1450:N1450">_xlfn.XLOOKUP(A1450,Productos!$A$2:$A$61,Productos!$B$2:$F$61)</f>
        <v>Chaqueta de cuero</v>
      </c>
      <c r="K1450" s="2" t="s">
        <v>17</v>
      </c>
      <c r="L1450" s="2" t="s">
        <v>10</v>
      </c>
      <c r="M1450" s="2" t="s">
        <v>43</v>
      </c>
      <c r="N1450" s="2" t="s">
        <v>44</v>
      </c>
    </row>
    <row r="1451">
      <c r="A1451" s="2" t="str">
        <f>IFERROR(__xludf.DUMMYFUNCTION("""COMPUTED_VALUE"""),"PR036")</f>
        <v>PR036</v>
      </c>
      <c r="B1451" s="2" t="str">
        <f>IFERROR(__xludf.DUMMYFUNCTION("""COMPUTED_VALUE"""),"VD027")</f>
        <v>VD027</v>
      </c>
      <c r="C1451" s="2">
        <f>IFERROR(__xludf.DUMMYFUNCTION("""COMPUTED_VALUE"""),7.0)</f>
        <v>7</v>
      </c>
      <c r="D1451" s="6">
        <f>IFERROR(__xludf.DUMMYFUNCTION("""COMPUTED_VALUE"""),693.77)</f>
        <v>693.77</v>
      </c>
      <c r="E1451" s="6">
        <f>IFERROR(__xludf.DUMMYFUNCTION("GOOGLEFINANCE(""Currency:BRLMXN"")*D1451"),2357.083575)</f>
        <v>2357.083575</v>
      </c>
      <c r="F1451" s="6">
        <f>IFERROR(__xludf.DUMMYFUNCTION("GOOGLEFINANCE(""Currency:BRLPEN"")*D1451"),454.83561199999997)</f>
        <v>454.835612</v>
      </c>
      <c r="G1451" s="2" t="str">
        <f t="array" ref="G1451">_xlfn.XLOOKUP(B1451,Vendedores!$A$2:$A$41,Vendedores!$B$2:$B$41,"No hay datos")</f>
        <v>Patricia Cortés</v>
      </c>
      <c r="H1451" s="2" t="str">
        <f t="array" ref="H1451">_xlfn.XLOOKUP(B1451,Vendedores!$A$2:$A$41,Vendedores!$C$2:$C$41,"No hay datos")</f>
        <v>Costa Azul</v>
      </c>
      <c r="I1451" s="2" t="str">
        <f t="array" ref="I1451">_xlfn.XLOOKUP(B1451,Vendedores!$A$2:$A$41,Vendedores!$D$2:$D$41,"No hay datos")</f>
        <v>Región Norte</v>
      </c>
      <c r="J1451" s="2" t="str">
        <f t="array" ref="J1451:N1451">_xlfn.XLOOKUP(A1451,Productos!$A$2:$A$61,Productos!$B$2:$F$61)</f>
        <v>Vestido corto</v>
      </c>
      <c r="K1451" s="2" t="s">
        <v>22</v>
      </c>
      <c r="L1451" s="2" t="s">
        <v>10</v>
      </c>
      <c r="M1451" s="2" t="s">
        <v>82</v>
      </c>
      <c r="N1451" s="2" t="s">
        <v>83</v>
      </c>
    </row>
    <row r="1452">
      <c r="A1452" s="2" t="str">
        <f>IFERROR(__xludf.DUMMYFUNCTION("""COMPUTED_VALUE"""),"PR027")</f>
        <v>PR027</v>
      </c>
      <c r="B1452" s="2" t="str">
        <f>IFERROR(__xludf.DUMMYFUNCTION("""COMPUTED_VALUE"""),"VD034")</f>
        <v>VD034</v>
      </c>
      <c r="C1452" s="2">
        <f>IFERROR(__xludf.DUMMYFUNCTION("""COMPUTED_VALUE"""),6.0)</f>
        <v>6</v>
      </c>
      <c r="D1452" s="6">
        <f>IFERROR(__xludf.DUMMYFUNCTION("""COMPUTED_VALUE"""),720.0)</f>
        <v>720</v>
      </c>
      <c r="E1452" s="6">
        <f>IFERROR(__xludf.DUMMYFUNCTION("GOOGLEFINANCE(""Currency:BRLMXN"")*D1452"),2446.2)</f>
        <v>2446.2</v>
      </c>
      <c r="F1452" s="6">
        <f>IFERROR(__xludf.DUMMYFUNCTION("GOOGLEFINANCE(""Currency:BRLPEN"")*D1452"),472.032)</f>
        <v>472.032</v>
      </c>
      <c r="G1452" s="2" t="str">
        <f t="array" ref="G1452">_xlfn.XLOOKUP(B1452,Vendedores!$A$2:$A$41,Vendedores!$B$2:$B$41,"No hay datos")</f>
        <v>Felipe Carvajal</v>
      </c>
      <c r="H1452" s="2" t="str">
        <f t="array" ref="H1452">_xlfn.XLOOKUP(B1452,Vendedores!$A$2:$A$41,Vendedores!$C$2:$C$41,"No hay datos")</f>
        <v>San Pedro del Río</v>
      </c>
      <c r="I1452" s="2" t="str">
        <f t="array" ref="I1452">_xlfn.XLOOKUP(B1452,Vendedores!$A$2:$A$41,Vendedores!$D$2:$D$41,"No hay datos")</f>
        <v>Región Sur 2</v>
      </c>
      <c r="J1452" s="2" t="str">
        <f t="array" ref="J1452:N1452">_xlfn.XLOOKUP(A1452,Productos!$A$2:$A$61,Productos!$B$2:$F$61)</f>
        <v>Gafas redondas</v>
      </c>
      <c r="K1452" s="2" t="s">
        <v>29</v>
      </c>
      <c r="L1452" s="2" t="s">
        <v>30</v>
      </c>
      <c r="M1452" s="2" t="s">
        <v>53</v>
      </c>
      <c r="N1452" s="2" t="s">
        <v>54</v>
      </c>
    </row>
    <row r="1453">
      <c r="A1453" s="2" t="str">
        <f>IFERROR(__xludf.DUMMYFUNCTION("""COMPUTED_VALUE"""),"PR018")</f>
        <v>PR018</v>
      </c>
      <c r="B1453" s="2" t="str">
        <f>IFERROR(__xludf.DUMMYFUNCTION("""COMPUTED_VALUE"""),"VD017")</f>
        <v>VD017</v>
      </c>
      <c r="C1453" s="2">
        <f>IFERROR(__xludf.DUMMYFUNCTION("""COMPUTED_VALUE"""),8.0)</f>
        <v>8</v>
      </c>
      <c r="D1453" s="6">
        <f>IFERROR(__xludf.DUMMYFUNCTION("""COMPUTED_VALUE"""),268.46)</f>
        <v>268.46</v>
      </c>
      <c r="E1453" s="6">
        <f>IFERROR(__xludf.DUMMYFUNCTION("GOOGLEFINANCE(""Currency:BRLMXN"")*D1453"),912.0928499999999)</f>
        <v>912.09285</v>
      </c>
      <c r="F1453" s="6">
        <f>IFERROR(__xludf.DUMMYFUNCTION("GOOGLEFINANCE(""Currency:BRLPEN"")*D1453"),176.00237599999997)</f>
        <v>176.002376</v>
      </c>
      <c r="G1453" s="2" t="str">
        <f t="array" ref="G1453">_xlfn.XLOOKUP(B1453,Vendedores!$A$2:$A$41,Vendedores!$B$2:$B$41,"No hay datos")</f>
        <v>Bruno Peralta</v>
      </c>
      <c r="H1453" s="2" t="str">
        <f t="array" ref="H1453">_xlfn.XLOOKUP(B1453,Vendedores!$A$2:$A$41,Vendedores!$C$2:$C$41,"No hay datos")</f>
        <v>Costa Azul</v>
      </c>
      <c r="I1453" s="2" t="str">
        <f t="array" ref="I1453">_xlfn.XLOOKUP(B1453,Vendedores!$A$2:$A$41,Vendedores!$D$2:$D$41,"No hay datos")</f>
        <v>Región Norte</v>
      </c>
      <c r="J1453" s="2" t="str">
        <f t="array" ref="J1453:N1453">_xlfn.XLOOKUP(A1453,Productos!$A$2:$A$61,Productos!$B$2:$F$61)</f>
        <v>Playera lisa</v>
      </c>
      <c r="K1453" s="2" t="s">
        <v>22</v>
      </c>
      <c r="L1453" s="2" t="s">
        <v>10</v>
      </c>
      <c r="M1453" s="2" t="s">
        <v>57</v>
      </c>
      <c r="N1453" s="2" t="s">
        <v>24</v>
      </c>
    </row>
    <row r="1454">
      <c r="A1454" s="2" t="str">
        <f>IFERROR(__xludf.DUMMYFUNCTION("""COMPUTED_VALUE"""),"PR043")</f>
        <v>PR043</v>
      </c>
      <c r="B1454" s="2" t="str">
        <f>IFERROR(__xludf.DUMMYFUNCTION("""COMPUTED_VALUE"""),"VD038")</f>
        <v>VD038</v>
      </c>
      <c r="C1454" s="2">
        <f>IFERROR(__xludf.DUMMYFUNCTION("""COMPUTED_VALUE"""),14.0)</f>
        <v>14</v>
      </c>
      <c r="D1454" s="6">
        <f>IFERROR(__xludf.DUMMYFUNCTION("""COMPUTED_VALUE"""),1035.3)</f>
        <v>1035.3</v>
      </c>
      <c r="E1454" s="6">
        <f>IFERROR(__xludf.DUMMYFUNCTION("GOOGLEFINANCE(""Currency:BRLMXN"")*D1454"),3517.4317499999997)</f>
        <v>3517.43175</v>
      </c>
      <c r="F1454" s="6">
        <f>IFERROR(__xludf.DUMMYFUNCTION("GOOGLEFINANCE(""Currency:BRLPEN"")*D1454"),678.74268)</f>
        <v>678.74268</v>
      </c>
      <c r="G1454" s="2" t="str">
        <f t="array" ref="G1454">_xlfn.XLOOKUP(B1454,Vendedores!$A$2:$A$41,Vendedores!$B$2:$B$41,"No hay datos")</f>
        <v>Bruno Olmedo</v>
      </c>
      <c r="H1454" s="2" t="str">
        <f t="array" ref="H1454">_xlfn.XLOOKUP(B1454,Vendedores!$A$2:$A$41,Vendedores!$C$2:$C$41,"No hay datos")</f>
        <v>Tierra Fertil</v>
      </c>
      <c r="I1454" s="2" t="str">
        <f t="array" ref="I1454">_xlfn.XLOOKUP(B1454,Vendedores!$A$2:$A$41,Vendedores!$D$2:$D$41,"No hay datos")</f>
        <v>Región Sur 2</v>
      </c>
      <c r="J1454" s="2" t="str">
        <f t="array" ref="J1454:N1454">_xlfn.XLOOKUP(A1454,Productos!$A$2:$A$61,Productos!$B$2:$F$61)</f>
        <v>Vestido floral</v>
      </c>
      <c r="K1454" s="2" t="s">
        <v>9</v>
      </c>
      <c r="L1454" s="2" t="s">
        <v>10</v>
      </c>
      <c r="M1454" s="2" t="s">
        <v>69</v>
      </c>
      <c r="N1454" s="2" t="s">
        <v>40</v>
      </c>
    </row>
    <row r="1455">
      <c r="A1455" s="2" t="str">
        <f>IFERROR(__xludf.DUMMYFUNCTION("""COMPUTED_VALUE"""),"PR023")</f>
        <v>PR023</v>
      </c>
      <c r="B1455" s="2" t="str">
        <f>IFERROR(__xludf.DUMMYFUNCTION("""COMPUTED_VALUE"""),"VD046")</f>
        <v>VD046</v>
      </c>
      <c r="C1455" s="2">
        <f>IFERROR(__xludf.DUMMYFUNCTION("""COMPUTED_VALUE"""),12.0)</f>
        <v>12</v>
      </c>
      <c r="D1455" s="6">
        <f>IFERROR(__xludf.DUMMYFUNCTION("""COMPUTED_VALUE"""),3058.78)</f>
        <v>3058.78</v>
      </c>
      <c r="E1455" s="6">
        <f>IFERROR(__xludf.DUMMYFUNCTION("GOOGLEFINANCE(""Currency:BRLMXN"")*D1455"),10392.20505)</f>
        <v>10392.20505</v>
      </c>
      <c r="F1455" s="6">
        <f>IFERROR(__xludf.DUMMYFUNCTION("GOOGLEFINANCE(""Currency:BRLPEN"")*D1455"),2005.336168)</f>
        <v>2005.336168</v>
      </c>
      <c r="G1455" s="2" t="str">
        <f t="array" ref="G1455">_xlfn.XLOOKUP(B1455,Vendedores!$A$2:$A$41,Vendedores!$B$2:$B$41,"No hay datos")</f>
        <v>Juliana Pérez</v>
      </c>
      <c r="H1455" s="2" t="str">
        <f t="array" ref="H1455">_xlfn.XLOOKUP(B1455,Vendedores!$A$2:$A$41,Vendedores!$C$2:$C$41,"No hay datos")</f>
        <v>Santa Cruz de la Sierra</v>
      </c>
      <c r="I1455" s="2" t="str">
        <f t="array" ref="I1455">_xlfn.XLOOKUP(B1455,Vendedores!$A$2:$A$41,Vendedores!$D$2:$D$41,"No hay datos")</f>
        <v>Región Central 2</v>
      </c>
      <c r="J1455" s="2" t="str">
        <f t="array" ref="J1455:N1455">_xlfn.XLOOKUP(A1455,Productos!$A$2:$A$61,Productos!$B$2:$F$61)</f>
        <v>Chaqueta de mezclilla</v>
      </c>
      <c r="K1455" s="2" t="s">
        <v>9</v>
      </c>
      <c r="L1455" s="2" t="s">
        <v>10</v>
      </c>
      <c r="M1455" s="2" t="s">
        <v>72</v>
      </c>
      <c r="N1455" s="2" t="s">
        <v>56</v>
      </c>
    </row>
    <row r="1456">
      <c r="A1456" s="2" t="str">
        <f>IFERROR(__xludf.DUMMYFUNCTION("""COMPUTED_VALUE"""),"PR014")</f>
        <v>PR014</v>
      </c>
      <c r="B1456" s="2" t="str">
        <f>IFERROR(__xludf.DUMMYFUNCTION("""COMPUTED_VALUE"""),"VD019")</f>
        <v>VD019</v>
      </c>
      <c r="C1456" s="2">
        <f>IFERROR(__xludf.DUMMYFUNCTION("""COMPUTED_VALUE"""),18.0)</f>
        <v>18</v>
      </c>
      <c r="D1456" s="6">
        <f>IFERROR(__xludf.DUMMYFUNCTION("""COMPUTED_VALUE"""),718.2)</f>
        <v>718.2</v>
      </c>
      <c r="E1456" s="6">
        <f>IFERROR(__xludf.DUMMYFUNCTION("GOOGLEFINANCE(""Currency:BRLMXN"")*D1456"),2440.0845)</f>
        <v>2440.0845</v>
      </c>
      <c r="F1456" s="6">
        <f>IFERROR(__xludf.DUMMYFUNCTION("GOOGLEFINANCE(""Currency:BRLPEN"")*D1456"),470.85192)</f>
        <v>470.85192</v>
      </c>
      <c r="G1456" s="2" t="str">
        <f t="array" ref="G1456">_xlfn.XLOOKUP(B1456,Vendedores!$A$2:$A$41,Vendedores!$B$2:$B$41,"No hay datos")</f>
        <v>Rafael Sosa</v>
      </c>
      <c r="H1456" s="2" t="str">
        <f t="array" ref="H1456">_xlfn.XLOOKUP(B1456,Vendedores!$A$2:$A$41,Vendedores!$C$2:$C$41,"No hay datos")</f>
        <v>Selva Verde</v>
      </c>
      <c r="I1456" s="2" t="str">
        <f t="array" ref="I1456">_xlfn.XLOOKUP(B1456,Vendedores!$A$2:$A$41,Vendedores!$D$2:$D$41,"No hay datos")</f>
        <v>Región Amazónica</v>
      </c>
      <c r="J1456" s="2" t="str">
        <f t="array" ref="J1456:N1456">_xlfn.XLOOKUP(A1456,Productos!$A$2:$A$61,Productos!$B$2:$F$61)</f>
        <v>Playera estampada</v>
      </c>
      <c r="K1456" s="2" t="s">
        <v>17</v>
      </c>
      <c r="L1456" s="2" t="s">
        <v>10</v>
      </c>
      <c r="M1456" s="2" t="s">
        <v>37</v>
      </c>
      <c r="N1456" s="2" t="s">
        <v>38</v>
      </c>
    </row>
    <row r="1457">
      <c r="A1457" s="2" t="str">
        <f>IFERROR(__xludf.DUMMYFUNCTION("""COMPUTED_VALUE"""),"PR028")</f>
        <v>PR028</v>
      </c>
      <c r="B1457" s="2" t="str">
        <f>IFERROR(__xludf.DUMMYFUNCTION("""COMPUTED_VALUE"""),"VD029")</f>
        <v>VD029</v>
      </c>
      <c r="C1457" s="2">
        <f>IFERROR(__xludf.DUMMYFUNCTION("""COMPUTED_VALUE"""),9.0)</f>
        <v>9</v>
      </c>
      <c r="D1457" s="6">
        <f>IFERROR(__xludf.DUMMYFUNCTION("""COMPUTED_VALUE"""),2406.54)</f>
        <v>2406.54</v>
      </c>
      <c r="E1457" s="6">
        <f>IFERROR(__xludf.DUMMYFUNCTION("GOOGLEFINANCE(""Currency:BRLMXN"")*D1457"),8176.21965)</f>
        <v>8176.21965</v>
      </c>
      <c r="F1457" s="6">
        <f>IFERROR(__xludf.DUMMYFUNCTION("GOOGLEFINANCE(""Currency:BRLPEN"")*D1457"),1577.7276239999999)</f>
        <v>1577.727624</v>
      </c>
      <c r="G1457" s="2" t="str">
        <f t="array" ref="G1457">_xlfn.XLOOKUP(B1457,Vendedores!$A$2:$A$41,Vendedores!$B$2:$B$41,"No hay datos")</f>
        <v>Gabriela Sosa</v>
      </c>
      <c r="H1457" s="2" t="str">
        <f t="array" ref="H1457">_xlfn.XLOOKUP(B1457,Vendedores!$A$2:$A$41,Vendedores!$C$2:$C$41,"No hay datos")</f>
        <v>Selva Verde</v>
      </c>
      <c r="I1457" s="2" t="str">
        <f t="array" ref="I1457">_xlfn.XLOOKUP(B1457,Vendedores!$A$2:$A$41,Vendedores!$D$2:$D$41,"No hay datos")</f>
        <v>Región Amazónica</v>
      </c>
      <c r="J1457" s="2" t="str">
        <f t="array" ref="J1457:N1457">_xlfn.XLOOKUP(A1457,Productos!$A$2:$A$61,Productos!$B$2:$F$61)</f>
        <v>Tenis Atitas</v>
      </c>
      <c r="K1457" s="2">
        <v>36.0</v>
      </c>
      <c r="L1457" s="2" t="s">
        <v>33</v>
      </c>
      <c r="M1457" s="2" t="s">
        <v>55</v>
      </c>
      <c r="N1457" s="2" t="s">
        <v>56</v>
      </c>
    </row>
    <row r="1458">
      <c r="A1458" s="2" t="str">
        <f>IFERROR(__xludf.DUMMYFUNCTION("""COMPUTED_VALUE"""),"PR054")</f>
        <v>PR054</v>
      </c>
      <c r="B1458" s="2" t="str">
        <f>IFERROR(__xludf.DUMMYFUNCTION("""COMPUTED_VALUE"""),"VD015")</f>
        <v>VD015</v>
      </c>
      <c r="C1458" s="2">
        <f>IFERROR(__xludf.DUMMYFUNCTION("""COMPUTED_VALUE"""),2.0)</f>
        <v>2</v>
      </c>
      <c r="D1458" s="6">
        <f>IFERROR(__xludf.DUMMYFUNCTION("""COMPUTED_VALUE"""),100.8)</f>
        <v>100.8</v>
      </c>
      <c r="E1458" s="6">
        <f>IFERROR(__xludf.DUMMYFUNCTION("GOOGLEFINANCE(""Currency:BRLMXN"")*D1458"),342.46799999999996)</f>
        <v>342.468</v>
      </c>
      <c r="F1458" s="6">
        <f>IFERROR(__xludf.DUMMYFUNCTION("GOOGLEFINANCE(""Currency:BRLPEN"")*D1458"),66.08448)</f>
        <v>66.08448</v>
      </c>
      <c r="G1458" s="2" t="str">
        <f t="array" ref="G1458">_xlfn.XLOOKUP(B1458,Vendedores!$A$2:$A$41,Vendedores!$B$2:$B$41,"No hay datos")</f>
        <v>Lucas Castillo</v>
      </c>
      <c r="H1458" s="2" t="str">
        <f t="array" ref="H1458">_xlfn.XLOOKUP(B1458,Vendedores!$A$2:$A$41,Vendedores!$C$2:$C$41,"No hay datos")</f>
        <v>San Miguel de los Pinos</v>
      </c>
      <c r="I1458" s="2" t="str">
        <f t="array" ref="I1458">_xlfn.XLOOKUP(B1458,Vendedores!$A$2:$A$41,Vendedores!$D$2:$D$41,"No hay datos")</f>
        <v>Región Sur</v>
      </c>
      <c r="J1458" s="2" t="str">
        <f t="array" ref="J1458:N1458">_xlfn.XLOOKUP(A1458,Productos!$A$2:$A$61,Productos!$B$2:$F$61)</f>
        <v>Falda plisada</v>
      </c>
      <c r="K1458" s="2" t="s">
        <v>22</v>
      </c>
      <c r="L1458" s="2" t="s">
        <v>10</v>
      </c>
      <c r="M1458" s="2" t="s">
        <v>42</v>
      </c>
      <c r="N1458" s="2" t="s">
        <v>32</v>
      </c>
    </row>
    <row r="1459">
      <c r="A1459" s="2" t="str">
        <f>IFERROR(__xludf.DUMMYFUNCTION("""COMPUTED_VALUE"""),"PR010")</f>
        <v>PR010</v>
      </c>
      <c r="B1459" s="2" t="str">
        <f>IFERROR(__xludf.DUMMYFUNCTION("""COMPUTED_VALUE"""),"VD018")</f>
        <v>VD018</v>
      </c>
      <c r="C1459" s="2">
        <f>IFERROR(__xludf.DUMMYFUNCTION("""COMPUTED_VALUE"""),10.0)</f>
        <v>10</v>
      </c>
      <c r="D1459" s="6">
        <f>IFERROR(__xludf.DUMMYFUNCTION("""COMPUTED_VALUE"""),475.94)</f>
        <v>475.94</v>
      </c>
      <c r="E1459" s="6">
        <f>IFERROR(__xludf.DUMMYFUNCTION("GOOGLEFINANCE(""Currency:BRLMXN"")*D1459"),1617.00615)</f>
        <v>1617.00615</v>
      </c>
      <c r="F1459" s="6">
        <f>IFERROR(__xludf.DUMMYFUNCTION("GOOGLEFINANCE(""Currency:BRLPEN"")*D1459"),312.02626399999997)</f>
        <v>312.026264</v>
      </c>
      <c r="G1459" s="2" t="str">
        <f t="array" ref="G1459">_xlfn.XLOOKUP(B1459,Vendedores!$A$2:$A$41,Vendedores!$B$2:$B$41,"No hay datos")</f>
        <v>Leticia Rodríguez</v>
      </c>
      <c r="H1459" s="2" t="str">
        <f t="array" ref="H1459">_xlfn.XLOOKUP(B1459,Vendedores!$A$2:$A$41,Vendedores!$C$2:$C$41,"No hay datos")</f>
        <v>Playa Blanca</v>
      </c>
      <c r="I1459" s="2" t="str">
        <f t="array" ref="I1459">_xlfn.XLOOKUP(B1459,Vendedores!$A$2:$A$41,Vendedores!$D$2:$D$41,"No hay datos")</f>
        <v>Región Norte</v>
      </c>
      <c r="J1459" s="2" t="str">
        <f t="array" ref="J1459:N1459">_xlfn.XLOOKUP(A1459,Productos!$A$2:$A$61,Productos!$B$2:$F$61)</f>
        <v>Pantalón legging</v>
      </c>
      <c r="K1459" s="2" t="s">
        <v>9</v>
      </c>
      <c r="L1459" s="2" t="s">
        <v>10</v>
      </c>
      <c r="M1459" s="2" t="s">
        <v>86</v>
      </c>
      <c r="N1459" s="2" t="s">
        <v>87</v>
      </c>
    </row>
    <row r="1460">
      <c r="A1460" s="2" t="str">
        <f>IFERROR(__xludf.DUMMYFUNCTION("""COMPUTED_VALUE"""),"PR042")</f>
        <v>PR042</v>
      </c>
      <c r="B1460" s="2" t="str">
        <f>IFERROR(__xludf.DUMMYFUNCTION("""COMPUTED_VALUE"""),"VD026")</f>
        <v>VD026</v>
      </c>
      <c r="C1460" s="2">
        <f>IFERROR(__xludf.DUMMYFUNCTION("""COMPUTED_VALUE"""),3.0)</f>
        <v>3</v>
      </c>
      <c r="D1460" s="6">
        <f>IFERROR(__xludf.DUMMYFUNCTION("""COMPUTED_VALUE"""),164.7)</f>
        <v>164.7</v>
      </c>
      <c r="E1460" s="6">
        <f>IFERROR(__xludf.DUMMYFUNCTION("GOOGLEFINANCE(""Currency:BRLMXN"")*D1460"),559.5682499999999)</f>
        <v>559.56825</v>
      </c>
      <c r="F1460" s="6">
        <f>IFERROR(__xludf.DUMMYFUNCTION("GOOGLEFINANCE(""Currency:BRLPEN"")*D1460"),107.97731999999999)</f>
        <v>107.97732</v>
      </c>
      <c r="G1460" s="2" t="str">
        <f t="array" ref="G1460">_xlfn.XLOOKUP(B1460,Vendedores!$A$2:$A$41,Vendedores!$B$2:$B$41,"No hay datos")</f>
        <v>Daniel Fernández</v>
      </c>
      <c r="H1460" s="2" t="str">
        <f t="array" ref="H1460">_xlfn.XLOOKUP(B1460,Vendedores!$A$2:$A$41,Vendedores!$C$2:$C$41,"No hay datos")</f>
        <v>Puerto Esperanza</v>
      </c>
      <c r="I1460" s="2" t="str">
        <f t="array" ref="I1460">_xlfn.XLOOKUP(B1460,Vendedores!$A$2:$A$41,Vendedores!$D$2:$D$41,"No hay datos")</f>
        <v>Región Sur</v>
      </c>
      <c r="J1460" s="2" t="str">
        <f t="array" ref="J1460:N1460">_xlfn.XLOOKUP(A1460,Productos!$A$2:$A$61,Productos!$B$2:$F$61)</f>
        <v>Playera confort</v>
      </c>
      <c r="K1460" s="2" t="s">
        <v>22</v>
      </c>
      <c r="L1460" s="2" t="s">
        <v>10</v>
      </c>
      <c r="M1460" s="2" t="s">
        <v>25</v>
      </c>
      <c r="N1460" s="2" t="s">
        <v>26</v>
      </c>
    </row>
    <row r="1461">
      <c r="A1461" s="2" t="str">
        <f>IFERROR(__xludf.DUMMYFUNCTION("""COMPUTED_VALUE"""),"PR039")</f>
        <v>PR039</v>
      </c>
      <c r="B1461" s="2" t="str">
        <f>IFERROR(__xludf.DUMMYFUNCTION("""COMPUTED_VALUE"""),"VD044")</f>
        <v>VD044</v>
      </c>
      <c r="C1461" s="2">
        <f>IFERROR(__xludf.DUMMYFUNCTION("""COMPUTED_VALUE"""),2.0)</f>
        <v>2</v>
      </c>
      <c r="D1461" s="6">
        <f>IFERROR(__xludf.DUMMYFUNCTION("""COMPUTED_VALUE"""),312.44)</f>
        <v>312.44</v>
      </c>
      <c r="E1461" s="6">
        <f>IFERROR(__xludf.DUMMYFUNCTION("GOOGLEFINANCE(""Currency:BRLMXN"")*D1461"),1061.5149)</f>
        <v>1061.5149</v>
      </c>
      <c r="F1461" s="6">
        <f>IFERROR(__xludf.DUMMYFUNCTION("GOOGLEFINANCE(""Currency:BRLPEN"")*D1461"),204.83566399999998)</f>
        <v>204.835664</v>
      </c>
      <c r="G1461" s="2" t="str">
        <f t="array" ref="G1461">_xlfn.XLOOKUP(B1461,Vendedores!$A$2:$A$41,Vendedores!$B$2:$B$41,"No hay datos")</f>
        <v>Silvia Menéndez</v>
      </c>
      <c r="H1461" s="2" t="str">
        <f t="array" ref="H1461">_xlfn.XLOOKUP(B1461,Vendedores!$A$2:$A$41,Vendedores!$C$2:$C$41,"No hay datos")</f>
        <v>San Antonio del Monte</v>
      </c>
      <c r="I1461" s="2" t="str">
        <f t="array" ref="I1461">_xlfn.XLOOKUP(B1461,Vendedores!$A$2:$A$41,Vendedores!$D$2:$D$41,"No hay datos")</f>
        <v>Región Central 2</v>
      </c>
      <c r="J1461" s="2" t="str">
        <f t="array" ref="J1461:N1461">_xlfn.XLOOKUP(A1461,Productos!$A$2:$A$61,Productos!$B$2:$F$61)</f>
        <v>Vestido largo</v>
      </c>
      <c r="K1461" s="2" t="s">
        <v>22</v>
      </c>
      <c r="L1461" s="2" t="s">
        <v>10</v>
      </c>
      <c r="M1461" s="2" t="s">
        <v>73</v>
      </c>
      <c r="N1461" s="2" t="s">
        <v>74</v>
      </c>
    </row>
    <row r="1462">
      <c r="A1462" s="2" t="str">
        <f>IFERROR(__xludf.DUMMYFUNCTION("""COMPUTED_VALUE"""),"PR010")</f>
        <v>PR010</v>
      </c>
      <c r="B1462" s="2" t="str">
        <f>IFERROR(__xludf.DUMMYFUNCTION("""COMPUTED_VALUE"""),"VD047")</f>
        <v>VD047</v>
      </c>
      <c r="C1462" s="2">
        <f>IFERROR(__xludf.DUMMYFUNCTION("""COMPUTED_VALUE"""),2.0)</f>
        <v>2</v>
      </c>
      <c r="D1462" s="6">
        <f>IFERROR(__xludf.DUMMYFUNCTION("""COMPUTED_VALUE"""),91.6)</f>
        <v>91.6</v>
      </c>
      <c r="E1462" s="6">
        <f>IFERROR(__xludf.DUMMYFUNCTION("GOOGLEFINANCE(""Currency:BRLMXN"")*D1462"),311.21099999999996)</f>
        <v>311.211</v>
      </c>
      <c r="F1462" s="6">
        <f>IFERROR(__xludf.DUMMYFUNCTION("GOOGLEFINANCE(""Currency:BRLPEN"")*D1462"),60.05295999999999)</f>
        <v>60.05296</v>
      </c>
      <c r="G1462" s="2" t="str">
        <f t="array" ref="G1462">_xlfn.XLOOKUP(B1462,Vendedores!$A$2:$A$41,Vendedores!$B$2:$B$41,"No hay datos")</f>
        <v>Andrés López</v>
      </c>
      <c r="H1462" s="2" t="str">
        <f t="array" ref="H1462">_xlfn.XLOOKUP(B1462,Vendedores!$A$2:$A$41,Vendedores!$C$2:$C$41,"No hay datos")</f>
        <v>Villa Progreso</v>
      </c>
      <c r="I1462" s="2" t="str">
        <f t="array" ref="I1462">_xlfn.XLOOKUP(B1462,Vendedores!$A$2:$A$41,Vendedores!$D$2:$D$41,"No hay datos")</f>
        <v>Región Central 2</v>
      </c>
      <c r="J1462" s="2" t="str">
        <f t="array" ref="J1462:N1462">_xlfn.XLOOKUP(A1462,Productos!$A$2:$A$61,Productos!$B$2:$F$61)</f>
        <v>Pantalón legging</v>
      </c>
      <c r="K1462" s="2" t="s">
        <v>9</v>
      </c>
      <c r="L1462" s="2" t="s">
        <v>10</v>
      </c>
      <c r="M1462" s="2" t="s">
        <v>86</v>
      </c>
      <c r="N1462" s="2" t="s">
        <v>87</v>
      </c>
    </row>
    <row r="1463">
      <c r="A1463" s="2" t="str">
        <f>IFERROR(__xludf.DUMMYFUNCTION("""COMPUTED_VALUE"""),"PR046")</f>
        <v>PR046</v>
      </c>
      <c r="B1463" s="2" t="str">
        <f>IFERROR(__xludf.DUMMYFUNCTION("""COMPUTED_VALUE"""),"VD024")</f>
        <v>VD024</v>
      </c>
      <c r="C1463" s="2">
        <f>IFERROR(__xludf.DUMMYFUNCTION("""COMPUTED_VALUE"""),10.0)</f>
        <v>10</v>
      </c>
      <c r="D1463" s="6">
        <f>IFERROR(__xludf.DUMMYFUNCTION("""COMPUTED_VALUE"""),3043.95)</f>
        <v>3043.95</v>
      </c>
      <c r="E1463" s="6">
        <f>IFERROR(__xludf.DUMMYFUNCTION("GOOGLEFINANCE(""Currency:BRLMXN"")*D1463"),10341.820124999998)</f>
        <v>10341.82013</v>
      </c>
      <c r="F1463" s="6">
        <f>IFERROR(__xludf.DUMMYFUNCTION("GOOGLEFINANCE(""Currency:BRLPEN"")*D1463"),1995.6136199999999)</f>
        <v>1995.61362</v>
      </c>
      <c r="G1463" s="2" t="str">
        <f t="array" ref="G1463">_xlfn.XLOOKUP(B1463,Vendedores!$A$2:$A$41,Vendedores!$B$2:$B$41,"No hay datos")</f>
        <v>Marcos Rivera</v>
      </c>
      <c r="H1463" s="2" t="str">
        <f t="array" ref="H1463">_xlfn.XLOOKUP(B1463,Vendedores!$A$2:$A$41,Vendedores!$C$2:$C$41,"No hay datos")</f>
        <v>Santa Rosa del Valle</v>
      </c>
      <c r="I1463" s="2" t="str">
        <f t="array" ref="I1463">_xlfn.XLOOKUP(B1463,Vendedores!$A$2:$A$41,Vendedores!$D$2:$D$41,"No hay datos")</f>
        <v>Región Norte</v>
      </c>
      <c r="J1463" s="2" t="str">
        <f t="array" ref="J1463:N1463">_xlfn.XLOOKUP(A1463,Productos!$A$2:$A$61,Productos!$B$2:$F$61)</f>
        <v>Chaqueta de cuero</v>
      </c>
      <c r="K1463" s="2" t="s">
        <v>9</v>
      </c>
      <c r="L1463" s="2" t="s">
        <v>10</v>
      </c>
      <c r="M1463" s="2" t="s">
        <v>94</v>
      </c>
      <c r="N1463" s="2" t="s">
        <v>44</v>
      </c>
    </row>
    <row r="1464">
      <c r="A1464" s="2" t="str">
        <f>IFERROR(__xludf.DUMMYFUNCTION("""COMPUTED_VALUE"""),"PR059")</f>
        <v>PR059</v>
      </c>
      <c r="B1464" s="2" t="str">
        <f>IFERROR(__xludf.DUMMYFUNCTION("""COMPUTED_VALUE"""),"VD019")</f>
        <v>VD019</v>
      </c>
      <c r="C1464" s="2">
        <f>IFERROR(__xludf.DUMMYFUNCTION("""COMPUTED_VALUE"""),7.0)</f>
        <v>7</v>
      </c>
      <c r="D1464" s="6">
        <f>IFERROR(__xludf.DUMMYFUNCTION("""COMPUTED_VALUE"""),1285.2)</f>
        <v>1285.2</v>
      </c>
      <c r="E1464" s="6">
        <f>IFERROR(__xludf.DUMMYFUNCTION("GOOGLEFINANCE(""Currency:BRLMXN"")*D1464"),4366.467000000001)</f>
        <v>4366.467</v>
      </c>
      <c r="F1464" s="6">
        <f>IFERROR(__xludf.DUMMYFUNCTION("GOOGLEFINANCE(""Currency:BRLPEN"")*D1464"),842.5771199999999)</f>
        <v>842.57712</v>
      </c>
      <c r="G1464" s="2" t="str">
        <f t="array" ref="G1464">_xlfn.XLOOKUP(B1464,Vendedores!$A$2:$A$41,Vendedores!$B$2:$B$41,"No hay datos")</f>
        <v>Rafael Sosa</v>
      </c>
      <c r="H1464" s="2" t="str">
        <f t="array" ref="H1464">_xlfn.XLOOKUP(B1464,Vendedores!$A$2:$A$41,Vendedores!$C$2:$C$41,"No hay datos")</f>
        <v>Selva Verde</v>
      </c>
      <c r="I1464" s="2" t="str">
        <f t="array" ref="I1464">_xlfn.XLOOKUP(B1464,Vendedores!$A$2:$A$41,Vendedores!$D$2:$D$41,"No hay datos")</f>
        <v>Región Amazónica</v>
      </c>
      <c r="J1464" s="2" t="str">
        <f t="array" ref="J1464:N1464">_xlfn.XLOOKUP(A1464,Productos!$A$2:$A$61,Productos!$B$2:$F$61)</f>
        <v>Pantalón de sastre</v>
      </c>
      <c r="K1464" s="2" t="s">
        <v>17</v>
      </c>
      <c r="L1464" s="2" t="s">
        <v>10</v>
      </c>
      <c r="M1464" s="2" t="s">
        <v>28</v>
      </c>
      <c r="N1464" s="2" t="s">
        <v>14</v>
      </c>
    </row>
    <row r="1465">
      <c r="A1465" s="2" t="str">
        <f>IFERROR(__xludf.DUMMYFUNCTION("""COMPUTED_VALUE"""),"PR048")</f>
        <v>PR048</v>
      </c>
      <c r="B1465" s="2" t="str">
        <f>IFERROR(__xludf.DUMMYFUNCTION("""COMPUTED_VALUE"""),"VD034")</f>
        <v>VD034</v>
      </c>
      <c r="C1465" s="2">
        <f>IFERROR(__xludf.DUMMYFUNCTION("""COMPUTED_VALUE"""),20.0)</f>
        <v>20</v>
      </c>
      <c r="D1465" s="6">
        <f>IFERROR(__xludf.DUMMYFUNCTION("""COMPUTED_VALUE"""),6145.88)</f>
        <v>6145.88</v>
      </c>
      <c r="E1465" s="6">
        <f>IFERROR(__xludf.DUMMYFUNCTION("GOOGLEFINANCE(""Currency:BRLMXN"")*D1465"),20880.6273)</f>
        <v>20880.6273</v>
      </c>
      <c r="F1465" s="6">
        <f>IFERROR(__xludf.DUMMYFUNCTION("GOOGLEFINANCE(""Currency:BRLPEN"")*D1465"),4029.2389279999998)</f>
        <v>4029.238928</v>
      </c>
      <c r="G1465" s="2" t="str">
        <f t="array" ref="G1465">_xlfn.XLOOKUP(B1465,Vendedores!$A$2:$A$41,Vendedores!$B$2:$B$41,"No hay datos")</f>
        <v>Felipe Carvajal</v>
      </c>
      <c r="H1465" s="2" t="str">
        <f t="array" ref="H1465">_xlfn.XLOOKUP(B1465,Vendedores!$A$2:$A$41,Vendedores!$C$2:$C$41,"No hay datos")</f>
        <v>San Pedro del Río</v>
      </c>
      <c r="I1465" s="2" t="str">
        <f t="array" ref="I1465">_xlfn.XLOOKUP(B1465,Vendedores!$A$2:$A$41,Vendedores!$D$2:$D$41,"No hay datos")</f>
        <v>Región Sur 2</v>
      </c>
      <c r="J1465" s="2" t="str">
        <f t="array" ref="J1465:N1465">_xlfn.XLOOKUP(A1465,Productos!$A$2:$A$61,Productos!$B$2:$F$61)</f>
        <v>Chaqueta de cuero</v>
      </c>
      <c r="K1465" s="2" t="s">
        <v>22</v>
      </c>
      <c r="L1465" s="2" t="s">
        <v>10</v>
      </c>
      <c r="M1465" s="2" t="s">
        <v>94</v>
      </c>
      <c r="N1465" s="2" t="s">
        <v>44</v>
      </c>
    </row>
    <row r="1466">
      <c r="A1466" s="2" t="str">
        <f>IFERROR(__xludf.DUMMYFUNCTION("""COMPUTED_VALUE"""),"PR047")</f>
        <v>PR047</v>
      </c>
      <c r="B1466" s="2" t="str">
        <f>IFERROR(__xludf.DUMMYFUNCTION("""COMPUTED_VALUE"""),"VD048")</f>
        <v>VD048</v>
      </c>
      <c r="C1466" s="2">
        <f>IFERROR(__xludf.DUMMYFUNCTION("""COMPUTED_VALUE"""),10.0)</f>
        <v>10</v>
      </c>
      <c r="D1466" s="6">
        <f>IFERROR(__xludf.DUMMYFUNCTION("""COMPUTED_VALUE"""),3159.91)</f>
        <v>3159.91</v>
      </c>
      <c r="E1466" s="6">
        <f>IFERROR(__xludf.DUMMYFUNCTION("GOOGLEFINANCE(""Currency:BRLMXN"")*D1466"),10735.794225)</f>
        <v>10735.79423</v>
      </c>
      <c r="F1466" s="6">
        <f>IFERROR(__xludf.DUMMYFUNCTION("GOOGLEFINANCE(""Currency:BRLPEN"")*D1466"),2071.6369959999997)</f>
        <v>2071.636996</v>
      </c>
      <c r="G1466" s="2" t="str">
        <f t="array" ref="G1466">_xlfn.XLOOKUP(B1466,Vendedores!$A$2:$A$41,Vendedores!$B$2:$B$41,"No hay datos")</f>
        <v>Mariana Castro</v>
      </c>
      <c r="H1466" s="2" t="str">
        <f t="array" ref="H1466">_xlfn.XLOOKUP(B1466,Vendedores!$A$2:$A$41,Vendedores!$C$2:$C$41,"No hay datos")</f>
        <v>San Carlos del Valle</v>
      </c>
      <c r="I1466" s="2" t="str">
        <f t="array" ref="I1466">_xlfn.XLOOKUP(B1466,Vendedores!$A$2:$A$41,Vendedores!$D$2:$D$41,"No hay datos")</f>
        <v>Región Central 2</v>
      </c>
      <c r="J1466" s="2" t="str">
        <f t="array" ref="J1466:N1466">_xlfn.XLOOKUP(A1466,Productos!$A$2:$A$61,Productos!$B$2:$F$61)</f>
        <v>Chaqueta de cuero</v>
      </c>
      <c r="K1466" s="2" t="s">
        <v>17</v>
      </c>
      <c r="L1466" s="2" t="s">
        <v>10</v>
      </c>
      <c r="M1466" s="2" t="s">
        <v>43</v>
      </c>
      <c r="N1466" s="2" t="s">
        <v>44</v>
      </c>
    </row>
    <row r="1467">
      <c r="A1467" s="2" t="str">
        <f>IFERROR(__xludf.DUMMYFUNCTION("""COMPUTED_VALUE"""),"PR029")</f>
        <v>PR029</v>
      </c>
      <c r="B1467" s="2" t="str">
        <f>IFERROR(__xludf.DUMMYFUNCTION("""COMPUTED_VALUE"""),"VD014")</f>
        <v>VD014</v>
      </c>
      <c r="C1467" s="2">
        <f>IFERROR(__xludf.DUMMYFUNCTION("""COMPUTED_VALUE"""),9.0)</f>
        <v>9</v>
      </c>
      <c r="D1467" s="6">
        <f>IFERROR(__xludf.DUMMYFUNCTION("""COMPUTED_VALUE"""),2340.9)</f>
        <v>2340.9</v>
      </c>
      <c r="E1467" s="6">
        <f>IFERROR(__xludf.DUMMYFUNCTION("GOOGLEFINANCE(""Currency:BRLMXN"")*D1467"),7953.2077500000005)</f>
        <v>7953.20775</v>
      </c>
      <c r="F1467" s="6">
        <f>IFERROR(__xludf.DUMMYFUNCTION("GOOGLEFINANCE(""Currency:BRLPEN"")*D1467"),1534.6940399999999)</f>
        <v>1534.69404</v>
      </c>
      <c r="G1467" s="2" t="str">
        <f t="array" ref="G1467">_xlfn.XLOOKUP(B1467,Vendedores!$A$2:$A$41,Vendedores!$B$2:$B$41,"No hay datos")</f>
        <v>Carla Flores</v>
      </c>
      <c r="H1467" s="2" t="str">
        <f t="array" ref="H1467">_xlfn.XLOOKUP(B1467,Vendedores!$A$2:$A$41,Vendedores!$C$2:$C$41,"No hay datos")</f>
        <v>Valle Escondido</v>
      </c>
      <c r="I1467" s="2" t="str">
        <f t="array" ref="I1467">_xlfn.XLOOKUP(B1467,Vendedores!$A$2:$A$41,Vendedores!$D$2:$D$41,"No hay datos")</f>
        <v>Región Andina</v>
      </c>
      <c r="J1467" s="2" t="str">
        <f t="array" ref="J1467:N1467">_xlfn.XLOOKUP(A1467,Productos!$A$2:$A$61,Productos!$B$2:$F$61)</f>
        <v>Tenis Atitas</v>
      </c>
      <c r="K1467" s="2">
        <v>37.0</v>
      </c>
      <c r="L1467" s="2" t="s">
        <v>33</v>
      </c>
      <c r="M1467" s="2" t="s">
        <v>96</v>
      </c>
      <c r="N1467" s="2" t="s">
        <v>97</v>
      </c>
    </row>
    <row r="1468">
      <c r="A1468" s="2" t="str">
        <f>IFERROR(__xludf.DUMMYFUNCTION("""COMPUTED_VALUE"""),"PR053")</f>
        <v>PR053</v>
      </c>
      <c r="B1468" s="2" t="str">
        <f>IFERROR(__xludf.DUMMYFUNCTION("""COMPUTED_VALUE"""),"VD043")</f>
        <v>VD043</v>
      </c>
      <c r="C1468" s="2">
        <f>IFERROR(__xludf.DUMMYFUNCTION("""COMPUTED_VALUE"""),6.0)</f>
        <v>6</v>
      </c>
      <c r="D1468" s="6">
        <f>IFERROR(__xludf.DUMMYFUNCTION("""COMPUTED_VALUE"""),299.4)</f>
        <v>299.4</v>
      </c>
      <c r="E1468" s="6">
        <f>IFERROR(__xludf.DUMMYFUNCTION("GOOGLEFINANCE(""Currency:BRLMXN"")*D1468"),1017.2114999999999)</f>
        <v>1017.2115</v>
      </c>
      <c r="F1468" s="6">
        <f>IFERROR(__xludf.DUMMYFUNCTION("GOOGLEFINANCE(""Currency:BRLPEN"")*D1468"),196.28663999999998)</f>
        <v>196.28664</v>
      </c>
      <c r="G1468" s="2" t="str">
        <f t="array" ref="G1468">_xlfn.XLOOKUP(B1468,Vendedores!$A$2:$A$41,Vendedores!$B$2:$B$41,"No hay datos")</f>
        <v>Carlos Henríquez</v>
      </c>
      <c r="H1468" s="2" t="str">
        <f t="array" ref="H1468">_xlfn.XLOOKUP(B1468,Vendedores!$A$2:$A$41,Vendedores!$C$2:$C$41,"No hay datos")</f>
        <v>Ciudad Aeropuerto</v>
      </c>
      <c r="I1468" s="2" t="str">
        <f t="array" ref="I1468">_xlfn.XLOOKUP(B1468,Vendedores!$A$2:$A$41,Vendedores!$D$2:$D$41,"No hay datos")</f>
        <v>Región Central 2</v>
      </c>
      <c r="J1468" s="2" t="str">
        <f t="array" ref="J1468:N1468">_xlfn.XLOOKUP(A1468,Productos!$A$2:$A$61,Productos!$B$2:$F$61)</f>
        <v>Falda plisada</v>
      </c>
      <c r="K1468" s="2" t="s">
        <v>17</v>
      </c>
      <c r="L1468" s="2" t="s">
        <v>10</v>
      </c>
      <c r="M1468" s="2" t="s">
        <v>41</v>
      </c>
      <c r="N1468" s="2" t="s">
        <v>32</v>
      </c>
    </row>
    <row r="1469">
      <c r="A1469" s="2" t="str">
        <f>IFERROR(__xludf.DUMMYFUNCTION("""COMPUTED_VALUE"""),"PR005")</f>
        <v>PR005</v>
      </c>
      <c r="B1469" s="2" t="str">
        <f>IFERROR(__xludf.DUMMYFUNCTION("""COMPUTED_VALUE"""),"VD047")</f>
        <v>VD047</v>
      </c>
      <c r="C1469" s="2">
        <f>IFERROR(__xludf.DUMMYFUNCTION("""COMPUTED_VALUE"""),2.0)</f>
        <v>2</v>
      </c>
      <c r="D1469" s="6">
        <f>IFERROR(__xludf.DUMMYFUNCTION("""COMPUTED_VALUE"""),556.19)</f>
        <v>556.19</v>
      </c>
      <c r="E1469" s="6">
        <f>IFERROR(__xludf.DUMMYFUNCTION("GOOGLEFINANCE(""Currency:BRLMXN"")*D1469"),1889.6555250000001)</f>
        <v>1889.655525</v>
      </c>
      <c r="F1469" s="6">
        <f>IFERROR(__xludf.DUMMYFUNCTION("GOOGLEFINANCE(""Currency:BRLPEN"")*D1469"),364.638164)</f>
        <v>364.638164</v>
      </c>
      <c r="G1469" s="2" t="str">
        <f t="array" ref="G1469">_xlfn.XLOOKUP(B1469,Vendedores!$A$2:$A$41,Vendedores!$B$2:$B$41,"No hay datos")</f>
        <v>Andrés López</v>
      </c>
      <c r="H1469" s="2" t="str">
        <f t="array" ref="H1469">_xlfn.XLOOKUP(B1469,Vendedores!$A$2:$A$41,Vendedores!$C$2:$C$41,"No hay datos")</f>
        <v>Villa Progreso</v>
      </c>
      <c r="I1469" s="2" t="str">
        <f t="array" ref="I1469">_xlfn.XLOOKUP(B1469,Vendedores!$A$2:$A$41,Vendedores!$D$2:$D$41,"No hay datos")</f>
        <v>Región Central 2</v>
      </c>
      <c r="J1469" s="2" t="str">
        <f t="array" ref="J1469:N1469">_xlfn.XLOOKUP(A1469,Productos!$A$2:$A$61,Productos!$B$2:$F$61)</f>
        <v>Bolso de cuero</v>
      </c>
      <c r="K1469" s="2" t="s">
        <v>29</v>
      </c>
      <c r="L1469" s="2" t="s">
        <v>30</v>
      </c>
      <c r="M1469" s="2" t="s">
        <v>100</v>
      </c>
      <c r="N1469" s="2" t="s">
        <v>64</v>
      </c>
    </row>
    <row r="1470">
      <c r="A1470" s="2" t="str">
        <f>IFERROR(__xludf.DUMMYFUNCTION("""COMPUTED_VALUE"""),"PR039")</f>
        <v>PR039</v>
      </c>
      <c r="B1470" s="2" t="str">
        <f>IFERROR(__xludf.DUMMYFUNCTION("""COMPUTED_VALUE"""),"VD020")</f>
        <v>VD020</v>
      </c>
      <c r="C1470" s="2">
        <f>IFERROR(__xludf.DUMMYFUNCTION("""COMPUTED_VALUE"""),2.0)</f>
        <v>2</v>
      </c>
      <c r="D1470" s="6">
        <f>IFERROR(__xludf.DUMMYFUNCTION("""COMPUTED_VALUE"""),292.0)</f>
        <v>292</v>
      </c>
      <c r="E1470" s="6">
        <f>IFERROR(__xludf.DUMMYFUNCTION("GOOGLEFINANCE(""Currency:BRLMXN"")*D1470"),992.0699999999999)</f>
        <v>992.07</v>
      </c>
      <c r="F1470" s="6">
        <f>IFERROR(__xludf.DUMMYFUNCTION("GOOGLEFINANCE(""Currency:BRLPEN"")*D1470"),191.43519999999998)</f>
        <v>191.4352</v>
      </c>
      <c r="G1470" s="2" t="str">
        <f t="array" ref="G1470">_xlfn.XLOOKUP(B1470,Vendedores!$A$2:$A$41,Vendedores!$B$2:$B$41,"No hay datos")</f>
        <v>Gustavo Morales</v>
      </c>
      <c r="H1470" s="2" t="str">
        <f t="array" ref="H1470">_xlfn.XLOOKUP(B1470,Vendedores!$A$2:$A$41,Vendedores!$C$2:$C$41,"No hay datos")</f>
        <v>Villa del Sol</v>
      </c>
      <c r="I1470" s="2" t="str">
        <f t="array" ref="I1470">_xlfn.XLOOKUP(B1470,Vendedores!$A$2:$A$41,Vendedores!$D$2:$D$41,"No hay datos")</f>
        <v>Región Central 2</v>
      </c>
      <c r="J1470" s="2" t="str">
        <f t="array" ref="J1470:N1470">_xlfn.XLOOKUP(A1470,Productos!$A$2:$A$61,Productos!$B$2:$F$61)</f>
        <v>Vestido largo</v>
      </c>
      <c r="K1470" s="2" t="s">
        <v>22</v>
      </c>
      <c r="L1470" s="2" t="s">
        <v>10</v>
      </c>
      <c r="M1470" s="2" t="s">
        <v>73</v>
      </c>
      <c r="N1470" s="2" t="s">
        <v>74</v>
      </c>
    </row>
    <row r="1471">
      <c r="A1471" s="2" t="str">
        <f>IFERROR(__xludf.DUMMYFUNCTION("""COMPUTED_VALUE"""),"PR031")</f>
        <v>PR031</v>
      </c>
      <c r="B1471" s="2" t="str">
        <f>IFERROR(__xludf.DUMMYFUNCTION("""COMPUTED_VALUE"""),"VD031")</f>
        <v>VD031</v>
      </c>
      <c r="C1471" s="2">
        <f>IFERROR(__xludf.DUMMYFUNCTION("""COMPUTED_VALUE"""),8.0)</f>
        <v>8</v>
      </c>
      <c r="D1471" s="6">
        <f>IFERROR(__xludf.DUMMYFUNCTION("""COMPUTED_VALUE"""),2097.2)</f>
        <v>2097.2</v>
      </c>
      <c r="E1471" s="6">
        <f>IFERROR(__xludf.DUMMYFUNCTION("GOOGLEFINANCE(""Currency:BRLMXN"")*D1471"),7125.236999999999)</f>
        <v>7125.237</v>
      </c>
      <c r="F1471" s="6">
        <f>IFERROR(__xludf.DUMMYFUNCTION("GOOGLEFINANCE(""Currency:BRLPEN"")*D1471"),1374.9243199999999)</f>
        <v>1374.92432</v>
      </c>
      <c r="G1471" s="2" t="str">
        <f t="array" ref="G1471">_xlfn.XLOOKUP(B1471,Vendedores!$A$2:$A$41,Vendedores!$B$2:$B$41,"No hay datos")</f>
        <v>Vanessa Martínez</v>
      </c>
      <c r="H1471" s="2" t="str">
        <f t="array" ref="H1471">_xlfn.XLOOKUP(B1471,Vendedores!$A$2:$A$41,Vendedores!$C$2:$C$41,"No hay datos")</f>
        <v>Monte Verde</v>
      </c>
      <c r="I1471" s="2" t="str">
        <f t="array" ref="I1471">_xlfn.XLOOKUP(B1471,Vendedores!$A$2:$A$41,Vendedores!$D$2:$D$41,"No hay datos")</f>
        <v>Región Central 2</v>
      </c>
      <c r="J1471" s="2" t="str">
        <f t="array" ref="J1471:N1471">_xlfn.XLOOKUP(A1471,Productos!$A$2:$A$61,Productos!$B$2:$F$61)</f>
        <v>Tenis Chunky</v>
      </c>
      <c r="K1471" s="2">
        <v>36.0</v>
      </c>
      <c r="L1471" s="2" t="s">
        <v>33</v>
      </c>
      <c r="M1471" s="2" t="s">
        <v>84</v>
      </c>
      <c r="N1471" s="2" t="s">
        <v>85</v>
      </c>
    </row>
    <row r="1472">
      <c r="A1472" s="2" t="str">
        <f>IFERROR(__xludf.DUMMYFUNCTION("""COMPUTED_VALUE"""),"PR056")</f>
        <v>PR056</v>
      </c>
      <c r="B1472" s="2" t="str">
        <f>IFERROR(__xludf.DUMMYFUNCTION("""COMPUTED_VALUE"""),"VD022")</f>
        <v>VD022</v>
      </c>
      <c r="C1472" s="2">
        <f>IFERROR(__xludf.DUMMYFUNCTION("""COMPUTED_VALUE"""),10.0)</f>
        <v>10</v>
      </c>
      <c r="D1472" s="6">
        <f>IFERROR(__xludf.DUMMYFUNCTION("""COMPUTED_VALUE"""),961.93)</f>
        <v>961.93</v>
      </c>
      <c r="E1472" s="6">
        <f>IFERROR(__xludf.DUMMYFUNCTION("GOOGLEFINANCE(""Currency:BRLMXN"")*D1472"),3268.157175)</f>
        <v>3268.157175</v>
      </c>
      <c r="F1472" s="6">
        <f>IFERROR(__xludf.DUMMYFUNCTION("GOOGLEFINANCE(""Currency:BRLPEN"")*D1472"),630.641308)</f>
        <v>630.641308</v>
      </c>
      <c r="G1472" s="2" t="str">
        <f t="array" ref="G1472">_xlfn.XLOOKUP(B1472,Vendedores!$A$2:$A$41,Vendedores!$B$2:$B$41,"No hay datos")</f>
        <v>Santiago Linares</v>
      </c>
      <c r="H1472" s="2" t="str">
        <f t="array" ref="H1472">_xlfn.XLOOKUP(B1472,Vendedores!$A$2:$A$41,Vendedores!$C$2:$C$41,"No hay datos")</f>
        <v>Vista Hermosa</v>
      </c>
      <c r="I1472" s="2" t="str">
        <f t="array" ref="I1472">_xlfn.XLOOKUP(B1472,Vendedores!$A$2:$A$41,Vendedores!$D$2:$D$41,"No hay datos")</f>
        <v>Región Central</v>
      </c>
      <c r="J1472" s="2" t="str">
        <f t="array" ref="J1472:N1472">_xlfn.XLOOKUP(A1472,Productos!$A$2:$A$61,Productos!$B$2:$F$61)</f>
        <v>Sandalia plana</v>
      </c>
      <c r="K1472" s="2">
        <v>36.0</v>
      </c>
      <c r="L1472" s="2" t="s">
        <v>33</v>
      </c>
      <c r="M1472" s="2" t="s">
        <v>106</v>
      </c>
      <c r="N1472" s="2" t="s">
        <v>35</v>
      </c>
    </row>
    <row r="1473">
      <c r="A1473" s="2" t="str">
        <f>IFERROR(__xludf.DUMMYFUNCTION("""COMPUTED_VALUE"""),"PR018")</f>
        <v>PR018</v>
      </c>
      <c r="B1473" s="2" t="str">
        <f>IFERROR(__xludf.DUMMYFUNCTION("""COMPUTED_VALUE"""),"VD025")</f>
        <v>VD025</v>
      </c>
      <c r="C1473" s="2">
        <f>IFERROR(__xludf.DUMMYFUNCTION("""COMPUTED_VALUE"""),2.0)</f>
        <v>2</v>
      </c>
      <c r="D1473" s="6">
        <f>IFERROR(__xludf.DUMMYFUNCTION("""COMPUTED_VALUE"""),70.41)</f>
        <v>70.41</v>
      </c>
      <c r="E1473" s="6">
        <f>IFERROR(__xludf.DUMMYFUNCTION("GOOGLEFINANCE(""Currency:BRLMXN"")*D1473"),239.217975)</f>
        <v>239.217975</v>
      </c>
      <c r="F1473" s="6">
        <f>IFERROR(__xludf.DUMMYFUNCTION("GOOGLEFINANCE(""Currency:BRLPEN"")*D1473"),46.160796)</f>
        <v>46.160796</v>
      </c>
      <c r="G1473" s="2" t="str">
        <f t="array" ref="G1473">_xlfn.XLOOKUP(B1473,Vendedores!$A$2:$A$41,Vendedores!$B$2:$B$41,"No hay datos")</f>
        <v>Alina Santana</v>
      </c>
      <c r="H1473" s="2" t="str">
        <f t="array" ref="H1473">_xlfn.XLOOKUP(B1473,Vendedores!$A$2:$A$41,Vendedores!$C$2:$C$41,"No hay datos")</f>
        <v>Playa Blanca</v>
      </c>
      <c r="I1473" s="2" t="str">
        <f t="array" ref="I1473">_xlfn.XLOOKUP(B1473,Vendedores!$A$2:$A$41,Vendedores!$D$2:$D$41,"No hay datos")</f>
        <v>Región Norte</v>
      </c>
      <c r="J1473" s="2" t="str">
        <f t="array" ref="J1473:N1473">_xlfn.XLOOKUP(A1473,Productos!$A$2:$A$61,Productos!$B$2:$F$61)</f>
        <v>Playera lisa</v>
      </c>
      <c r="K1473" s="2" t="s">
        <v>22</v>
      </c>
      <c r="L1473" s="2" t="s">
        <v>10</v>
      </c>
      <c r="M1473" s="2" t="s">
        <v>57</v>
      </c>
      <c r="N1473" s="2" t="s">
        <v>24</v>
      </c>
    </row>
    <row r="1474">
      <c r="A1474" s="2" t="str">
        <f>IFERROR(__xludf.DUMMYFUNCTION("""COMPUTED_VALUE"""),"PR055")</f>
        <v>PR055</v>
      </c>
      <c r="B1474" s="2" t="str">
        <f>IFERROR(__xludf.DUMMYFUNCTION("""COMPUTED_VALUE"""),"VD020")</f>
        <v>VD020</v>
      </c>
      <c r="C1474" s="2">
        <f>IFERROR(__xludf.DUMMYFUNCTION("""COMPUTED_VALUE"""),10.0)</f>
        <v>10</v>
      </c>
      <c r="D1474" s="6">
        <f>IFERROR(__xludf.DUMMYFUNCTION("""COMPUTED_VALUE"""),925.97)</f>
        <v>925.97</v>
      </c>
      <c r="E1474" s="6">
        <f>IFERROR(__xludf.DUMMYFUNCTION("GOOGLEFINANCE(""Currency:BRLMXN"")*D1474"),3145.983075)</f>
        <v>3145.983075</v>
      </c>
      <c r="F1474" s="6">
        <f>IFERROR(__xludf.DUMMYFUNCTION("GOOGLEFINANCE(""Currency:BRLPEN"")*D1474"),607.065932)</f>
        <v>607.065932</v>
      </c>
      <c r="G1474" s="2" t="str">
        <f t="array" ref="G1474">_xlfn.XLOOKUP(B1474,Vendedores!$A$2:$A$41,Vendedores!$B$2:$B$41,"No hay datos")</f>
        <v>Gustavo Morales</v>
      </c>
      <c r="H1474" s="2" t="str">
        <f t="array" ref="H1474">_xlfn.XLOOKUP(B1474,Vendedores!$A$2:$A$41,Vendedores!$C$2:$C$41,"No hay datos")</f>
        <v>Villa del Sol</v>
      </c>
      <c r="I1474" s="2" t="str">
        <f t="array" ref="I1474">_xlfn.XLOOKUP(B1474,Vendedores!$A$2:$A$41,Vendedores!$D$2:$D$41,"No hay datos")</f>
        <v>Región Central 2</v>
      </c>
      <c r="J1474" s="2" t="str">
        <f t="array" ref="J1474:N1474">_xlfn.XLOOKUP(A1474,Productos!$A$2:$A$61,Productos!$B$2:$F$61)</f>
        <v>Sandalia plana</v>
      </c>
      <c r="K1474" s="2">
        <v>35.0</v>
      </c>
      <c r="L1474" s="2" t="s">
        <v>33</v>
      </c>
      <c r="M1474" s="2" t="s">
        <v>34</v>
      </c>
      <c r="N1474" s="2" t="s">
        <v>35</v>
      </c>
    </row>
    <row r="1475">
      <c r="A1475" s="2" t="str">
        <f>IFERROR(__xludf.DUMMYFUNCTION("""COMPUTED_VALUE"""),"PR047")</f>
        <v>PR047</v>
      </c>
      <c r="B1475" s="2" t="str">
        <f>IFERROR(__xludf.DUMMYFUNCTION("""COMPUTED_VALUE"""),"VD046")</f>
        <v>VD046</v>
      </c>
      <c r="C1475" s="2">
        <f>IFERROR(__xludf.DUMMYFUNCTION("""COMPUTED_VALUE"""),2.0)</f>
        <v>2</v>
      </c>
      <c r="D1475" s="6">
        <f>IFERROR(__xludf.DUMMYFUNCTION("""COMPUTED_VALUE"""),585.6)</f>
        <v>585.6</v>
      </c>
      <c r="E1475" s="6">
        <f>IFERROR(__xludf.DUMMYFUNCTION("GOOGLEFINANCE(""Currency:BRLMXN"")*D1475"),1989.576)</f>
        <v>1989.576</v>
      </c>
      <c r="F1475" s="6">
        <f>IFERROR(__xludf.DUMMYFUNCTION("GOOGLEFINANCE(""Currency:BRLPEN"")*D1475"),383.91936)</f>
        <v>383.91936</v>
      </c>
      <c r="G1475" s="2" t="str">
        <f t="array" ref="G1475">_xlfn.XLOOKUP(B1475,Vendedores!$A$2:$A$41,Vendedores!$B$2:$B$41,"No hay datos")</f>
        <v>Juliana Pérez</v>
      </c>
      <c r="H1475" s="2" t="str">
        <f t="array" ref="H1475">_xlfn.XLOOKUP(B1475,Vendedores!$A$2:$A$41,Vendedores!$C$2:$C$41,"No hay datos")</f>
        <v>Santa Cruz de la Sierra</v>
      </c>
      <c r="I1475" s="2" t="str">
        <f t="array" ref="I1475">_xlfn.XLOOKUP(B1475,Vendedores!$A$2:$A$41,Vendedores!$D$2:$D$41,"No hay datos")</f>
        <v>Región Central 2</v>
      </c>
      <c r="J1475" s="2" t="str">
        <f t="array" ref="J1475:N1475">_xlfn.XLOOKUP(A1475,Productos!$A$2:$A$61,Productos!$B$2:$F$61)</f>
        <v>Chaqueta de cuero</v>
      </c>
      <c r="K1475" s="2" t="s">
        <v>17</v>
      </c>
      <c r="L1475" s="2" t="s">
        <v>10</v>
      </c>
      <c r="M1475" s="2" t="s">
        <v>43</v>
      </c>
      <c r="N1475" s="2" t="s">
        <v>44</v>
      </c>
    </row>
    <row r="1476">
      <c r="A1476" s="2" t="str">
        <f>IFERROR(__xludf.DUMMYFUNCTION("""COMPUTED_VALUE"""),"PR027")</f>
        <v>PR027</v>
      </c>
      <c r="B1476" s="2" t="str">
        <f>IFERROR(__xludf.DUMMYFUNCTION("""COMPUTED_VALUE"""),"VD044")</f>
        <v>VD044</v>
      </c>
      <c r="C1476" s="2">
        <f>IFERROR(__xludf.DUMMYFUNCTION("""COMPUTED_VALUE"""),8.0)</f>
        <v>8</v>
      </c>
      <c r="D1476" s="6">
        <f>IFERROR(__xludf.DUMMYFUNCTION("""COMPUTED_VALUE"""),998.4)</f>
        <v>998.4</v>
      </c>
      <c r="E1476" s="6">
        <f>IFERROR(__xludf.DUMMYFUNCTION("GOOGLEFINANCE(""Currency:BRLMXN"")*D1476"),3392.064)</f>
        <v>3392.064</v>
      </c>
      <c r="F1476" s="6">
        <f>IFERROR(__xludf.DUMMYFUNCTION("GOOGLEFINANCE(""Currency:BRLPEN"")*D1476"),654.55104)</f>
        <v>654.55104</v>
      </c>
      <c r="G1476" s="2" t="str">
        <f t="array" ref="G1476">_xlfn.XLOOKUP(B1476,Vendedores!$A$2:$A$41,Vendedores!$B$2:$B$41,"No hay datos")</f>
        <v>Silvia Menéndez</v>
      </c>
      <c r="H1476" s="2" t="str">
        <f t="array" ref="H1476">_xlfn.XLOOKUP(B1476,Vendedores!$A$2:$A$41,Vendedores!$C$2:$C$41,"No hay datos")</f>
        <v>San Antonio del Monte</v>
      </c>
      <c r="I1476" s="2" t="str">
        <f t="array" ref="I1476">_xlfn.XLOOKUP(B1476,Vendedores!$A$2:$A$41,Vendedores!$D$2:$D$41,"No hay datos")</f>
        <v>Región Central 2</v>
      </c>
      <c r="J1476" s="2" t="str">
        <f t="array" ref="J1476:N1476">_xlfn.XLOOKUP(A1476,Productos!$A$2:$A$61,Productos!$B$2:$F$61)</f>
        <v>Gafas redondas</v>
      </c>
      <c r="K1476" s="2" t="s">
        <v>29</v>
      </c>
      <c r="L1476" s="2" t="s">
        <v>30</v>
      </c>
      <c r="M1476" s="2" t="s">
        <v>53</v>
      </c>
      <c r="N1476" s="2" t="s">
        <v>54</v>
      </c>
    </row>
    <row r="1477">
      <c r="A1477" s="2" t="str">
        <f>IFERROR(__xludf.DUMMYFUNCTION("""COMPUTED_VALUE"""),"PR047")</f>
        <v>PR047</v>
      </c>
      <c r="B1477" s="2" t="str">
        <f>IFERROR(__xludf.DUMMYFUNCTION("""COMPUTED_VALUE"""),"VD029")</f>
        <v>VD029</v>
      </c>
      <c r="C1477" s="2">
        <f>IFERROR(__xludf.DUMMYFUNCTION("""COMPUTED_VALUE"""),5.0)</f>
        <v>5</v>
      </c>
      <c r="D1477" s="6">
        <f>IFERROR(__xludf.DUMMYFUNCTION("""COMPUTED_VALUE"""),1492.99)</f>
        <v>1492.99</v>
      </c>
      <c r="E1477" s="6">
        <f>IFERROR(__xludf.DUMMYFUNCTION("GOOGLEFINANCE(""Currency:BRLMXN"")*D1477"),5072.433525)</f>
        <v>5072.433525</v>
      </c>
      <c r="F1477" s="6">
        <f>IFERROR(__xludf.DUMMYFUNCTION("GOOGLEFINANCE(""Currency:BRLPEN"")*D1477"),978.8042439999999)</f>
        <v>978.804244</v>
      </c>
      <c r="G1477" s="2" t="str">
        <f t="array" ref="G1477">_xlfn.XLOOKUP(B1477,Vendedores!$A$2:$A$41,Vendedores!$B$2:$B$41,"No hay datos")</f>
        <v>Gabriela Sosa</v>
      </c>
      <c r="H1477" s="2" t="str">
        <f t="array" ref="H1477">_xlfn.XLOOKUP(B1477,Vendedores!$A$2:$A$41,Vendedores!$C$2:$C$41,"No hay datos")</f>
        <v>Selva Verde</v>
      </c>
      <c r="I1477" s="2" t="str">
        <f t="array" ref="I1477">_xlfn.XLOOKUP(B1477,Vendedores!$A$2:$A$41,Vendedores!$D$2:$D$41,"No hay datos")</f>
        <v>Región Amazónica</v>
      </c>
      <c r="J1477" s="2" t="str">
        <f t="array" ref="J1477:N1477">_xlfn.XLOOKUP(A1477,Productos!$A$2:$A$61,Productos!$B$2:$F$61)</f>
        <v>Chaqueta de cuero</v>
      </c>
      <c r="K1477" s="2" t="s">
        <v>17</v>
      </c>
      <c r="L1477" s="2" t="s">
        <v>10</v>
      </c>
      <c r="M1477" s="2" t="s">
        <v>43</v>
      </c>
      <c r="N1477" s="2" t="s">
        <v>44</v>
      </c>
    </row>
    <row r="1478">
      <c r="A1478" s="2" t="str">
        <f>IFERROR(__xludf.DUMMYFUNCTION("""COMPUTED_VALUE"""),"PR022")</f>
        <v>PR022</v>
      </c>
      <c r="B1478" s="2" t="str">
        <f>IFERROR(__xludf.DUMMYFUNCTION("""COMPUTED_VALUE"""),"VD021")</f>
        <v>VD021</v>
      </c>
      <c r="C1478" s="2">
        <f>IFERROR(__xludf.DUMMYFUNCTION("""COMPUTED_VALUE"""),2.0)</f>
        <v>2</v>
      </c>
      <c r="D1478" s="6">
        <f>IFERROR(__xludf.DUMMYFUNCTION("""COMPUTED_VALUE"""),636.0)</f>
        <v>636</v>
      </c>
      <c r="E1478" s="6">
        <f>IFERROR(__xludf.DUMMYFUNCTION("GOOGLEFINANCE(""Currency:BRLMXN"")*D1478"),2160.81)</f>
        <v>2160.81</v>
      </c>
      <c r="F1478" s="6">
        <f>IFERROR(__xludf.DUMMYFUNCTION("GOOGLEFINANCE(""Currency:BRLPEN"")*D1478"),416.9616)</f>
        <v>416.9616</v>
      </c>
      <c r="G1478" s="2" t="str">
        <f t="array" ref="G1478">_xlfn.XLOOKUP(B1478,Vendedores!$A$2:$A$41,Vendedores!$B$2:$B$41,"No hay datos")</f>
        <v>Fernanda Méndez</v>
      </c>
      <c r="H1478" s="2" t="str">
        <f t="array" ref="H1478">_xlfn.XLOOKUP(B1478,Vendedores!$A$2:$A$41,Vendedores!$C$2:$C$41,"No hay datos")</f>
        <v>San Juan de la Sierra</v>
      </c>
      <c r="I1478" s="2" t="str">
        <f t="array" ref="I1478">_xlfn.XLOOKUP(B1478,Vendedores!$A$2:$A$41,Vendedores!$D$2:$D$41,"No hay datos")</f>
        <v>Región Central</v>
      </c>
      <c r="J1478" s="2" t="str">
        <f t="array" ref="J1478:N1478">_xlfn.XLOOKUP(A1478,Productos!$A$2:$A$61,Productos!$B$2:$F$61)</f>
        <v>Chaqueta de cuero</v>
      </c>
      <c r="K1478" s="2" t="s">
        <v>22</v>
      </c>
      <c r="L1478" s="2" t="s">
        <v>10</v>
      </c>
      <c r="M1478" s="2" t="s">
        <v>78</v>
      </c>
      <c r="N1478" s="2" t="s">
        <v>79</v>
      </c>
    </row>
    <row r="1479">
      <c r="A1479" s="2" t="str">
        <f>IFERROR(__xludf.DUMMYFUNCTION("""COMPUTED_VALUE"""),"PR050")</f>
        <v>PR050</v>
      </c>
      <c r="B1479" s="2" t="str">
        <f>IFERROR(__xludf.DUMMYFUNCTION("""COMPUTED_VALUE"""),"VD010")</f>
        <v>VD010</v>
      </c>
      <c r="C1479" s="2">
        <f>IFERROR(__xludf.DUMMYFUNCTION("""COMPUTED_VALUE"""),16.0)</f>
        <v>16</v>
      </c>
      <c r="D1479" s="6">
        <f>IFERROR(__xludf.DUMMYFUNCTION("""COMPUTED_VALUE"""),573.78)</f>
        <v>573.78</v>
      </c>
      <c r="E1479" s="6">
        <f>IFERROR(__xludf.DUMMYFUNCTION("GOOGLEFINANCE(""Currency:BRLMXN"")*D1479"),1949.41755)</f>
        <v>1949.41755</v>
      </c>
      <c r="F1479" s="6">
        <f>IFERROR(__xludf.DUMMYFUNCTION("GOOGLEFINANCE(""Currency:BRLPEN"")*D1479"),376.17016799999993)</f>
        <v>376.170168</v>
      </c>
      <c r="G1479" s="2" t="str">
        <f t="array" ref="G1479">_xlfn.XLOOKUP(B1479,Vendedores!$A$2:$A$41,Vendedores!$B$2:$B$41,"No hay datos")</f>
        <v>María Silva</v>
      </c>
      <c r="H1479" s="2" t="str">
        <f t="array" ref="H1479">_xlfn.XLOOKUP(B1479,Vendedores!$A$2:$A$41,Vendedores!$C$2:$C$41,"No hay datos")</f>
        <v>San Juan de la Sierra</v>
      </c>
      <c r="I1479" s="2" t="str">
        <f t="array" ref="I1479">_xlfn.XLOOKUP(B1479,Vendedores!$A$2:$A$41,Vendedores!$D$2:$D$41,"No hay datos")</f>
        <v>Región Central</v>
      </c>
      <c r="J1479" s="2" t="str">
        <f t="array" ref="J1479:N1479">_xlfn.XLOOKUP(A1479,Productos!$A$2:$A$61,Productos!$B$2:$F$61)</f>
        <v>Playera a rayas</v>
      </c>
      <c r="K1479" s="2" t="s">
        <v>17</v>
      </c>
      <c r="L1479" s="2" t="s">
        <v>10</v>
      </c>
      <c r="M1479" s="2" t="s">
        <v>27</v>
      </c>
      <c r="N1479" s="2" t="s">
        <v>24</v>
      </c>
    </row>
    <row r="1480">
      <c r="A1480" s="2" t="str">
        <f>IFERROR(__xludf.DUMMYFUNCTION("""COMPUTED_VALUE"""),"PR019")</f>
        <v>PR019</v>
      </c>
      <c r="B1480" s="2" t="str">
        <f>IFERROR(__xludf.DUMMYFUNCTION("""COMPUTED_VALUE"""),"VD030")</f>
        <v>VD030</v>
      </c>
      <c r="C1480" s="2">
        <f>IFERROR(__xludf.DUMMYFUNCTION("""COMPUTED_VALUE"""),18.0)</f>
        <v>18</v>
      </c>
      <c r="D1480" s="6">
        <f>IFERROR(__xludf.DUMMYFUNCTION("""COMPUTED_VALUE"""),934.13)</f>
        <v>934.13</v>
      </c>
      <c r="E1480" s="6">
        <f>IFERROR(__xludf.DUMMYFUNCTION("GOOGLEFINANCE(""Currency:BRLMXN"")*D1480"),3173.706675)</f>
        <v>3173.706675</v>
      </c>
      <c r="F1480" s="6">
        <f>IFERROR(__xludf.DUMMYFUNCTION("GOOGLEFINANCE(""Currency:BRLPEN"")*D1480"),612.415628)</f>
        <v>612.415628</v>
      </c>
      <c r="G1480" s="2" t="str">
        <f t="array" ref="G1480">_xlfn.XLOOKUP(B1480,Vendedores!$A$2:$A$41,Vendedores!$B$2:$B$41,"No hay datos")</f>
        <v>Leonardo Rojas</v>
      </c>
      <c r="H1480" s="2" t="str">
        <f t="array" ref="H1480">_xlfn.XLOOKUP(B1480,Vendedores!$A$2:$A$41,Vendedores!$C$2:$C$41,"No hay datos")</f>
        <v>Villa del Sol</v>
      </c>
      <c r="I1480" s="2" t="str">
        <f t="array" ref="I1480">_xlfn.XLOOKUP(B1480,Vendedores!$A$2:$A$41,Vendedores!$D$2:$D$41,"No hay datos")</f>
        <v>Región Central 2</v>
      </c>
      <c r="J1480" s="2" t="str">
        <f t="array" ref="J1480:N1480">_xlfn.XLOOKUP(A1480,Productos!$A$2:$A$61,Productos!$B$2:$F$61)</f>
        <v>Cinturón</v>
      </c>
      <c r="K1480" s="2" t="s">
        <v>29</v>
      </c>
      <c r="L1480" s="2" t="s">
        <v>30</v>
      </c>
      <c r="M1480" s="2" t="s">
        <v>31</v>
      </c>
      <c r="N1480" s="2" t="s">
        <v>32</v>
      </c>
    </row>
    <row r="1481">
      <c r="A1481" s="2" t="str">
        <f>IFERROR(__xludf.DUMMYFUNCTION("""COMPUTED_VALUE"""),"PR030")</f>
        <v>PR030</v>
      </c>
      <c r="B1481" s="2" t="str">
        <f>IFERROR(__xludf.DUMMYFUNCTION("""COMPUTED_VALUE"""),"VD043")</f>
        <v>VD043</v>
      </c>
      <c r="C1481" s="2">
        <f>IFERROR(__xludf.DUMMYFUNCTION("""COMPUTED_VALUE"""),18.0)</f>
        <v>18</v>
      </c>
      <c r="D1481" s="6">
        <f>IFERROR(__xludf.DUMMYFUNCTION("""COMPUTED_VALUE"""),4912.11)</f>
        <v>4912.11</v>
      </c>
      <c r="E1481" s="6">
        <f>IFERROR(__xludf.DUMMYFUNCTION("GOOGLEFINANCE(""Currency:BRLMXN"")*D1481"),16688.893724999998)</f>
        <v>16688.89373</v>
      </c>
      <c r="F1481" s="6">
        <f>IFERROR(__xludf.DUMMYFUNCTION("GOOGLEFINANCE(""Currency:BRLPEN"")*D1481"),3220.3793159999996)</f>
        <v>3220.379316</v>
      </c>
      <c r="G1481" s="2" t="str">
        <f t="array" ref="G1481">_xlfn.XLOOKUP(B1481,Vendedores!$A$2:$A$41,Vendedores!$B$2:$B$41,"No hay datos")</f>
        <v>Carlos Henríquez</v>
      </c>
      <c r="H1481" s="2" t="str">
        <f t="array" ref="H1481">_xlfn.XLOOKUP(B1481,Vendedores!$A$2:$A$41,Vendedores!$C$2:$C$41,"No hay datos")</f>
        <v>Ciudad Aeropuerto</v>
      </c>
      <c r="I1481" s="2" t="str">
        <f t="array" ref="I1481">_xlfn.XLOOKUP(B1481,Vendedores!$A$2:$A$41,Vendedores!$D$2:$D$41,"No hay datos")</f>
        <v>Región Central 2</v>
      </c>
      <c r="J1481" s="2" t="str">
        <f t="array" ref="J1481:N1481">_xlfn.XLOOKUP(A1481,Productos!$A$2:$A$61,Productos!$B$2:$F$61)</f>
        <v>Tenis Atitas</v>
      </c>
      <c r="K1481" s="2">
        <v>38.0</v>
      </c>
      <c r="L1481" s="2" t="s">
        <v>33</v>
      </c>
      <c r="M1481" s="2" t="s">
        <v>63</v>
      </c>
      <c r="N1481" s="2" t="s">
        <v>64</v>
      </c>
    </row>
    <row r="1482">
      <c r="A1482" s="2" t="str">
        <f>IFERROR(__xludf.DUMMYFUNCTION("""COMPUTED_VALUE"""),"PR030")</f>
        <v>PR030</v>
      </c>
      <c r="B1482" s="2" t="str">
        <f>IFERROR(__xludf.DUMMYFUNCTION("""COMPUTED_VALUE"""),"VD021")</f>
        <v>VD021</v>
      </c>
      <c r="C1482" s="2">
        <f>IFERROR(__xludf.DUMMYFUNCTION("""COMPUTED_VALUE"""),12.0)</f>
        <v>12</v>
      </c>
      <c r="D1482" s="6">
        <f>IFERROR(__xludf.DUMMYFUNCTION("""COMPUTED_VALUE"""),3181.18)</f>
        <v>3181.18</v>
      </c>
      <c r="E1482" s="6">
        <f>IFERROR(__xludf.DUMMYFUNCTION("GOOGLEFINANCE(""Currency:BRLMXN"")*D1482"),10808.05905)</f>
        <v>10808.05905</v>
      </c>
      <c r="F1482" s="6">
        <f>IFERROR(__xludf.DUMMYFUNCTION("GOOGLEFINANCE(""Currency:BRLPEN"")*D1482"),2085.581608)</f>
        <v>2085.581608</v>
      </c>
      <c r="G1482" s="2" t="str">
        <f t="array" ref="G1482">_xlfn.XLOOKUP(B1482,Vendedores!$A$2:$A$41,Vendedores!$B$2:$B$41,"No hay datos")</f>
        <v>Fernanda Méndez</v>
      </c>
      <c r="H1482" s="2" t="str">
        <f t="array" ref="H1482">_xlfn.XLOOKUP(B1482,Vendedores!$A$2:$A$41,Vendedores!$C$2:$C$41,"No hay datos")</f>
        <v>San Juan de la Sierra</v>
      </c>
      <c r="I1482" s="2" t="str">
        <f t="array" ref="I1482">_xlfn.XLOOKUP(B1482,Vendedores!$A$2:$A$41,Vendedores!$D$2:$D$41,"No hay datos")</f>
        <v>Región Central</v>
      </c>
      <c r="J1482" s="2" t="str">
        <f t="array" ref="J1482:N1482">_xlfn.XLOOKUP(A1482,Productos!$A$2:$A$61,Productos!$B$2:$F$61)</f>
        <v>Tenis Atitas</v>
      </c>
      <c r="K1482" s="2">
        <v>38.0</v>
      </c>
      <c r="L1482" s="2" t="s">
        <v>33</v>
      </c>
      <c r="M1482" s="2" t="s">
        <v>63</v>
      </c>
      <c r="N1482" s="2" t="s">
        <v>64</v>
      </c>
    </row>
    <row r="1483">
      <c r="A1483" s="2" t="str">
        <f>IFERROR(__xludf.DUMMYFUNCTION("""COMPUTED_VALUE"""),"PR026")</f>
        <v>PR026</v>
      </c>
      <c r="B1483" s="2" t="str">
        <f>IFERROR(__xludf.DUMMYFUNCTION("""COMPUTED_VALUE"""),"VD043")</f>
        <v>VD043</v>
      </c>
      <c r="C1483" s="2">
        <f>IFERROR(__xludf.DUMMYFUNCTION("""COMPUTED_VALUE"""),10.0)</f>
        <v>10</v>
      </c>
      <c r="D1483" s="6">
        <f>IFERROR(__xludf.DUMMYFUNCTION("""COMPUTED_VALUE"""),3743.93)</f>
        <v>3743.93</v>
      </c>
      <c r="E1483" s="6">
        <f>IFERROR(__xludf.DUMMYFUNCTION("GOOGLEFINANCE(""Currency:BRLMXN"")*D1483"),12720.002175)</f>
        <v>12720.00218</v>
      </c>
      <c r="F1483" s="6">
        <f>IFERROR(__xludf.DUMMYFUNCTION("GOOGLEFINANCE(""Currency:BRLPEN"")*D1483"),2454.5205079999996)</f>
        <v>2454.520508</v>
      </c>
      <c r="G1483" s="2" t="str">
        <f t="array" ref="G1483">_xlfn.XLOOKUP(B1483,Vendedores!$A$2:$A$41,Vendedores!$B$2:$B$41,"No hay datos")</f>
        <v>Carlos Henríquez</v>
      </c>
      <c r="H1483" s="2" t="str">
        <f t="array" ref="H1483">_xlfn.XLOOKUP(B1483,Vendedores!$A$2:$A$41,Vendedores!$C$2:$C$41,"No hay datos")</f>
        <v>Ciudad Aeropuerto</v>
      </c>
      <c r="I1483" s="2" t="str">
        <f t="array" ref="I1483">_xlfn.XLOOKUP(B1483,Vendedores!$A$2:$A$41,Vendedores!$D$2:$D$41,"No hay datos")</f>
        <v>Región Central 2</v>
      </c>
      <c r="J1483" s="2" t="str">
        <f t="array" ref="J1483:N1483">_xlfn.XLOOKUP(A1483,Productos!$A$2:$A$61,Productos!$B$2:$F$61)</f>
        <v>Gafas cuadradas</v>
      </c>
      <c r="K1483" s="2" t="s">
        <v>29</v>
      </c>
      <c r="L1483" s="2" t="s">
        <v>30</v>
      </c>
      <c r="M1483" s="2" t="s">
        <v>90</v>
      </c>
      <c r="N1483" s="2" t="s">
        <v>91</v>
      </c>
    </row>
    <row r="1484">
      <c r="A1484" s="2" t="str">
        <f>IFERROR(__xludf.DUMMYFUNCTION("""COMPUTED_VALUE"""),"PR025")</f>
        <v>PR025</v>
      </c>
      <c r="B1484" s="2" t="str">
        <f>IFERROR(__xludf.DUMMYFUNCTION("""COMPUTED_VALUE"""),"VD021")</f>
        <v>VD021</v>
      </c>
      <c r="C1484" s="2">
        <f>IFERROR(__xludf.DUMMYFUNCTION("""COMPUTED_VALUE"""),16.0)</f>
        <v>16</v>
      </c>
      <c r="D1484" s="6">
        <f>IFERROR(__xludf.DUMMYFUNCTION("""COMPUTED_VALUE"""),5182.27)</f>
        <v>5182.27</v>
      </c>
      <c r="E1484" s="6">
        <f>IFERROR(__xludf.DUMMYFUNCTION("GOOGLEFINANCE(""Currency:BRLMXN"")*D1484"),17606.762325)</f>
        <v>17606.76233</v>
      </c>
      <c r="F1484" s="6">
        <f>IFERROR(__xludf.DUMMYFUNCTION("GOOGLEFINANCE(""Currency:BRLPEN"")*D1484"),3397.496212)</f>
        <v>3397.496212</v>
      </c>
      <c r="G1484" s="2" t="str">
        <f t="array" ref="G1484">_xlfn.XLOOKUP(B1484,Vendedores!$A$2:$A$41,Vendedores!$B$2:$B$41,"No hay datos")</f>
        <v>Fernanda Méndez</v>
      </c>
      <c r="H1484" s="2" t="str">
        <f t="array" ref="H1484">_xlfn.XLOOKUP(B1484,Vendedores!$A$2:$A$41,Vendedores!$C$2:$C$41,"No hay datos")</f>
        <v>San Juan de la Sierra</v>
      </c>
      <c r="I1484" s="2" t="str">
        <f t="array" ref="I1484">_xlfn.XLOOKUP(B1484,Vendedores!$A$2:$A$41,Vendedores!$D$2:$D$41,"No hay datos")</f>
        <v>Región Central</v>
      </c>
      <c r="J1484" s="2" t="str">
        <f t="array" ref="J1484:N1484">_xlfn.XLOOKUP(A1484,Productos!$A$2:$A$61,Productos!$B$2:$F$61)</f>
        <v>Chaqueta de mezclilla</v>
      </c>
      <c r="K1484" s="2" t="s">
        <v>22</v>
      </c>
      <c r="L1484" s="2" t="s">
        <v>10</v>
      </c>
      <c r="M1484" s="2" t="s">
        <v>107</v>
      </c>
      <c r="N1484" s="2" t="s">
        <v>16</v>
      </c>
    </row>
    <row r="1485">
      <c r="A1485" s="2" t="str">
        <f>IFERROR(__xludf.DUMMYFUNCTION("""COMPUTED_VALUE"""),"PR039")</f>
        <v>PR039</v>
      </c>
      <c r="B1485" s="2" t="str">
        <f>IFERROR(__xludf.DUMMYFUNCTION("""COMPUTED_VALUE"""),"VD019")</f>
        <v>VD019</v>
      </c>
      <c r="C1485" s="2">
        <f>IFERROR(__xludf.DUMMYFUNCTION("""COMPUTED_VALUE"""),20.0)</f>
        <v>20</v>
      </c>
      <c r="D1485" s="6">
        <f>IFERROR(__xludf.DUMMYFUNCTION("""COMPUTED_VALUE"""),3036.8)</f>
        <v>3036.8</v>
      </c>
      <c r="E1485" s="6">
        <f>IFERROR(__xludf.DUMMYFUNCTION("GOOGLEFINANCE(""Currency:BRLMXN"")*D1485"),10317.528)</f>
        <v>10317.528</v>
      </c>
      <c r="F1485" s="6">
        <f>IFERROR(__xludf.DUMMYFUNCTION("GOOGLEFINANCE(""Currency:BRLPEN"")*D1485"),1990.92608)</f>
        <v>1990.92608</v>
      </c>
      <c r="G1485" s="2" t="str">
        <f t="array" ref="G1485">_xlfn.XLOOKUP(B1485,Vendedores!$A$2:$A$41,Vendedores!$B$2:$B$41,"No hay datos")</f>
        <v>Rafael Sosa</v>
      </c>
      <c r="H1485" s="2" t="str">
        <f t="array" ref="H1485">_xlfn.XLOOKUP(B1485,Vendedores!$A$2:$A$41,Vendedores!$C$2:$C$41,"No hay datos")</f>
        <v>Selva Verde</v>
      </c>
      <c r="I1485" s="2" t="str">
        <f t="array" ref="I1485">_xlfn.XLOOKUP(B1485,Vendedores!$A$2:$A$41,Vendedores!$D$2:$D$41,"No hay datos")</f>
        <v>Región Amazónica</v>
      </c>
      <c r="J1485" s="2" t="str">
        <f t="array" ref="J1485:N1485">_xlfn.XLOOKUP(A1485,Productos!$A$2:$A$61,Productos!$B$2:$F$61)</f>
        <v>Vestido largo</v>
      </c>
      <c r="K1485" s="2" t="s">
        <v>22</v>
      </c>
      <c r="L1485" s="2" t="s">
        <v>10</v>
      </c>
      <c r="M1485" s="2" t="s">
        <v>73</v>
      </c>
      <c r="N1485" s="2" t="s">
        <v>74</v>
      </c>
    </row>
    <row r="1486">
      <c r="A1486" s="2" t="str">
        <f>IFERROR(__xludf.DUMMYFUNCTION("""COMPUTED_VALUE"""),"PR046")</f>
        <v>PR046</v>
      </c>
      <c r="B1486" s="2" t="str">
        <f>IFERROR(__xludf.DUMMYFUNCTION("""COMPUTED_VALUE"""),"VD022")</f>
        <v>VD022</v>
      </c>
      <c r="C1486" s="2">
        <f>IFERROR(__xludf.DUMMYFUNCTION("""COMPUTED_VALUE"""),4.0)</f>
        <v>4</v>
      </c>
      <c r="D1486" s="6">
        <f>IFERROR(__xludf.DUMMYFUNCTION("""COMPUTED_VALUE"""),1171.2)</f>
        <v>1171.2</v>
      </c>
      <c r="E1486" s="6">
        <f>IFERROR(__xludf.DUMMYFUNCTION("GOOGLEFINANCE(""Currency:BRLMXN"")*D1486"),3979.152)</f>
        <v>3979.152</v>
      </c>
      <c r="F1486" s="6">
        <f>IFERROR(__xludf.DUMMYFUNCTION("GOOGLEFINANCE(""Currency:BRLPEN"")*D1486"),767.83872)</f>
        <v>767.83872</v>
      </c>
      <c r="G1486" s="2" t="str">
        <f t="array" ref="G1486">_xlfn.XLOOKUP(B1486,Vendedores!$A$2:$A$41,Vendedores!$B$2:$B$41,"No hay datos")</f>
        <v>Santiago Linares</v>
      </c>
      <c r="H1486" s="2" t="str">
        <f t="array" ref="H1486">_xlfn.XLOOKUP(B1486,Vendedores!$A$2:$A$41,Vendedores!$C$2:$C$41,"No hay datos")</f>
        <v>Vista Hermosa</v>
      </c>
      <c r="I1486" s="2" t="str">
        <f t="array" ref="I1486">_xlfn.XLOOKUP(B1486,Vendedores!$A$2:$A$41,Vendedores!$D$2:$D$41,"No hay datos")</f>
        <v>Región Central</v>
      </c>
      <c r="J1486" s="2" t="str">
        <f t="array" ref="J1486:N1486">_xlfn.XLOOKUP(A1486,Productos!$A$2:$A$61,Productos!$B$2:$F$61)</f>
        <v>Chaqueta de cuero</v>
      </c>
      <c r="K1486" s="2" t="s">
        <v>9</v>
      </c>
      <c r="L1486" s="2" t="s">
        <v>10</v>
      </c>
      <c r="M1486" s="2" t="s">
        <v>94</v>
      </c>
      <c r="N1486" s="2" t="s">
        <v>44</v>
      </c>
    </row>
    <row r="1487">
      <c r="A1487" s="2" t="str">
        <f>IFERROR(__xludf.DUMMYFUNCTION("""COMPUTED_VALUE"""),"PR043")</f>
        <v>PR043</v>
      </c>
      <c r="B1487" s="2" t="str">
        <f>IFERROR(__xludf.DUMMYFUNCTION("""COMPUTED_VALUE"""),"VD016")</f>
        <v>VD016</v>
      </c>
      <c r="C1487" s="2">
        <f>IFERROR(__xludf.DUMMYFUNCTION("""COMPUTED_VALUE"""),20.0)</f>
        <v>20</v>
      </c>
      <c r="D1487" s="6">
        <f>IFERROR(__xludf.DUMMYFUNCTION("""COMPUTED_VALUE"""),1595.0)</f>
        <v>1595</v>
      </c>
      <c r="E1487" s="6">
        <f>IFERROR(__xludf.DUMMYFUNCTION("GOOGLEFINANCE(""Currency:BRLMXN"")*D1487"),5419.0125)</f>
        <v>5419.0125</v>
      </c>
      <c r="F1487" s="6">
        <f>IFERROR(__xludf.DUMMYFUNCTION("GOOGLEFINANCE(""Currency:BRLPEN"")*D1487"),1045.682)</f>
        <v>1045.682</v>
      </c>
      <c r="G1487" s="2" t="str">
        <f t="array" ref="G1487">_xlfn.XLOOKUP(B1487,Vendedores!$A$2:$A$41,Vendedores!$B$2:$B$41,"No hay datos")</f>
        <v>Beatriz Linares</v>
      </c>
      <c r="H1487" s="2" t="str">
        <f t="array" ref="H1487">_xlfn.XLOOKUP(B1487,Vendedores!$A$2:$A$41,Vendedores!$C$2:$C$41,"No hay datos")</f>
        <v>Puerto Esperanza</v>
      </c>
      <c r="I1487" s="2" t="str">
        <f t="array" ref="I1487">_xlfn.XLOOKUP(B1487,Vendedores!$A$2:$A$41,Vendedores!$D$2:$D$41,"No hay datos")</f>
        <v>Región Sur</v>
      </c>
      <c r="J1487" s="2" t="str">
        <f t="array" ref="J1487:N1487">_xlfn.XLOOKUP(A1487,Productos!$A$2:$A$61,Productos!$B$2:$F$61)</f>
        <v>Vestido floral</v>
      </c>
      <c r="K1487" s="2" t="s">
        <v>9</v>
      </c>
      <c r="L1487" s="2" t="s">
        <v>10</v>
      </c>
      <c r="M1487" s="2" t="s">
        <v>69</v>
      </c>
      <c r="N1487" s="2" t="s">
        <v>40</v>
      </c>
    </row>
    <row r="1488">
      <c r="A1488" s="2" t="str">
        <f>IFERROR(__xludf.DUMMYFUNCTION("""COMPUTED_VALUE"""),"PR048")</f>
        <v>PR048</v>
      </c>
      <c r="B1488" s="2" t="str">
        <f>IFERROR(__xludf.DUMMYFUNCTION("""COMPUTED_VALUE"""),"VD023")</f>
        <v>VD023</v>
      </c>
      <c r="C1488" s="2">
        <f>IFERROR(__xludf.DUMMYFUNCTION("""COMPUTED_VALUE"""),3.0)</f>
        <v>3</v>
      </c>
      <c r="D1488" s="6">
        <f>IFERROR(__xludf.DUMMYFUNCTION("""COMPUTED_VALUE"""),887.09)</f>
        <v>887.09</v>
      </c>
      <c r="E1488" s="6">
        <f>IFERROR(__xludf.DUMMYFUNCTION("GOOGLEFINANCE(""Currency:BRLMXN"")*D1488"),3013.8882750000002)</f>
        <v>3013.888275</v>
      </c>
      <c r="F1488" s="6">
        <f>IFERROR(__xludf.DUMMYFUNCTION("GOOGLEFINANCE(""Currency:BRLPEN"")*D1488"),581.576204)</f>
        <v>581.576204</v>
      </c>
      <c r="G1488" s="2" t="str">
        <f t="array" ref="G1488">_xlfn.XLOOKUP(B1488,Vendedores!$A$2:$A$41,Vendedores!$B$2:$B$41,"No hay datos")</f>
        <v>Juliana Castro</v>
      </c>
      <c r="H1488" s="2" t="str">
        <f t="array" ref="H1488">_xlfn.XLOOKUP(B1488,Vendedores!$A$2:$A$41,Vendedores!$C$2:$C$41,"No hay datos")</f>
        <v>San Miguel de los Pinos</v>
      </c>
      <c r="I1488" s="2" t="str">
        <f t="array" ref="I1488">_xlfn.XLOOKUP(B1488,Vendedores!$A$2:$A$41,Vendedores!$D$2:$D$41,"No hay datos")</f>
        <v>Región Sur</v>
      </c>
      <c r="J1488" s="2" t="str">
        <f t="array" ref="J1488:N1488">_xlfn.XLOOKUP(A1488,Productos!$A$2:$A$61,Productos!$B$2:$F$61)</f>
        <v>Chaqueta de cuero</v>
      </c>
      <c r="K1488" s="2" t="s">
        <v>22</v>
      </c>
      <c r="L1488" s="2" t="s">
        <v>10</v>
      </c>
      <c r="M1488" s="2" t="s">
        <v>94</v>
      </c>
      <c r="N1488" s="2" t="s">
        <v>44</v>
      </c>
    </row>
    <row r="1489">
      <c r="A1489" s="2" t="str">
        <f>IFERROR(__xludf.DUMMYFUNCTION("""COMPUTED_VALUE"""),"PR039")</f>
        <v>PR039</v>
      </c>
      <c r="B1489" s="2" t="str">
        <f>IFERROR(__xludf.DUMMYFUNCTION("""COMPUTED_VALUE"""),"VD025")</f>
        <v>VD025</v>
      </c>
      <c r="C1489" s="2">
        <f>IFERROR(__xludf.DUMMYFUNCTION("""COMPUTED_VALUE"""),10.0)</f>
        <v>10</v>
      </c>
      <c r="D1489" s="6">
        <f>IFERROR(__xludf.DUMMYFUNCTION("""COMPUTED_VALUE"""),1533.0)</f>
        <v>1533</v>
      </c>
      <c r="E1489" s="6">
        <f>IFERROR(__xludf.DUMMYFUNCTION("GOOGLEFINANCE(""Currency:BRLMXN"")*D1489"),5208.3675)</f>
        <v>5208.3675</v>
      </c>
      <c r="F1489" s="6">
        <f>IFERROR(__xludf.DUMMYFUNCTION("GOOGLEFINANCE(""Currency:BRLPEN"")*D1489"),1005.0347999999999)</f>
        <v>1005.0348</v>
      </c>
      <c r="G1489" s="2" t="str">
        <f t="array" ref="G1489">_xlfn.XLOOKUP(B1489,Vendedores!$A$2:$A$41,Vendedores!$B$2:$B$41,"No hay datos")</f>
        <v>Alina Santana</v>
      </c>
      <c r="H1489" s="2" t="str">
        <f t="array" ref="H1489">_xlfn.XLOOKUP(B1489,Vendedores!$A$2:$A$41,Vendedores!$C$2:$C$41,"No hay datos")</f>
        <v>Playa Blanca</v>
      </c>
      <c r="I1489" s="2" t="str">
        <f t="array" ref="I1489">_xlfn.XLOOKUP(B1489,Vendedores!$A$2:$A$41,Vendedores!$D$2:$D$41,"No hay datos")</f>
        <v>Región Norte</v>
      </c>
      <c r="J1489" s="2" t="str">
        <f t="array" ref="J1489:N1489">_xlfn.XLOOKUP(A1489,Productos!$A$2:$A$61,Productos!$B$2:$F$61)</f>
        <v>Vestido largo</v>
      </c>
      <c r="K1489" s="2" t="s">
        <v>22</v>
      </c>
      <c r="L1489" s="2" t="s">
        <v>10</v>
      </c>
      <c r="M1489" s="2" t="s">
        <v>73</v>
      </c>
      <c r="N1489" s="2" t="s">
        <v>74</v>
      </c>
    </row>
    <row r="1490">
      <c r="A1490" s="2" t="str">
        <f>IFERROR(__xludf.DUMMYFUNCTION("""COMPUTED_VALUE"""),"PR060")</f>
        <v>PR060</v>
      </c>
      <c r="B1490" s="2" t="str">
        <f>IFERROR(__xludf.DUMMYFUNCTION("""COMPUTED_VALUE"""),"VD030")</f>
        <v>VD030</v>
      </c>
      <c r="C1490" s="2">
        <f>IFERROR(__xludf.DUMMYFUNCTION("""COMPUTED_VALUE"""),9.0)</f>
        <v>9</v>
      </c>
      <c r="D1490" s="6">
        <f>IFERROR(__xludf.DUMMYFUNCTION("""COMPUTED_VALUE"""),1717.2)</f>
        <v>1717.2</v>
      </c>
      <c r="E1490" s="6">
        <f>IFERROR(__xludf.DUMMYFUNCTION("GOOGLEFINANCE(""Currency:BRLMXN"")*D1490"),5834.187)</f>
        <v>5834.187</v>
      </c>
      <c r="F1490" s="6">
        <f>IFERROR(__xludf.DUMMYFUNCTION("GOOGLEFINANCE(""Currency:BRLPEN"")*D1490"),1125.79632)</f>
        <v>1125.79632</v>
      </c>
      <c r="G1490" s="2" t="str">
        <f t="array" ref="G1490">_xlfn.XLOOKUP(B1490,Vendedores!$A$2:$A$41,Vendedores!$B$2:$B$41,"No hay datos")</f>
        <v>Leonardo Rojas</v>
      </c>
      <c r="H1490" s="2" t="str">
        <f t="array" ref="H1490">_xlfn.XLOOKUP(B1490,Vendedores!$A$2:$A$41,Vendedores!$C$2:$C$41,"No hay datos")</f>
        <v>Villa del Sol</v>
      </c>
      <c r="I1490" s="2" t="str">
        <f t="array" ref="I1490">_xlfn.XLOOKUP(B1490,Vendedores!$A$2:$A$41,Vendedores!$D$2:$D$41,"No hay datos")</f>
        <v>Región Central 2</v>
      </c>
      <c r="J1490" s="2" t="str">
        <f t="array" ref="J1490:N1490">_xlfn.XLOOKUP(A1490,Productos!$A$2:$A$61,Productos!$B$2:$F$61)</f>
        <v>Pantalón de sastre</v>
      </c>
      <c r="K1490" s="2" t="s">
        <v>22</v>
      </c>
      <c r="L1490" s="2" t="s">
        <v>10</v>
      </c>
      <c r="M1490" s="2" t="s">
        <v>75</v>
      </c>
      <c r="N1490" s="2" t="s">
        <v>14</v>
      </c>
    </row>
    <row r="1491">
      <c r="A1491" s="2" t="str">
        <f>IFERROR(__xludf.DUMMYFUNCTION("""COMPUTED_VALUE"""),"PR053")</f>
        <v>PR053</v>
      </c>
      <c r="B1491" s="2" t="str">
        <f>IFERROR(__xludf.DUMMYFUNCTION("""COMPUTED_VALUE"""),"VD043")</f>
        <v>VD043</v>
      </c>
      <c r="C1491" s="2">
        <f>IFERROR(__xludf.DUMMYFUNCTION("""COMPUTED_VALUE"""),5.0)</f>
        <v>5</v>
      </c>
      <c r="D1491" s="6">
        <f>IFERROR(__xludf.DUMMYFUNCTION("""COMPUTED_VALUE"""),254.49)</f>
        <v>254.49</v>
      </c>
      <c r="E1491" s="6">
        <f>IFERROR(__xludf.DUMMYFUNCTION("GOOGLEFINANCE(""Currency:BRLMXN"")*D1491"),864.629775)</f>
        <v>864.629775</v>
      </c>
      <c r="F1491" s="6">
        <f>IFERROR(__xludf.DUMMYFUNCTION("GOOGLEFINANCE(""Currency:BRLPEN"")*D1491"),166.84364399999998)</f>
        <v>166.843644</v>
      </c>
      <c r="G1491" s="2" t="str">
        <f t="array" ref="G1491">_xlfn.XLOOKUP(B1491,Vendedores!$A$2:$A$41,Vendedores!$B$2:$B$41,"No hay datos")</f>
        <v>Carlos Henríquez</v>
      </c>
      <c r="H1491" s="2" t="str">
        <f t="array" ref="H1491">_xlfn.XLOOKUP(B1491,Vendedores!$A$2:$A$41,Vendedores!$C$2:$C$41,"No hay datos")</f>
        <v>Ciudad Aeropuerto</v>
      </c>
      <c r="I1491" s="2" t="str">
        <f t="array" ref="I1491">_xlfn.XLOOKUP(B1491,Vendedores!$A$2:$A$41,Vendedores!$D$2:$D$41,"No hay datos")</f>
        <v>Región Central 2</v>
      </c>
      <c r="J1491" s="2" t="str">
        <f t="array" ref="J1491:N1491">_xlfn.XLOOKUP(A1491,Productos!$A$2:$A$61,Productos!$B$2:$F$61)</f>
        <v>Falda plisada</v>
      </c>
      <c r="K1491" s="2" t="s">
        <v>17</v>
      </c>
      <c r="L1491" s="2" t="s">
        <v>10</v>
      </c>
      <c r="M1491" s="2" t="s">
        <v>41</v>
      </c>
      <c r="N1491" s="2" t="s">
        <v>32</v>
      </c>
    </row>
    <row r="1492">
      <c r="A1492" s="2" t="str">
        <f>IFERROR(__xludf.DUMMYFUNCTION("""COMPUTED_VALUE"""),"PR057")</f>
        <v>PR057</v>
      </c>
      <c r="B1492" s="2" t="str">
        <f>IFERROR(__xludf.DUMMYFUNCTION("""COMPUTED_VALUE"""),"VD034")</f>
        <v>VD034</v>
      </c>
      <c r="C1492" s="2">
        <f>IFERROR(__xludf.DUMMYFUNCTION("""COMPUTED_VALUE"""),2.0)</f>
        <v>2</v>
      </c>
      <c r="D1492" s="6">
        <f>IFERROR(__xludf.DUMMYFUNCTION("""COMPUTED_VALUE"""),194.18)</f>
        <v>194.18</v>
      </c>
      <c r="E1492" s="6">
        <f>IFERROR(__xludf.DUMMYFUNCTION("GOOGLEFINANCE(""Currency:BRLMXN"")*D1492"),659.72655)</f>
        <v>659.72655</v>
      </c>
      <c r="F1492" s="6">
        <f>IFERROR(__xludf.DUMMYFUNCTION("GOOGLEFINANCE(""Currency:BRLPEN"")*D1492"),127.304408)</f>
        <v>127.304408</v>
      </c>
      <c r="G1492" s="2" t="str">
        <f t="array" ref="G1492">_xlfn.XLOOKUP(B1492,Vendedores!$A$2:$A$41,Vendedores!$B$2:$B$41,"No hay datos")</f>
        <v>Felipe Carvajal</v>
      </c>
      <c r="H1492" s="2" t="str">
        <f t="array" ref="H1492">_xlfn.XLOOKUP(B1492,Vendedores!$A$2:$A$41,Vendedores!$C$2:$C$41,"No hay datos")</f>
        <v>San Pedro del Río</v>
      </c>
      <c r="I1492" s="2" t="str">
        <f t="array" ref="I1492">_xlfn.XLOOKUP(B1492,Vendedores!$A$2:$A$41,Vendedores!$D$2:$D$41,"No hay datos")</f>
        <v>Región Sur 2</v>
      </c>
      <c r="J1492" s="2" t="str">
        <f t="array" ref="J1492:N1492">_xlfn.XLOOKUP(A1492,Productos!$A$2:$A$61,Productos!$B$2:$F$61)</f>
        <v>Sandalia plana</v>
      </c>
      <c r="K1492" s="2">
        <v>37.0</v>
      </c>
      <c r="L1492" s="2" t="s">
        <v>33</v>
      </c>
      <c r="M1492" s="2" t="s">
        <v>58</v>
      </c>
      <c r="N1492" s="2" t="s">
        <v>35</v>
      </c>
    </row>
    <row r="1493">
      <c r="A1493" s="2" t="str">
        <f>IFERROR(__xludf.DUMMYFUNCTION("""COMPUTED_VALUE"""),"PR031")</f>
        <v>PR031</v>
      </c>
      <c r="B1493" s="2" t="str">
        <f>IFERROR(__xludf.DUMMYFUNCTION("""COMPUTED_VALUE"""),"VD046")</f>
        <v>VD046</v>
      </c>
      <c r="C1493" s="2">
        <f>IFERROR(__xludf.DUMMYFUNCTION("""COMPUTED_VALUE"""),5.0)</f>
        <v>5</v>
      </c>
      <c r="D1493" s="6">
        <f>IFERROR(__xludf.DUMMYFUNCTION("""COMPUTED_VALUE"""),1323.0)</f>
        <v>1323</v>
      </c>
      <c r="E1493" s="6">
        <f>IFERROR(__xludf.DUMMYFUNCTION("GOOGLEFINANCE(""Currency:BRLMXN"")*D1493"),4494.8925)</f>
        <v>4494.8925</v>
      </c>
      <c r="F1493" s="6">
        <f>IFERROR(__xludf.DUMMYFUNCTION("GOOGLEFINANCE(""Currency:BRLPEN"")*D1493"),867.3588)</f>
        <v>867.3588</v>
      </c>
      <c r="G1493" s="2" t="str">
        <f t="array" ref="G1493">_xlfn.XLOOKUP(B1493,Vendedores!$A$2:$A$41,Vendedores!$B$2:$B$41,"No hay datos")</f>
        <v>Juliana Pérez</v>
      </c>
      <c r="H1493" s="2" t="str">
        <f t="array" ref="H1493">_xlfn.XLOOKUP(B1493,Vendedores!$A$2:$A$41,Vendedores!$C$2:$C$41,"No hay datos")</f>
        <v>Santa Cruz de la Sierra</v>
      </c>
      <c r="I1493" s="2" t="str">
        <f t="array" ref="I1493">_xlfn.XLOOKUP(B1493,Vendedores!$A$2:$A$41,Vendedores!$D$2:$D$41,"No hay datos")</f>
        <v>Región Central 2</v>
      </c>
      <c r="J1493" s="2" t="str">
        <f t="array" ref="J1493:N1493">_xlfn.XLOOKUP(A1493,Productos!$A$2:$A$61,Productos!$B$2:$F$61)</f>
        <v>Tenis Chunky</v>
      </c>
      <c r="K1493" s="2">
        <v>36.0</v>
      </c>
      <c r="L1493" s="2" t="s">
        <v>33</v>
      </c>
      <c r="M1493" s="2" t="s">
        <v>84</v>
      </c>
      <c r="N1493" s="2" t="s">
        <v>85</v>
      </c>
    </row>
    <row r="1494">
      <c r="A1494" s="2" t="str">
        <f>IFERROR(__xludf.DUMMYFUNCTION("""COMPUTED_VALUE"""),"PR025")</f>
        <v>PR025</v>
      </c>
      <c r="B1494" s="2" t="str">
        <f>IFERROR(__xludf.DUMMYFUNCTION("""COMPUTED_VALUE"""),"VD033")</f>
        <v>VD033</v>
      </c>
      <c r="C1494" s="2">
        <f>IFERROR(__xludf.DUMMYFUNCTION("""COMPUTED_VALUE"""),10.0)</f>
        <v>10</v>
      </c>
      <c r="D1494" s="6">
        <f>IFERROR(__xludf.DUMMYFUNCTION("""COMPUTED_VALUE"""),3088.97)</f>
        <v>3088.97</v>
      </c>
      <c r="E1494" s="6">
        <f>IFERROR(__xludf.DUMMYFUNCTION("GOOGLEFINANCE(""Currency:BRLMXN"")*D1494"),10494.775575)</f>
        <v>10494.77558</v>
      </c>
      <c r="F1494" s="6">
        <f>IFERROR(__xludf.DUMMYFUNCTION("GOOGLEFINANCE(""Currency:BRLPEN"")*D1494"),2025.1287319999997)</f>
        <v>2025.128732</v>
      </c>
      <c r="G1494" s="2" t="str">
        <f t="array" ref="G1494">_xlfn.XLOOKUP(B1494,Vendedores!$A$2:$A$41,Vendedores!$B$2:$B$41,"No hay datos")</f>
        <v>Renata Flores</v>
      </c>
      <c r="H1494" s="2" t="str">
        <f t="array" ref="H1494">_xlfn.XLOOKUP(B1494,Vendedores!$A$2:$A$41,Vendedores!$C$2:$C$41,"No hay datos")</f>
        <v>Altos del Sur</v>
      </c>
      <c r="I1494" s="2" t="str">
        <f t="array" ref="I1494">_xlfn.XLOOKUP(B1494,Vendedores!$A$2:$A$41,Vendedores!$D$2:$D$41,"No hay datos")</f>
        <v>Región Central 2</v>
      </c>
      <c r="J1494" s="2" t="str">
        <f t="array" ref="J1494:N1494">_xlfn.XLOOKUP(A1494,Productos!$A$2:$A$61,Productos!$B$2:$F$61)</f>
        <v>Chaqueta de mezclilla</v>
      </c>
      <c r="K1494" s="2" t="s">
        <v>22</v>
      </c>
      <c r="L1494" s="2" t="s">
        <v>10</v>
      </c>
      <c r="M1494" s="2" t="s">
        <v>107</v>
      </c>
      <c r="N1494" s="2" t="s">
        <v>16</v>
      </c>
    </row>
    <row r="1495">
      <c r="A1495" s="2" t="str">
        <f>IFERROR(__xludf.DUMMYFUNCTION("""COMPUTED_VALUE"""),"PR052")</f>
        <v>PR052</v>
      </c>
      <c r="B1495" s="2" t="str">
        <f>IFERROR(__xludf.DUMMYFUNCTION("""COMPUTED_VALUE"""),"VD011")</f>
        <v>VD011</v>
      </c>
      <c r="C1495" s="2">
        <f>IFERROR(__xludf.DUMMYFUNCTION("""COMPUTED_VALUE"""),4.0)</f>
        <v>4</v>
      </c>
      <c r="D1495" s="6">
        <f>IFERROR(__xludf.DUMMYFUNCTION("""COMPUTED_VALUE"""),213.57)</f>
        <v>213.57</v>
      </c>
      <c r="E1495" s="6">
        <f>IFERROR(__xludf.DUMMYFUNCTION("GOOGLEFINANCE(""Currency:BRLMXN"")*D1495"),725.604075)</f>
        <v>725.604075</v>
      </c>
      <c r="F1495" s="6">
        <f>IFERROR(__xludf.DUMMYFUNCTION("GOOGLEFINANCE(""Currency:BRLPEN"")*D1495"),140.016492)</f>
        <v>140.016492</v>
      </c>
      <c r="G1495" s="2" t="str">
        <f t="array" ref="G1495">_xlfn.XLOOKUP(B1495,Vendedores!$A$2:$A$41,Vendedores!$B$2:$B$41,"No hay datos")</f>
        <v>Juan Santos</v>
      </c>
      <c r="H1495" s="2" t="str">
        <f t="array" ref="H1495">_xlfn.XLOOKUP(B1495,Vendedores!$A$2:$A$41,Vendedores!$C$2:$C$41,"No hay datos")</f>
        <v>Vista Hermosa</v>
      </c>
      <c r="I1495" s="2" t="str">
        <f t="array" ref="I1495">_xlfn.XLOOKUP(B1495,Vendedores!$A$2:$A$41,Vendedores!$D$2:$D$41,"No hay datos")</f>
        <v>Región Central</v>
      </c>
      <c r="J1495" s="2" t="str">
        <f t="array" ref="J1495:N1495">_xlfn.XLOOKUP(A1495,Productos!$A$2:$A$61,Productos!$B$2:$F$61)</f>
        <v>Falda plisada</v>
      </c>
      <c r="K1495" s="2" t="s">
        <v>9</v>
      </c>
      <c r="L1495" s="2" t="s">
        <v>10</v>
      </c>
      <c r="M1495" s="2" t="s">
        <v>36</v>
      </c>
      <c r="N1495" s="2" t="s">
        <v>32</v>
      </c>
    </row>
    <row r="1496">
      <c r="A1496" s="2" t="str">
        <f>IFERROR(__xludf.DUMMYFUNCTION("""COMPUTED_VALUE"""),"PR001")</f>
        <v>PR001</v>
      </c>
      <c r="B1496" s="2" t="str">
        <f>IFERROR(__xludf.DUMMYFUNCTION("""COMPUTED_VALUE"""),"VD037")</f>
        <v>VD037</v>
      </c>
      <c r="C1496" s="2">
        <f>IFERROR(__xludf.DUMMYFUNCTION("""COMPUTED_VALUE"""),6.0)</f>
        <v>6</v>
      </c>
      <c r="D1496" s="6">
        <f>IFERROR(__xludf.DUMMYFUNCTION("""COMPUTED_VALUE"""),399.35)</f>
        <v>399.35</v>
      </c>
      <c r="E1496" s="6">
        <f>IFERROR(__xludf.DUMMYFUNCTION("GOOGLEFINANCE(""Currency:BRLMXN"")*D1496"),1356.791625)</f>
        <v>1356.791625</v>
      </c>
      <c r="F1496" s="6">
        <f>IFERROR(__xludf.DUMMYFUNCTION("GOOGLEFINANCE(""Currency:BRLPEN"")*D1496"),261.81386)</f>
        <v>261.81386</v>
      </c>
      <c r="G1496" s="2" t="str">
        <f t="array" ref="G1496">_xlfn.XLOOKUP(B1496,Vendedores!$A$2:$A$41,Vendedores!$B$2:$B$41,"No hay datos")</f>
        <v>Amanda Silva</v>
      </c>
      <c r="H1496" s="2" t="str">
        <f t="array" ref="H1496">_xlfn.XLOOKUP(B1496,Vendedores!$A$2:$A$41,Vendedores!$C$2:$C$41,"No hay datos")</f>
        <v>Villa Esperanza</v>
      </c>
      <c r="I1496" s="2" t="str">
        <f t="array" ref="I1496">_xlfn.XLOOKUP(B1496,Vendedores!$A$2:$A$41,Vendedores!$D$2:$D$41,"No hay datos")</f>
        <v>Región Sur 2</v>
      </c>
      <c r="J1496" s="2" t="str">
        <f t="array" ref="J1496:N1496">_xlfn.XLOOKUP(A1496,Productos!$A$2:$A$61,Productos!$B$2:$F$61)</f>
        <v>Bermuda</v>
      </c>
      <c r="K1496" s="2" t="s">
        <v>9</v>
      </c>
      <c r="L1496" s="2" t="s">
        <v>10</v>
      </c>
      <c r="M1496" s="2" t="s">
        <v>11</v>
      </c>
      <c r="N1496" s="2" t="s">
        <v>12</v>
      </c>
    </row>
    <row r="1497">
      <c r="A1497" s="2" t="str">
        <f>IFERROR(__xludf.DUMMYFUNCTION("""COMPUTED_VALUE"""),"PR004")</f>
        <v>PR004</v>
      </c>
      <c r="B1497" s="2" t="str">
        <f>IFERROR(__xludf.DUMMYFUNCTION("""COMPUTED_VALUE"""),"VD041")</f>
        <v>VD041</v>
      </c>
      <c r="C1497" s="2">
        <f>IFERROR(__xludf.DUMMYFUNCTION("""COMPUTED_VALUE"""),18.0)</f>
        <v>18</v>
      </c>
      <c r="D1497" s="6">
        <f>IFERROR(__xludf.DUMMYFUNCTION("""COMPUTED_VALUE"""),2871.0)</f>
        <v>2871</v>
      </c>
      <c r="E1497" s="6">
        <f>IFERROR(__xludf.DUMMYFUNCTION("GOOGLEFINANCE(""Currency:BRLMXN"")*D1497"),9754.2225)</f>
        <v>9754.2225</v>
      </c>
      <c r="F1497" s="6">
        <f>IFERROR(__xludf.DUMMYFUNCTION("GOOGLEFINANCE(""Currency:BRLPEN"")*D1497"),1882.2276)</f>
        <v>1882.2276</v>
      </c>
      <c r="G1497" s="2" t="str">
        <f t="array" ref="G1497">_xlfn.XLOOKUP(B1497,Vendedores!$A$2:$A$41,Vendedores!$B$2:$B$41,"No hay datos")</f>
        <v>Alejandro Ramos</v>
      </c>
      <c r="H1497" s="2" t="str">
        <f t="array" ref="H1497">_xlfn.XLOOKUP(B1497,Vendedores!$A$2:$A$41,Vendedores!$C$2:$C$41,"No hay datos")</f>
        <v>San Martín de las Rosas</v>
      </c>
      <c r="I1497" s="2" t="str">
        <f t="array" ref="I1497">_xlfn.XLOOKUP(B1497,Vendedores!$A$2:$A$41,Vendedores!$D$2:$D$41,"No hay datos")</f>
        <v>Región Central 2</v>
      </c>
      <c r="J1497" s="2" t="str">
        <f t="array" ref="J1497:N1497">_xlfn.XLOOKUP(A1497,Productos!$A$2:$A$61,Productos!$B$2:$F$61)</f>
        <v>Bolso versátil</v>
      </c>
      <c r="K1497" s="2" t="s">
        <v>29</v>
      </c>
      <c r="L1497" s="2" t="s">
        <v>30</v>
      </c>
      <c r="M1497" s="2" t="s">
        <v>59</v>
      </c>
      <c r="N1497" s="2" t="s">
        <v>60</v>
      </c>
    </row>
    <row r="1498">
      <c r="A1498" s="2" t="str">
        <f>IFERROR(__xludf.DUMMYFUNCTION("""COMPUTED_VALUE"""),"PR038")</f>
        <v>PR038</v>
      </c>
      <c r="B1498" s="2" t="str">
        <f>IFERROR(__xludf.DUMMYFUNCTION("""COMPUTED_VALUE"""),"VD010")</f>
        <v>VD010</v>
      </c>
      <c r="C1498" s="2">
        <f>IFERROR(__xludf.DUMMYFUNCTION("""COMPUTED_VALUE"""),5.0)</f>
        <v>5</v>
      </c>
      <c r="D1498" s="6">
        <f>IFERROR(__xludf.DUMMYFUNCTION("""COMPUTED_VALUE"""),714.5)</f>
        <v>714.5</v>
      </c>
      <c r="E1498" s="6">
        <f>IFERROR(__xludf.DUMMYFUNCTION("GOOGLEFINANCE(""Currency:BRLMXN"")*D1498"),2427.51375)</f>
        <v>2427.51375</v>
      </c>
      <c r="F1498" s="6">
        <f>IFERROR(__xludf.DUMMYFUNCTION("GOOGLEFINANCE(""Currency:BRLPEN"")*D1498"),468.4262)</f>
        <v>468.4262</v>
      </c>
      <c r="G1498" s="2" t="str">
        <f t="array" ref="G1498">_xlfn.XLOOKUP(B1498,Vendedores!$A$2:$A$41,Vendedores!$B$2:$B$41,"No hay datos")</f>
        <v>María Silva</v>
      </c>
      <c r="H1498" s="2" t="str">
        <f t="array" ref="H1498">_xlfn.XLOOKUP(B1498,Vendedores!$A$2:$A$41,Vendedores!$C$2:$C$41,"No hay datos")</f>
        <v>San Juan de la Sierra</v>
      </c>
      <c r="I1498" s="2" t="str">
        <f t="array" ref="I1498">_xlfn.XLOOKUP(B1498,Vendedores!$A$2:$A$41,Vendedores!$D$2:$D$41,"No hay datos")</f>
        <v>Región Central</v>
      </c>
      <c r="J1498" s="2" t="str">
        <f t="array" ref="J1498:N1498">_xlfn.XLOOKUP(A1498,Productos!$A$2:$A$61,Productos!$B$2:$F$61)</f>
        <v>Vestido largo</v>
      </c>
      <c r="K1498" s="2" t="s">
        <v>17</v>
      </c>
      <c r="L1498" s="2" t="s">
        <v>10</v>
      </c>
      <c r="M1498" s="2" t="s">
        <v>51</v>
      </c>
      <c r="N1498" s="2" t="s">
        <v>52</v>
      </c>
    </row>
    <row r="1499">
      <c r="A1499" s="2" t="str">
        <f>IFERROR(__xludf.DUMMYFUNCTION("""COMPUTED_VALUE"""),"PR007")</f>
        <v>PR007</v>
      </c>
      <c r="B1499" s="2" t="str">
        <f>IFERROR(__xludf.DUMMYFUNCTION("""COMPUTED_VALUE"""),"VD011")</f>
        <v>VD011</v>
      </c>
      <c r="C1499" s="2">
        <f>IFERROR(__xludf.DUMMYFUNCTION("""COMPUTED_VALUE"""),2.0)</f>
        <v>2</v>
      </c>
      <c r="D1499" s="6">
        <f>IFERROR(__xludf.DUMMYFUNCTION("""COMPUTED_VALUE"""),180.39)</f>
        <v>180.39</v>
      </c>
      <c r="E1499" s="6">
        <f>IFERROR(__xludf.DUMMYFUNCTION("GOOGLEFINANCE(""Currency:BRLMXN"")*D1499"),612.8750249999999)</f>
        <v>612.875025</v>
      </c>
      <c r="F1499" s="6">
        <f>IFERROR(__xludf.DUMMYFUNCTION("GOOGLEFINANCE(""Currency:BRLPEN"")*D1499"),118.26368399999998)</f>
        <v>118.263684</v>
      </c>
      <c r="G1499" s="2" t="str">
        <f t="array" ref="G1499">_xlfn.XLOOKUP(B1499,Vendedores!$A$2:$A$41,Vendedores!$B$2:$B$41,"No hay datos")</f>
        <v>Juan Santos</v>
      </c>
      <c r="H1499" s="2" t="str">
        <f t="array" ref="H1499">_xlfn.XLOOKUP(B1499,Vendedores!$A$2:$A$41,Vendedores!$C$2:$C$41,"No hay datos")</f>
        <v>Vista Hermosa</v>
      </c>
      <c r="I1499" s="2" t="str">
        <f t="array" ref="I1499">_xlfn.XLOOKUP(B1499,Vendedores!$A$2:$A$41,Vendedores!$D$2:$D$41,"No hay datos")</f>
        <v>Región Central</v>
      </c>
      <c r="J1499" s="2" t="str">
        <f t="array" ref="J1499:N1499">_xlfn.XLOOKUP(A1499,Productos!$A$2:$A$61,Productos!$B$2:$F$61)</f>
        <v>Pantalón de mezclilla</v>
      </c>
      <c r="K1499" s="2" t="s">
        <v>9</v>
      </c>
      <c r="L1499" s="2" t="s">
        <v>10</v>
      </c>
      <c r="M1499" s="2" t="s">
        <v>103</v>
      </c>
      <c r="N1499" s="2" t="s">
        <v>104</v>
      </c>
    </row>
    <row r="1500">
      <c r="A1500" s="2" t="str">
        <f>IFERROR(__xludf.DUMMYFUNCTION("""COMPUTED_VALUE"""),"PR018")</f>
        <v>PR018</v>
      </c>
      <c r="B1500" s="2" t="str">
        <f>IFERROR(__xludf.DUMMYFUNCTION("""COMPUTED_VALUE"""),"VD036")</f>
        <v>VD036</v>
      </c>
      <c r="C1500" s="2">
        <f>IFERROR(__xludf.DUMMYFUNCTION("""COMPUTED_VALUE"""),10.0)</f>
        <v>10</v>
      </c>
      <c r="D1500" s="6">
        <f>IFERROR(__xludf.DUMMYFUNCTION("""COMPUTED_VALUE"""),355.32)</f>
        <v>355.32</v>
      </c>
      <c r="E1500" s="6">
        <f>IFERROR(__xludf.DUMMYFUNCTION("GOOGLEFINANCE(""Currency:BRLMXN"")*D1500"),1207.1997)</f>
        <v>1207.1997</v>
      </c>
      <c r="F1500" s="6">
        <f>IFERROR(__xludf.DUMMYFUNCTION("GOOGLEFINANCE(""Currency:BRLPEN"")*D1500"),232.947792)</f>
        <v>232.947792</v>
      </c>
      <c r="G1500" s="2" t="str">
        <f t="array" ref="G1500">_xlfn.XLOOKUP(B1500,Vendedores!$A$2:$A$41,Vendedores!$B$2:$B$41,"No hay datos")</f>
        <v>Ricardo Sosa</v>
      </c>
      <c r="H1500" s="2" t="str">
        <f t="array" ref="H1500">_xlfn.XLOOKUP(B1500,Vendedores!$A$2:$A$41,Vendedores!$C$2:$C$41,"No hay datos")</f>
        <v>Puerto Nuevo</v>
      </c>
      <c r="I1500" s="2" t="str">
        <f t="array" ref="I1500">_xlfn.XLOOKUP(B1500,Vendedores!$A$2:$A$41,Vendedores!$D$2:$D$41,"No hay datos")</f>
        <v>Región Central 2</v>
      </c>
      <c r="J1500" s="2" t="str">
        <f t="array" ref="J1500:N1500">_xlfn.XLOOKUP(A1500,Productos!$A$2:$A$61,Productos!$B$2:$F$61)</f>
        <v>Playera lisa</v>
      </c>
      <c r="K1500" s="2" t="s">
        <v>22</v>
      </c>
      <c r="L1500" s="2" t="s">
        <v>10</v>
      </c>
      <c r="M1500" s="2" t="s">
        <v>57</v>
      </c>
      <c r="N1500" s="2" t="s">
        <v>24</v>
      </c>
    </row>
    <row r="1501">
      <c r="A1501" s="2" t="str">
        <f>IFERROR(__xludf.DUMMYFUNCTION("""COMPUTED_VALUE"""),"PR039")</f>
        <v>PR039</v>
      </c>
      <c r="B1501" s="2" t="str">
        <f>IFERROR(__xludf.DUMMYFUNCTION("""COMPUTED_VALUE"""),"VD026")</f>
        <v>VD026</v>
      </c>
      <c r="C1501" s="2">
        <f>IFERROR(__xludf.DUMMYFUNCTION("""COMPUTED_VALUE"""),10.0)</f>
        <v>10</v>
      </c>
      <c r="D1501" s="6">
        <f>IFERROR(__xludf.DUMMYFUNCTION("""COMPUTED_VALUE"""),1518.4)</f>
        <v>1518.4</v>
      </c>
      <c r="E1501" s="6">
        <f>IFERROR(__xludf.DUMMYFUNCTION("GOOGLEFINANCE(""Currency:BRLMXN"")*D1501"),5158.764)</f>
        <v>5158.764</v>
      </c>
      <c r="F1501" s="6">
        <f>IFERROR(__xludf.DUMMYFUNCTION("GOOGLEFINANCE(""Currency:BRLPEN"")*D1501"),995.46304)</f>
        <v>995.46304</v>
      </c>
      <c r="G1501" s="2" t="str">
        <f t="array" ref="G1501">_xlfn.XLOOKUP(B1501,Vendedores!$A$2:$A$41,Vendedores!$B$2:$B$41,"No hay datos")</f>
        <v>Daniel Fernández</v>
      </c>
      <c r="H1501" s="2" t="str">
        <f t="array" ref="H1501">_xlfn.XLOOKUP(B1501,Vendedores!$A$2:$A$41,Vendedores!$C$2:$C$41,"No hay datos")</f>
        <v>Puerto Esperanza</v>
      </c>
      <c r="I1501" s="2" t="str">
        <f t="array" ref="I1501">_xlfn.XLOOKUP(B1501,Vendedores!$A$2:$A$41,Vendedores!$D$2:$D$41,"No hay datos")</f>
        <v>Región Sur</v>
      </c>
      <c r="J1501" s="2" t="str">
        <f t="array" ref="J1501:N1501">_xlfn.XLOOKUP(A1501,Productos!$A$2:$A$61,Productos!$B$2:$F$61)</f>
        <v>Vestido largo</v>
      </c>
      <c r="K1501" s="2" t="s">
        <v>22</v>
      </c>
      <c r="L1501" s="2" t="s">
        <v>10</v>
      </c>
      <c r="M1501" s="2" t="s">
        <v>73</v>
      </c>
      <c r="N1501" s="2" t="s">
        <v>74</v>
      </c>
    </row>
    <row r="1502">
      <c r="A1502" s="2" t="str">
        <f>IFERROR(__xludf.DUMMYFUNCTION("""COMPUTED_VALUE"""),"PR022")</f>
        <v>PR022</v>
      </c>
      <c r="B1502" s="2" t="str">
        <f>IFERROR(__xludf.DUMMYFUNCTION("""COMPUTED_VALUE"""),"VD041")</f>
        <v>VD041</v>
      </c>
      <c r="C1502" s="2">
        <f>IFERROR(__xludf.DUMMYFUNCTION("""COMPUTED_VALUE"""),9.0)</f>
        <v>9</v>
      </c>
      <c r="D1502" s="6">
        <f>IFERROR(__xludf.DUMMYFUNCTION("""COMPUTED_VALUE"""),2808.0)</f>
        <v>2808</v>
      </c>
      <c r="E1502" s="6">
        <f>IFERROR(__xludf.DUMMYFUNCTION("GOOGLEFINANCE(""Currency:BRLMXN"")*D1502"),9540.18)</f>
        <v>9540.18</v>
      </c>
      <c r="F1502" s="6">
        <f>IFERROR(__xludf.DUMMYFUNCTION("GOOGLEFINANCE(""Currency:BRLPEN"")*D1502"),1840.9247999999998)</f>
        <v>1840.9248</v>
      </c>
      <c r="G1502" s="2" t="str">
        <f t="array" ref="G1502">_xlfn.XLOOKUP(B1502,Vendedores!$A$2:$A$41,Vendedores!$B$2:$B$41,"No hay datos")</f>
        <v>Alejandro Ramos</v>
      </c>
      <c r="H1502" s="2" t="str">
        <f t="array" ref="H1502">_xlfn.XLOOKUP(B1502,Vendedores!$A$2:$A$41,Vendedores!$C$2:$C$41,"No hay datos")</f>
        <v>San Martín de las Rosas</v>
      </c>
      <c r="I1502" s="2" t="str">
        <f t="array" ref="I1502">_xlfn.XLOOKUP(B1502,Vendedores!$A$2:$A$41,Vendedores!$D$2:$D$41,"No hay datos")</f>
        <v>Región Central 2</v>
      </c>
      <c r="J1502" s="2" t="str">
        <f t="array" ref="J1502:N1502">_xlfn.XLOOKUP(A1502,Productos!$A$2:$A$61,Productos!$B$2:$F$61)</f>
        <v>Chaqueta de cuero</v>
      </c>
      <c r="K1502" s="2" t="s">
        <v>22</v>
      </c>
      <c r="L1502" s="2" t="s">
        <v>10</v>
      </c>
      <c r="M1502" s="2" t="s">
        <v>78</v>
      </c>
      <c r="N1502" s="2" t="s">
        <v>79</v>
      </c>
    </row>
    <row r="1503">
      <c r="A1503" s="2" t="str">
        <f>IFERROR(__xludf.DUMMYFUNCTION("""COMPUTED_VALUE"""),"PR007")</f>
        <v>PR007</v>
      </c>
      <c r="B1503" s="2" t="str">
        <f>IFERROR(__xludf.DUMMYFUNCTION("""COMPUTED_VALUE"""),"VD020")</f>
        <v>VD020</v>
      </c>
      <c r="C1503" s="2">
        <f>IFERROR(__xludf.DUMMYFUNCTION("""COMPUTED_VALUE"""),18.0)</f>
        <v>18</v>
      </c>
      <c r="D1503" s="6">
        <f>IFERROR(__xludf.DUMMYFUNCTION("""COMPUTED_VALUE"""),1623.51)</f>
        <v>1623.51</v>
      </c>
      <c r="E1503" s="6">
        <f>IFERROR(__xludf.DUMMYFUNCTION("GOOGLEFINANCE(""Currency:BRLMXN"")*D1503"),5515.875225)</f>
        <v>5515.875225</v>
      </c>
      <c r="F1503" s="6">
        <f>IFERROR(__xludf.DUMMYFUNCTION("GOOGLEFINANCE(""Currency:BRLPEN"")*D1503"),1064.3731559999999)</f>
        <v>1064.373156</v>
      </c>
      <c r="G1503" s="2" t="str">
        <f t="array" ref="G1503">_xlfn.XLOOKUP(B1503,Vendedores!$A$2:$A$41,Vendedores!$B$2:$B$41,"No hay datos")</f>
        <v>Gustavo Morales</v>
      </c>
      <c r="H1503" s="2" t="str">
        <f t="array" ref="H1503">_xlfn.XLOOKUP(B1503,Vendedores!$A$2:$A$41,Vendedores!$C$2:$C$41,"No hay datos")</f>
        <v>Villa del Sol</v>
      </c>
      <c r="I1503" s="2" t="str">
        <f t="array" ref="I1503">_xlfn.XLOOKUP(B1503,Vendedores!$A$2:$A$41,Vendedores!$D$2:$D$41,"No hay datos")</f>
        <v>Región Central 2</v>
      </c>
      <c r="J1503" s="2" t="str">
        <f t="array" ref="J1503:N1503">_xlfn.XLOOKUP(A1503,Productos!$A$2:$A$61,Productos!$B$2:$F$61)</f>
        <v>Pantalón de mezclilla</v>
      </c>
      <c r="K1503" s="2" t="s">
        <v>9</v>
      </c>
      <c r="L1503" s="2" t="s">
        <v>10</v>
      </c>
      <c r="M1503" s="2" t="s">
        <v>103</v>
      </c>
      <c r="N1503" s="2" t="s">
        <v>104</v>
      </c>
    </row>
    <row r="1504">
      <c r="A1504" s="2" t="str">
        <f>IFERROR(__xludf.DUMMYFUNCTION("""COMPUTED_VALUE"""),"PR059")</f>
        <v>PR059</v>
      </c>
      <c r="B1504" s="2" t="str">
        <f>IFERROR(__xludf.DUMMYFUNCTION("""COMPUTED_VALUE"""),"VD036")</f>
        <v>VD036</v>
      </c>
      <c r="C1504" s="2">
        <f>IFERROR(__xludf.DUMMYFUNCTION("""COMPUTED_VALUE"""),8.0)</f>
        <v>8</v>
      </c>
      <c r="D1504" s="6">
        <f>IFERROR(__xludf.DUMMYFUNCTION("""COMPUTED_VALUE"""),1512.0)</f>
        <v>1512</v>
      </c>
      <c r="E1504" s="6">
        <f>IFERROR(__xludf.DUMMYFUNCTION("GOOGLEFINANCE(""Currency:BRLMXN"")*D1504"),5137.0199999999995)</f>
        <v>5137.02</v>
      </c>
      <c r="F1504" s="6">
        <f>IFERROR(__xludf.DUMMYFUNCTION("GOOGLEFINANCE(""Currency:BRLPEN"")*D1504"),991.2671999999999)</f>
        <v>991.2672</v>
      </c>
      <c r="G1504" s="2" t="str">
        <f t="array" ref="G1504">_xlfn.XLOOKUP(B1504,Vendedores!$A$2:$A$41,Vendedores!$B$2:$B$41,"No hay datos")</f>
        <v>Ricardo Sosa</v>
      </c>
      <c r="H1504" s="2" t="str">
        <f t="array" ref="H1504">_xlfn.XLOOKUP(B1504,Vendedores!$A$2:$A$41,Vendedores!$C$2:$C$41,"No hay datos")</f>
        <v>Puerto Nuevo</v>
      </c>
      <c r="I1504" s="2" t="str">
        <f t="array" ref="I1504">_xlfn.XLOOKUP(B1504,Vendedores!$A$2:$A$41,Vendedores!$D$2:$D$41,"No hay datos")</f>
        <v>Región Central 2</v>
      </c>
      <c r="J1504" s="2" t="str">
        <f t="array" ref="J1504:N1504">_xlfn.XLOOKUP(A1504,Productos!$A$2:$A$61,Productos!$B$2:$F$61)</f>
        <v>Pantalón de sastre</v>
      </c>
      <c r="K1504" s="2" t="s">
        <v>17</v>
      </c>
      <c r="L1504" s="2" t="s">
        <v>10</v>
      </c>
      <c r="M1504" s="2" t="s">
        <v>28</v>
      </c>
      <c r="N1504" s="2" t="s">
        <v>14</v>
      </c>
    </row>
    <row r="1505">
      <c r="A1505" s="2" t="str">
        <f>IFERROR(__xludf.DUMMYFUNCTION("""COMPUTED_VALUE"""),"PR006")</f>
        <v>PR006</v>
      </c>
      <c r="B1505" s="2" t="str">
        <f>IFERROR(__xludf.DUMMYFUNCTION("""COMPUTED_VALUE"""),"VD038")</f>
        <v>VD038</v>
      </c>
      <c r="C1505" s="2">
        <f>IFERROR(__xludf.DUMMYFUNCTION("""COMPUTED_VALUE"""),12.0)</f>
        <v>12</v>
      </c>
      <c r="D1505" s="6">
        <f>IFERROR(__xludf.DUMMYFUNCTION("""COMPUTED_VALUE"""),526.68)</f>
        <v>526.68</v>
      </c>
      <c r="E1505" s="6">
        <f>IFERROR(__xludf.DUMMYFUNCTION("GOOGLEFINANCE(""Currency:BRLMXN"")*D1505"),1789.3953)</f>
        <v>1789.3953</v>
      </c>
      <c r="F1505" s="6">
        <f>IFERROR(__xludf.DUMMYFUNCTION("GOOGLEFINANCE(""Currency:BRLPEN"")*D1505"),345.29140799999993)</f>
        <v>345.291408</v>
      </c>
      <c r="G1505" s="2" t="str">
        <f t="array" ref="G1505">_xlfn.XLOOKUP(B1505,Vendedores!$A$2:$A$41,Vendedores!$B$2:$B$41,"No hay datos")</f>
        <v>Bruno Olmedo</v>
      </c>
      <c r="H1505" s="2" t="str">
        <f t="array" ref="H1505">_xlfn.XLOOKUP(B1505,Vendedores!$A$2:$A$41,Vendedores!$C$2:$C$41,"No hay datos")</f>
        <v>Tierra Fertil</v>
      </c>
      <c r="I1505" s="2" t="str">
        <f t="array" ref="I1505">_xlfn.XLOOKUP(B1505,Vendedores!$A$2:$A$41,Vendedores!$D$2:$D$41,"No hay datos")</f>
        <v>Región Sur 2</v>
      </c>
      <c r="J1505" s="2" t="str">
        <f t="array" ref="J1505:N1505">_xlfn.XLOOKUP(A1505,Productos!$A$2:$A$61,Productos!$B$2:$F$61)</f>
        <v>Gorra</v>
      </c>
      <c r="K1505" s="2" t="s">
        <v>29</v>
      </c>
      <c r="L1505" s="2" t="s">
        <v>30</v>
      </c>
      <c r="M1505" s="2" t="s">
        <v>48</v>
      </c>
      <c r="N1505" s="2" t="s">
        <v>38</v>
      </c>
    </row>
    <row r="1506">
      <c r="A1506" s="2" t="str">
        <f>IFERROR(__xludf.DUMMYFUNCTION("""COMPUTED_VALUE"""),"PR017")</f>
        <v>PR017</v>
      </c>
      <c r="B1506" s="2" t="str">
        <f>IFERROR(__xludf.DUMMYFUNCTION("""COMPUTED_VALUE"""),"VD013")</f>
        <v>VD013</v>
      </c>
      <c r="C1506" s="2">
        <f>IFERROR(__xludf.DUMMYFUNCTION("""COMPUTED_VALUE"""),9.0)</f>
        <v>9</v>
      </c>
      <c r="D1506" s="6">
        <f>IFERROR(__xludf.DUMMYFUNCTION("""COMPUTED_VALUE"""),285.25)</f>
        <v>285.25</v>
      </c>
      <c r="E1506" s="6">
        <f>IFERROR(__xludf.DUMMYFUNCTION("GOOGLEFINANCE(""Currency:BRLMXN"")*D1506"),969.136875)</f>
        <v>969.136875</v>
      </c>
      <c r="F1506" s="6">
        <f>IFERROR(__xludf.DUMMYFUNCTION("GOOGLEFINANCE(""Currency:BRLPEN"")*D1506"),187.0099)</f>
        <v>187.0099</v>
      </c>
      <c r="G1506" s="2" t="str">
        <f t="array" ref="G1506">_xlfn.XLOOKUP(B1506,Vendedores!$A$2:$A$41,Vendedores!$B$2:$B$41,"No hay datos")</f>
        <v>Pedro Almonte</v>
      </c>
      <c r="H1506" s="2" t="str">
        <f t="array" ref="H1506">_xlfn.XLOOKUP(B1506,Vendedores!$A$2:$A$41,Vendedores!$C$2:$C$41,"No hay datos")</f>
        <v>Santa Rosa del Valle</v>
      </c>
      <c r="I1506" s="2" t="str">
        <f t="array" ref="I1506">_xlfn.XLOOKUP(B1506,Vendedores!$A$2:$A$41,Vendedores!$D$2:$D$41,"No hay datos")</f>
        <v>Región Norte</v>
      </c>
      <c r="J1506" s="2" t="str">
        <f t="array" ref="J1506:N1506">_xlfn.XLOOKUP(A1506,Productos!$A$2:$A$61,Productos!$B$2:$F$61)</f>
        <v>Playera lisa</v>
      </c>
      <c r="K1506" s="2" t="s">
        <v>17</v>
      </c>
      <c r="L1506" s="2" t="s">
        <v>10</v>
      </c>
      <c r="M1506" s="2" t="s">
        <v>98</v>
      </c>
      <c r="N1506" s="2" t="s">
        <v>99</v>
      </c>
    </row>
    <row r="1507">
      <c r="A1507" s="2" t="str">
        <f>IFERROR(__xludf.DUMMYFUNCTION("""COMPUTED_VALUE"""),"PR015")</f>
        <v>PR015</v>
      </c>
      <c r="B1507" s="2" t="str">
        <f>IFERROR(__xludf.DUMMYFUNCTION("""COMPUTED_VALUE"""),"VD032")</f>
        <v>VD032</v>
      </c>
      <c r="C1507" s="2">
        <f>IFERROR(__xludf.DUMMYFUNCTION("""COMPUTED_VALUE"""),3.0)</f>
        <v>3</v>
      </c>
      <c r="D1507" s="6">
        <f>IFERROR(__xludf.DUMMYFUNCTION("""COMPUTED_VALUE"""),140.25)</f>
        <v>140.25</v>
      </c>
      <c r="E1507" s="6">
        <f>IFERROR(__xludf.DUMMYFUNCTION("GOOGLEFINANCE(""Currency:BRLMXN"")*D1507"),476.499375)</f>
        <v>476.499375</v>
      </c>
      <c r="F1507" s="6">
        <f>IFERROR(__xludf.DUMMYFUNCTION("GOOGLEFINANCE(""Currency:BRLPEN"")*D1507"),91.94789999999999)</f>
        <v>91.9479</v>
      </c>
      <c r="G1507" s="2" t="str">
        <f t="array" ref="G1507">_xlfn.XLOOKUP(B1507,Vendedores!$A$2:$A$41,Vendedores!$B$2:$B$41,"No hay datos")</f>
        <v>Eduardo Almonte</v>
      </c>
      <c r="H1507" s="2" t="str">
        <f t="array" ref="H1507">_xlfn.XLOOKUP(B1507,Vendedores!$A$2:$A$41,Vendedores!$C$2:$C$41,"No hay datos")</f>
        <v>Tierra Colorada</v>
      </c>
      <c r="I1507" s="2" t="str">
        <f t="array" ref="I1507">_xlfn.XLOOKUP(B1507,Vendedores!$A$2:$A$41,Vendedores!$D$2:$D$41,"No hay datos")</f>
        <v>Región Central 2</v>
      </c>
      <c r="J1507" s="2" t="str">
        <f t="array" ref="J1507:N1507">_xlfn.XLOOKUP(A1507,Productos!$A$2:$A$61,Productos!$B$2:$F$61)</f>
        <v>Playera estampada</v>
      </c>
      <c r="K1507" s="2" t="s">
        <v>22</v>
      </c>
      <c r="L1507" s="2" t="s">
        <v>10</v>
      </c>
      <c r="M1507" s="2" t="s">
        <v>101</v>
      </c>
      <c r="N1507" s="2" t="s">
        <v>102</v>
      </c>
    </row>
    <row r="1508">
      <c r="A1508" s="2" t="str">
        <f>IFERROR(__xludf.DUMMYFUNCTION("""COMPUTED_VALUE"""),"PR051")</f>
        <v>PR051</v>
      </c>
      <c r="B1508" s="2" t="str">
        <f>IFERROR(__xludf.DUMMYFUNCTION("""COMPUTED_VALUE"""),"VD041")</f>
        <v>VD041</v>
      </c>
      <c r="C1508" s="2">
        <f>IFERROR(__xludf.DUMMYFUNCTION("""COMPUTED_VALUE"""),12.0)</f>
        <v>12</v>
      </c>
      <c r="D1508" s="6">
        <f>IFERROR(__xludf.DUMMYFUNCTION("""COMPUTED_VALUE"""),418.49)</f>
        <v>418.49</v>
      </c>
      <c r="E1508" s="6">
        <f>IFERROR(__xludf.DUMMYFUNCTION("GOOGLEFINANCE(""Currency:BRLMXN"")*D1508"),1421.819775)</f>
        <v>1421.819775</v>
      </c>
      <c r="F1508" s="6">
        <f>IFERROR(__xludf.DUMMYFUNCTION("GOOGLEFINANCE(""Currency:BRLPEN"")*D1508"),274.36204399999997)</f>
        <v>274.362044</v>
      </c>
      <c r="G1508" s="2" t="str">
        <f t="array" ref="G1508">_xlfn.XLOOKUP(B1508,Vendedores!$A$2:$A$41,Vendedores!$B$2:$B$41,"No hay datos")</f>
        <v>Alejandro Ramos</v>
      </c>
      <c r="H1508" s="2" t="str">
        <f t="array" ref="H1508">_xlfn.XLOOKUP(B1508,Vendedores!$A$2:$A$41,Vendedores!$C$2:$C$41,"No hay datos")</f>
        <v>San Martín de las Rosas</v>
      </c>
      <c r="I1508" s="2" t="str">
        <f t="array" ref="I1508">_xlfn.XLOOKUP(B1508,Vendedores!$A$2:$A$41,Vendedores!$D$2:$D$41,"No hay datos")</f>
        <v>Región Central 2</v>
      </c>
      <c r="J1508" s="2" t="str">
        <f t="array" ref="J1508:N1508">_xlfn.XLOOKUP(A1508,Productos!$A$2:$A$61,Productos!$B$2:$F$61)</f>
        <v>Playera a rayas</v>
      </c>
      <c r="K1508" s="2" t="s">
        <v>22</v>
      </c>
      <c r="L1508" s="2" t="s">
        <v>10</v>
      </c>
      <c r="M1508" s="2" t="s">
        <v>23</v>
      </c>
      <c r="N1508" s="2" t="s">
        <v>24</v>
      </c>
    </row>
    <row r="1509">
      <c r="A1509" s="2" t="str">
        <f>IFERROR(__xludf.DUMMYFUNCTION("""COMPUTED_VALUE"""),"PR028")</f>
        <v>PR028</v>
      </c>
      <c r="B1509" s="2" t="str">
        <f>IFERROR(__xludf.DUMMYFUNCTION("""COMPUTED_VALUE"""),"VD011")</f>
        <v>VD011</v>
      </c>
      <c r="C1509" s="2">
        <f>IFERROR(__xludf.DUMMYFUNCTION("""COMPUTED_VALUE"""),16.0)</f>
        <v>16</v>
      </c>
      <c r="D1509" s="6">
        <f>IFERROR(__xludf.DUMMYFUNCTION("""COMPUTED_VALUE"""),4238.3)</f>
        <v>4238.3</v>
      </c>
      <c r="E1509" s="6">
        <f>IFERROR(__xludf.DUMMYFUNCTION("GOOGLEFINANCE(""Currency:BRLMXN"")*D1509"),14399.62425)</f>
        <v>14399.62425</v>
      </c>
      <c r="F1509" s="6">
        <f>IFERROR(__xludf.DUMMYFUNCTION("GOOGLEFINANCE(""Currency:BRLPEN"")*D1509"),2778.62948)</f>
        <v>2778.62948</v>
      </c>
      <c r="G1509" s="2" t="str">
        <f t="array" ref="G1509">_xlfn.XLOOKUP(B1509,Vendedores!$A$2:$A$41,Vendedores!$B$2:$B$41,"No hay datos")</f>
        <v>Juan Santos</v>
      </c>
      <c r="H1509" s="2" t="str">
        <f t="array" ref="H1509">_xlfn.XLOOKUP(B1509,Vendedores!$A$2:$A$41,Vendedores!$C$2:$C$41,"No hay datos")</f>
        <v>Vista Hermosa</v>
      </c>
      <c r="I1509" s="2" t="str">
        <f t="array" ref="I1509">_xlfn.XLOOKUP(B1509,Vendedores!$A$2:$A$41,Vendedores!$D$2:$D$41,"No hay datos")</f>
        <v>Región Central</v>
      </c>
      <c r="J1509" s="2" t="str">
        <f t="array" ref="J1509:N1509">_xlfn.XLOOKUP(A1509,Productos!$A$2:$A$61,Productos!$B$2:$F$61)</f>
        <v>Tenis Atitas</v>
      </c>
      <c r="K1509" s="2">
        <v>36.0</v>
      </c>
      <c r="L1509" s="2" t="s">
        <v>33</v>
      </c>
      <c r="M1509" s="2" t="s">
        <v>55</v>
      </c>
      <c r="N1509" s="2" t="s">
        <v>56</v>
      </c>
    </row>
    <row r="1510">
      <c r="A1510" s="2" t="str">
        <f>IFERROR(__xludf.DUMMYFUNCTION("""COMPUTED_VALUE"""),"PR052")</f>
        <v>PR052</v>
      </c>
      <c r="B1510" s="2" t="str">
        <f>IFERROR(__xludf.DUMMYFUNCTION("""COMPUTED_VALUE"""),"VD043")</f>
        <v>VD043</v>
      </c>
      <c r="C1510" s="2">
        <f>IFERROR(__xludf.DUMMYFUNCTION("""COMPUTED_VALUE"""),6.0)</f>
        <v>6</v>
      </c>
      <c r="D1510" s="6">
        <f>IFERROR(__xludf.DUMMYFUNCTION("""COMPUTED_VALUE"""),329.34)</f>
        <v>329.34</v>
      </c>
      <c r="E1510" s="6">
        <f>IFERROR(__xludf.DUMMYFUNCTION("GOOGLEFINANCE(""Currency:BRLMXN"")*D1510"),1118.93265)</f>
        <v>1118.93265</v>
      </c>
      <c r="F1510" s="6">
        <f>IFERROR(__xludf.DUMMYFUNCTION("GOOGLEFINANCE(""Currency:BRLPEN"")*D1510"),215.91530399999996)</f>
        <v>215.915304</v>
      </c>
      <c r="G1510" s="2" t="str">
        <f t="array" ref="G1510">_xlfn.XLOOKUP(B1510,Vendedores!$A$2:$A$41,Vendedores!$B$2:$B$41,"No hay datos")</f>
        <v>Carlos Henríquez</v>
      </c>
      <c r="H1510" s="2" t="str">
        <f t="array" ref="H1510">_xlfn.XLOOKUP(B1510,Vendedores!$A$2:$A$41,Vendedores!$C$2:$C$41,"No hay datos")</f>
        <v>Ciudad Aeropuerto</v>
      </c>
      <c r="I1510" s="2" t="str">
        <f t="array" ref="I1510">_xlfn.XLOOKUP(B1510,Vendedores!$A$2:$A$41,Vendedores!$D$2:$D$41,"No hay datos")</f>
        <v>Región Central 2</v>
      </c>
      <c r="J1510" s="2" t="str">
        <f t="array" ref="J1510:N1510">_xlfn.XLOOKUP(A1510,Productos!$A$2:$A$61,Productos!$B$2:$F$61)</f>
        <v>Falda plisada</v>
      </c>
      <c r="K1510" s="2" t="s">
        <v>9</v>
      </c>
      <c r="L1510" s="2" t="s">
        <v>10</v>
      </c>
      <c r="M1510" s="2" t="s">
        <v>36</v>
      </c>
      <c r="N1510" s="2" t="s">
        <v>32</v>
      </c>
    </row>
    <row r="1511">
      <c r="A1511" s="2" t="str">
        <f>IFERROR(__xludf.DUMMYFUNCTION("""COMPUTED_VALUE"""),"PR026")</f>
        <v>PR026</v>
      </c>
      <c r="B1511" s="2" t="str">
        <f>IFERROR(__xludf.DUMMYFUNCTION("""COMPUTED_VALUE"""),"VD045")</f>
        <v>VD045</v>
      </c>
      <c r="C1511" s="2">
        <f>IFERROR(__xludf.DUMMYFUNCTION("""COMPUTED_VALUE"""),4.0)</f>
        <v>4</v>
      </c>
      <c r="D1511" s="6">
        <f>IFERROR(__xludf.DUMMYFUNCTION("""COMPUTED_VALUE"""),1511.57)</f>
        <v>1511.57</v>
      </c>
      <c r="E1511" s="6">
        <f>IFERROR(__xludf.DUMMYFUNCTION("GOOGLEFINANCE(""Currency:BRLMXN"")*D1511"),5135.559075)</f>
        <v>5135.559075</v>
      </c>
      <c r="F1511" s="6">
        <f>IFERROR(__xludf.DUMMYFUNCTION("GOOGLEFINANCE(""Currency:BRLPEN"")*D1511"),990.9852919999998)</f>
        <v>990.985292</v>
      </c>
      <c r="G1511" s="2" t="str">
        <f t="array" ref="G1511">_xlfn.XLOOKUP(B1511,Vendedores!$A$2:$A$41,Vendedores!$B$2:$B$41,"No hay datos")</f>
        <v>Rafael Morales</v>
      </c>
      <c r="H1511" s="2" t="str">
        <f t="array" ref="H1511">_xlfn.XLOOKUP(B1511,Vendedores!$A$2:$A$41,Vendedores!$C$2:$C$41,"No hay datos")</f>
        <v>Valle Dorado</v>
      </c>
      <c r="I1511" s="2" t="str">
        <f t="array" ref="I1511">_xlfn.XLOOKUP(B1511,Vendedores!$A$2:$A$41,Vendedores!$D$2:$D$41,"No hay datos")</f>
        <v>Región Central 2</v>
      </c>
      <c r="J1511" s="2" t="str">
        <f t="array" ref="J1511:N1511">_xlfn.XLOOKUP(A1511,Productos!$A$2:$A$61,Productos!$B$2:$F$61)</f>
        <v>Gafas cuadradas</v>
      </c>
      <c r="K1511" s="2" t="s">
        <v>29</v>
      </c>
      <c r="L1511" s="2" t="s">
        <v>30</v>
      </c>
      <c r="M1511" s="2" t="s">
        <v>90</v>
      </c>
      <c r="N1511" s="2" t="s">
        <v>91</v>
      </c>
    </row>
    <row r="1512">
      <c r="A1512" s="2" t="str">
        <f>IFERROR(__xludf.DUMMYFUNCTION("""COMPUTED_VALUE"""),"PR007")</f>
        <v>PR007</v>
      </c>
      <c r="B1512" s="2" t="str">
        <f>IFERROR(__xludf.DUMMYFUNCTION("""COMPUTED_VALUE"""),"VD043")</f>
        <v>VD043</v>
      </c>
      <c r="C1512" s="2">
        <f>IFERROR(__xludf.DUMMYFUNCTION("""COMPUTED_VALUE"""),20.0)</f>
        <v>20</v>
      </c>
      <c r="D1512" s="6">
        <f>IFERROR(__xludf.DUMMYFUNCTION("""COMPUTED_VALUE"""),1735.18)</f>
        <v>1735.18</v>
      </c>
      <c r="E1512" s="6">
        <f>IFERROR(__xludf.DUMMYFUNCTION("GOOGLEFINANCE(""Currency:BRLMXN"")*D1512"),5895.27405)</f>
        <v>5895.27405</v>
      </c>
      <c r="F1512" s="6">
        <f>IFERROR(__xludf.DUMMYFUNCTION("GOOGLEFINANCE(""Currency:BRLPEN"")*D1512"),1137.584008)</f>
        <v>1137.584008</v>
      </c>
      <c r="G1512" s="2" t="str">
        <f t="array" ref="G1512">_xlfn.XLOOKUP(B1512,Vendedores!$A$2:$A$41,Vendedores!$B$2:$B$41,"No hay datos")</f>
        <v>Carlos Henríquez</v>
      </c>
      <c r="H1512" s="2" t="str">
        <f t="array" ref="H1512">_xlfn.XLOOKUP(B1512,Vendedores!$A$2:$A$41,Vendedores!$C$2:$C$41,"No hay datos")</f>
        <v>Ciudad Aeropuerto</v>
      </c>
      <c r="I1512" s="2" t="str">
        <f t="array" ref="I1512">_xlfn.XLOOKUP(B1512,Vendedores!$A$2:$A$41,Vendedores!$D$2:$D$41,"No hay datos")</f>
        <v>Región Central 2</v>
      </c>
      <c r="J1512" s="2" t="str">
        <f t="array" ref="J1512:N1512">_xlfn.XLOOKUP(A1512,Productos!$A$2:$A$61,Productos!$B$2:$F$61)</f>
        <v>Pantalón de mezclilla</v>
      </c>
      <c r="K1512" s="2" t="s">
        <v>9</v>
      </c>
      <c r="L1512" s="2" t="s">
        <v>10</v>
      </c>
      <c r="M1512" s="2" t="s">
        <v>103</v>
      </c>
      <c r="N1512" s="2" t="s">
        <v>104</v>
      </c>
    </row>
    <row r="1513">
      <c r="A1513" s="2" t="str">
        <f>IFERROR(__xludf.DUMMYFUNCTION("""COMPUTED_VALUE"""),"PR031")</f>
        <v>PR031</v>
      </c>
      <c r="B1513" s="2" t="str">
        <f>IFERROR(__xludf.DUMMYFUNCTION("""COMPUTED_VALUE"""),"VD026")</f>
        <v>VD026</v>
      </c>
      <c r="C1513" s="2">
        <f>IFERROR(__xludf.DUMMYFUNCTION("""COMPUTED_VALUE"""),16.0)</f>
        <v>16</v>
      </c>
      <c r="D1513" s="6">
        <f>IFERROR(__xludf.DUMMYFUNCTION("""COMPUTED_VALUE"""),4194.4)</f>
        <v>4194.4</v>
      </c>
      <c r="E1513" s="6">
        <f>IFERROR(__xludf.DUMMYFUNCTION("GOOGLEFINANCE(""Currency:BRLMXN"")*D1513"),14250.473999999998)</f>
        <v>14250.474</v>
      </c>
      <c r="F1513" s="6">
        <f>IFERROR(__xludf.DUMMYFUNCTION("GOOGLEFINANCE(""Currency:BRLPEN"")*D1513"),2749.8486399999997)</f>
        <v>2749.84864</v>
      </c>
      <c r="G1513" s="2" t="str">
        <f t="array" ref="G1513">_xlfn.XLOOKUP(B1513,Vendedores!$A$2:$A$41,Vendedores!$B$2:$B$41,"No hay datos")</f>
        <v>Daniel Fernández</v>
      </c>
      <c r="H1513" s="2" t="str">
        <f t="array" ref="H1513">_xlfn.XLOOKUP(B1513,Vendedores!$A$2:$A$41,Vendedores!$C$2:$C$41,"No hay datos")</f>
        <v>Puerto Esperanza</v>
      </c>
      <c r="I1513" s="2" t="str">
        <f t="array" ref="I1513">_xlfn.XLOOKUP(B1513,Vendedores!$A$2:$A$41,Vendedores!$D$2:$D$41,"No hay datos")</f>
        <v>Región Sur</v>
      </c>
      <c r="J1513" s="2" t="str">
        <f t="array" ref="J1513:N1513">_xlfn.XLOOKUP(A1513,Productos!$A$2:$A$61,Productos!$B$2:$F$61)</f>
        <v>Tenis Chunky</v>
      </c>
      <c r="K1513" s="2">
        <v>36.0</v>
      </c>
      <c r="L1513" s="2" t="s">
        <v>33</v>
      </c>
      <c r="M1513" s="2" t="s">
        <v>84</v>
      </c>
      <c r="N1513" s="2" t="s">
        <v>85</v>
      </c>
    </row>
    <row r="1514">
      <c r="A1514" s="2" t="str">
        <f>IFERROR(__xludf.DUMMYFUNCTION("""COMPUTED_VALUE"""),"PR002")</f>
        <v>PR002</v>
      </c>
      <c r="B1514" s="2" t="str">
        <f>IFERROR(__xludf.DUMMYFUNCTION("""COMPUTED_VALUE"""),"VD030")</f>
        <v>VD030</v>
      </c>
      <c r="C1514" s="2">
        <f>IFERROR(__xludf.DUMMYFUNCTION("""COMPUTED_VALUE"""),16.0)</f>
        <v>16</v>
      </c>
      <c r="D1514" s="6">
        <f>IFERROR(__xludf.DUMMYFUNCTION("""COMPUTED_VALUE"""),1118.4)</f>
        <v>1118.4</v>
      </c>
      <c r="E1514" s="6">
        <f>IFERROR(__xludf.DUMMYFUNCTION("GOOGLEFINANCE(""Currency:BRLMXN"")*D1514"),3799.764)</f>
        <v>3799.764</v>
      </c>
      <c r="F1514" s="6">
        <f>IFERROR(__xludf.DUMMYFUNCTION("GOOGLEFINANCE(""Currency:BRLPEN"")*D1514"),733.22304)</f>
        <v>733.22304</v>
      </c>
      <c r="G1514" s="2" t="str">
        <f t="array" ref="G1514">_xlfn.XLOOKUP(B1514,Vendedores!$A$2:$A$41,Vendedores!$B$2:$B$41,"No hay datos")</f>
        <v>Leonardo Rojas</v>
      </c>
      <c r="H1514" s="2" t="str">
        <f t="array" ref="H1514">_xlfn.XLOOKUP(B1514,Vendedores!$A$2:$A$41,Vendedores!$C$2:$C$41,"No hay datos")</f>
        <v>Villa del Sol</v>
      </c>
      <c r="I1514" s="2" t="str">
        <f t="array" ref="I1514">_xlfn.XLOOKUP(B1514,Vendedores!$A$2:$A$41,Vendedores!$D$2:$D$41,"No hay datos")</f>
        <v>Región Central 2</v>
      </c>
      <c r="J1514" s="2" t="str">
        <f t="array" ref="J1514:N1514">_xlfn.XLOOKUP(A1514,Productos!$A$2:$A$61,Productos!$B$2:$F$61)</f>
        <v>Bermuda</v>
      </c>
      <c r="K1514" s="2" t="s">
        <v>17</v>
      </c>
      <c r="L1514" s="2" t="s">
        <v>10</v>
      </c>
      <c r="M1514" s="2" t="s">
        <v>49</v>
      </c>
      <c r="N1514" s="2" t="s">
        <v>50</v>
      </c>
    </row>
    <row r="1515">
      <c r="A1515" s="2" t="str">
        <f>IFERROR(__xludf.DUMMYFUNCTION("""COMPUTED_VALUE"""),"PR028")</f>
        <v>PR028</v>
      </c>
      <c r="B1515" s="2" t="str">
        <f>IFERROR(__xludf.DUMMYFUNCTION("""COMPUTED_VALUE"""),"VD023")</f>
        <v>VD023</v>
      </c>
      <c r="C1515" s="2">
        <f>IFERROR(__xludf.DUMMYFUNCTION("""COMPUTED_VALUE"""),7.0)</f>
        <v>7</v>
      </c>
      <c r="D1515" s="6">
        <f>IFERROR(__xludf.DUMMYFUNCTION("""COMPUTED_VALUE"""),1819.27)</f>
        <v>1819.27</v>
      </c>
      <c r="E1515" s="6">
        <f>IFERROR(__xludf.DUMMYFUNCTION("GOOGLEFINANCE(""Currency:BRLMXN"")*D1515"),6180.969825)</f>
        <v>6180.969825</v>
      </c>
      <c r="F1515" s="6">
        <f>IFERROR(__xludf.DUMMYFUNCTION("GOOGLEFINANCE(""Currency:BRLPEN"")*D1515"),1192.7134119999998)</f>
        <v>1192.713412</v>
      </c>
      <c r="G1515" s="2" t="str">
        <f t="array" ref="G1515">_xlfn.XLOOKUP(B1515,Vendedores!$A$2:$A$41,Vendedores!$B$2:$B$41,"No hay datos")</f>
        <v>Juliana Castro</v>
      </c>
      <c r="H1515" s="2" t="str">
        <f t="array" ref="H1515">_xlfn.XLOOKUP(B1515,Vendedores!$A$2:$A$41,Vendedores!$C$2:$C$41,"No hay datos")</f>
        <v>San Miguel de los Pinos</v>
      </c>
      <c r="I1515" s="2" t="str">
        <f t="array" ref="I1515">_xlfn.XLOOKUP(B1515,Vendedores!$A$2:$A$41,Vendedores!$D$2:$D$41,"No hay datos")</f>
        <v>Región Sur</v>
      </c>
      <c r="J1515" s="2" t="str">
        <f t="array" ref="J1515:N1515">_xlfn.XLOOKUP(A1515,Productos!$A$2:$A$61,Productos!$B$2:$F$61)</f>
        <v>Tenis Atitas</v>
      </c>
      <c r="K1515" s="2">
        <v>36.0</v>
      </c>
      <c r="L1515" s="2" t="s">
        <v>33</v>
      </c>
      <c r="M1515" s="2" t="s">
        <v>55</v>
      </c>
      <c r="N1515" s="2" t="s">
        <v>56</v>
      </c>
    </row>
    <row r="1516">
      <c r="A1516" s="2" t="str">
        <f>IFERROR(__xludf.DUMMYFUNCTION("""COMPUTED_VALUE"""),"PR042")</f>
        <v>PR042</v>
      </c>
      <c r="B1516" s="2" t="str">
        <f>IFERROR(__xludf.DUMMYFUNCTION("""COMPUTED_VALUE"""),"VD042")</f>
        <v>VD042</v>
      </c>
      <c r="C1516" s="2">
        <f>IFERROR(__xludf.DUMMYFUNCTION("""COMPUTED_VALUE"""),3.0)</f>
        <v>3</v>
      </c>
      <c r="D1516" s="6">
        <f>IFERROR(__xludf.DUMMYFUNCTION("""COMPUTED_VALUE"""),179.52)</f>
        <v>179.52</v>
      </c>
      <c r="E1516" s="6">
        <f>IFERROR(__xludf.DUMMYFUNCTION("GOOGLEFINANCE(""Currency:BRLMXN"")*D1516"),609.9192)</f>
        <v>609.9192</v>
      </c>
      <c r="F1516" s="6">
        <f>IFERROR(__xludf.DUMMYFUNCTION("GOOGLEFINANCE(""Currency:BRLPEN"")*D1516"),117.693312)</f>
        <v>117.693312</v>
      </c>
      <c r="G1516" s="2" t="str">
        <f t="array" ref="G1516">_xlfn.XLOOKUP(B1516,Vendedores!$A$2:$A$41,Vendedores!$B$2:$B$41,"No hay datos")</f>
        <v>Priscila Duarte</v>
      </c>
      <c r="H1516" s="2" t="str">
        <f t="array" ref="H1516">_xlfn.XLOOKUP(B1516,Vendedores!$A$2:$A$41,Vendedores!$C$2:$C$41,"No hay datos")</f>
        <v>Villa Comercial</v>
      </c>
      <c r="I1516" s="2" t="str">
        <f t="array" ref="I1516">_xlfn.XLOOKUP(B1516,Vendedores!$A$2:$A$41,Vendedores!$D$2:$D$41,"No hay datos")</f>
        <v>Región Central 2</v>
      </c>
      <c r="J1516" s="2" t="str">
        <f t="array" ref="J1516:N1516">_xlfn.XLOOKUP(A1516,Productos!$A$2:$A$61,Productos!$B$2:$F$61)</f>
        <v>Playera confort</v>
      </c>
      <c r="K1516" s="2" t="s">
        <v>22</v>
      </c>
      <c r="L1516" s="2" t="s">
        <v>10</v>
      </c>
      <c r="M1516" s="2" t="s">
        <v>25</v>
      </c>
      <c r="N1516" s="2" t="s">
        <v>26</v>
      </c>
    </row>
    <row r="1517">
      <c r="A1517" s="2" t="str">
        <f>IFERROR(__xludf.DUMMYFUNCTION("""COMPUTED_VALUE"""),"PR016")</f>
        <v>PR016</v>
      </c>
      <c r="B1517" s="2" t="str">
        <f>IFERROR(__xludf.DUMMYFUNCTION("""COMPUTED_VALUE"""),"VD028")</f>
        <v>VD028</v>
      </c>
      <c r="C1517" s="2">
        <f>IFERROR(__xludf.DUMMYFUNCTION("""COMPUTED_VALUE"""),20.0)</f>
        <v>20</v>
      </c>
      <c r="D1517" s="6">
        <f>IFERROR(__xludf.DUMMYFUNCTION("""COMPUTED_VALUE"""),554.26)</f>
        <v>554.26</v>
      </c>
      <c r="E1517" s="6">
        <f>IFERROR(__xludf.DUMMYFUNCTION("GOOGLEFINANCE(""Currency:BRLMXN"")*D1517"),1883.09835)</f>
        <v>1883.09835</v>
      </c>
      <c r="F1517" s="6">
        <f>IFERROR(__xludf.DUMMYFUNCTION("GOOGLEFINANCE(""Currency:BRLPEN"")*D1517"),363.37285599999996)</f>
        <v>363.372856</v>
      </c>
      <c r="G1517" s="2" t="str">
        <f t="array" ref="G1517">_xlfn.XLOOKUP(B1517,Vendedores!$A$2:$A$41,Vendedores!$B$2:$B$41,"No hay datos")</f>
        <v>Rodrigo Almonte</v>
      </c>
      <c r="H1517" s="2" t="str">
        <f t="array" ref="H1517">_xlfn.XLOOKUP(B1517,Vendedores!$A$2:$A$41,Vendedores!$C$2:$C$41,"No hay datos")</f>
        <v>Valle Escondido</v>
      </c>
      <c r="I1517" s="2" t="str">
        <f t="array" ref="I1517">_xlfn.XLOOKUP(B1517,Vendedores!$A$2:$A$41,Vendedores!$D$2:$D$41,"No hay datos")</f>
        <v>Región Andina</v>
      </c>
      <c r="J1517" s="2" t="str">
        <f t="array" ref="J1517:N1517">_xlfn.XLOOKUP(A1517,Productos!$A$2:$A$61,Productos!$B$2:$F$61)</f>
        <v>Playera lisa</v>
      </c>
      <c r="K1517" s="2" t="s">
        <v>9</v>
      </c>
      <c r="L1517" s="2" t="s">
        <v>10</v>
      </c>
      <c r="M1517" s="2" t="s">
        <v>20</v>
      </c>
      <c r="N1517" s="2" t="s">
        <v>21</v>
      </c>
    </row>
    <row r="1518">
      <c r="A1518" s="2" t="str">
        <f>IFERROR(__xludf.DUMMYFUNCTION("""COMPUTED_VALUE"""),"PR029")</f>
        <v>PR029</v>
      </c>
      <c r="B1518" s="2" t="str">
        <f>IFERROR(__xludf.DUMMYFUNCTION("""COMPUTED_VALUE"""),"VD032")</f>
        <v>VD032</v>
      </c>
      <c r="C1518" s="2">
        <f>IFERROR(__xludf.DUMMYFUNCTION("""COMPUTED_VALUE"""),14.0)</f>
        <v>14</v>
      </c>
      <c r="D1518" s="6">
        <f>IFERROR(__xludf.DUMMYFUNCTION("""COMPUTED_VALUE"""),3677.1)</f>
        <v>3677.1</v>
      </c>
      <c r="E1518" s="6">
        <f>IFERROR(__xludf.DUMMYFUNCTION("GOOGLEFINANCE(""Currency:BRLMXN"")*D1518"),12492.94725)</f>
        <v>12492.94725</v>
      </c>
      <c r="F1518" s="6">
        <f>IFERROR(__xludf.DUMMYFUNCTION("GOOGLEFINANCE(""Currency:BRLPEN"")*D1518"),2410.7067599999996)</f>
        <v>2410.70676</v>
      </c>
      <c r="G1518" s="2" t="str">
        <f t="array" ref="G1518">_xlfn.XLOOKUP(B1518,Vendedores!$A$2:$A$41,Vendedores!$B$2:$B$41,"No hay datos")</f>
        <v>Eduardo Almonte</v>
      </c>
      <c r="H1518" s="2" t="str">
        <f t="array" ref="H1518">_xlfn.XLOOKUP(B1518,Vendedores!$A$2:$A$41,Vendedores!$C$2:$C$41,"No hay datos")</f>
        <v>Tierra Colorada</v>
      </c>
      <c r="I1518" s="2" t="str">
        <f t="array" ref="I1518">_xlfn.XLOOKUP(B1518,Vendedores!$A$2:$A$41,Vendedores!$D$2:$D$41,"No hay datos")</f>
        <v>Región Central 2</v>
      </c>
      <c r="J1518" s="2" t="str">
        <f t="array" ref="J1518:N1518">_xlfn.XLOOKUP(A1518,Productos!$A$2:$A$61,Productos!$B$2:$F$61)</f>
        <v>Tenis Atitas</v>
      </c>
      <c r="K1518" s="2">
        <v>37.0</v>
      </c>
      <c r="L1518" s="2" t="s">
        <v>33</v>
      </c>
      <c r="M1518" s="2" t="s">
        <v>96</v>
      </c>
      <c r="N1518" s="2" t="s">
        <v>97</v>
      </c>
    </row>
    <row r="1519">
      <c r="A1519" s="2" t="str">
        <f>IFERROR(__xludf.DUMMYFUNCTION("""COMPUTED_VALUE"""),"PR005")</f>
        <v>PR005</v>
      </c>
      <c r="B1519" s="2" t="str">
        <f>IFERROR(__xludf.DUMMYFUNCTION("""COMPUTED_VALUE"""),"VD043")</f>
        <v>VD043</v>
      </c>
      <c r="C1519" s="2">
        <f>IFERROR(__xludf.DUMMYFUNCTION("""COMPUTED_VALUE"""),6.0)</f>
        <v>6</v>
      </c>
      <c r="D1519" s="6">
        <f>IFERROR(__xludf.DUMMYFUNCTION("""COMPUTED_VALUE"""),1590.59)</f>
        <v>1590.59</v>
      </c>
      <c r="E1519" s="6">
        <f>IFERROR(__xludf.DUMMYFUNCTION("GOOGLEFINANCE(""Currency:BRLMXN"")*D1519"),5404.029525)</f>
        <v>5404.029525</v>
      </c>
      <c r="F1519" s="6">
        <f>IFERROR(__xludf.DUMMYFUNCTION("GOOGLEFINANCE(""Currency:BRLPEN"")*D1519"),1042.790804)</f>
        <v>1042.790804</v>
      </c>
      <c r="G1519" s="2" t="str">
        <f t="array" ref="G1519">_xlfn.XLOOKUP(B1519,Vendedores!$A$2:$A$41,Vendedores!$B$2:$B$41,"No hay datos")</f>
        <v>Carlos Henríquez</v>
      </c>
      <c r="H1519" s="2" t="str">
        <f t="array" ref="H1519">_xlfn.XLOOKUP(B1519,Vendedores!$A$2:$A$41,Vendedores!$C$2:$C$41,"No hay datos")</f>
        <v>Ciudad Aeropuerto</v>
      </c>
      <c r="I1519" s="2" t="str">
        <f t="array" ref="I1519">_xlfn.XLOOKUP(B1519,Vendedores!$A$2:$A$41,Vendedores!$D$2:$D$41,"No hay datos")</f>
        <v>Región Central 2</v>
      </c>
      <c r="J1519" s="2" t="str">
        <f t="array" ref="J1519:N1519">_xlfn.XLOOKUP(A1519,Productos!$A$2:$A$61,Productos!$B$2:$F$61)</f>
        <v>Bolso de cuero</v>
      </c>
      <c r="K1519" s="2" t="s">
        <v>29</v>
      </c>
      <c r="L1519" s="2" t="s">
        <v>30</v>
      </c>
      <c r="M1519" s="2" t="s">
        <v>100</v>
      </c>
      <c r="N1519" s="2" t="s">
        <v>64</v>
      </c>
    </row>
    <row r="1520">
      <c r="A1520" s="2" t="str">
        <f>IFERROR(__xludf.DUMMYFUNCTION("""COMPUTED_VALUE"""),"PR036")</f>
        <v>PR036</v>
      </c>
      <c r="B1520" s="2" t="str">
        <f>IFERROR(__xludf.DUMMYFUNCTION("""COMPUTED_VALUE"""),"VD016")</f>
        <v>VD016</v>
      </c>
      <c r="C1520" s="2">
        <f>IFERROR(__xludf.DUMMYFUNCTION("""COMPUTED_VALUE"""),9.0)</f>
        <v>9</v>
      </c>
      <c r="D1520" s="6">
        <f>IFERROR(__xludf.DUMMYFUNCTION("""COMPUTED_VALUE"""),866.75)</f>
        <v>866.75</v>
      </c>
      <c r="E1520" s="6">
        <f>IFERROR(__xludf.DUMMYFUNCTION("GOOGLEFINANCE(""Currency:BRLMXN"")*D1520"),2944.783125)</f>
        <v>2944.783125</v>
      </c>
      <c r="F1520" s="6">
        <f>IFERROR(__xludf.DUMMYFUNCTION("GOOGLEFINANCE(""Currency:BRLPEN"")*D1520"),568.2412999999999)</f>
        <v>568.2413</v>
      </c>
      <c r="G1520" s="2" t="str">
        <f t="array" ref="G1520">_xlfn.XLOOKUP(B1520,Vendedores!$A$2:$A$41,Vendedores!$B$2:$B$41,"No hay datos")</f>
        <v>Beatriz Linares</v>
      </c>
      <c r="H1520" s="2" t="str">
        <f t="array" ref="H1520">_xlfn.XLOOKUP(B1520,Vendedores!$A$2:$A$41,Vendedores!$C$2:$C$41,"No hay datos")</f>
        <v>Puerto Esperanza</v>
      </c>
      <c r="I1520" s="2" t="str">
        <f t="array" ref="I1520">_xlfn.XLOOKUP(B1520,Vendedores!$A$2:$A$41,Vendedores!$D$2:$D$41,"No hay datos")</f>
        <v>Región Sur</v>
      </c>
      <c r="J1520" s="2" t="str">
        <f t="array" ref="J1520:N1520">_xlfn.XLOOKUP(A1520,Productos!$A$2:$A$61,Productos!$B$2:$F$61)</f>
        <v>Vestido corto</v>
      </c>
      <c r="K1520" s="2" t="s">
        <v>22</v>
      </c>
      <c r="L1520" s="2" t="s">
        <v>10</v>
      </c>
      <c r="M1520" s="2" t="s">
        <v>82</v>
      </c>
      <c r="N1520" s="2" t="s">
        <v>83</v>
      </c>
    </row>
    <row r="1521">
      <c r="A1521" s="2" t="str">
        <f>IFERROR(__xludf.DUMMYFUNCTION("""COMPUTED_VALUE"""),"PR011")</f>
        <v>PR011</v>
      </c>
      <c r="B1521" s="2" t="str">
        <f>IFERROR(__xludf.DUMMYFUNCTION("""COMPUTED_VALUE"""),"VD024")</f>
        <v>VD024</v>
      </c>
      <c r="C1521" s="2">
        <f>IFERROR(__xludf.DUMMYFUNCTION("""COMPUTED_VALUE"""),8.0)</f>
        <v>8</v>
      </c>
      <c r="D1521" s="6">
        <f>IFERROR(__xludf.DUMMYFUNCTION("""COMPUTED_VALUE"""),390.21)</f>
        <v>390.21</v>
      </c>
      <c r="E1521" s="6">
        <f>IFERROR(__xludf.DUMMYFUNCTION("GOOGLEFINANCE(""Currency:BRLMXN"")*D1521"),1325.7384749999999)</f>
        <v>1325.738475</v>
      </c>
      <c r="F1521" s="6">
        <f>IFERROR(__xludf.DUMMYFUNCTION("GOOGLEFINANCE(""Currency:BRLPEN"")*D1521"),255.82167599999997)</f>
        <v>255.821676</v>
      </c>
      <c r="G1521" s="2" t="str">
        <f t="array" ref="G1521">_xlfn.XLOOKUP(B1521,Vendedores!$A$2:$A$41,Vendedores!$B$2:$B$41,"No hay datos")</f>
        <v>Marcos Rivera</v>
      </c>
      <c r="H1521" s="2" t="str">
        <f t="array" ref="H1521">_xlfn.XLOOKUP(B1521,Vendedores!$A$2:$A$41,Vendedores!$C$2:$C$41,"No hay datos")</f>
        <v>Santa Rosa del Valle</v>
      </c>
      <c r="I1521" s="2" t="str">
        <f t="array" ref="I1521">_xlfn.XLOOKUP(B1521,Vendedores!$A$2:$A$41,Vendedores!$D$2:$D$41,"No hay datos")</f>
        <v>Región Norte</v>
      </c>
      <c r="J1521" s="2" t="str">
        <f t="array" ref="J1521:N1521">_xlfn.XLOOKUP(A1521,Productos!$A$2:$A$61,Productos!$B$2:$F$61)</f>
        <v>Pantalón legging</v>
      </c>
      <c r="K1521" s="2" t="s">
        <v>17</v>
      </c>
      <c r="L1521" s="2" t="s">
        <v>10</v>
      </c>
      <c r="M1521" s="2" t="s">
        <v>67</v>
      </c>
      <c r="N1521" s="2" t="s">
        <v>68</v>
      </c>
    </row>
    <row r="1522">
      <c r="A1522" s="2" t="str">
        <f>IFERROR(__xludf.DUMMYFUNCTION("""COMPUTED_VALUE"""),"PR042")</f>
        <v>PR042</v>
      </c>
      <c r="B1522" s="2" t="str">
        <f>IFERROR(__xludf.DUMMYFUNCTION("""COMPUTED_VALUE"""),"VD029")</f>
        <v>VD029</v>
      </c>
      <c r="C1522" s="2">
        <f>IFERROR(__xludf.DUMMYFUNCTION("""COMPUTED_VALUE"""),7.0)</f>
        <v>7</v>
      </c>
      <c r="D1522" s="6">
        <f>IFERROR(__xludf.DUMMYFUNCTION("""COMPUTED_VALUE"""),391.99)</f>
        <v>391.99</v>
      </c>
      <c r="E1522" s="6">
        <f>IFERROR(__xludf.DUMMYFUNCTION("GOOGLEFINANCE(""Currency:BRLMXN"")*D1522"),1331.786025)</f>
        <v>1331.786025</v>
      </c>
      <c r="F1522" s="6">
        <f>IFERROR(__xludf.DUMMYFUNCTION("GOOGLEFINANCE(""Currency:BRLPEN"")*D1522"),256.98864399999997)</f>
        <v>256.988644</v>
      </c>
      <c r="G1522" s="2" t="str">
        <f t="array" ref="G1522">_xlfn.XLOOKUP(B1522,Vendedores!$A$2:$A$41,Vendedores!$B$2:$B$41,"No hay datos")</f>
        <v>Gabriela Sosa</v>
      </c>
      <c r="H1522" s="2" t="str">
        <f t="array" ref="H1522">_xlfn.XLOOKUP(B1522,Vendedores!$A$2:$A$41,Vendedores!$C$2:$C$41,"No hay datos")</f>
        <v>Selva Verde</v>
      </c>
      <c r="I1522" s="2" t="str">
        <f t="array" ref="I1522">_xlfn.XLOOKUP(B1522,Vendedores!$A$2:$A$41,Vendedores!$D$2:$D$41,"No hay datos")</f>
        <v>Región Amazónica</v>
      </c>
      <c r="J1522" s="2" t="str">
        <f t="array" ref="J1522:N1522">_xlfn.XLOOKUP(A1522,Productos!$A$2:$A$61,Productos!$B$2:$F$61)</f>
        <v>Playera confort</v>
      </c>
      <c r="K1522" s="2" t="s">
        <v>22</v>
      </c>
      <c r="L1522" s="2" t="s">
        <v>10</v>
      </c>
      <c r="M1522" s="2" t="s">
        <v>25</v>
      </c>
      <c r="N1522" s="2" t="s">
        <v>26</v>
      </c>
    </row>
    <row r="1523">
      <c r="A1523" s="2" t="str">
        <f>IFERROR(__xludf.DUMMYFUNCTION("""COMPUTED_VALUE"""),"PR024")</f>
        <v>PR024</v>
      </c>
      <c r="B1523" s="2" t="str">
        <f>IFERROR(__xludf.DUMMYFUNCTION("""COMPUTED_VALUE"""),"VD036")</f>
        <v>VD036</v>
      </c>
      <c r="C1523" s="2">
        <f>IFERROR(__xludf.DUMMYFUNCTION("""COMPUTED_VALUE"""),5.0)</f>
        <v>5</v>
      </c>
      <c r="D1523" s="6">
        <f>IFERROR(__xludf.DUMMYFUNCTION("""COMPUTED_VALUE"""),1377.47)</f>
        <v>1377.47</v>
      </c>
      <c r="E1523" s="6">
        <f>IFERROR(__xludf.DUMMYFUNCTION("GOOGLEFINANCE(""Currency:BRLMXN"")*D1523"),4679.954325)</f>
        <v>4679.954325</v>
      </c>
      <c r="F1523" s="6">
        <f>IFERROR(__xludf.DUMMYFUNCTION("GOOGLEFINANCE(""Currency:BRLPEN"")*D1523"),903.0693319999999)</f>
        <v>903.069332</v>
      </c>
      <c r="G1523" s="2" t="str">
        <f t="array" ref="G1523">_xlfn.XLOOKUP(B1523,Vendedores!$A$2:$A$41,Vendedores!$B$2:$B$41,"No hay datos")</f>
        <v>Ricardo Sosa</v>
      </c>
      <c r="H1523" s="2" t="str">
        <f t="array" ref="H1523">_xlfn.XLOOKUP(B1523,Vendedores!$A$2:$A$41,Vendedores!$C$2:$C$41,"No hay datos")</f>
        <v>Puerto Nuevo</v>
      </c>
      <c r="I1523" s="2" t="str">
        <f t="array" ref="I1523">_xlfn.XLOOKUP(B1523,Vendedores!$A$2:$A$41,Vendedores!$D$2:$D$41,"No hay datos")</f>
        <v>Región Central 2</v>
      </c>
      <c r="J1523" s="2" t="str">
        <f t="array" ref="J1523:N1523">_xlfn.XLOOKUP(A1523,Productos!$A$2:$A$61,Productos!$B$2:$F$61)</f>
        <v>Chaqueta de mezclilla</v>
      </c>
      <c r="K1523" s="2" t="s">
        <v>17</v>
      </c>
      <c r="L1523" s="2" t="s">
        <v>10</v>
      </c>
      <c r="M1523" s="2" t="s">
        <v>92</v>
      </c>
      <c r="N1523" s="2" t="s">
        <v>64</v>
      </c>
    </row>
    <row r="1524">
      <c r="A1524" s="2" t="str">
        <f>IFERROR(__xludf.DUMMYFUNCTION("""COMPUTED_VALUE"""),"PR055")</f>
        <v>PR055</v>
      </c>
      <c r="B1524" s="2" t="str">
        <f>IFERROR(__xludf.DUMMYFUNCTION("""COMPUTED_VALUE"""),"VD042")</f>
        <v>VD042</v>
      </c>
      <c r="C1524" s="2">
        <f>IFERROR(__xludf.DUMMYFUNCTION("""COMPUTED_VALUE"""),10.0)</f>
        <v>10</v>
      </c>
      <c r="D1524" s="6">
        <f>IFERROR(__xludf.DUMMYFUNCTION("""COMPUTED_VALUE"""),899.0)</f>
        <v>899</v>
      </c>
      <c r="E1524" s="6">
        <f>IFERROR(__xludf.DUMMYFUNCTION("GOOGLEFINANCE(""Currency:BRLMXN"")*D1524"),3054.3525)</f>
        <v>3054.3525</v>
      </c>
      <c r="F1524" s="6">
        <f>IFERROR(__xludf.DUMMYFUNCTION("GOOGLEFINANCE(""Currency:BRLPEN"")*D1524"),589.3843999999999)</f>
        <v>589.3844</v>
      </c>
      <c r="G1524" s="2" t="str">
        <f t="array" ref="G1524">_xlfn.XLOOKUP(B1524,Vendedores!$A$2:$A$41,Vendedores!$B$2:$B$41,"No hay datos")</f>
        <v>Priscila Duarte</v>
      </c>
      <c r="H1524" s="2" t="str">
        <f t="array" ref="H1524">_xlfn.XLOOKUP(B1524,Vendedores!$A$2:$A$41,Vendedores!$C$2:$C$41,"No hay datos")</f>
        <v>Villa Comercial</v>
      </c>
      <c r="I1524" s="2" t="str">
        <f t="array" ref="I1524">_xlfn.XLOOKUP(B1524,Vendedores!$A$2:$A$41,Vendedores!$D$2:$D$41,"No hay datos")</f>
        <v>Región Central 2</v>
      </c>
      <c r="J1524" s="2" t="str">
        <f t="array" ref="J1524:N1524">_xlfn.XLOOKUP(A1524,Productos!$A$2:$A$61,Productos!$B$2:$F$61)</f>
        <v>Sandalia plana</v>
      </c>
      <c r="K1524" s="2">
        <v>35.0</v>
      </c>
      <c r="L1524" s="2" t="s">
        <v>33</v>
      </c>
      <c r="M1524" s="2" t="s">
        <v>34</v>
      </c>
      <c r="N1524" s="2" t="s">
        <v>35</v>
      </c>
    </row>
    <row r="1525">
      <c r="A1525" s="2" t="str">
        <f>IFERROR(__xludf.DUMMYFUNCTION("""COMPUTED_VALUE"""),"PR031")</f>
        <v>PR031</v>
      </c>
      <c r="B1525" s="2" t="str">
        <f>IFERROR(__xludf.DUMMYFUNCTION("""COMPUTED_VALUE"""),"VD039")</f>
        <v>VD039</v>
      </c>
      <c r="C1525" s="2">
        <f>IFERROR(__xludf.DUMMYFUNCTION("""COMPUTED_VALUE"""),7.0)</f>
        <v>7</v>
      </c>
      <c r="D1525" s="6">
        <f>IFERROR(__xludf.DUMMYFUNCTION("""COMPUTED_VALUE"""),1835.05)</f>
        <v>1835.05</v>
      </c>
      <c r="E1525" s="6">
        <f>IFERROR(__xludf.DUMMYFUNCTION("GOOGLEFINANCE(""Currency:BRLMXN"")*D1525"),6234.582375)</f>
        <v>6234.582375</v>
      </c>
      <c r="F1525" s="6">
        <f>IFERROR(__xludf.DUMMYFUNCTION("GOOGLEFINANCE(""Currency:BRLPEN"")*D1525"),1203.0587799999998)</f>
        <v>1203.05878</v>
      </c>
      <c r="G1525" s="2" t="str">
        <f t="array" ref="G1525">_xlfn.XLOOKUP(B1525,Vendedores!$A$2:$A$41,Vendedores!$B$2:$B$41,"No hay datos")</f>
        <v>Daniela Rodríguez</v>
      </c>
      <c r="H1525" s="2" t="str">
        <f t="array" ref="H1525">_xlfn.XLOOKUP(B1525,Vendedores!$A$2:$A$41,Vendedores!$C$2:$C$41,"No hay datos")</f>
        <v>Bahía del Sol</v>
      </c>
      <c r="I1525" s="2" t="str">
        <f t="array" ref="I1525">_xlfn.XLOOKUP(B1525,Vendedores!$A$2:$A$41,Vendedores!$D$2:$D$41,"No hay datos")</f>
        <v>Región Central 2</v>
      </c>
      <c r="J1525" s="2" t="str">
        <f t="array" ref="J1525:N1525">_xlfn.XLOOKUP(A1525,Productos!$A$2:$A$61,Productos!$B$2:$F$61)</f>
        <v>Tenis Chunky</v>
      </c>
      <c r="K1525" s="2">
        <v>36.0</v>
      </c>
      <c r="L1525" s="2" t="s">
        <v>33</v>
      </c>
      <c r="M1525" s="2" t="s">
        <v>84</v>
      </c>
      <c r="N1525" s="2" t="s">
        <v>85</v>
      </c>
    </row>
    <row r="1526">
      <c r="A1526" s="2" t="str">
        <f>IFERROR(__xludf.DUMMYFUNCTION("""COMPUTED_VALUE"""),"PR051")</f>
        <v>PR051</v>
      </c>
      <c r="B1526" s="2" t="str">
        <f>IFERROR(__xludf.DUMMYFUNCTION("""COMPUTED_VALUE"""),"VD011")</f>
        <v>VD011</v>
      </c>
      <c r="C1526" s="2">
        <f>IFERROR(__xludf.DUMMYFUNCTION("""COMPUTED_VALUE"""),4.0)</f>
        <v>4</v>
      </c>
      <c r="D1526" s="6">
        <f>IFERROR(__xludf.DUMMYFUNCTION("""COMPUTED_VALUE"""),131.6)</f>
        <v>131.6</v>
      </c>
      <c r="E1526" s="6">
        <f>IFERROR(__xludf.DUMMYFUNCTION("GOOGLEFINANCE(""Currency:BRLMXN"")*D1526"),447.111)</f>
        <v>447.111</v>
      </c>
      <c r="F1526" s="6">
        <f>IFERROR(__xludf.DUMMYFUNCTION("GOOGLEFINANCE(""Currency:BRLPEN"")*D1526"),86.27695999999999)</f>
        <v>86.27696</v>
      </c>
      <c r="G1526" s="2" t="str">
        <f t="array" ref="G1526">_xlfn.XLOOKUP(B1526,Vendedores!$A$2:$A$41,Vendedores!$B$2:$B$41,"No hay datos")</f>
        <v>Juan Santos</v>
      </c>
      <c r="H1526" s="2" t="str">
        <f t="array" ref="H1526">_xlfn.XLOOKUP(B1526,Vendedores!$A$2:$A$41,Vendedores!$C$2:$C$41,"No hay datos")</f>
        <v>Vista Hermosa</v>
      </c>
      <c r="I1526" s="2" t="str">
        <f t="array" ref="I1526">_xlfn.XLOOKUP(B1526,Vendedores!$A$2:$A$41,Vendedores!$D$2:$D$41,"No hay datos")</f>
        <v>Región Central</v>
      </c>
      <c r="J1526" s="2" t="str">
        <f t="array" ref="J1526:N1526">_xlfn.XLOOKUP(A1526,Productos!$A$2:$A$61,Productos!$B$2:$F$61)</f>
        <v>Playera a rayas</v>
      </c>
      <c r="K1526" s="2" t="s">
        <v>22</v>
      </c>
      <c r="L1526" s="2" t="s">
        <v>10</v>
      </c>
      <c r="M1526" s="2" t="s">
        <v>23</v>
      </c>
      <c r="N1526" s="2" t="s">
        <v>24</v>
      </c>
    </row>
    <row r="1527">
      <c r="A1527" s="2" t="str">
        <f>IFERROR(__xludf.DUMMYFUNCTION("""COMPUTED_VALUE"""),"PR007")</f>
        <v>PR007</v>
      </c>
      <c r="B1527" s="2" t="str">
        <f>IFERROR(__xludf.DUMMYFUNCTION("""COMPUTED_VALUE"""),"VD021")</f>
        <v>VD021</v>
      </c>
      <c r="C1527" s="2">
        <f>IFERROR(__xludf.DUMMYFUNCTION("""COMPUTED_VALUE"""),2.0)</f>
        <v>2</v>
      </c>
      <c r="D1527" s="6">
        <f>IFERROR(__xludf.DUMMYFUNCTION("""COMPUTED_VALUE"""),171.8)</f>
        <v>171.8</v>
      </c>
      <c r="E1527" s="6">
        <f>IFERROR(__xludf.DUMMYFUNCTION("GOOGLEFINANCE(""Currency:BRLMXN"")*D1527"),583.6905)</f>
        <v>583.6905</v>
      </c>
      <c r="F1527" s="6">
        <f>IFERROR(__xludf.DUMMYFUNCTION("GOOGLEFINANCE(""Currency:BRLPEN"")*D1527"),112.63208)</f>
        <v>112.63208</v>
      </c>
      <c r="G1527" s="2" t="str">
        <f t="array" ref="G1527">_xlfn.XLOOKUP(B1527,Vendedores!$A$2:$A$41,Vendedores!$B$2:$B$41,"No hay datos")</f>
        <v>Fernanda Méndez</v>
      </c>
      <c r="H1527" s="2" t="str">
        <f t="array" ref="H1527">_xlfn.XLOOKUP(B1527,Vendedores!$A$2:$A$41,Vendedores!$C$2:$C$41,"No hay datos")</f>
        <v>San Juan de la Sierra</v>
      </c>
      <c r="I1527" s="2" t="str">
        <f t="array" ref="I1527">_xlfn.XLOOKUP(B1527,Vendedores!$A$2:$A$41,Vendedores!$D$2:$D$41,"No hay datos")</f>
        <v>Región Central</v>
      </c>
      <c r="J1527" s="2" t="str">
        <f t="array" ref="J1527:N1527">_xlfn.XLOOKUP(A1527,Productos!$A$2:$A$61,Productos!$B$2:$F$61)</f>
        <v>Pantalón de mezclilla</v>
      </c>
      <c r="K1527" s="2" t="s">
        <v>9</v>
      </c>
      <c r="L1527" s="2" t="s">
        <v>10</v>
      </c>
      <c r="M1527" s="2" t="s">
        <v>103</v>
      </c>
      <c r="N1527" s="2" t="s">
        <v>104</v>
      </c>
    </row>
    <row r="1528">
      <c r="A1528" s="2" t="str">
        <f>IFERROR(__xludf.DUMMYFUNCTION("""COMPUTED_VALUE"""),"PR018")</f>
        <v>PR018</v>
      </c>
      <c r="B1528" s="2" t="str">
        <f>IFERROR(__xludf.DUMMYFUNCTION("""COMPUTED_VALUE"""),"VD016")</f>
        <v>VD016</v>
      </c>
      <c r="C1528" s="2">
        <f>IFERROR(__xludf.DUMMYFUNCTION("""COMPUTED_VALUE"""),8.0)</f>
        <v>8</v>
      </c>
      <c r="D1528" s="6">
        <f>IFERROR(__xludf.DUMMYFUNCTION("""COMPUTED_VALUE"""),286.89)</f>
        <v>286.89</v>
      </c>
      <c r="E1528" s="6">
        <f>IFERROR(__xludf.DUMMYFUNCTION("GOOGLEFINANCE(""Currency:BRLMXN"")*D1528"),974.708775)</f>
        <v>974.708775</v>
      </c>
      <c r="F1528" s="6">
        <f>IFERROR(__xludf.DUMMYFUNCTION("GOOGLEFINANCE(""Currency:BRLPEN"")*D1528"),188.08508399999997)</f>
        <v>188.085084</v>
      </c>
      <c r="G1528" s="2" t="str">
        <f t="array" ref="G1528">_xlfn.XLOOKUP(B1528,Vendedores!$A$2:$A$41,Vendedores!$B$2:$B$41,"No hay datos")</f>
        <v>Beatriz Linares</v>
      </c>
      <c r="H1528" s="2" t="str">
        <f t="array" ref="H1528">_xlfn.XLOOKUP(B1528,Vendedores!$A$2:$A$41,Vendedores!$C$2:$C$41,"No hay datos")</f>
        <v>Puerto Esperanza</v>
      </c>
      <c r="I1528" s="2" t="str">
        <f t="array" ref="I1528">_xlfn.XLOOKUP(B1528,Vendedores!$A$2:$A$41,Vendedores!$D$2:$D$41,"No hay datos")</f>
        <v>Región Sur</v>
      </c>
      <c r="J1528" s="2" t="str">
        <f t="array" ref="J1528:N1528">_xlfn.XLOOKUP(A1528,Productos!$A$2:$A$61,Productos!$B$2:$F$61)</f>
        <v>Playera lisa</v>
      </c>
      <c r="K1528" s="2" t="s">
        <v>22</v>
      </c>
      <c r="L1528" s="2" t="s">
        <v>10</v>
      </c>
      <c r="M1528" s="2" t="s">
        <v>57</v>
      </c>
      <c r="N1528" s="2" t="s">
        <v>24</v>
      </c>
    </row>
    <row r="1529">
      <c r="A1529" s="2" t="str">
        <f>IFERROR(__xludf.DUMMYFUNCTION("""COMPUTED_VALUE"""),"PR014")</f>
        <v>PR014</v>
      </c>
      <c r="B1529" s="2" t="str">
        <f>IFERROR(__xludf.DUMMYFUNCTION("""COMPUTED_VALUE"""),"VD045")</f>
        <v>VD045</v>
      </c>
      <c r="C1529" s="2">
        <f>IFERROR(__xludf.DUMMYFUNCTION("""COMPUTED_VALUE"""),3.0)</f>
        <v>3</v>
      </c>
      <c r="D1529" s="6">
        <f>IFERROR(__xludf.DUMMYFUNCTION("""COMPUTED_VALUE"""),129.28)</f>
        <v>129.28</v>
      </c>
      <c r="E1529" s="6">
        <f>IFERROR(__xludf.DUMMYFUNCTION("GOOGLEFINANCE(""Currency:BRLMXN"")*D1529"),439.2288)</f>
        <v>439.2288</v>
      </c>
      <c r="F1529" s="6">
        <f>IFERROR(__xludf.DUMMYFUNCTION("GOOGLEFINANCE(""Currency:BRLPEN"")*D1529"),84.755968)</f>
        <v>84.755968</v>
      </c>
      <c r="G1529" s="2" t="str">
        <f t="array" ref="G1529">_xlfn.XLOOKUP(B1529,Vendedores!$A$2:$A$41,Vendedores!$B$2:$B$41,"No hay datos")</f>
        <v>Rafael Morales</v>
      </c>
      <c r="H1529" s="2" t="str">
        <f t="array" ref="H1529">_xlfn.XLOOKUP(B1529,Vendedores!$A$2:$A$41,Vendedores!$C$2:$C$41,"No hay datos")</f>
        <v>Valle Dorado</v>
      </c>
      <c r="I1529" s="2" t="str">
        <f t="array" ref="I1529">_xlfn.XLOOKUP(B1529,Vendedores!$A$2:$A$41,Vendedores!$D$2:$D$41,"No hay datos")</f>
        <v>Región Central 2</v>
      </c>
      <c r="J1529" s="2" t="str">
        <f t="array" ref="J1529:N1529">_xlfn.XLOOKUP(A1529,Productos!$A$2:$A$61,Productos!$B$2:$F$61)</f>
        <v>Playera estampada</v>
      </c>
      <c r="K1529" s="2" t="s">
        <v>17</v>
      </c>
      <c r="L1529" s="2" t="s">
        <v>10</v>
      </c>
      <c r="M1529" s="2" t="s">
        <v>37</v>
      </c>
      <c r="N1529" s="2" t="s">
        <v>38</v>
      </c>
    </row>
    <row r="1530">
      <c r="A1530" s="2" t="str">
        <f>IFERROR(__xludf.DUMMYFUNCTION("""COMPUTED_VALUE"""),"PR024")</f>
        <v>PR024</v>
      </c>
      <c r="B1530" s="2" t="str">
        <f>IFERROR(__xludf.DUMMYFUNCTION("""COMPUTED_VALUE"""),"VD041")</f>
        <v>VD041</v>
      </c>
      <c r="C1530" s="2">
        <f>IFERROR(__xludf.DUMMYFUNCTION("""COMPUTED_VALUE"""),10.0)</f>
        <v>10</v>
      </c>
      <c r="D1530" s="6">
        <f>IFERROR(__xludf.DUMMYFUNCTION("""COMPUTED_VALUE"""),2754.94)</f>
        <v>2754.94</v>
      </c>
      <c r="E1530" s="6">
        <f>IFERROR(__xludf.DUMMYFUNCTION("GOOGLEFINANCE(""Currency:BRLMXN"")*D1530"),9359.90865)</f>
        <v>9359.90865</v>
      </c>
      <c r="F1530" s="6">
        <f>IFERROR(__xludf.DUMMYFUNCTION("GOOGLEFINANCE(""Currency:BRLPEN"")*D1530"),1806.1386639999998)</f>
        <v>1806.138664</v>
      </c>
      <c r="G1530" s="2" t="str">
        <f t="array" ref="G1530">_xlfn.XLOOKUP(B1530,Vendedores!$A$2:$A$41,Vendedores!$B$2:$B$41,"No hay datos")</f>
        <v>Alejandro Ramos</v>
      </c>
      <c r="H1530" s="2" t="str">
        <f t="array" ref="H1530">_xlfn.XLOOKUP(B1530,Vendedores!$A$2:$A$41,Vendedores!$C$2:$C$41,"No hay datos")</f>
        <v>San Martín de las Rosas</v>
      </c>
      <c r="I1530" s="2" t="str">
        <f t="array" ref="I1530">_xlfn.XLOOKUP(B1530,Vendedores!$A$2:$A$41,Vendedores!$D$2:$D$41,"No hay datos")</f>
        <v>Región Central 2</v>
      </c>
      <c r="J1530" s="2" t="str">
        <f t="array" ref="J1530:N1530">_xlfn.XLOOKUP(A1530,Productos!$A$2:$A$61,Productos!$B$2:$F$61)</f>
        <v>Chaqueta de mezclilla</v>
      </c>
      <c r="K1530" s="2" t="s">
        <v>17</v>
      </c>
      <c r="L1530" s="2" t="s">
        <v>10</v>
      </c>
      <c r="M1530" s="2" t="s">
        <v>92</v>
      </c>
      <c r="N1530" s="2" t="s">
        <v>64</v>
      </c>
    </row>
    <row r="1531">
      <c r="A1531" s="2" t="str">
        <f>IFERROR(__xludf.DUMMYFUNCTION("""COMPUTED_VALUE"""),"PR031")</f>
        <v>PR031</v>
      </c>
      <c r="B1531" s="2" t="str">
        <f>IFERROR(__xludf.DUMMYFUNCTION("""COMPUTED_VALUE"""),"VD049")</f>
        <v>VD049</v>
      </c>
      <c r="C1531" s="2">
        <f>IFERROR(__xludf.DUMMYFUNCTION("""COMPUTED_VALUE"""),10.0)</f>
        <v>10</v>
      </c>
      <c r="D1531" s="6">
        <f>IFERROR(__xludf.DUMMYFUNCTION("""COMPUTED_VALUE"""),2646.0)</f>
        <v>2646</v>
      </c>
      <c r="E1531" s="6">
        <f>IFERROR(__xludf.DUMMYFUNCTION("GOOGLEFINANCE(""Currency:BRLMXN"")*D1531"),8989.785)</f>
        <v>8989.785</v>
      </c>
      <c r="F1531" s="6">
        <f>IFERROR(__xludf.DUMMYFUNCTION("GOOGLEFINANCE(""Currency:BRLPEN"")*D1531"),1734.7176)</f>
        <v>1734.7176</v>
      </c>
      <c r="G1531" s="2" t="str">
        <f t="array" ref="G1531">_xlfn.XLOOKUP(B1531,Vendedores!$A$2:$A$41,Vendedores!$B$2:$B$41,"No hay datos")</f>
        <v>Fernando Navarro</v>
      </c>
      <c r="H1531" s="2" t="str">
        <f t="array" ref="H1531">_xlfn.XLOOKUP(B1531,Vendedores!$A$2:$A$41,Vendedores!$C$2:$C$41,"No hay datos")</f>
        <v>Colinas Verdes</v>
      </c>
      <c r="I1531" s="2" t="str">
        <f t="array" ref="I1531">_xlfn.XLOOKUP(B1531,Vendedores!$A$2:$A$41,Vendedores!$D$2:$D$41,"No hay datos")</f>
        <v>Región Central 2</v>
      </c>
      <c r="J1531" s="2" t="str">
        <f t="array" ref="J1531:N1531">_xlfn.XLOOKUP(A1531,Productos!$A$2:$A$61,Productos!$B$2:$F$61)</f>
        <v>Tenis Chunky</v>
      </c>
      <c r="K1531" s="2">
        <v>36.0</v>
      </c>
      <c r="L1531" s="2" t="s">
        <v>33</v>
      </c>
      <c r="M1531" s="2" t="s">
        <v>84</v>
      </c>
      <c r="N1531" s="2" t="s">
        <v>85</v>
      </c>
    </row>
    <row r="1532">
      <c r="A1532" s="2" t="str">
        <f>IFERROR(__xludf.DUMMYFUNCTION("""COMPUTED_VALUE"""),"PR021")</f>
        <v>PR021</v>
      </c>
      <c r="B1532" s="2" t="str">
        <f>IFERROR(__xludf.DUMMYFUNCTION("""COMPUTED_VALUE"""),"VD021")</f>
        <v>VD021</v>
      </c>
      <c r="C1532" s="2">
        <f>IFERROR(__xludf.DUMMYFUNCTION("""COMPUTED_VALUE"""),2.0)</f>
        <v>2</v>
      </c>
      <c r="D1532" s="6">
        <f>IFERROR(__xludf.DUMMYFUNCTION("""COMPUTED_VALUE"""),623.97)</f>
        <v>623.97</v>
      </c>
      <c r="E1532" s="6">
        <f>IFERROR(__xludf.DUMMYFUNCTION("GOOGLEFINANCE(""Currency:BRLMXN"")*D1532"),2119.938075)</f>
        <v>2119.938075</v>
      </c>
      <c r="F1532" s="6">
        <f>IFERROR(__xludf.DUMMYFUNCTION("GOOGLEFINANCE(""Currency:BRLPEN"")*D1532"),409.074732)</f>
        <v>409.074732</v>
      </c>
      <c r="G1532" s="2" t="str">
        <f t="array" ref="G1532">_xlfn.XLOOKUP(B1532,Vendedores!$A$2:$A$41,Vendedores!$B$2:$B$41,"No hay datos")</f>
        <v>Fernanda Méndez</v>
      </c>
      <c r="H1532" s="2" t="str">
        <f t="array" ref="H1532">_xlfn.XLOOKUP(B1532,Vendedores!$A$2:$A$41,Vendedores!$C$2:$C$41,"No hay datos")</f>
        <v>San Juan de la Sierra</v>
      </c>
      <c r="I1532" s="2" t="str">
        <f t="array" ref="I1532">_xlfn.XLOOKUP(B1532,Vendedores!$A$2:$A$41,Vendedores!$D$2:$D$41,"No hay datos")</f>
        <v>Región Central</v>
      </c>
      <c r="J1532" s="2" t="str">
        <f t="array" ref="J1532:N1532">_xlfn.XLOOKUP(A1532,Productos!$A$2:$A$61,Productos!$B$2:$F$61)</f>
        <v>Chaqueta de cuero</v>
      </c>
      <c r="K1532" s="2" t="s">
        <v>17</v>
      </c>
      <c r="L1532" s="2" t="s">
        <v>10</v>
      </c>
      <c r="M1532" s="2" t="s">
        <v>80</v>
      </c>
      <c r="N1532" s="2" t="s">
        <v>81</v>
      </c>
    </row>
    <row r="1533">
      <c r="A1533" s="2" t="str">
        <f>IFERROR(__xludf.DUMMYFUNCTION("""COMPUTED_VALUE"""),"PR012")</f>
        <v>PR012</v>
      </c>
      <c r="B1533" s="2" t="str">
        <f>IFERROR(__xludf.DUMMYFUNCTION("""COMPUTED_VALUE"""),"VD046")</f>
        <v>VD046</v>
      </c>
      <c r="C1533" s="2">
        <f>IFERROR(__xludf.DUMMYFUNCTION("""COMPUTED_VALUE"""),4.0)</f>
        <v>4</v>
      </c>
      <c r="D1533" s="6">
        <f>IFERROR(__xludf.DUMMYFUNCTION("""COMPUTED_VALUE"""),215.16)</f>
        <v>215.16</v>
      </c>
      <c r="E1533" s="6">
        <f>IFERROR(__xludf.DUMMYFUNCTION("GOOGLEFINANCE(""Currency:BRLMXN"")*D1533"),731.0061)</f>
        <v>731.0061</v>
      </c>
      <c r="F1533" s="6">
        <f>IFERROR(__xludf.DUMMYFUNCTION("GOOGLEFINANCE(""Currency:BRLPEN"")*D1533"),141.05889599999998)</f>
        <v>141.058896</v>
      </c>
      <c r="G1533" s="2" t="str">
        <f t="array" ref="G1533">_xlfn.XLOOKUP(B1533,Vendedores!$A$2:$A$41,Vendedores!$B$2:$B$41,"No hay datos")</f>
        <v>Juliana Pérez</v>
      </c>
      <c r="H1533" s="2" t="str">
        <f t="array" ref="H1533">_xlfn.XLOOKUP(B1533,Vendedores!$A$2:$A$41,Vendedores!$C$2:$C$41,"No hay datos")</f>
        <v>Santa Cruz de la Sierra</v>
      </c>
      <c r="I1533" s="2" t="str">
        <f t="array" ref="I1533">_xlfn.XLOOKUP(B1533,Vendedores!$A$2:$A$41,Vendedores!$D$2:$D$41,"No hay datos")</f>
        <v>Región Central 2</v>
      </c>
      <c r="J1533" s="2" t="str">
        <f t="array" ref="J1533:N1533">_xlfn.XLOOKUP(A1533,Productos!$A$2:$A$61,Productos!$B$2:$F$61)</f>
        <v>Pantalón legging</v>
      </c>
      <c r="K1533" s="2" t="s">
        <v>22</v>
      </c>
      <c r="L1533" s="2" t="s">
        <v>10</v>
      </c>
      <c r="M1533" s="2" t="s">
        <v>88</v>
      </c>
      <c r="N1533" s="2" t="s">
        <v>89</v>
      </c>
    </row>
    <row r="1534">
      <c r="A1534" s="2" t="str">
        <f>IFERROR(__xludf.DUMMYFUNCTION("""COMPUTED_VALUE"""),"PR037")</f>
        <v>PR037</v>
      </c>
      <c r="B1534" s="2" t="str">
        <f>IFERROR(__xludf.DUMMYFUNCTION("""COMPUTED_VALUE"""),"VD027")</f>
        <v>VD027</v>
      </c>
      <c r="C1534" s="2">
        <f>IFERROR(__xludf.DUMMYFUNCTION("""COMPUTED_VALUE"""),10.0)</f>
        <v>10</v>
      </c>
      <c r="D1534" s="6">
        <f>IFERROR(__xludf.DUMMYFUNCTION("""COMPUTED_VALUE"""),1442.0)</f>
        <v>1442</v>
      </c>
      <c r="E1534" s="6">
        <f>IFERROR(__xludf.DUMMYFUNCTION("GOOGLEFINANCE(""Currency:BRLMXN"")*D1534"),4899.195)</f>
        <v>4899.195</v>
      </c>
      <c r="F1534" s="6">
        <f>IFERROR(__xludf.DUMMYFUNCTION("GOOGLEFINANCE(""Currency:BRLPEN"")*D1534"),945.3752)</f>
        <v>945.3752</v>
      </c>
      <c r="G1534" s="2" t="str">
        <f t="array" ref="G1534">_xlfn.XLOOKUP(B1534,Vendedores!$A$2:$A$41,Vendedores!$B$2:$B$41,"No hay datos")</f>
        <v>Patricia Cortés</v>
      </c>
      <c r="H1534" s="2" t="str">
        <f t="array" ref="H1534">_xlfn.XLOOKUP(B1534,Vendedores!$A$2:$A$41,Vendedores!$C$2:$C$41,"No hay datos")</f>
        <v>Costa Azul</v>
      </c>
      <c r="I1534" s="2" t="str">
        <f t="array" ref="I1534">_xlfn.XLOOKUP(B1534,Vendedores!$A$2:$A$41,Vendedores!$D$2:$D$41,"No hay datos")</f>
        <v>Región Norte</v>
      </c>
      <c r="J1534" s="2" t="str">
        <f t="array" ref="J1534:N1534">_xlfn.XLOOKUP(A1534,Productos!$A$2:$A$61,Productos!$B$2:$F$61)</f>
        <v>Vestido largo</v>
      </c>
      <c r="K1534" s="2" t="s">
        <v>9</v>
      </c>
      <c r="L1534" s="2" t="s">
        <v>10</v>
      </c>
      <c r="M1534" s="2" t="s">
        <v>70</v>
      </c>
      <c r="N1534" s="2" t="s">
        <v>71</v>
      </c>
    </row>
    <row r="1535">
      <c r="A1535" s="2" t="str">
        <f>IFERROR(__xludf.DUMMYFUNCTION("""COMPUTED_VALUE"""),"PR051")</f>
        <v>PR051</v>
      </c>
      <c r="B1535" s="2" t="str">
        <f>IFERROR(__xludf.DUMMYFUNCTION("""COMPUTED_VALUE"""),"VD017")</f>
        <v>VD017</v>
      </c>
      <c r="C1535" s="2">
        <f>IFERROR(__xludf.DUMMYFUNCTION("""COMPUTED_VALUE"""),8.0)</f>
        <v>8</v>
      </c>
      <c r="D1535" s="6">
        <f>IFERROR(__xludf.DUMMYFUNCTION("""COMPUTED_VALUE"""),276.36)</f>
        <v>276.36</v>
      </c>
      <c r="E1535" s="6">
        <f>IFERROR(__xludf.DUMMYFUNCTION("GOOGLEFINANCE(""Currency:BRLMXN"")*D1535"),938.9331000000001)</f>
        <v>938.9331</v>
      </c>
      <c r="F1535" s="6">
        <f>IFERROR(__xludf.DUMMYFUNCTION("GOOGLEFINANCE(""Currency:BRLPEN"")*D1535"),181.181616)</f>
        <v>181.181616</v>
      </c>
      <c r="G1535" s="2" t="str">
        <f t="array" ref="G1535">_xlfn.XLOOKUP(B1535,Vendedores!$A$2:$A$41,Vendedores!$B$2:$B$41,"No hay datos")</f>
        <v>Bruno Peralta</v>
      </c>
      <c r="H1535" s="2" t="str">
        <f t="array" ref="H1535">_xlfn.XLOOKUP(B1535,Vendedores!$A$2:$A$41,Vendedores!$C$2:$C$41,"No hay datos")</f>
        <v>Costa Azul</v>
      </c>
      <c r="I1535" s="2" t="str">
        <f t="array" ref="I1535">_xlfn.XLOOKUP(B1535,Vendedores!$A$2:$A$41,Vendedores!$D$2:$D$41,"No hay datos")</f>
        <v>Región Norte</v>
      </c>
      <c r="J1535" s="2" t="str">
        <f t="array" ref="J1535:N1535">_xlfn.XLOOKUP(A1535,Productos!$A$2:$A$61,Productos!$B$2:$F$61)</f>
        <v>Playera a rayas</v>
      </c>
      <c r="K1535" s="2" t="s">
        <v>22</v>
      </c>
      <c r="L1535" s="2" t="s">
        <v>10</v>
      </c>
      <c r="M1535" s="2" t="s">
        <v>23</v>
      </c>
      <c r="N1535" s="2" t="s">
        <v>24</v>
      </c>
    </row>
    <row r="1536">
      <c r="A1536" s="2" t="str">
        <f>IFERROR(__xludf.DUMMYFUNCTION("""COMPUTED_VALUE"""),"PR016")</f>
        <v>PR016</v>
      </c>
      <c r="B1536" s="2" t="str">
        <f>IFERROR(__xludf.DUMMYFUNCTION("""COMPUTED_VALUE"""),"VD033")</f>
        <v>VD033</v>
      </c>
      <c r="C1536" s="2">
        <f>IFERROR(__xludf.DUMMYFUNCTION("""COMPUTED_VALUE"""),14.0)</f>
        <v>14</v>
      </c>
      <c r="D1536" s="6">
        <f>IFERROR(__xludf.DUMMYFUNCTION("""COMPUTED_VALUE"""),362.6)</f>
        <v>362.6</v>
      </c>
      <c r="E1536" s="6">
        <f>IFERROR(__xludf.DUMMYFUNCTION("GOOGLEFINANCE(""Currency:BRLMXN"")*D1536"),1231.9335)</f>
        <v>1231.9335</v>
      </c>
      <c r="F1536" s="6">
        <f>IFERROR(__xludf.DUMMYFUNCTION("GOOGLEFINANCE(""Currency:BRLPEN"")*D1536"),237.72056)</f>
        <v>237.72056</v>
      </c>
      <c r="G1536" s="2" t="str">
        <f t="array" ref="G1536">_xlfn.XLOOKUP(B1536,Vendedores!$A$2:$A$41,Vendedores!$B$2:$B$41,"No hay datos")</f>
        <v>Renata Flores</v>
      </c>
      <c r="H1536" s="2" t="str">
        <f t="array" ref="H1536">_xlfn.XLOOKUP(B1536,Vendedores!$A$2:$A$41,Vendedores!$C$2:$C$41,"No hay datos")</f>
        <v>Altos del Sur</v>
      </c>
      <c r="I1536" s="2" t="str">
        <f t="array" ref="I1536">_xlfn.XLOOKUP(B1536,Vendedores!$A$2:$A$41,Vendedores!$D$2:$D$41,"No hay datos")</f>
        <v>Región Central 2</v>
      </c>
      <c r="J1536" s="2" t="str">
        <f t="array" ref="J1536:N1536">_xlfn.XLOOKUP(A1536,Productos!$A$2:$A$61,Productos!$B$2:$F$61)</f>
        <v>Playera lisa</v>
      </c>
      <c r="K1536" s="2" t="s">
        <v>9</v>
      </c>
      <c r="L1536" s="2" t="s">
        <v>10</v>
      </c>
      <c r="M1536" s="2" t="s">
        <v>20</v>
      </c>
      <c r="N1536" s="2" t="s">
        <v>21</v>
      </c>
    </row>
    <row r="1537">
      <c r="A1537" s="2" t="str">
        <f>IFERROR(__xludf.DUMMYFUNCTION("""COMPUTED_VALUE"""),"PR019")</f>
        <v>PR019</v>
      </c>
      <c r="B1537" s="2" t="str">
        <f>IFERROR(__xludf.DUMMYFUNCTION("""COMPUTED_VALUE"""),"VD031")</f>
        <v>VD031</v>
      </c>
      <c r="C1537" s="2">
        <f>IFERROR(__xludf.DUMMYFUNCTION("""COMPUTED_VALUE"""),20.0)</f>
        <v>20</v>
      </c>
      <c r="D1537" s="6">
        <f>IFERROR(__xludf.DUMMYFUNCTION("""COMPUTED_VALUE"""),1097.8)</f>
        <v>1097.8</v>
      </c>
      <c r="E1537" s="6">
        <f>IFERROR(__xludf.DUMMYFUNCTION("GOOGLEFINANCE(""Currency:BRLMXN"")*D1537"),3729.7754999999997)</f>
        <v>3729.7755</v>
      </c>
      <c r="F1537" s="6">
        <f>IFERROR(__xludf.DUMMYFUNCTION("GOOGLEFINANCE(""Currency:BRLPEN"")*D1537"),719.71768)</f>
        <v>719.71768</v>
      </c>
      <c r="G1537" s="2" t="str">
        <f t="array" ref="G1537">_xlfn.XLOOKUP(B1537,Vendedores!$A$2:$A$41,Vendedores!$B$2:$B$41,"No hay datos")</f>
        <v>Vanessa Martínez</v>
      </c>
      <c r="H1537" s="2" t="str">
        <f t="array" ref="H1537">_xlfn.XLOOKUP(B1537,Vendedores!$A$2:$A$41,Vendedores!$C$2:$C$41,"No hay datos")</f>
        <v>Monte Verde</v>
      </c>
      <c r="I1537" s="2" t="str">
        <f t="array" ref="I1537">_xlfn.XLOOKUP(B1537,Vendedores!$A$2:$A$41,Vendedores!$D$2:$D$41,"No hay datos")</f>
        <v>Región Central 2</v>
      </c>
      <c r="J1537" s="2" t="str">
        <f t="array" ref="J1537:N1537">_xlfn.XLOOKUP(A1537,Productos!$A$2:$A$61,Productos!$B$2:$F$61)</f>
        <v>Cinturón</v>
      </c>
      <c r="K1537" s="2" t="s">
        <v>29</v>
      </c>
      <c r="L1537" s="2" t="s">
        <v>30</v>
      </c>
      <c r="M1537" s="2" t="s">
        <v>31</v>
      </c>
      <c r="N1537" s="2" t="s">
        <v>32</v>
      </c>
    </row>
    <row r="1538">
      <c r="A1538" s="2" t="str">
        <f>IFERROR(__xludf.DUMMYFUNCTION("""COMPUTED_VALUE"""),"PR018")</f>
        <v>PR018</v>
      </c>
      <c r="B1538" s="2" t="str">
        <f>IFERROR(__xludf.DUMMYFUNCTION("""COMPUTED_VALUE"""),"VD029")</f>
        <v>VD029</v>
      </c>
      <c r="C1538" s="2">
        <f>IFERROR(__xludf.DUMMYFUNCTION("""COMPUTED_VALUE"""),6.0)</f>
        <v>6</v>
      </c>
      <c r="D1538" s="6">
        <f>IFERROR(__xludf.DUMMYFUNCTION("""COMPUTED_VALUE"""),217.14)</f>
        <v>217.14</v>
      </c>
      <c r="E1538" s="6">
        <f>IFERROR(__xludf.DUMMYFUNCTION("GOOGLEFINANCE(""Currency:BRLMXN"")*D1538"),737.7331499999999)</f>
        <v>737.73315</v>
      </c>
      <c r="F1538" s="6">
        <f>IFERROR(__xludf.DUMMYFUNCTION("GOOGLEFINANCE(""Currency:BRLPEN"")*D1538"),142.35698399999998)</f>
        <v>142.356984</v>
      </c>
      <c r="G1538" s="2" t="str">
        <f t="array" ref="G1538">_xlfn.XLOOKUP(B1538,Vendedores!$A$2:$A$41,Vendedores!$B$2:$B$41,"No hay datos")</f>
        <v>Gabriela Sosa</v>
      </c>
      <c r="H1538" s="2" t="str">
        <f t="array" ref="H1538">_xlfn.XLOOKUP(B1538,Vendedores!$A$2:$A$41,Vendedores!$C$2:$C$41,"No hay datos")</f>
        <v>Selva Verde</v>
      </c>
      <c r="I1538" s="2" t="str">
        <f t="array" ref="I1538">_xlfn.XLOOKUP(B1538,Vendedores!$A$2:$A$41,Vendedores!$D$2:$D$41,"No hay datos")</f>
        <v>Región Amazónica</v>
      </c>
      <c r="J1538" s="2" t="str">
        <f t="array" ref="J1538:N1538">_xlfn.XLOOKUP(A1538,Productos!$A$2:$A$61,Productos!$B$2:$F$61)</f>
        <v>Playera lisa</v>
      </c>
      <c r="K1538" s="2" t="s">
        <v>22</v>
      </c>
      <c r="L1538" s="2" t="s">
        <v>10</v>
      </c>
      <c r="M1538" s="2" t="s">
        <v>57</v>
      </c>
      <c r="N1538" s="2" t="s">
        <v>24</v>
      </c>
    </row>
    <row r="1539">
      <c r="A1539" s="2" t="str">
        <f>IFERROR(__xludf.DUMMYFUNCTION("""COMPUTED_VALUE"""),"PR045")</f>
        <v>PR045</v>
      </c>
      <c r="B1539" s="2" t="str">
        <f>IFERROR(__xludf.DUMMYFUNCTION("""COMPUTED_VALUE"""),"VD021")</f>
        <v>VD021</v>
      </c>
      <c r="C1539" s="2">
        <f>IFERROR(__xludf.DUMMYFUNCTION("""COMPUTED_VALUE"""),20.0)</f>
        <v>20</v>
      </c>
      <c r="D1539" s="6">
        <f>IFERROR(__xludf.DUMMYFUNCTION("""COMPUTED_VALUE"""),1479.0)</f>
        <v>1479</v>
      </c>
      <c r="E1539" s="6">
        <f>IFERROR(__xludf.DUMMYFUNCTION("GOOGLEFINANCE(""Currency:BRLMXN"")*D1539"),5024.9025)</f>
        <v>5024.9025</v>
      </c>
      <c r="F1539" s="6">
        <f>IFERROR(__xludf.DUMMYFUNCTION("GOOGLEFINANCE(""Currency:BRLPEN"")*D1539"),969.6324)</f>
        <v>969.6324</v>
      </c>
      <c r="G1539" s="2" t="str">
        <f t="array" ref="G1539">_xlfn.XLOOKUP(B1539,Vendedores!$A$2:$A$41,Vendedores!$B$2:$B$41,"No hay datos")</f>
        <v>Fernanda Méndez</v>
      </c>
      <c r="H1539" s="2" t="str">
        <f t="array" ref="H1539">_xlfn.XLOOKUP(B1539,Vendedores!$A$2:$A$41,Vendedores!$C$2:$C$41,"No hay datos")</f>
        <v>San Juan de la Sierra</v>
      </c>
      <c r="I1539" s="2" t="str">
        <f t="array" ref="I1539">_xlfn.XLOOKUP(B1539,Vendedores!$A$2:$A$41,Vendedores!$D$2:$D$41,"No hay datos")</f>
        <v>Región Central</v>
      </c>
      <c r="J1539" s="2" t="str">
        <f t="array" ref="J1539:N1539">_xlfn.XLOOKUP(A1539,Productos!$A$2:$A$61,Productos!$B$2:$F$61)</f>
        <v>Vestido floral</v>
      </c>
      <c r="K1539" s="2" t="s">
        <v>22</v>
      </c>
      <c r="L1539" s="2" t="s">
        <v>10</v>
      </c>
      <c r="M1539" s="2" t="s">
        <v>39</v>
      </c>
      <c r="N1539" s="2" t="s">
        <v>40</v>
      </c>
    </row>
    <row r="1540">
      <c r="A1540" s="2" t="str">
        <f>IFERROR(__xludf.DUMMYFUNCTION("""COMPUTED_VALUE"""),"PR020")</f>
        <v>PR020</v>
      </c>
      <c r="B1540" s="2" t="str">
        <f>IFERROR(__xludf.DUMMYFUNCTION("""COMPUTED_VALUE"""),"VD013")</f>
        <v>VD013</v>
      </c>
      <c r="C1540" s="2">
        <f>IFERROR(__xludf.DUMMYFUNCTION("""COMPUTED_VALUE"""),12.0)</f>
        <v>12</v>
      </c>
      <c r="D1540" s="6">
        <f>IFERROR(__xludf.DUMMYFUNCTION("""COMPUTED_VALUE"""),3598.8)</f>
        <v>3598.8</v>
      </c>
      <c r="E1540" s="6">
        <f>IFERROR(__xludf.DUMMYFUNCTION("GOOGLEFINANCE(""Currency:BRLMXN"")*D1540"),12226.923)</f>
        <v>12226.923</v>
      </c>
      <c r="F1540" s="6">
        <f>IFERROR(__xludf.DUMMYFUNCTION("GOOGLEFINANCE(""Currency:BRLPEN"")*D1540"),2359.37328)</f>
        <v>2359.37328</v>
      </c>
      <c r="G1540" s="2" t="str">
        <f t="array" ref="G1540">_xlfn.XLOOKUP(B1540,Vendedores!$A$2:$A$41,Vendedores!$B$2:$B$41,"No hay datos")</f>
        <v>Pedro Almonte</v>
      </c>
      <c r="H1540" s="2" t="str">
        <f t="array" ref="H1540">_xlfn.XLOOKUP(B1540,Vendedores!$A$2:$A$41,Vendedores!$C$2:$C$41,"No hay datos")</f>
        <v>Santa Rosa del Valle</v>
      </c>
      <c r="I1540" s="2" t="str">
        <f t="array" ref="I1540">_xlfn.XLOOKUP(B1540,Vendedores!$A$2:$A$41,Vendedores!$D$2:$D$41,"No hay datos")</f>
        <v>Región Norte</v>
      </c>
      <c r="J1540" s="2" t="str">
        <f t="array" ref="J1540:N1540">_xlfn.XLOOKUP(A1540,Productos!$A$2:$A$61,Productos!$B$2:$F$61)</f>
        <v>Chaqueta de cuero</v>
      </c>
      <c r="K1540" s="2" t="s">
        <v>9</v>
      </c>
      <c r="L1540" s="2" t="s">
        <v>10</v>
      </c>
      <c r="M1540" s="2" t="s">
        <v>15</v>
      </c>
      <c r="N1540" s="2" t="s">
        <v>16</v>
      </c>
    </row>
    <row r="1541">
      <c r="A1541" s="2" t="str">
        <f>IFERROR(__xludf.DUMMYFUNCTION("""COMPUTED_VALUE"""),"PR049")</f>
        <v>PR049</v>
      </c>
      <c r="B1541" s="2" t="str">
        <f>IFERROR(__xludf.DUMMYFUNCTION("""COMPUTED_VALUE"""),"VD022")</f>
        <v>VD022</v>
      </c>
      <c r="C1541" s="2">
        <f>IFERROR(__xludf.DUMMYFUNCTION("""COMPUTED_VALUE"""),14.0)</f>
        <v>14</v>
      </c>
      <c r="D1541" s="6">
        <f>IFERROR(__xludf.DUMMYFUNCTION("""COMPUTED_VALUE"""),483.63)</f>
        <v>483.63</v>
      </c>
      <c r="E1541" s="6">
        <f>IFERROR(__xludf.DUMMYFUNCTION("GOOGLEFINANCE(""Currency:BRLMXN"")*D1541"),1643.132925)</f>
        <v>1643.132925</v>
      </c>
      <c r="F1541" s="6">
        <f>IFERROR(__xludf.DUMMYFUNCTION("GOOGLEFINANCE(""Currency:BRLPEN"")*D1541"),317.06782799999996)</f>
        <v>317.067828</v>
      </c>
      <c r="G1541" s="2" t="str">
        <f t="array" ref="G1541">_xlfn.XLOOKUP(B1541,Vendedores!$A$2:$A$41,Vendedores!$B$2:$B$41,"No hay datos")</f>
        <v>Santiago Linares</v>
      </c>
      <c r="H1541" s="2" t="str">
        <f t="array" ref="H1541">_xlfn.XLOOKUP(B1541,Vendedores!$A$2:$A$41,Vendedores!$C$2:$C$41,"No hay datos")</f>
        <v>Vista Hermosa</v>
      </c>
      <c r="I1541" s="2" t="str">
        <f t="array" ref="I1541">_xlfn.XLOOKUP(B1541,Vendedores!$A$2:$A$41,Vendedores!$D$2:$D$41,"No hay datos")</f>
        <v>Región Central</v>
      </c>
      <c r="J1541" s="2" t="str">
        <f t="array" ref="J1541:N1541">_xlfn.XLOOKUP(A1541,Productos!$A$2:$A$61,Productos!$B$2:$F$61)</f>
        <v>Playera a rayas</v>
      </c>
      <c r="K1541" s="2" t="s">
        <v>9</v>
      </c>
      <c r="L1541" s="2" t="s">
        <v>10</v>
      </c>
      <c r="M1541" s="2" t="s">
        <v>47</v>
      </c>
      <c r="N1541" s="2" t="s">
        <v>24</v>
      </c>
    </row>
    <row r="1542">
      <c r="A1542" s="2" t="str">
        <f>IFERROR(__xludf.DUMMYFUNCTION("""COMPUTED_VALUE"""),"PR048")</f>
        <v>PR048</v>
      </c>
      <c r="B1542" s="2" t="str">
        <f>IFERROR(__xludf.DUMMYFUNCTION("""COMPUTED_VALUE"""),"VD026")</f>
        <v>VD026</v>
      </c>
      <c r="C1542" s="2">
        <f>IFERROR(__xludf.DUMMYFUNCTION("""COMPUTED_VALUE"""),1.0)</f>
        <v>1</v>
      </c>
      <c r="D1542" s="6">
        <f>IFERROR(__xludf.DUMMYFUNCTION("""COMPUTED_VALUE"""),304.4)</f>
        <v>304.4</v>
      </c>
      <c r="E1542" s="6">
        <f>IFERROR(__xludf.DUMMYFUNCTION("GOOGLEFINANCE(""Currency:BRLMXN"")*D1542"),1034.1989999999998)</f>
        <v>1034.199</v>
      </c>
      <c r="F1542" s="6">
        <f>IFERROR(__xludf.DUMMYFUNCTION("GOOGLEFINANCE(""Currency:BRLPEN"")*D1542"),199.56463999999997)</f>
        <v>199.56464</v>
      </c>
      <c r="G1542" s="2" t="str">
        <f t="array" ref="G1542">_xlfn.XLOOKUP(B1542,Vendedores!$A$2:$A$41,Vendedores!$B$2:$B$41,"No hay datos")</f>
        <v>Daniel Fernández</v>
      </c>
      <c r="H1542" s="2" t="str">
        <f t="array" ref="H1542">_xlfn.XLOOKUP(B1542,Vendedores!$A$2:$A$41,Vendedores!$C$2:$C$41,"No hay datos")</f>
        <v>Puerto Esperanza</v>
      </c>
      <c r="I1542" s="2" t="str">
        <f t="array" ref="I1542">_xlfn.XLOOKUP(B1542,Vendedores!$A$2:$A$41,Vendedores!$D$2:$D$41,"No hay datos")</f>
        <v>Región Sur</v>
      </c>
      <c r="J1542" s="2" t="str">
        <f t="array" ref="J1542:N1542">_xlfn.XLOOKUP(A1542,Productos!$A$2:$A$61,Productos!$B$2:$F$61)</f>
        <v>Chaqueta de cuero</v>
      </c>
      <c r="K1542" s="2" t="s">
        <v>22</v>
      </c>
      <c r="L1542" s="2" t="s">
        <v>10</v>
      </c>
      <c r="M1542" s="2" t="s">
        <v>94</v>
      </c>
      <c r="N1542" s="2" t="s">
        <v>44</v>
      </c>
    </row>
    <row r="1543">
      <c r="A1543" s="2" t="str">
        <f>IFERROR(__xludf.DUMMYFUNCTION("""COMPUTED_VALUE"""),"PR060")</f>
        <v>PR060</v>
      </c>
      <c r="B1543" s="2" t="str">
        <f>IFERROR(__xludf.DUMMYFUNCTION("""COMPUTED_VALUE"""),"VD033")</f>
        <v>VD033</v>
      </c>
      <c r="C1543" s="2">
        <f>IFERROR(__xludf.DUMMYFUNCTION("""COMPUTED_VALUE"""),8.0)</f>
        <v>8</v>
      </c>
      <c r="D1543" s="6">
        <f>IFERROR(__xludf.DUMMYFUNCTION("""COMPUTED_VALUE"""),1526.4)</f>
        <v>1526.4</v>
      </c>
      <c r="E1543" s="6">
        <f>IFERROR(__xludf.DUMMYFUNCTION("GOOGLEFINANCE(""Currency:BRLMXN"")*D1543"),5185.944)</f>
        <v>5185.944</v>
      </c>
      <c r="F1543" s="6">
        <f>IFERROR(__xludf.DUMMYFUNCTION("GOOGLEFINANCE(""Currency:BRLPEN"")*D1543"),1000.70784)</f>
        <v>1000.70784</v>
      </c>
      <c r="G1543" s="2" t="str">
        <f t="array" ref="G1543">_xlfn.XLOOKUP(B1543,Vendedores!$A$2:$A$41,Vendedores!$B$2:$B$41,"No hay datos")</f>
        <v>Renata Flores</v>
      </c>
      <c r="H1543" s="2" t="str">
        <f t="array" ref="H1543">_xlfn.XLOOKUP(B1543,Vendedores!$A$2:$A$41,Vendedores!$C$2:$C$41,"No hay datos")</f>
        <v>Altos del Sur</v>
      </c>
      <c r="I1543" s="2" t="str">
        <f t="array" ref="I1543">_xlfn.XLOOKUP(B1543,Vendedores!$A$2:$A$41,Vendedores!$D$2:$D$41,"No hay datos")</f>
        <v>Región Central 2</v>
      </c>
      <c r="J1543" s="2" t="str">
        <f t="array" ref="J1543:N1543">_xlfn.XLOOKUP(A1543,Productos!$A$2:$A$61,Productos!$B$2:$F$61)</f>
        <v>Pantalón de sastre</v>
      </c>
      <c r="K1543" s="2" t="s">
        <v>22</v>
      </c>
      <c r="L1543" s="2" t="s">
        <v>10</v>
      </c>
      <c r="M1543" s="2" t="s">
        <v>75</v>
      </c>
      <c r="N1543" s="2" t="s">
        <v>14</v>
      </c>
    </row>
    <row r="1544">
      <c r="A1544" s="2" t="str">
        <f>IFERROR(__xludf.DUMMYFUNCTION("""COMPUTED_VALUE"""),"PR021")</f>
        <v>PR021</v>
      </c>
      <c r="B1544" s="2" t="str">
        <f>IFERROR(__xludf.DUMMYFUNCTION("""COMPUTED_VALUE"""),"VD016")</f>
        <v>VD016</v>
      </c>
      <c r="C1544" s="2">
        <f>IFERROR(__xludf.DUMMYFUNCTION("""COMPUTED_VALUE"""),18.0)</f>
        <v>18</v>
      </c>
      <c r="D1544" s="6">
        <f>IFERROR(__xludf.DUMMYFUNCTION("""COMPUTED_VALUE"""),5561.24)</f>
        <v>5561.24</v>
      </c>
      <c r="E1544" s="6">
        <f>IFERROR(__xludf.DUMMYFUNCTION("GOOGLEFINANCE(""Currency:BRLMXN"")*D1544"),18894.3129)</f>
        <v>18894.3129</v>
      </c>
      <c r="F1544" s="6">
        <f>IFERROR(__xludf.DUMMYFUNCTION("GOOGLEFINANCE(""Currency:BRLPEN"")*D1544"),3645.9489439999998)</f>
        <v>3645.948944</v>
      </c>
      <c r="G1544" s="2" t="str">
        <f t="array" ref="G1544">_xlfn.XLOOKUP(B1544,Vendedores!$A$2:$A$41,Vendedores!$B$2:$B$41,"No hay datos")</f>
        <v>Beatriz Linares</v>
      </c>
      <c r="H1544" s="2" t="str">
        <f t="array" ref="H1544">_xlfn.XLOOKUP(B1544,Vendedores!$A$2:$A$41,Vendedores!$C$2:$C$41,"No hay datos")</f>
        <v>Puerto Esperanza</v>
      </c>
      <c r="I1544" s="2" t="str">
        <f t="array" ref="I1544">_xlfn.XLOOKUP(B1544,Vendedores!$A$2:$A$41,Vendedores!$D$2:$D$41,"No hay datos")</f>
        <v>Región Sur</v>
      </c>
      <c r="J1544" s="2" t="str">
        <f t="array" ref="J1544:N1544">_xlfn.XLOOKUP(A1544,Productos!$A$2:$A$61,Productos!$B$2:$F$61)</f>
        <v>Chaqueta de cuero</v>
      </c>
      <c r="K1544" s="2" t="s">
        <v>17</v>
      </c>
      <c r="L1544" s="2" t="s">
        <v>10</v>
      </c>
      <c r="M1544" s="2" t="s">
        <v>80</v>
      </c>
      <c r="N1544" s="2" t="s">
        <v>81</v>
      </c>
    </row>
    <row r="1545">
      <c r="A1545" s="2" t="str">
        <f>IFERROR(__xludf.DUMMYFUNCTION("""COMPUTED_VALUE"""),"PR035")</f>
        <v>PR035</v>
      </c>
      <c r="B1545" s="2" t="str">
        <f>IFERROR(__xludf.DUMMYFUNCTION("""COMPUTED_VALUE"""),"VD049")</f>
        <v>VD049</v>
      </c>
      <c r="C1545" s="2">
        <f>IFERROR(__xludf.DUMMYFUNCTION("""COMPUTED_VALUE"""),16.0)</f>
        <v>16</v>
      </c>
      <c r="D1545" s="6">
        <f>IFERROR(__xludf.DUMMYFUNCTION("""COMPUTED_VALUE"""),1564.77)</f>
        <v>1564.77</v>
      </c>
      <c r="E1545" s="6">
        <f>IFERROR(__xludf.DUMMYFUNCTION("GOOGLEFINANCE(""Currency:BRLMXN"")*D1545"),5316.3060749999995)</f>
        <v>5316.306075</v>
      </c>
      <c r="F1545" s="6">
        <f>IFERROR(__xludf.DUMMYFUNCTION("GOOGLEFINANCE(""Currency:BRLPEN"")*D1545"),1025.863212)</f>
        <v>1025.863212</v>
      </c>
      <c r="G1545" s="2" t="str">
        <f t="array" ref="G1545">_xlfn.XLOOKUP(B1545,Vendedores!$A$2:$A$41,Vendedores!$B$2:$B$41,"No hay datos")</f>
        <v>Fernando Navarro</v>
      </c>
      <c r="H1545" s="2" t="str">
        <f t="array" ref="H1545">_xlfn.XLOOKUP(B1545,Vendedores!$A$2:$A$41,Vendedores!$C$2:$C$41,"No hay datos")</f>
        <v>Colinas Verdes</v>
      </c>
      <c r="I1545" s="2" t="str">
        <f t="array" ref="I1545">_xlfn.XLOOKUP(B1545,Vendedores!$A$2:$A$41,Vendedores!$D$2:$D$41,"No hay datos")</f>
        <v>Región Central 2</v>
      </c>
      <c r="J1545" s="2" t="str">
        <f t="array" ref="J1545:N1545">_xlfn.XLOOKUP(A1545,Productos!$A$2:$A$61,Productos!$B$2:$F$61)</f>
        <v>Vestido corto</v>
      </c>
      <c r="K1545" s="2" t="s">
        <v>17</v>
      </c>
      <c r="L1545" s="2" t="s">
        <v>10</v>
      </c>
      <c r="M1545" s="2" t="s">
        <v>18</v>
      </c>
      <c r="N1545" s="2" t="s">
        <v>19</v>
      </c>
    </row>
    <row r="1546">
      <c r="A1546" s="2" t="str">
        <f>IFERROR(__xludf.DUMMYFUNCTION("""COMPUTED_VALUE"""),"PR012")</f>
        <v>PR012</v>
      </c>
      <c r="B1546" s="2" t="str">
        <f>IFERROR(__xludf.DUMMYFUNCTION("""COMPUTED_VALUE"""),"VD036")</f>
        <v>VD036</v>
      </c>
      <c r="C1546" s="2">
        <f>IFERROR(__xludf.DUMMYFUNCTION("""COMPUTED_VALUE"""),2.0)</f>
        <v>2</v>
      </c>
      <c r="D1546" s="6">
        <f>IFERROR(__xludf.DUMMYFUNCTION("""COMPUTED_VALUE"""),98.78)</f>
        <v>98.78</v>
      </c>
      <c r="E1546" s="6">
        <f>IFERROR(__xludf.DUMMYFUNCTION("GOOGLEFINANCE(""Currency:BRLMXN"")*D1546"),335.60505)</f>
        <v>335.60505</v>
      </c>
      <c r="F1546" s="6">
        <f>IFERROR(__xludf.DUMMYFUNCTION("GOOGLEFINANCE(""Currency:BRLPEN"")*D1546"),64.760168)</f>
        <v>64.760168</v>
      </c>
      <c r="G1546" s="2" t="str">
        <f t="array" ref="G1546">_xlfn.XLOOKUP(B1546,Vendedores!$A$2:$A$41,Vendedores!$B$2:$B$41,"No hay datos")</f>
        <v>Ricardo Sosa</v>
      </c>
      <c r="H1546" s="2" t="str">
        <f t="array" ref="H1546">_xlfn.XLOOKUP(B1546,Vendedores!$A$2:$A$41,Vendedores!$C$2:$C$41,"No hay datos")</f>
        <v>Puerto Nuevo</v>
      </c>
      <c r="I1546" s="2" t="str">
        <f t="array" ref="I1546">_xlfn.XLOOKUP(B1546,Vendedores!$A$2:$A$41,Vendedores!$D$2:$D$41,"No hay datos")</f>
        <v>Región Central 2</v>
      </c>
      <c r="J1546" s="2" t="str">
        <f t="array" ref="J1546:N1546">_xlfn.XLOOKUP(A1546,Productos!$A$2:$A$61,Productos!$B$2:$F$61)</f>
        <v>Pantalón legging</v>
      </c>
      <c r="K1546" s="2" t="s">
        <v>22</v>
      </c>
      <c r="L1546" s="2" t="s">
        <v>10</v>
      </c>
      <c r="M1546" s="2" t="s">
        <v>88</v>
      </c>
      <c r="N1546" s="2" t="s">
        <v>89</v>
      </c>
    </row>
    <row r="1547">
      <c r="A1547" s="2" t="str">
        <f>IFERROR(__xludf.DUMMYFUNCTION("""COMPUTED_VALUE"""),"PR018")</f>
        <v>PR018</v>
      </c>
      <c r="B1547" s="2" t="str">
        <f>IFERROR(__xludf.DUMMYFUNCTION("""COMPUTED_VALUE"""),"VD046")</f>
        <v>VD046</v>
      </c>
      <c r="C1547" s="2">
        <f>IFERROR(__xludf.DUMMYFUNCTION("""COMPUTED_VALUE"""),2.0)</f>
        <v>2</v>
      </c>
      <c r="D1547" s="6">
        <f>IFERROR(__xludf.DUMMYFUNCTION("""COMPUTED_VALUE"""),66.46)</f>
        <v>66.46</v>
      </c>
      <c r="E1547" s="6">
        <f>IFERROR(__xludf.DUMMYFUNCTION("GOOGLEFINANCE(""Currency:BRLMXN"")*D1547"),225.79784999999998)</f>
        <v>225.79785</v>
      </c>
      <c r="F1547" s="6">
        <f>IFERROR(__xludf.DUMMYFUNCTION("GOOGLEFINANCE(""Currency:BRLPEN"")*D1547"),43.571175999999994)</f>
        <v>43.571176</v>
      </c>
      <c r="G1547" s="2" t="str">
        <f t="array" ref="G1547">_xlfn.XLOOKUP(B1547,Vendedores!$A$2:$A$41,Vendedores!$B$2:$B$41,"No hay datos")</f>
        <v>Juliana Pérez</v>
      </c>
      <c r="H1547" s="2" t="str">
        <f t="array" ref="H1547">_xlfn.XLOOKUP(B1547,Vendedores!$A$2:$A$41,Vendedores!$C$2:$C$41,"No hay datos")</f>
        <v>Santa Cruz de la Sierra</v>
      </c>
      <c r="I1547" s="2" t="str">
        <f t="array" ref="I1547">_xlfn.XLOOKUP(B1547,Vendedores!$A$2:$A$41,Vendedores!$D$2:$D$41,"No hay datos")</f>
        <v>Región Central 2</v>
      </c>
      <c r="J1547" s="2" t="str">
        <f t="array" ref="J1547:N1547">_xlfn.XLOOKUP(A1547,Productos!$A$2:$A$61,Productos!$B$2:$F$61)</f>
        <v>Playera lisa</v>
      </c>
      <c r="K1547" s="2" t="s">
        <v>22</v>
      </c>
      <c r="L1547" s="2" t="s">
        <v>10</v>
      </c>
      <c r="M1547" s="2" t="s">
        <v>57</v>
      </c>
      <c r="N1547" s="2" t="s">
        <v>24</v>
      </c>
    </row>
    <row r="1548">
      <c r="A1548" s="2" t="str">
        <f>IFERROR(__xludf.DUMMYFUNCTION("""COMPUTED_VALUE"""),"PR057")</f>
        <v>PR057</v>
      </c>
      <c r="B1548" s="2" t="str">
        <f>IFERROR(__xludf.DUMMYFUNCTION("""COMPUTED_VALUE"""),"VD042")</f>
        <v>VD042</v>
      </c>
      <c r="C1548" s="2">
        <f>IFERROR(__xludf.DUMMYFUNCTION("""COMPUTED_VALUE"""),6.0)</f>
        <v>6</v>
      </c>
      <c r="D1548" s="6">
        <f>IFERROR(__xludf.DUMMYFUNCTION("""COMPUTED_VALUE"""),577.16)</f>
        <v>577.16</v>
      </c>
      <c r="E1548" s="6">
        <f>IFERROR(__xludf.DUMMYFUNCTION("GOOGLEFINANCE(""Currency:BRLMXN"")*D1548"),1960.9010999999998)</f>
        <v>1960.9011</v>
      </c>
      <c r="F1548" s="6">
        <f>IFERROR(__xludf.DUMMYFUNCTION("GOOGLEFINANCE(""Currency:BRLPEN"")*D1548"),378.38609599999995)</f>
        <v>378.386096</v>
      </c>
      <c r="G1548" s="2" t="str">
        <f t="array" ref="G1548">_xlfn.XLOOKUP(B1548,Vendedores!$A$2:$A$41,Vendedores!$B$2:$B$41,"No hay datos")</f>
        <v>Priscila Duarte</v>
      </c>
      <c r="H1548" s="2" t="str">
        <f t="array" ref="H1548">_xlfn.XLOOKUP(B1548,Vendedores!$A$2:$A$41,Vendedores!$C$2:$C$41,"No hay datos")</f>
        <v>Villa Comercial</v>
      </c>
      <c r="I1548" s="2" t="str">
        <f t="array" ref="I1548">_xlfn.XLOOKUP(B1548,Vendedores!$A$2:$A$41,Vendedores!$D$2:$D$41,"No hay datos")</f>
        <v>Región Central 2</v>
      </c>
      <c r="J1548" s="2" t="str">
        <f t="array" ref="J1548:N1548">_xlfn.XLOOKUP(A1548,Productos!$A$2:$A$61,Productos!$B$2:$F$61)</f>
        <v>Sandalia plana</v>
      </c>
      <c r="K1548" s="2">
        <v>37.0</v>
      </c>
      <c r="L1548" s="2" t="s">
        <v>33</v>
      </c>
      <c r="M1548" s="2" t="s">
        <v>58</v>
      </c>
      <c r="N1548" s="2" t="s">
        <v>35</v>
      </c>
    </row>
    <row r="1549">
      <c r="A1549" s="2" t="str">
        <f>IFERROR(__xludf.DUMMYFUNCTION("""COMPUTED_VALUE"""),"PR018")</f>
        <v>PR018</v>
      </c>
      <c r="B1549" s="2" t="str">
        <f>IFERROR(__xludf.DUMMYFUNCTION("""COMPUTED_VALUE"""),"VD046")</f>
        <v>VD046</v>
      </c>
      <c r="C1549" s="2">
        <f>IFERROR(__xludf.DUMMYFUNCTION("""COMPUTED_VALUE"""),2.0)</f>
        <v>2</v>
      </c>
      <c r="D1549" s="6">
        <f>IFERROR(__xludf.DUMMYFUNCTION("""COMPUTED_VALUE"""),71.06)</f>
        <v>71.06</v>
      </c>
      <c r="E1549" s="6">
        <f>IFERROR(__xludf.DUMMYFUNCTION("GOOGLEFINANCE(""Currency:BRLMXN"")*D1549"),241.42635)</f>
        <v>241.42635</v>
      </c>
      <c r="F1549" s="6">
        <f>IFERROR(__xludf.DUMMYFUNCTION("GOOGLEFINANCE(""Currency:BRLPEN"")*D1549"),46.586936)</f>
        <v>46.586936</v>
      </c>
      <c r="G1549" s="2" t="str">
        <f t="array" ref="G1549">_xlfn.XLOOKUP(B1549,Vendedores!$A$2:$A$41,Vendedores!$B$2:$B$41,"No hay datos")</f>
        <v>Juliana Pérez</v>
      </c>
      <c r="H1549" s="2" t="str">
        <f t="array" ref="H1549">_xlfn.XLOOKUP(B1549,Vendedores!$A$2:$A$41,Vendedores!$C$2:$C$41,"No hay datos")</f>
        <v>Santa Cruz de la Sierra</v>
      </c>
      <c r="I1549" s="2" t="str">
        <f t="array" ref="I1549">_xlfn.XLOOKUP(B1549,Vendedores!$A$2:$A$41,Vendedores!$D$2:$D$41,"No hay datos")</f>
        <v>Región Central 2</v>
      </c>
      <c r="J1549" s="2" t="str">
        <f t="array" ref="J1549:N1549">_xlfn.XLOOKUP(A1549,Productos!$A$2:$A$61,Productos!$B$2:$F$61)</f>
        <v>Playera lisa</v>
      </c>
      <c r="K1549" s="2" t="s">
        <v>22</v>
      </c>
      <c r="L1549" s="2" t="s">
        <v>10</v>
      </c>
      <c r="M1549" s="2" t="s">
        <v>57</v>
      </c>
      <c r="N1549" s="2" t="s">
        <v>24</v>
      </c>
    </row>
    <row r="1550">
      <c r="A1550" s="2" t="str">
        <f>IFERROR(__xludf.DUMMYFUNCTION("""COMPUTED_VALUE"""),"PR053")</f>
        <v>PR053</v>
      </c>
      <c r="B1550" s="2" t="str">
        <f>IFERROR(__xludf.DUMMYFUNCTION("""COMPUTED_VALUE"""),"VD039")</f>
        <v>VD039</v>
      </c>
      <c r="C1550" s="2">
        <f>IFERROR(__xludf.DUMMYFUNCTION("""COMPUTED_VALUE"""),14.0)</f>
        <v>14</v>
      </c>
      <c r="D1550" s="6">
        <f>IFERROR(__xludf.DUMMYFUNCTION("""COMPUTED_VALUE"""),761.47)</f>
        <v>761.47</v>
      </c>
      <c r="E1550" s="6">
        <f>IFERROR(__xludf.DUMMYFUNCTION("GOOGLEFINANCE(""Currency:BRLMXN"")*D1550"),2587.094325)</f>
        <v>2587.094325</v>
      </c>
      <c r="F1550" s="6">
        <f>IFERROR(__xludf.DUMMYFUNCTION("GOOGLEFINANCE(""Currency:BRLPEN"")*D1550"),499.21973199999996)</f>
        <v>499.219732</v>
      </c>
      <c r="G1550" s="2" t="str">
        <f t="array" ref="G1550">_xlfn.XLOOKUP(B1550,Vendedores!$A$2:$A$41,Vendedores!$B$2:$B$41,"No hay datos")</f>
        <v>Daniela Rodríguez</v>
      </c>
      <c r="H1550" s="2" t="str">
        <f t="array" ref="H1550">_xlfn.XLOOKUP(B1550,Vendedores!$A$2:$A$41,Vendedores!$C$2:$C$41,"No hay datos")</f>
        <v>Bahía del Sol</v>
      </c>
      <c r="I1550" s="2" t="str">
        <f t="array" ref="I1550">_xlfn.XLOOKUP(B1550,Vendedores!$A$2:$A$41,Vendedores!$D$2:$D$41,"No hay datos")</f>
        <v>Región Central 2</v>
      </c>
      <c r="J1550" s="2" t="str">
        <f t="array" ref="J1550:N1550">_xlfn.XLOOKUP(A1550,Productos!$A$2:$A$61,Productos!$B$2:$F$61)</f>
        <v>Falda plisada</v>
      </c>
      <c r="K1550" s="2" t="s">
        <v>17</v>
      </c>
      <c r="L1550" s="2" t="s">
        <v>10</v>
      </c>
      <c r="M1550" s="2" t="s">
        <v>41</v>
      </c>
      <c r="N1550" s="2" t="s">
        <v>32</v>
      </c>
    </row>
    <row r="1551">
      <c r="A1551" s="2" t="str">
        <f>IFERROR(__xludf.DUMMYFUNCTION("""COMPUTED_VALUE"""),"PR053")</f>
        <v>PR053</v>
      </c>
      <c r="B1551" s="2" t="str">
        <f>IFERROR(__xludf.DUMMYFUNCTION("""COMPUTED_VALUE"""),"VD029")</f>
        <v>VD029</v>
      </c>
      <c r="C1551" s="2">
        <f>IFERROR(__xludf.DUMMYFUNCTION("""COMPUTED_VALUE"""),9.0)</f>
        <v>9</v>
      </c>
      <c r="D1551" s="6">
        <f>IFERROR(__xludf.DUMMYFUNCTION("""COMPUTED_VALUE"""),480.54)</f>
        <v>480.54</v>
      </c>
      <c r="E1551" s="6">
        <f>IFERROR(__xludf.DUMMYFUNCTION("GOOGLEFINANCE(""Currency:BRLMXN"")*D1551"),1632.63465)</f>
        <v>1632.63465</v>
      </c>
      <c r="F1551" s="6">
        <f>IFERROR(__xludf.DUMMYFUNCTION("GOOGLEFINANCE(""Currency:BRLPEN"")*D1551"),315.04202399999997)</f>
        <v>315.042024</v>
      </c>
      <c r="G1551" s="2" t="str">
        <f t="array" ref="G1551">_xlfn.XLOOKUP(B1551,Vendedores!$A$2:$A$41,Vendedores!$B$2:$B$41,"No hay datos")</f>
        <v>Gabriela Sosa</v>
      </c>
      <c r="H1551" s="2" t="str">
        <f t="array" ref="H1551">_xlfn.XLOOKUP(B1551,Vendedores!$A$2:$A$41,Vendedores!$C$2:$C$41,"No hay datos")</f>
        <v>Selva Verde</v>
      </c>
      <c r="I1551" s="2" t="str">
        <f t="array" ref="I1551">_xlfn.XLOOKUP(B1551,Vendedores!$A$2:$A$41,Vendedores!$D$2:$D$41,"No hay datos")</f>
        <v>Región Amazónica</v>
      </c>
      <c r="J1551" s="2" t="str">
        <f t="array" ref="J1551:N1551">_xlfn.XLOOKUP(A1551,Productos!$A$2:$A$61,Productos!$B$2:$F$61)</f>
        <v>Falda plisada</v>
      </c>
      <c r="K1551" s="2" t="s">
        <v>17</v>
      </c>
      <c r="L1551" s="2" t="s">
        <v>10</v>
      </c>
      <c r="M1551" s="2" t="s">
        <v>41</v>
      </c>
      <c r="N1551" s="2" t="s">
        <v>32</v>
      </c>
    </row>
    <row r="1552">
      <c r="A1552" s="2" t="str">
        <f>IFERROR(__xludf.DUMMYFUNCTION("""COMPUTED_VALUE"""),"PR004")</f>
        <v>PR004</v>
      </c>
      <c r="B1552" s="2" t="str">
        <f>IFERROR(__xludf.DUMMYFUNCTION("""COMPUTED_VALUE"""),"VD049")</f>
        <v>VD049</v>
      </c>
      <c r="C1552" s="2">
        <f>IFERROR(__xludf.DUMMYFUNCTION("""COMPUTED_VALUE"""),2.0)</f>
        <v>2</v>
      </c>
      <c r="D1552" s="6">
        <f>IFERROR(__xludf.DUMMYFUNCTION("""COMPUTED_VALUE"""),307.4)</f>
        <v>307.4</v>
      </c>
      <c r="E1552" s="6">
        <f>IFERROR(__xludf.DUMMYFUNCTION("GOOGLEFINANCE(""Currency:BRLMXN"")*D1552"),1044.3915)</f>
        <v>1044.3915</v>
      </c>
      <c r="F1552" s="6">
        <f>IFERROR(__xludf.DUMMYFUNCTION("GOOGLEFINANCE(""Currency:BRLPEN"")*D1552"),201.53143999999998)</f>
        <v>201.53144</v>
      </c>
      <c r="G1552" s="2" t="str">
        <f t="array" ref="G1552">_xlfn.XLOOKUP(B1552,Vendedores!$A$2:$A$41,Vendedores!$B$2:$B$41,"No hay datos")</f>
        <v>Fernando Navarro</v>
      </c>
      <c r="H1552" s="2" t="str">
        <f t="array" ref="H1552">_xlfn.XLOOKUP(B1552,Vendedores!$A$2:$A$41,Vendedores!$C$2:$C$41,"No hay datos")</f>
        <v>Colinas Verdes</v>
      </c>
      <c r="I1552" s="2" t="str">
        <f t="array" ref="I1552">_xlfn.XLOOKUP(B1552,Vendedores!$A$2:$A$41,Vendedores!$D$2:$D$41,"No hay datos")</f>
        <v>Región Central 2</v>
      </c>
      <c r="J1552" s="2" t="str">
        <f t="array" ref="J1552:N1552">_xlfn.XLOOKUP(A1552,Productos!$A$2:$A$61,Productos!$B$2:$F$61)</f>
        <v>Bolso versátil</v>
      </c>
      <c r="K1552" s="2" t="s">
        <v>29</v>
      </c>
      <c r="L1552" s="2" t="s">
        <v>30</v>
      </c>
      <c r="M1552" s="2" t="s">
        <v>59</v>
      </c>
      <c r="N1552" s="2" t="s">
        <v>60</v>
      </c>
    </row>
    <row r="1553">
      <c r="A1553" s="2" t="str">
        <f>IFERROR(__xludf.DUMMYFUNCTION("""COMPUTED_VALUE"""),"PR005")</f>
        <v>PR005</v>
      </c>
      <c r="B1553" s="2" t="str">
        <f>IFERROR(__xludf.DUMMYFUNCTION("""COMPUTED_VALUE"""),"VD036")</f>
        <v>VD036</v>
      </c>
      <c r="C1553" s="2">
        <f>IFERROR(__xludf.DUMMYFUNCTION("""COMPUTED_VALUE"""),4.0)</f>
        <v>4</v>
      </c>
      <c r="D1553" s="6">
        <f>IFERROR(__xludf.DUMMYFUNCTION("""COMPUTED_VALUE"""),1050.0)</f>
        <v>1050</v>
      </c>
      <c r="E1553" s="6">
        <f>IFERROR(__xludf.DUMMYFUNCTION("GOOGLEFINANCE(""Currency:BRLMXN"")*D1553"),3567.375)</f>
        <v>3567.375</v>
      </c>
      <c r="F1553" s="6">
        <f>IFERROR(__xludf.DUMMYFUNCTION("GOOGLEFINANCE(""Currency:BRLPEN"")*D1553"),688.38)</f>
        <v>688.38</v>
      </c>
      <c r="G1553" s="2" t="str">
        <f t="array" ref="G1553">_xlfn.XLOOKUP(B1553,Vendedores!$A$2:$A$41,Vendedores!$B$2:$B$41,"No hay datos")</f>
        <v>Ricardo Sosa</v>
      </c>
      <c r="H1553" s="2" t="str">
        <f t="array" ref="H1553">_xlfn.XLOOKUP(B1553,Vendedores!$A$2:$A$41,Vendedores!$C$2:$C$41,"No hay datos")</f>
        <v>Puerto Nuevo</v>
      </c>
      <c r="I1553" s="2" t="str">
        <f t="array" ref="I1553">_xlfn.XLOOKUP(B1553,Vendedores!$A$2:$A$41,Vendedores!$D$2:$D$41,"No hay datos")</f>
        <v>Región Central 2</v>
      </c>
      <c r="J1553" s="2" t="str">
        <f t="array" ref="J1553:N1553">_xlfn.XLOOKUP(A1553,Productos!$A$2:$A$61,Productos!$B$2:$F$61)</f>
        <v>Bolso de cuero</v>
      </c>
      <c r="K1553" s="2" t="s">
        <v>29</v>
      </c>
      <c r="L1553" s="2" t="s">
        <v>30</v>
      </c>
      <c r="M1553" s="2" t="s">
        <v>100</v>
      </c>
      <c r="N1553" s="2" t="s">
        <v>64</v>
      </c>
    </row>
    <row r="1554">
      <c r="A1554" s="2" t="str">
        <f>IFERROR(__xludf.DUMMYFUNCTION("""COMPUTED_VALUE"""),"PR030")</f>
        <v>PR030</v>
      </c>
      <c r="B1554" s="2" t="str">
        <f>IFERROR(__xludf.DUMMYFUNCTION("""COMPUTED_VALUE"""),"VD018")</f>
        <v>VD018</v>
      </c>
      <c r="C1554" s="2">
        <f>IFERROR(__xludf.DUMMYFUNCTION("""COMPUTED_VALUE"""),5.0)</f>
        <v>5</v>
      </c>
      <c r="D1554" s="6">
        <f>IFERROR(__xludf.DUMMYFUNCTION("""COMPUTED_VALUE"""),1403.46)</f>
        <v>1403.46</v>
      </c>
      <c r="E1554" s="6">
        <f>IFERROR(__xludf.DUMMYFUNCTION("GOOGLEFINANCE(""Currency:BRLMXN"")*D1554"),4768.25535)</f>
        <v>4768.25535</v>
      </c>
      <c r="F1554" s="6">
        <f>IFERROR(__xludf.DUMMYFUNCTION("GOOGLEFINANCE(""Currency:BRLPEN"")*D1554"),920.108376)</f>
        <v>920.108376</v>
      </c>
      <c r="G1554" s="2" t="str">
        <f t="array" ref="G1554">_xlfn.XLOOKUP(B1554,Vendedores!$A$2:$A$41,Vendedores!$B$2:$B$41,"No hay datos")</f>
        <v>Leticia Rodríguez</v>
      </c>
      <c r="H1554" s="2" t="str">
        <f t="array" ref="H1554">_xlfn.XLOOKUP(B1554,Vendedores!$A$2:$A$41,Vendedores!$C$2:$C$41,"No hay datos")</f>
        <v>Playa Blanca</v>
      </c>
      <c r="I1554" s="2" t="str">
        <f t="array" ref="I1554">_xlfn.XLOOKUP(B1554,Vendedores!$A$2:$A$41,Vendedores!$D$2:$D$41,"No hay datos")</f>
        <v>Región Norte</v>
      </c>
      <c r="J1554" s="2" t="str">
        <f t="array" ref="J1554:N1554">_xlfn.XLOOKUP(A1554,Productos!$A$2:$A$61,Productos!$B$2:$F$61)</f>
        <v>Tenis Atitas</v>
      </c>
      <c r="K1554" s="2">
        <v>38.0</v>
      </c>
      <c r="L1554" s="2" t="s">
        <v>33</v>
      </c>
      <c r="M1554" s="2" t="s">
        <v>63</v>
      </c>
      <c r="N1554" s="2" t="s">
        <v>64</v>
      </c>
    </row>
    <row r="1555">
      <c r="A1555" s="2" t="str">
        <f>IFERROR(__xludf.DUMMYFUNCTION("""COMPUTED_VALUE"""),"PR013")</f>
        <v>PR013</v>
      </c>
      <c r="B1555" s="2" t="str">
        <f>IFERROR(__xludf.DUMMYFUNCTION("""COMPUTED_VALUE"""),"VD015")</f>
        <v>VD015</v>
      </c>
      <c r="C1555" s="2">
        <f>IFERROR(__xludf.DUMMYFUNCTION("""COMPUTED_VALUE"""),6.0)</f>
        <v>6</v>
      </c>
      <c r="D1555" s="6">
        <f>IFERROR(__xludf.DUMMYFUNCTION("""COMPUTED_VALUE"""),258.55)</f>
        <v>258.55</v>
      </c>
      <c r="E1555" s="6">
        <f>IFERROR(__xludf.DUMMYFUNCTION("GOOGLEFINANCE(""Currency:BRLMXN"")*D1555"),878.423625)</f>
        <v>878.423625</v>
      </c>
      <c r="F1555" s="6">
        <f>IFERROR(__xludf.DUMMYFUNCTION("GOOGLEFINANCE(""Currency:BRLPEN"")*D1555"),169.50538)</f>
        <v>169.50538</v>
      </c>
      <c r="G1555" s="2" t="str">
        <f t="array" ref="G1555">_xlfn.XLOOKUP(B1555,Vendedores!$A$2:$A$41,Vendedores!$B$2:$B$41,"No hay datos")</f>
        <v>Lucas Castillo</v>
      </c>
      <c r="H1555" s="2" t="str">
        <f t="array" ref="H1555">_xlfn.XLOOKUP(B1555,Vendedores!$A$2:$A$41,Vendedores!$C$2:$C$41,"No hay datos")</f>
        <v>San Miguel de los Pinos</v>
      </c>
      <c r="I1555" s="2" t="str">
        <f t="array" ref="I1555">_xlfn.XLOOKUP(B1555,Vendedores!$A$2:$A$41,Vendedores!$D$2:$D$41,"No hay datos")</f>
        <v>Región Sur</v>
      </c>
      <c r="J1555" s="2" t="str">
        <f t="array" ref="J1555:N1555">_xlfn.XLOOKUP(A1555,Productos!$A$2:$A$61,Productos!$B$2:$F$61)</f>
        <v>Playera estampada</v>
      </c>
      <c r="K1555" s="2" t="s">
        <v>9</v>
      </c>
      <c r="L1555" s="2" t="s">
        <v>10</v>
      </c>
      <c r="M1555" s="2" t="s">
        <v>66</v>
      </c>
      <c r="N1555" s="2" t="s">
        <v>38</v>
      </c>
    </row>
    <row r="1556">
      <c r="A1556" s="2" t="str">
        <f>IFERROR(__xludf.DUMMYFUNCTION("""COMPUTED_VALUE"""),"PR007")</f>
        <v>PR007</v>
      </c>
      <c r="B1556" s="2" t="str">
        <f>IFERROR(__xludf.DUMMYFUNCTION("""COMPUTED_VALUE"""),"VD029")</f>
        <v>VD029</v>
      </c>
      <c r="C1556" s="2">
        <f>IFERROR(__xludf.DUMMYFUNCTION("""COMPUTED_VALUE"""),9.0)</f>
        <v>9</v>
      </c>
      <c r="D1556" s="6">
        <f>IFERROR(__xludf.DUMMYFUNCTION("""COMPUTED_VALUE"""),811.76)</f>
        <v>811.76</v>
      </c>
      <c r="E1556" s="6">
        <f>IFERROR(__xludf.DUMMYFUNCTION("GOOGLEFINANCE(""Currency:BRLMXN"")*D1556"),2757.9546)</f>
        <v>2757.9546</v>
      </c>
      <c r="F1556" s="6">
        <f>IFERROR(__xludf.DUMMYFUNCTION("GOOGLEFINANCE(""Currency:BRLPEN"")*D1556"),532.189856)</f>
        <v>532.189856</v>
      </c>
      <c r="G1556" s="2" t="str">
        <f t="array" ref="G1556">_xlfn.XLOOKUP(B1556,Vendedores!$A$2:$A$41,Vendedores!$B$2:$B$41,"No hay datos")</f>
        <v>Gabriela Sosa</v>
      </c>
      <c r="H1556" s="2" t="str">
        <f t="array" ref="H1556">_xlfn.XLOOKUP(B1556,Vendedores!$A$2:$A$41,Vendedores!$C$2:$C$41,"No hay datos")</f>
        <v>Selva Verde</v>
      </c>
      <c r="I1556" s="2" t="str">
        <f t="array" ref="I1556">_xlfn.XLOOKUP(B1556,Vendedores!$A$2:$A$41,Vendedores!$D$2:$D$41,"No hay datos")</f>
        <v>Región Amazónica</v>
      </c>
      <c r="J1556" s="2" t="str">
        <f t="array" ref="J1556:N1556">_xlfn.XLOOKUP(A1556,Productos!$A$2:$A$61,Productos!$B$2:$F$61)</f>
        <v>Pantalón de mezclilla</v>
      </c>
      <c r="K1556" s="2" t="s">
        <v>9</v>
      </c>
      <c r="L1556" s="2" t="s">
        <v>10</v>
      </c>
      <c r="M1556" s="2" t="s">
        <v>103</v>
      </c>
      <c r="N1556" s="2" t="s">
        <v>104</v>
      </c>
    </row>
    <row r="1557">
      <c r="A1557" s="2" t="str">
        <f>IFERROR(__xludf.DUMMYFUNCTION("""COMPUTED_VALUE"""),"PR035")</f>
        <v>PR035</v>
      </c>
      <c r="B1557" s="2" t="str">
        <f>IFERROR(__xludf.DUMMYFUNCTION("""COMPUTED_VALUE"""),"VD040")</f>
        <v>VD040</v>
      </c>
      <c r="C1557" s="2">
        <f>IFERROR(__xludf.DUMMYFUNCTION("""COMPUTED_VALUE"""),3.0)</f>
        <v>3</v>
      </c>
      <c r="D1557" s="6">
        <f>IFERROR(__xludf.DUMMYFUNCTION("""COMPUTED_VALUE"""),279.68)</f>
        <v>279.68</v>
      </c>
      <c r="E1557" s="6">
        <f>IFERROR(__xludf.DUMMYFUNCTION("GOOGLEFINANCE(""Currency:BRLMXN"")*D1557"),950.2128)</f>
        <v>950.2128</v>
      </c>
      <c r="F1557" s="6">
        <f>IFERROR(__xludf.DUMMYFUNCTION("GOOGLEFINANCE(""Currency:BRLPEN"")*D1557"),183.358208)</f>
        <v>183.358208</v>
      </c>
      <c r="G1557" s="2" t="str">
        <f t="array" ref="G1557">_xlfn.XLOOKUP(B1557,Vendedores!$A$2:$A$41,Vendedores!$B$2:$B$41,"No hay datos")</f>
        <v>Tatiana Montero</v>
      </c>
      <c r="H1557" s="2" t="str">
        <f t="array" ref="H1557">_xlfn.XLOOKUP(B1557,Vendedores!$A$2:$A$41,Vendedores!$C$2:$C$41,"No hay datos")</f>
        <v>Ciudad Industrial</v>
      </c>
      <c r="I1557" s="2" t="str">
        <f t="array" ref="I1557">_xlfn.XLOOKUP(B1557,Vendedores!$A$2:$A$41,Vendedores!$D$2:$D$41,"No hay datos")</f>
        <v>Región Central 2</v>
      </c>
      <c r="J1557" s="2" t="str">
        <f t="array" ref="J1557:N1557">_xlfn.XLOOKUP(A1557,Productos!$A$2:$A$61,Productos!$B$2:$F$61)</f>
        <v>Vestido corto</v>
      </c>
      <c r="K1557" s="2" t="s">
        <v>17</v>
      </c>
      <c r="L1557" s="2" t="s">
        <v>10</v>
      </c>
      <c r="M1557" s="2" t="s">
        <v>18</v>
      </c>
      <c r="N1557" s="2" t="s">
        <v>19</v>
      </c>
    </row>
    <row r="1558">
      <c r="A1558" s="2" t="str">
        <f>IFERROR(__xludf.DUMMYFUNCTION("""COMPUTED_VALUE"""),"PR030")</f>
        <v>PR030</v>
      </c>
      <c r="B1558" s="2" t="str">
        <f>IFERROR(__xludf.DUMMYFUNCTION("""COMPUTED_VALUE"""),"VD010")</f>
        <v>VD010</v>
      </c>
      <c r="C1558" s="2">
        <f>IFERROR(__xludf.DUMMYFUNCTION("""COMPUTED_VALUE"""),20.0)</f>
        <v>20</v>
      </c>
      <c r="D1558" s="6">
        <f>IFERROR(__xludf.DUMMYFUNCTION("""COMPUTED_VALUE"""),5301.96)</f>
        <v>5301.96</v>
      </c>
      <c r="E1558" s="6">
        <f>IFERROR(__xludf.DUMMYFUNCTION("GOOGLEFINANCE(""Currency:BRLMXN"")*D1558"),18013.4091)</f>
        <v>18013.4091</v>
      </c>
      <c r="F1558" s="6">
        <f>IFERROR(__xludf.DUMMYFUNCTION("GOOGLEFINANCE(""Currency:BRLPEN"")*D1558"),3475.9649759999998)</f>
        <v>3475.964976</v>
      </c>
      <c r="G1558" s="2" t="str">
        <f t="array" ref="G1558">_xlfn.XLOOKUP(B1558,Vendedores!$A$2:$A$41,Vendedores!$B$2:$B$41,"No hay datos")</f>
        <v>María Silva</v>
      </c>
      <c r="H1558" s="2" t="str">
        <f t="array" ref="H1558">_xlfn.XLOOKUP(B1558,Vendedores!$A$2:$A$41,Vendedores!$C$2:$C$41,"No hay datos")</f>
        <v>San Juan de la Sierra</v>
      </c>
      <c r="I1558" s="2" t="str">
        <f t="array" ref="I1558">_xlfn.XLOOKUP(B1558,Vendedores!$A$2:$A$41,Vendedores!$D$2:$D$41,"No hay datos")</f>
        <v>Región Central</v>
      </c>
      <c r="J1558" s="2" t="str">
        <f t="array" ref="J1558:N1558">_xlfn.XLOOKUP(A1558,Productos!$A$2:$A$61,Productos!$B$2:$F$61)</f>
        <v>Tenis Atitas</v>
      </c>
      <c r="K1558" s="2">
        <v>38.0</v>
      </c>
      <c r="L1558" s="2" t="s">
        <v>33</v>
      </c>
      <c r="M1558" s="2" t="s">
        <v>63</v>
      </c>
      <c r="N1558" s="2" t="s">
        <v>64</v>
      </c>
    </row>
    <row r="1559">
      <c r="A1559" s="2" t="str">
        <f>IFERROR(__xludf.DUMMYFUNCTION("""COMPUTED_VALUE"""),"PR018")</f>
        <v>PR018</v>
      </c>
      <c r="B1559" s="2" t="str">
        <f>IFERROR(__xludf.DUMMYFUNCTION("""COMPUTED_VALUE"""),"VD046")</f>
        <v>VD046</v>
      </c>
      <c r="C1559" s="2">
        <f>IFERROR(__xludf.DUMMYFUNCTION("""COMPUTED_VALUE"""),14.0)</f>
        <v>14</v>
      </c>
      <c r="D1559" s="6">
        <f>IFERROR(__xludf.DUMMYFUNCTION("""COMPUTED_VALUE"""),474.42)</f>
        <v>474.42</v>
      </c>
      <c r="E1559" s="6">
        <f>IFERROR(__xludf.DUMMYFUNCTION("GOOGLEFINANCE(""Currency:BRLMXN"")*D1559"),1611.84195)</f>
        <v>1611.84195</v>
      </c>
      <c r="F1559" s="6">
        <f>IFERROR(__xludf.DUMMYFUNCTION("GOOGLEFINANCE(""Currency:BRLPEN"")*D1559"),311.029752)</f>
        <v>311.029752</v>
      </c>
      <c r="G1559" s="2" t="str">
        <f t="array" ref="G1559">_xlfn.XLOOKUP(B1559,Vendedores!$A$2:$A$41,Vendedores!$B$2:$B$41,"No hay datos")</f>
        <v>Juliana Pérez</v>
      </c>
      <c r="H1559" s="2" t="str">
        <f t="array" ref="H1559">_xlfn.XLOOKUP(B1559,Vendedores!$A$2:$A$41,Vendedores!$C$2:$C$41,"No hay datos")</f>
        <v>Santa Cruz de la Sierra</v>
      </c>
      <c r="I1559" s="2" t="str">
        <f t="array" ref="I1559">_xlfn.XLOOKUP(B1559,Vendedores!$A$2:$A$41,Vendedores!$D$2:$D$41,"No hay datos")</f>
        <v>Región Central 2</v>
      </c>
      <c r="J1559" s="2" t="str">
        <f t="array" ref="J1559:N1559">_xlfn.XLOOKUP(A1559,Productos!$A$2:$A$61,Productos!$B$2:$F$61)</f>
        <v>Playera lisa</v>
      </c>
      <c r="K1559" s="2" t="s">
        <v>22</v>
      </c>
      <c r="L1559" s="2" t="s">
        <v>10</v>
      </c>
      <c r="M1559" s="2" t="s">
        <v>57</v>
      </c>
      <c r="N1559" s="2" t="s">
        <v>24</v>
      </c>
    </row>
    <row r="1560">
      <c r="A1560" s="2" t="str">
        <f>IFERROR(__xludf.DUMMYFUNCTION("""COMPUTED_VALUE"""),"PR016")</f>
        <v>PR016</v>
      </c>
      <c r="B1560" s="2" t="str">
        <f>IFERROR(__xludf.DUMMYFUNCTION("""COMPUTED_VALUE"""),"VD044")</f>
        <v>VD044</v>
      </c>
      <c r="C1560" s="2">
        <f>IFERROR(__xludf.DUMMYFUNCTION("""COMPUTED_VALUE"""),16.0)</f>
        <v>16</v>
      </c>
      <c r="D1560" s="6">
        <f>IFERROR(__xludf.DUMMYFUNCTION("""COMPUTED_VALUE"""),430.98)</f>
        <v>430.98</v>
      </c>
      <c r="E1560" s="6">
        <f>IFERROR(__xludf.DUMMYFUNCTION("GOOGLEFINANCE(""Currency:BRLMXN"")*D1560"),1464.25455)</f>
        <v>1464.25455</v>
      </c>
      <c r="F1560" s="6">
        <f>IFERROR(__xludf.DUMMYFUNCTION("GOOGLEFINANCE(""Currency:BRLPEN"")*D1560"),282.550488)</f>
        <v>282.550488</v>
      </c>
      <c r="G1560" s="2" t="str">
        <f t="array" ref="G1560">_xlfn.XLOOKUP(B1560,Vendedores!$A$2:$A$41,Vendedores!$B$2:$B$41,"No hay datos")</f>
        <v>Silvia Menéndez</v>
      </c>
      <c r="H1560" s="2" t="str">
        <f t="array" ref="H1560">_xlfn.XLOOKUP(B1560,Vendedores!$A$2:$A$41,Vendedores!$C$2:$C$41,"No hay datos")</f>
        <v>San Antonio del Monte</v>
      </c>
      <c r="I1560" s="2" t="str">
        <f t="array" ref="I1560">_xlfn.XLOOKUP(B1560,Vendedores!$A$2:$A$41,Vendedores!$D$2:$D$41,"No hay datos")</f>
        <v>Región Central 2</v>
      </c>
      <c r="J1560" s="2" t="str">
        <f t="array" ref="J1560:N1560">_xlfn.XLOOKUP(A1560,Productos!$A$2:$A$61,Productos!$B$2:$F$61)</f>
        <v>Playera lisa</v>
      </c>
      <c r="K1560" s="2" t="s">
        <v>9</v>
      </c>
      <c r="L1560" s="2" t="s">
        <v>10</v>
      </c>
      <c r="M1560" s="2" t="s">
        <v>20</v>
      </c>
      <c r="N1560" s="2" t="s">
        <v>21</v>
      </c>
    </row>
    <row r="1561">
      <c r="A1561" s="2" t="str">
        <f>IFERROR(__xludf.DUMMYFUNCTION("""COMPUTED_VALUE"""),"PR030")</f>
        <v>PR030</v>
      </c>
      <c r="B1561" s="2" t="str">
        <f>IFERROR(__xludf.DUMMYFUNCTION("""COMPUTED_VALUE"""),"VD032")</f>
        <v>VD032</v>
      </c>
      <c r="C1561" s="2">
        <f>IFERROR(__xludf.DUMMYFUNCTION("""COMPUTED_VALUE"""),16.0)</f>
        <v>16</v>
      </c>
      <c r="D1561" s="6">
        <f>IFERROR(__xludf.DUMMYFUNCTION("""COMPUTED_VALUE"""),4574.24)</f>
        <v>4574.24</v>
      </c>
      <c r="E1561" s="6">
        <f>IFERROR(__xludf.DUMMYFUNCTION("GOOGLEFINANCE(""Currency:BRLMXN"")*D1561"),15540.980399999999)</f>
        <v>15540.9804</v>
      </c>
      <c r="F1561" s="6">
        <f>IFERROR(__xludf.DUMMYFUNCTION("GOOGLEFINANCE(""Currency:BRLPEN"")*D1561"),2998.8717439999996)</f>
        <v>2998.871744</v>
      </c>
      <c r="G1561" s="2" t="str">
        <f t="array" ref="G1561">_xlfn.XLOOKUP(B1561,Vendedores!$A$2:$A$41,Vendedores!$B$2:$B$41,"No hay datos")</f>
        <v>Eduardo Almonte</v>
      </c>
      <c r="H1561" s="2" t="str">
        <f t="array" ref="H1561">_xlfn.XLOOKUP(B1561,Vendedores!$A$2:$A$41,Vendedores!$C$2:$C$41,"No hay datos")</f>
        <v>Tierra Colorada</v>
      </c>
      <c r="I1561" s="2" t="str">
        <f t="array" ref="I1561">_xlfn.XLOOKUP(B1561,Vendedores!$A$2:$A$41,Vendedores!$D$2:$D$41,"No hay datos")</f>
        <v>Región Central 2</v>
      </c>
      <c r="J1561" s="2" t="str">
        <f t="array" ref="J1561:N1561">_xlfn.XLOOKUP(A1561,Productos!$A$2:$A$61,Productos!$B$2:$F$61)</f>
        <v>Tenis Atitas</v>
      </c>
      <c r="K1561" s="2">
        <v>38.0</v>
      </c>
      <c r="L1561" s="2" t="s">
        <v>33</v>
      </c>
      <c r="M1561" s="2" t="s">
        <v>63</v>
      </c>
      <c r="N1561" s="2" t="s">
        <v>64</v>
      </c>
    </row>
    <row r="1562">
      <c r="A1562" s="2" t="str">
        <f>IFERROR(__xludf.DUMMYFUNCTION("""COMPUTED_VALUE"""),"PR056")</f>
        <v>PR056</v>
      </c>
      <c r="B1562" s="2" t="str">
        <f>IFERROR(__xludf.DUMMYFUNCTION("""COMPUTED_VALUE"""),"VD018")</f>
        <v>VD018</v>
      </c>
      <c r="C1562" s="2">
        <f>IFERROR(__xludf.DUMMYFUNCTION("""COMPUTED_VALUE"""),20.0)</f>
        <v>20</v>
      </c>
      <c r="D1562" s="6">
        <f>IFERROR(__xludf.DUMMYFUNCTION("""COMPUTED_VALUE"""),1833.96)</f>
        <v>1833.96</v>
      </c>
      <c r="E1562" s="6">
        <f>IFERROR(__xludf.DUMMYFUNCTION("GOOGLEFINANCE(""Currency:BRLMXN"")*D1562"),6230.8791)</f>
        <v>6230.8791</v>
      </c>
      <c r="F1562" s="6">
        <f>IFERROR(__xludf.DUMMYFUNCTION("GOOGLEFINANCE(""Currency:BRLPEN"")*D1562"),1202.344176)</f>
        <v>1202.344176</v>
      </c>
      <c r="G1562" s="2" t="str">
        <f t="array" ref="G1562">_xlfn.XLOOKUP(B1562,Vendedores!$A$2:$A$41,Vendedores!$B$2:$B$41,"No hay datos")</f>
        <v>Leticia Rodríguez</v>
      </c>
      <c r="H1562" s="2" t="str">
        <f t="array" ref="H1562">_xlfn.XLOOKUP(B1562,Vendedores!$A$2:$A$41,Vendedores!$C$2:$C$41,"No hay datos")</f>
        <v>Playa Blanca</v>
      </c>
      <c r="I1562" s="2" t="str">
        <f t="array" ref="I1562">_xlfn.XLOOKUP(B1562,Vendedores!$A$2:$A$41,Vendedores!$D$2:$D$41,"No hay datos")</f>
        <v>Región Norte</v>
      </c>
      <c r="J1562" s="2" t="str">
        <f t="array" ref="J1562:N1562">_xlfn.XLOOKUP(A1562,Productos!$A$2:$A$61,Productos!$B$2:$F$61)</f>
        <v>Sandalia plana</v>
      </c>
      <c r="K1562" s="2">
        <v>36.0</v>
      </c>
      <c r="L1562" s="2" t="s">
        <v>33</v>
      </c>
      <c r="M1562" s="2" t="s">
        <v>106</v>
      </c>
      <c r="N1562" s="2" t="s">
        <v>35</v>
      </c>
    </row>
    <row r="1563">
      <c r="A1563" s="2" t="str">
        <f>IFERROR(__xludf.DUMMYFUNCTION("""COMPUTED_VALUE"""),"PR037")</f>
        <v>PR037</v>
      </c>
      <c r="B1563" s="2" t="str">
        <f>IFERROR(__xludf.DUMMYFUNCTION("""COMPUTED_VALUE"""),"VD048")</f>
        <v>VD048</v>
      </c>
      <c r="C1563" s="2">
        <f>IFERROR(__xludf.DUMMYFUNCTION("""COMPUTED_VALUE"""),12.0)</f>
        <v>12</v>
      </c>
      <c r="D1563" s="6">
        <f>IFERROR(__xludf.DUMMYFUNCTION("""COMPUTED_VALUE"""),1764.0)</f>
        <v>1764</v>
      </c>
      <c r="E1563" s="6">
        <f>IFERROR(__xludf.DUMMYFUNCTION("GOOGLEFINANCE(""Currency:BRLMXN"")*D1563"),5993.19)</f>
        <v>5993.19</v>
      </c>
      <c r="F1563" s="6">
        <f>IFERROR(__xludf.DUMMYFUNCTION("GOOGLEFINANCE(""Currency:BRLPEN"")*D1563"),1156.4784)</f>
        <v>1156.4784</v>
      </c>
      <c r="G1563" s="2" t="str">
        <f t="array" ref="G1563">_xlfn.XLOOKUP(B1563,Vendedores!$A$2:$A$41,Vendedores!$B$2:$B$41,"No hay datos")</f>
        <v>Mariana Castro</v>
      </c>
      <c r="H1563" s="2" t="str">
        <f t="array" ref="H1563">_xlfn.XLOOKUP(B1563,Vendedores!$A$2:$A$41,Vendedores!$C$2:$C$41,"No hay datos")</f>
        <v>San Carlos del Valle</v>
      </c>
      <c r="I1563" s="2" t="str">
        <f t="array" ref="I1563">_xlfn.XLOOKUP(B1563,Vendedores!$A$2:$A$41,Vendedores!$D$2:$D$41,"No hay datos")</f>
        <v>Región Central 2</v>
      </c>
      <c r="J1563" s="2" t="str">
        <f t="array" ref="J1563:N1563">_xlfn.XLOOKUP(A1563,Productos!$A$2:$A$61,Productos!$B$2:$F$61)</f>
        <v>Vestido largo</v>
      </c>
      <c r="K1563" s="2" t="s">
        <v>9</v>
      </c>
      <c r="L1563" s="2" t="s">
        <v>10</v>
      </c>
      <c r="M1563" s="2" t="s">
        <v>70</v>
      </c>
      <c r="N1563" s="2" t="s">
        <v>71</v>
      </c>
    </row>
    <row r="1564">
      <c r="A1564" s="2" t="str">
        <f>IFERROR(__xludf.DUMMYFUNCTION("""COMPUTED_VALUE"""),"PR031")</f>
        <v>PR031</v>
      </c>
      <c r="B1564" s="2" t="str">
        <f>IFERROR(__xludf.DUMMYFUNCTION("""COMPUTED_VALUE"""),"VD032")</f>
        <v>VD032</v>
      </c>
      <c r="C1564" s="2">
        <f>IFERROR(__xludf.DUMMYFUNCTION("""COMPUTED_VALUE"""),14.0)</f>
        <v>14</v>
      </c>
      <c r="D1564" s="6">
        <f>IFERROR(__xludf.DUMMYFUNCTION("""COMPUTED_VALUE"""),3430.0)</f>
        <v>3430</v>
      </c>
      <c r="E1564" s="6">
        <f>IFERROR(__xludf.DUMMYFUNCTION("GOOGLEFINANCE(""Currency:BRLMXN"")*D1564"),11653.425)</f>
        <v>11653.425</v>
      </c>
      <c r="F1564" s="6">
        <f>IFERROR(__xludf.DUMMYFUNCTION("GOOGLEFINANCE(""Currency:BRLPEN"")*D1564"),2248.708)</f>
        <v>2248.708</v>
      </c>
      <c r="G1564" s="2" t="str">
        <f t="array" ref="G1564">_xlfn.XLOOKUP(B1564,Vendedores!$A$2:$A$41,Vendedores!$B$2:$B$41,"No hay datos")</f>
        <v>Eduardo Almonte</v>
      </c>
      <c r="H1564" s="2" t="str">
        <f t="array" ref="H1564">_xlfn.XLOOKUP(B1564,Vendedores!$A$2:$A$41,Vendedores!$C$2:$C$41,"No hay datos")</f>
        <v>Tierra Colorada</v>
      </c>
      <c r="I1564" s="2" t="str">
        <f t="array" ref="I1564">_xlfn.XLOOKUP(B1564,Vendedores!$A$2:$A$41,Vendedores!$D$2:$D$41,"No hay datos")</f>
        <v>Región Central 2</v>
      </c>
      <c r="J1564" s="2" t="str">
        <f t="array" ref="J1564:N1564">_xlfn.XLOOKUP(A1564,Productos!$A$2:$A$61,Productos!$B$2:$F$61)</f>
        <v>Tenis Chunky</v>
      </c>
      <c r="K1564" s="2">
        <v>36.0</v>
      </c>
      <c r="L1564" s="2" t="s">
        <v>33</v>
      </c>
      <c r="M1564" s="2" t="s">
        <v>84</v>
      </c>
      <c r="N1564" s="2" t="s">
        <v>85</v>
      </c>
    </row>
    <row r="1565">
      <c r="A1565" s="2" t="str">
        <f>IFERROR(__xludf.DUMMYFUNCTION("""COMPUTED_VALUE"""),"PR016")</f>
        <v>PR016</v>
      </c>
      <c r="B1565" s="2" t="str">
        <f>IFERROR(__xludf.DUMMYFUNCTION("""COMPUTED_VALUE"""),"VD027")</f>
        <v>VD027</v>
      </c>
      <c r="C1565" s="2">
        <f>IFERROR(__xludf.DUMMYFUNCTION("""COMPUTED_VALUE"""),6.0)</f>
        <v>6</v>
      </c>
      <c r="D1565" s="6">
        <f>IFERROR(__xludf.DUMMYFUNCTION("""COMPUTED_VALUE"""),170.94)</f>
        <v>170.94</v>
      </c>
      <c r="E1565" s="6">
        <f>IFERROR(__xludf.DUMMYFUNCTION("GOOGLEFINANCE(""Currency:BRLMXN"")*D1565"),580.76865)</f>
        <v>580.76865</v>
      </c>
      <c r="F1565" s="6">
        <f>IFERROR(__xludf.DUMMYFUNCTION("GOOGLEFINANCE(""Currency:BRLPEN"")*D1565"),112.06826399999999)</f>
        <v>112.068264</v>
      </c>
      <c r="G1565" s="2" t="str">
        <f t="array" ref="G1565">_xlfn.XLOOKUP(B1565,Vendedores!$A$2:$A$41,Vendedores!$B$2:$B$41,"No hay datos")</f>
        <v>Patricia Cortés</v>
      </c>
      <c r="H1565" s="2" t="str">
        <f t="array" ref="H1565">_xlfn.XLOOKUP(B1565,Vendedores!$A$2:$A$41,Vendedores!$C$2:$C$41,"No hay datos")</f>
        <v>Costa Azul</v>
      </c>
      <c r="I1565" s="2" t="str">
        <f t="array" ref="I1565">_xlfn.XLOOKUP(B1565,Vendedores!$A$2:$A$41,Vendedores!$D$2:$D$41,"No hay datos")</f>
        <v>Región Norte</v>
      </c>
      <c r="J1565" s="2" t="str">
        <f t="array" ref="J1565:N1565">_xlfn.XLOOKUP(A1565,Productos!$A$2:$A$61,Productos!$B$2:$F$61)</f>
        <v>Playera lisa</v>
      </c>
      <c r="K1565" s="2" t="s">
        <v>9</v>
      </c>
      <c r="L1565" s="2" t="s">
        <v>10</v>
      </c>
      <c r="M1565" s="2" t="s">
        <v>20</v>
      </c>
      <c r="N1565" s="2" t="s">
        <v>21</v>
      </c>
    </row>
    <row r="1566">
      <c r="A1566" s="2" t="str">
        <f>IFERROR(__xludf.DUMMYFUNCTION("""COMPUTED_VALUE"""),"PR054")</f>
        <v>PR054</v>
      </c>
      <c r="B1566" s="2" t="str">
        <f>IFERROR(__xludf.DUMMYFUNCTION("""COMPUTED_VALUE"""),"VD032")</f>
        <v>VD032</v>
      </c>
      <c r="C1566" s="2">
        <f>IFERROR(__xludf.DUMMYFUNCTION("""COMPUTED_VALUE"""),6.0)</f>
        <v>6</v>
      </c>
      <c r="D1566" s="6">
        <f>IFERROR(__xludf.DUMMYFUNCTION("""COMPUTED_VALUE"""),329.34)</f>
        <v>329.34</v>
      </c>
      <c r="E1566" s="6">
        <f>IFERROR(__xludf.DUMMYFUNCTION("GOOGLEFINANCE(""Currency:BRLMXN"")*D1566"),1118.93265)</f>
        <v>1118.93265</v>
      </c>
      <c r="F1566" s="6">
        <f>IFERROR(__xludf.DUMMYFUNCTION("GOOGLEFINANCE(""Currency:BRLPEN"")*D1566"),215.91530399999996)</f>
        <v>215.915304</v>
      </c>
      <c r="G1566" s="2" t="str">
        <f t="array" ref="G1566">_xlfn.XLOOKUP(B1566,Vendedores!$A$2:$A$41,Vendedores!$B$2:$B$41,"No hay datos")</f>
        <v>Eduardo Almonte</v>
      </c>
      <c r="H1566" s="2" t="str">
        <f t="array" ref="H1566">_xlfn.XLOOKUP(B1566,Vendedores!$A$2:$A$41,Vendedores!$C$2:$C$41,"No hay datos")</f>
        <v>Tierra Colorada</v>
      </c>
      <c r="I1566" s="2" t="str">
        <f t="array" ref="I1566">_xlfn.XLOOKUP(B1566,Vendedores!$A$2:$A$41,Vendedores!$D$2:$D$41,"No hay datos")</f>
        <v>Región Central 2</v>
      </c>
      <c r="J1566" s="2" t="str">
        <f t="array" ref="J1566:N1566">_xlfn.XLOOKUP(A1566,Productos!$A$2:$A$61,Productos!$B$2:$F$61)</f>
        <v>Falda plisada</v>
      </c>
      <c r="K1566" s="2" t="s">
        <v>22</v>
      </c>
      <c r="L1566" s="2" t="s">
        <v>10</v>
      </c>
      <c r="M1566" s="2" t="s">
        <v>42</v>
      </c>
      <c r="N1566" s="2" t="s">
        <v>32</v>
      </c>
    </row>
    <row r="1567">
      <c r="A1567" s="2" t="str">
        <f>IFERROR(__xludf.DUMMYFUNCTION("""COMPUTED_VALUE"""),"PR035")</f>
        <v>PR035</v>
      </c>
      <c r="B1567" s="2" t="str">
        <f>IFERROR(__xludf.DUMMYFUNCTION("""COMPUTED_VALUE"""),"VD038")</f>
        <v>VD038</v>
      </c>
      <c r="C1567" s="2">
        <f>IFERROR(__xludf.DUMMYFUNCTION("""COMPUTED_VALUE"""),2.0)</f>
        <v>2</v>
      </c>
      <c r="D1567" s="6">
        <f>IFERROR(__xludf.DUMMYFUNCTION("""COMPUTED_VALUE"""),190.11)</f>
        <v>190.11</v>
      </c>
      <c r="E1567" s="6">
        <f>IFERROR(__xludf.DUMMYFUNCTION("GOOGLEFINANCE(""Currency:BRLMXN"")*D1567"),645.898725)</f>
        <v>645.898725</v>
      </c>
      <c r="F1567" s="6">
        <f>IFERROR(__xludf.DUMMYFUNCTION("GOOGLEFINANCE(""Currency:BRLPEN"")*D1567"),124.636116)</f>
        <v>124.636116</v>
      </c>
      <c r="G1567" s="2" t="str">
        <f t="array" ref="G1567">_xlfn.XLOOKUP(B1567,Vendedores!$A$2:$A$41,Vendedores!$B$2:$B$41,"No hay datos")</f>
        <v>Bruno Olmedo</v>
      </c>
      <c r="H1567" s="2" t="str">
        <f t="array" ref="H1567">_xlfn.XLOOKUP(B1567,Vendedores!$A$2:$A$41,Vendedores!$C$2:$C$41,"No hay datos")</f>
        <v>Tierra Fertil</v>
      </c>
      <c r="I1567" s="2" t="str">
        <f t="array" ref="I1567">_xlfn.XLOOKUP(B1567,Vendedores!$A$2:$A$41,Vendedores!$D$2:$D$41,"No hay datos")</f>
        <v>Región Sur 2</v>
      </c>
      <c r="J1567" s="2" t="str">
        <f t="array" ref="J1567:N1567">_xlfn.XLOOKUP(A1567,Productos!$A$2:$A$61,Productos!$B$2:$F$61)</f>
        <v>Vestido corto</v>
      </c>
      <c r="K1567" s="2" t="s">
        <v>17</v>
      </c>
      <c r="L1567" s="2" t="s">
        <v>10</v>
      </c>
      <c r="M1567" s="2" t="s">
        <v>18</v>
      </c>
      <c r="N1567" s="2" t="s">
        <v>19</v>
      </c>
    </row>
    <row r="1568">
      <c r="A1568" s="2" t="str">
        <f>IFERROR(__xludf.DUMMYFUNCTION("""COMPUTED_VALUE"""),"PR014")</f>
        <v>PR014</v>
      </c>
      <c r="B1568" s="2" t="str">
        <f>IFERROR(__xludf.DUMMYFUNCTION("""COMPUTED_VALUE"""),"VD016")</f>
        <v>VD016</v>
      </c>
      <c r="C1568" s="2">
        <f>IFERROR(__xludf.DUMMYFUNCTION("""COMPUTED_VALUE"""),1.0)</f>
        <v>1</v>
      </c>
      <c r="D1568" s="6">
        <f>IFERROR(__xludf.DUMMYFUNCTION("""COMPUTED_VALUE"""),42.29)</f>
        <v>42.29</v>
      </c>
      <c r="E1568" s="6">
        <f>IFERROR(__xludf.DUMMYFUNCTION("GOOGLEFINANCE(""Currency:BRLMXN"")*D1568"),143.680275)</f>
        <v>143.680275</v>
      </c>
      <c r="F1568" s="6">
        <f>IFERROR(__xludf.DUMMYFUNCTION("GOOGLEFINANCE(""Currency:BRLPEN"")*D1568"),27.725323999999997)</f>
        <v>27.725324</v>
      </c>
      <c r="G1568" s="2" t="str">
        <f t="array" ref="G1568">_xlfn.XLOOKUP(B1568,Vendedores!$A$2:$A$41,Vendedores!$B$2:$B$41,"No hay datos")</f>
        <v>Beatriz Linares</v>
      </c>
      <c r="H1568" s="2" t="str">
        <f t="array" ref="H1568">_xlfn.XLOOKUP(B1568,Vendedores!$A$2:$A$41,Vendedores!$C$2:$C$41,"No hay datos")</f>
        <v>Puerto Esperanza</v>
      </c>
      <c r="I1568" s="2" t="str">
        <f t="array" ref="I1568">_xlfn.XLOOKUP(B1568,Vendedores!$A$2:$A$41,Vendedores!$D$2:$D$41,"No hay datos")</f>
        <v>Región Sur</v>
      </c>
      <c r="J1568" s="2" t="str">
        <f t="array" ref="J1568:N1568">_xlfn.XLOOKUP(A1568,Productos!$A$2:$A$61,Productos!$B$2:$F$61)</f>
        <v>Playera estampada</v>
      </c>
      <c r="K1568" s="2" t="s">
        <v>17</v>
      </c>
      <c r="L1568" s="2" t="s">
        <v>10</v>
      </c>
      <c r="M1568" s="2" t="s">
        <v>37</v>
      </c>
      <c r="N1568" s="2" t="s">
        <v>38</v>
      </c>
    </row>
    <row r="1569">
      <c r="A1569" s="2" t="str">
        <f>IFERROR(__xludf.DUMMYFUNCTION("""COMPUTED_VALUE"""),"PR009")</f>
        <v>PR009</v>
      </c>
      <c r="B1569" s="2" t="str">
        <f>IFERROR(__xludf.DUMMYFUNCTION("""COMPUTED_VALUE"""),"VD031")</f>
        <v>VD031</v>
      </c>
      <c r="C1569" s="2">
        <f>IFERROR(__xludf.DUMMYFUNCTION("""COMPUTED_VALUE"""),16.0)</f>
        <v>16</v>
      </c>
      <c r="D1569" s="6">
        <f>IFERROR(__xludf.DUMMYFUNCTION("""COMPUTED_VALUE"""),1516.13)</f>
        <v>1516.13</v>
      </c>
      <c r="E1569" s="6">
        <f>IFERROR(__xludf.DUMMYFUNCTION("GOOGLEFINANCE(""Currency:BRLMXN"")*D1569"),5151.051675000001)</f>
        <v>5151.051675</v>
      </c>
      <c r="F1569" s="6">
        <f>IFERROR(__xludf.DUMMYFUNCTION("GOOGLEFINANCE(""Currency:BRLPEN"")*D1569"),993.974828)</f>
        <v>993.974828</v>
      </c>
      <c r="G1569" s="2" t="str">
        <f t="array" ref="G1569">_xlfn.XLOOKUP(B1569,Vendedores!$A$2:$A$41,Vendedores!$B$2:$B$41,"No hay datos")</f>
        <v>Vanessa Martínez</v>
      </c>
      <c r="H1569" s="2" t="str">
        <f t="array" ref="H1569">_xlfn.XLOOKUP(B1569,Vendedores!$A$2:$A$41,Vendedores!$C$2:$C$41,"No hay datos")</f>
        <v>Monte Verde</v>
      </c>
      <c r="I1569" s="2" t="str">
        <f t="array" ref="I1569">_xlfn.XLOOKUP(B1569,Vendedores!$A$2:$A$41,Vendedores!$D$2:$D$41,"No hay datos")</f>
        <v>Región Central 2</v>
      </c>
      <c r="J1569" s="2" t="str">
        <f t="array" ref="J1569:N1569">_xlfn.XLOOKUP(A1569,Productos!$A$2:$A$61,Productos!$B$2:$F$61)</f>
        <v>Pantalón de mezclilla</v>
      </c>
      <c r="K1569" s="2" t="s">
        <v>22</v>
      </c>
      <c r="L1569" s="2" t="s">
        <v>10</v>
      </c>
      <c r="M1569" s="2" t="s">
        <v>76</v>
      </c>
      <c r="N1569" s="2" t="s">
        <v>77</v>
      </c>
    </row>
    <row r="1570">
      <c r="A1570" s="2" t="str">
        <f>IFERROR(__xludf.DUMMYFUNCTION("""COMPUTED_VALUE"""),"PR053")</f>
        <v>PR053</v>
      </c>
      <c r="B1570" s="2" t="str">
        <f>IFERROR(__xludf.DUMMYFUNCTION("""COMPUTED_VALUE"""),"VD036")</f>
        <v>VD036</v>
      </c>
      <c r="C1570" s="2">
        <f>IFERROR(__xludf.DUMMYFUNCTION("""COMPUTED_VALUE"""),18.0)</f>
        <v>18</v>
      </c>
      <c r="D1570" s="6">
        <f>IFERROR(__xludf.DUMMYFUNCTION("""COMPUTED_VALUE"""),961.07)</f>
        <v>961.07</v>
      </c>
      <c r="E1570" s="6">
        <f>IFERROR(__xludf.DUMMYFUNCTION("GOOGLEFINANCE(""Currency:BRLMXN"")*D1570"),3265.235325)</f>
        <v>3265.235325</v>
      </c>
      <c r="F1570" s="6">
        <f>IFERROR(__xludf.DUMMYFUNCTION("GOOGLEFINANCE(""Currency:BRLPEN"")*D1570"),630.077492)</f>
        <v>630.077492</v>
      </c>
      <c r="G1570" s="2" t="str">
        <f t="array" ref="G1570">_xlfn.XLOOKUP(B1570,Vendedores!$A$2:$A$41,Vendedores!$B$2:$B$41,"No hay datos")</f>
        <v>Ricardo Sosa</v>
      </c>
      <c r="H1570" s="2" t="str">
        <f t="array" ref="H1570">_xlfn.XLOOKUP(B1570,Vendedores!$A$2:$A$41,Vendedores!$C$2:$C$41,"No hay datos")</f>
        <v>Puerto Nuevo</v>
      </c>
      <c r="I1570" s="2" t="str">
        <f t="array" ref="I1570">_xlfn.XLOOKUP(B1570,Vendedores!$A$2:$A$41,Vendedores!$D$2:$D$41,"No hay datos")</f>
        <v>Región Central 2</v>
      </c>
      <c r="J1570" s="2" t="str">
        <f t="array" ref="J1570:N1570">_xlfn.XLOOKUP(A1570,Productos!$A$2:$A$61,Productos!$B$2:$F$61)</f>
        <v>Falda plisada</v>
      </c>
      <c r="K1570" s="2" t="s">
        <v>17</v>
      </c>
      <c r="L1570" s="2" t="s">
        <v>10</v>
      </c>
      <c r="M1570" s="2" t="s">
        <v>41</v>
      </c>
      <c r="N1570" s="2" t="s">
        <v>32</v>
      </c>
    </row>
    <row r="1571">
      <c r="A1571" s="2" t="str">
        <f>IFERROR(__xludf.DUMMYFUNCTION("""COMPUTED_VALUE"""),"PR051")</f>
        <v>PR051</v>
      </c>
      <c r="B1571" s="2" t="str">
        <f>IFERROR(__xludf.DUMMYFUNCTION("""COMPUTED_VALUE"""),"VD038")</f>
        <v>VD038</v>
      </c>
      <c r="C1571" s="2">
        <f>IFERROR(__xludf.DUMMYFUNCTION("""COMPUTED_VALUE"""),8.0)</f>
        <v>8</v>
      </c>
      <c r="D1571" s="6">
        <f>IFERROR(__xludf.DUMMYFUNCTION("""COMPUTED_VALUE"""),271.1)</f>
        <v>271.1</v>
      </c>
      <c r="E1571" s="6">
        <f>IFERROR(__xludf.DUMMYFUNCTION("GOOGLEFINANCE(""Currency:BRLMXN"")*D1571"),921.0622500000001)</f>
        <v>921.06225</v>
      </c>
      <c r="F1571" s="6">
        <f>IFERROR(__xludf.DUMMYFUNCTION("GOOGLEFINANCE(""Currency:BRLPEN"")*D1571"),177.73316)</f>
        <v>177.73316</v>
      </c>
      <c r="G1571" s="2" t="str">
        <f t="array" ref="G1571">_xlfn.XLOOKUP(B1571,Vendedores!$A$2:$A$41,Vendedores!$B$2:$B$41,"No hay datos")</f>
        <v>Bruno Olmedo</v>
      </c>
      <c r="H1571" s="2" t="str">
        <f t="array" ref="H1571">_xlfn.XLOOKUP(B1571,Vendedores!$A$2:$A$41,Vendedores!$C$2:$C$41,"No hay datos")</f>
        <v>Tierra Fertil</v>
      </c>
      <c r="I1571" s="2" t="str">
        <f t="array" ref="I1571">_xlfn.XLOOKUP(B1571,Vendedores!$A$2:$A$41,Vendedores!$D$2:$D$41,"No hay datos")</f>
        <v>Región Sur 2</v>
      </c>
      <c r="J1571" s="2" t="str">
        <f t="array" ref="J1571:N1571">_xlfn.XLOOKUP(A1571,Productos!$A$2:$A$61,Productos!$B$2:$F$61)</f>
        <v>Playera a rayas</v>
      </c>
      <c r="K1571" s="2" t="s">
        <v>22</v>
      </c>
      <c r="L1571" s="2" t="s">
        <v>10</v>
      </c>
      <c r="M1571" s="2" t="s">
        <v>23</v>
      </c>
      <c r="N1571" s="2" t="s">
        <v>24</v>
      </c>
    </row>
    <row r="1572">
      <c r="A1572" s="2" t="str">
        <f>IFERROR(__xludf.DUMMYFUNCTION("""COMPUTED_VALUE"""),"PR006")</f>
        <v>PR006</v>
      </c>
      <c r="B1572" s="2" t="str">
        <f>IFERROR(__xludf.DUMMYFUNCTION("""COMPUTED_VALUE"""),"VD035")</f>
        <v>VD035</v>
      </c>
      <c r="C1572" s="2">
        <f>IFERROR(__xludf.DUMMYFUNCTION("""COMPUTED_VALUE"""),5.0)</f>
        <v>5</v>
      </c>
      <c r="D1572" s="6">
        <f>IFERROR(__xludf.DUMMYFUNCTION("""COMPUTED_VALUE"""),215.46)</f>
        <v>215.46</v>
      </c>
      <c r="E1572" s="6">
        <f>IFERROR(__xludf.DUMMYFUNCTION("GOOGLEFINANCE(""Currency:BRLMXN"")*D1572"),732.02535)</f>
        <v>732.02535</v>
      </c>
      <c r="F1572" s="6">
        <f>IFERROR(__xludf.DUMMYFUNCTION("GOOGLEFINANCE(""Currency:BRLPEN"")*D1572"),141.255576)</f>
        <v>141.255576</v>
      </c>
      <c r="G1572" s="2" t="str">
        <f t="array" ref="G1572">_xlfn.XLOOKUP(B1572,Vendedores!$A$2:$A$41,Vendedores!$B$2:$B$41,"No hay datos")</f>
        <v>Carolina Méndez</v>
      </c>
      <c r="H1572" s="2" t="str">
        <f t="array" ref="H1572">_xlfn.XLOOKUP(B1572,Vendedores!$A$2:$A$41,Vendedores!$C$2:$C$41,"No hay datos")</f>
        <v>Valle de los Robles</v>
      </c>
      <c r="I1572" s="2" t="str">
        <f t="array" ref="I1572">_xlfn.XLOOKUP(B1572,Vendedores!$A$2:$A$41,Vendedores!$D$2:$D$41,"No hay datos")</f>
        <v>Región Central 2</v>
      </c>
      <c r="J1572" s="2" t="str">
        <f t="array" ref="J1572:N1572">_xlfn.XLOOKUP(A1572,Productos!$A$2:$A$61,Productos!$B$2:$F$61)</f>
        <v>Gorra</v>
      </c>
      <c r="K1572" s="2" t="s">
        <v>29</v>
      </c>
      <c r="L1572" s="2" t="s">
        <v>30</v>
      </c>
      <c r="M1572" s="2" t="s">
        <v>48</v>
      </c>
      <c r="N1572" s="2" t="s">
        <v>38</v>
      </c>
    </row>
    <row r="1573">
      <c r="A1573" s="2" t="str">
        <f>IFERROR(__xludf.DUMMYFUNCTION("""COMPUTED_VALUE"""),"PR046")</f>
        <v>PR046</v>
      </c>
      <c r="B1573" s="2" t="str">
        <f>IFERROR(__xludf.DUMMYFUNCTION("""COMPUTED_VALUE"""),"VD040")</f>
        <v>VD040</v>
      </c>
      <c r="C1573" s="2">
        <f>IFERROR(__xludf.DUMMYFUNCTION("""COMPUTED_VALUE"""),2.0)</f>
        <v>2</v>
      </c>
      <c r="D1573" s="6">
        <f>IFERROR(__xludf.DUMMYFUNCTION("""COMPUTED_VALUE"""),614.59)</f>
        <v>614.59</v>
      </c>
      <c r="E1573" s="6">
        <f>IFERROR(__xludf.DUMMYFUNCTION("GOOGLEFINANCE(""Currency:BRLMXN"")*D1573"),2088.069525)</f>
        <v>2088.069525</v>
      </c>
      <c r="F1573" s="6">
        <f>IFERROR(__xludf.DUMMYFUNCTION("GOOGLEFINANCE(""Currency:BRLPEN"")*D1573"),402.925204)</f>
        <v>402.925204</v>
      </c>
      <c r="G1573" s="2" t="str">
        <f t="array" ref="G1573">_xlfn.XLOOKUP(B1573,Vendedores!$A$2:$A$41,Vendedores!$B$2:$B$41,"No hay datos")</f>
        <v>Tatiana Montero</v>
      </c>
      <c r="H1573" s="2" t="str">
        <f t="array" ref="H1573">_xlfn.XLOOKUP(B1573,Vendedores!$A$2:$A$41,Vendedores!$C$2:$C$41,"No hay datos")</f>
        <v>Ciudad Industrial</v>
      </c>
      <c r="I1573" s="2" t="str">
        <f t="array" ref="I1573">_xlfn.XLOOKUP(B1573,Vendedores!$A$2:$A$41,Vendedores!$D$2:$D$41,"No hay datos")</f>
        <v>Región Central 2</v>
      </c>
      <c r="J1573" s="2" t="str">
        <f t="array" ref="J1573:N1573">_xlfn.XLOOKUP(A1573,Productos!$A$2:$A$61,Productos!$B$2:$F$61)</f>
        <v>Chaqueta de cuero</v>
      </c>
      <c r="K1573" s="2" t="s">
        <v>9</v>
      </c>
      <c r="L1573" s="2" t="s">
        <v>10</v>
      </c>
      <c r="M1573" s="2" t="s">
        <v>94</v>
      </c>
      <c r="N1573" s="2" t="s">
        <v>44</v>
      </c>
    </row>
    <row r="1574">
      <c r="A1574" s="2" t="str">
        <f>IFERROR(__xludf.DUMMYFUNCTION("""COMPUTED_VALUE"""),"PR001")</f>
        <v>PR001</v>
      </c>
      <c r="B1574" s="2" t="str">
        <f>IFERROR(__xludf.DUMMYFUNCTION("""COMPUTED_VALUE"""),"VD020")</f>
        <v>VD020</v>
      </c>
      <c r="C1574" s="2">
        <f>IFERROR(__xludf.DUMMYFUNCTION("""COMPUTED_VALUE"""),12.0)</f>
        <v>12</v>
      </c>
      <c r="D1574" s="6">
        <f>IFERROR(__xludf.DUMMYFUNCTION("""COMPUTED_VALUE"""),806.62)</f>
        <v>806.62</v>
      </c>
      <c r="E1574" s="6">
        <f>IFERROR(__xludf.DUMMYFUNCTION("GOOGLEFINANCE(""Currency:BRLMXN"")*D1574"),2740.49145)</f>
        <v>2740.49145</v>
      </c>
      <c r="F1574" s="6">
        <f>IFERROR(__xludf.DUMMYFUNCTION("GOOGLEFINANCE(""Currency:BRLPEN"")*D1574"),528.820072)</f>
        <v>528.820072</v>
      </c>
      <c r="G1574" s="2" t="str">
        <f t="array" ref="G1574">_xlfn.XLOOKUP(B1574,Vendedores!$A$2:$A$41,Vendedores!$B$2:$B$41,"No hay datos")</f>
        <v>Gustavo Morales</v>
      </c>
      <c r="H1574" s="2" t="str">
        <f t="array" ref="H1574">_xlfn.XLOOKUP(B1574,Vendedores!$A$2:$A$41,Vendedores!$C$2:$C$41,"No hay datos")</f>
        <v>Villa del Sol</v>
      </c>
      <c r="I1574" s="2" t="str">
        <f t="array" ref="I1574">_xlfn.XLOOKUP(B1574,Vendedores!$A$2:$A$41,Vendedores!$D$2:$D$41,"No hay datos")</f>
        <v>Región Central 2</v>
      </c>
      <c r="J1574" s="2" t="str">
        <f t="array" ref="J1574:N1574">_xlfn.XLOOKUP(A1574,Productos!$A$2:$A$61,Productos!$B$2:$F$61)</f>
        <v>Bermuda</v>
      </c>
      <c r="K1574" s="2" t="s">
        <v>9</v>
      </c>
      <c r="L1574" s="2" t="s">
        <v>10</v>
      </c>
      <c r="M1574" s="2" t="s">
        <v>11</v>
      </c>
      <c r="N1574" s="2" t="s">
        <v>12</v>
      </c>
    </row>
    <row r="1575">
      <c r="A1575" s="2" t="str">
        <f>IFERROR(__xludf.DUMMYFUNCTION("""COMPUTED_VALUE"""),"PR022")</f>
        <v>PR022</v>
      </c>
      <c r="B1575" s="2" t="str">
        <f>IFERROR(__xludf.DUMMYFUNCTION("""COMPUTED_VALUE"""),"VD036")</f>
        <v>VD036</v>
      </c>
      <c r="C1575" s="2">
        <f>IFERROR(__xludf.DUMMYFUNCTION("""COMPUTED_VALUE"""),4.0)</f>
        <v>4</v>
      </c>
      <c r="D1575" s="6">
        <f>IFERROR(__xludf.DUMMYFUNCTION("""COMPUTED_VALUE"""),1212.0)</f>
        <v>1212</v>
      </c>
      <c r="E1575" s="6">
        <f>IFERROR(__xludf.DUMMYFUNCTION("GOOGLEFINANCE(""Currency:BRLMXN"")*D1575"),4117.7699999999995)</f>
        <v>4117.77</v>
      </c>
      <c r="F1575" s="6">
        <f>IFERROR(__xludf.DUMMYFUNCTION("GOOGLEFINANCE(""Currency:BRLPEN"")*D1575"),794.5871999999999)</f>
        <v>794.5872</v>
      </c>
      <c r="G1575" s="2" t="str">
        <f t="array" ref="G1575">_xlfn.XLOOKUP(B1575,Vendedores!$A$2:$A$41,Vendedores!$B$2:$B$41,"No hay datos")</f>
        <v>Ricardo Sosa</v>
      </c>
      <c r="H1575" s="2" t="str">
        <f t="array" ref="H1575">_xlfn.XLOOKUP(B1575,Vendedores!$A$2:$A$41,Vendedores!$C$2:$C$41,"No hay datos")</f>
        <v>Puerto Nuevo</v>
      </c>
      <c r="I1575" s="2" t="str">
        <f t="array" ref="I1575">_xlfn.XLOOKUP(B1575,Vendedores!$A$2:$A$41,Vendedores!$D$2:$D$41,"No hay datos")</f>
        <v>Región Central 2</v>
      </c>
      <c r="J1575" s="2" t="str">
        <f t="array" ref="J1575:N1575">_xlfn.XLOOKUP(A1575,Productos!$A$2:$A$61,Productos!$B$2:$F$61)</f>
        <v>Chaqueta de cuero</v>
      </c>
      <c r="K1575" s="2" t="s">
        <v>22</v>
      </c>
      <c r="L1575" s="2" t="s">
        <v>10</v>
      </c>
      <c r="M1575" s="2" t="s">
        <v>78</v>
      </c>
      <c r="N1575" s="2" t="s">
        <v>79</v>
      </c>
    </row>
    <row r="1576">
      <c r="A1576" s="2" t="str">
        <f>IFERROR(__xludf.DUMMYFUNCTION("""COMPUTED_VALUE"""),"PR012")</f>
        <v>PR012</v>
      </c>
      <c r="B1576" s="2" t="str">
        <f>IFERROR(__xludf.DUMMYFUNCTION("""COMPUTED_VALUE"""),"VD036")</f>
        <v>VD036</v>
      </c>
      <c r="C1576" s="2">
        <f>IFERROR(__xludf.DUMMYFUNCTION("""COMPUTED_VALUE"""),20.0)</f>
        <v>20</v>
      </c>
      <c r="D1576" s="6">
        <f>IFERROR(__xludf.DUMMYFUNCTION("""COMPUTED_VALUE"""),987.78)</f>
        <v>987.78</v>
      </c>
      <c r="E1576" s="6">
        <f>IFERROR(__xludf.DUMMYFUNCTION("GOOGLEFINANCE(""Currency:BRLMXN"")*D1576"),3355.9825499999997)</f>
        <v>3355.98255</v>
      </c>
      <c r="F1576" s="6">
        <f>IFERROR(__xludf.DUMMYFUNCTION("GOOGLEFINANCE(""Currency:BRLPEN"")*D1576"),647.5885679999999)</f>
        <v>647.588568</v>
      </c>
      <c r="G1576" s="2" t="str">
        <f t="array" ref="G1576">_xlfn.XLOOKUP(B1576,Vendedores!$A$2:$A$41,Vendedores!$B$2:$B$41,"No hay datos")</f>
        <v>Ricardo Sosa</v>
      </c>
      <c r="H1576" s="2" t="str">
        <f t="array" ref="H1576">_xlfn.XLOOKUP(B1576,Vendedores!$A$2:$A$41,Vendedores!$C$2:$C$41,"No hay datos")</f>
        <v>Puerto Nuevo</v>
      </c>
      <c r="I1576" s="2" t="str">
        <f t="array" ref="I1576">_xlfn.XLOOKUP(B1576,Vendedores!$A$2:$A$41,Vendedores!$D$2:$D$41,"No hay datos")</f>
        <v>Región Central 2</v>
      </c>
      <c r="J1576" s="2" t="str">
        <f t="array" ref="J1576:N1576">_xlfn.XLOOKUP(A1576,Productos!$A$2:$A$61,Productos!$B$2:$F$61)</f>
        <v>Pantalón legging</v>
      </c>
      <c r="K1576" s="2" t="s">
        <v>22</v>
      </c>
      <c r="L1576" s="2" t="s">
        <v>10</v>
      </c>
      <c r="M1576" s="2" t="s">
        <v>88</v>
      </c>
      <c r="N1576" s="2" t="s">
        <v>89</v>
      </c>
    </row>
    <row r="1577">
      <c r="A1577" s="2" t="str">
        <f>IFERROR(__xludf.DUMMYFUNCTION("""COMPUTED_VALUE"""),"PR031")</f>
        <v>PR031</v>
      </c>
      <c r="B1577" s="2" t="str">
        <f>IFERROR(__xludf.DUMMYFUNCTION("""COMPUTED_VALUE"""),"VD044")</f>
        <v>VD044</v>
      </c>
      <c r="C1577" s="2">
        <f>IFERROR(__xludf.DUMMYFUNCTION("""COMPUTED_VALUE"""),4.0)</f>
        <v>4</v>
      </c>
      <c r="D1577" s="6">
        <f>IFERROR(__xludf.DUMMYFUNCTION("""COMPUTED_VALUE"""),1038.8)</f>
        <v>1038.8</v>
      </c>
      <c r="E1577" s="6">
        <f>IFERROR(__xludf.DUMMYFUNCTION("GOOGLEFINANCE(""Currency:BRLMXN"")*D1577"),3529.323)</f>
        <v>3529.323</v>
      </c>
      <c r="F1577" s="6">
        <f>IFERROR(__xludf.DUMMYFUNCTION("GOOGLEFINANCE(""Currency:BRLPEN"")*D1577"),681.0372799999999)</f>
        <v>681.03728</v>
      </c>
      <c r="G1577" s="2" t="str">
        <f t="array" ref="G1577">_xlfn.XLOOKUP(B1577,Vendedores!$A$2:$A$41,Vendedores!$B$2:$B$41,"No hay datos")</f>
        <v>Silvia Menéndez</v>
      </c>
      <c r="H1577" s="2" t="str">
        <f t="array" ref="H1577">_xlfn.XLOOKUP(B1577,Vendedores!$A$2:$A$41,Vendedores!$C$2:$C$41,"No hay datos")</f>
        <v>San Antonio del Monte</v>
      </c>
      <c r="I1577" s="2" t="str">
        <f t="array" ref="I1577">_xlfn.XLOOKUP(B1577,Vendedores!$A$2:$A$41,Vendedores!$D$2:$D$41,"No hay datos")</f>
        <v>Región Central 2</v>
      </c>
      <c r="J1577" s="2" t="str">
        <f t="array" ref="J1577:N1577">_xlfn.XLOOKUP(A1577,Productos!$A$2:$A$61,Productos!$B$2:$F$61)</f>
        <v>Tenis Chunky</v>
      </c>
      <c r="K1577" s="2">
        <v>36.0</v>
      </c>
      <c r="L1577" s="2" t="s">
        <v>33</v>
      </c>
      <c r="M1577" s="2" t="s">
        <v>84</v>
      </c>
      <c r="N1577" s="2" t="s">
        <v>85</v>
      </c>
    </row>
    <row r="1578">
      <c r="A1578" s="2" t="str">
        <f>IFERROR(__xludf.DUMMYFUNCTION("""COMPUTED_VALUE"""),"PR052")</f>
        <v>PR052</v>
      </c>
      <c r="B1578" s="2" t="str">
        <f>IFERROR(__xludf.DUMMYFUNCTION("""COMPUTED_VALUE"""),"VD044")</f>
        <v>VD044</v>
      </c>
      <c r="C1578" s="2">
        <f>IFERROR(__xludf.DUMMYFUNCTION("""COMPUTED_VALUE"""),16.0)</f>
        <v>16</v>
      </c>
      <c r="D1578" s="6">
        <f>IFERROR(__xludf.DUMMYFUNCTION("""COMPUTED_VALUE"""),814.37)</f>
        <v>814.37</v>
      </c>
      <c r="E1578" s="6">
        <f>IFERROR(__xludf.DUMMYFUNCTION("GOOGLEFINANCE(""Currency:BRLMXN"")*D1578"),2766.822075)</f>
        <v>2766.822075</v>
      </c>
      <c r="F1578" s="6">
        <f>IFERROR(__xludf.DUMMYFUNCTION("GOOGLEFINANCE(""Currency:BRLPEN"")*D1578"),533.900972)</f>
        <v>533.900972</v>
      </c>
      <c r="G1578" s="2" t="str">
        <f t="array" ref="G1578">_xlfn.XLOOKUP(B1578,Vendedores!$A$2:$A$41,Vendedores!$B$2:$B$41,"No hay datos")</f>
        <v>Silvia Menéndez</v>
      </c>
      <c r="H1578" s="2" t="str">
        <f t="array" ref="H1578">_xlfn.XLOOKUP(B1578,Vendedores!$A$2:$A$41,Vendedores!$C$2:$C$41,"No hay datos")</f>
        <v>San Antonio del Monte</v>
      </c>
      <c r="I1578" s="2" t="str">
        <f t="array" ref="I1578">_xlfn.XLOOKUP(B1578,Vendedores!$A$2:$A$41,Vendedores!$D$2:$D$41,"No hay datos")</f>
        <v>Región Central 2</v>
      </c>
      <c r="J1578" s="2" t="str">
        <f t="array" ref="J1578:N1578">_xlfn.XLOOKUP(A1578,Productos!$A$2:$A$61,Productos!$B$2:$F$61)</f>
        <v>Falda plisada</v>
      </c>
      <c r="K1578" s="2" t="s">
        <v>9</v>
      </c>
      <c r="L1578" s="2" t="s">
        <v>10</v>
      </c>
      <c r="M1578" s="2" t="s">
        <v>36</v>
      </c>
      <c r="N1578" s="2" t="s">
        <v>32</v>
      </c>
    </row>
    <row r="1579">
      <c r="A1579" s="2" t="str">
        <f>IFERROR(__xludf.DUMMYFUNCTION("""COMPUTED_VALUE"""),"PR005")</f>
        <v>PR005</v>
      </c>
      <c r="B1579" s="2" t="str">
        <f>IFERROR(__xludf.DUMMYFUNCTION("""COMPUTED_VALUE"""),"VD027")</f>
        <v>VD027</v>
      </c>
      <c r="C1579" s="2">
        <f>IFERROR(__xludf.DUMMYFUNCTION("""COMPUTED_VALUE"""),3.0)</f>
        <v>3</v>
      </c>
      <c r="D1579" s="6">
        <f>IFERROR(__xludf.DUMMYFUNCTION("""COMPUTED_VALUE"""),810.89)</f>
        <v>810.89</v>
      </c>
      <c r="E1579" s="6">
        <f>IFERROR(__xludf.DUMMYFUNCTION("GOOGLEFINANCE(""Currency:BRLMXN"")*D1579"),2754.998775)</f>
        <v>2754.998775</v>
      </c>
      <c r="F1579" s="6">
        <f>IFERROR(__xludf.DUMMYFUNCTION("GOOGLEFINANCE(""Currency:BRLPEN"")*D1579"),531.6194839999999)</f>
        <v>531.619484</v>
      </c>
      <c r="G1579" s="2" t="str">
        <f t="array" ref="G1579">_xlfn.XLOOKUP(B1579,Vendedores!$A$2:$A$41,Vendedores!$B$2:$B$41,"No hay datos")</f>
        <v>Patricia Cortés</v>
      </c>
      <c r="H1579" s="2" t="str">
        <f t="array" ref="H1579">_xlfn.XLOOKUP(B1579,Vendedores!$A$2:$A$41,Vendedores!$C$2:$C$41,"No hay datos")</f>
        <v>Costa Azul</v>
      </c>
      <c r="I1579" s="2" t="str">
        <f t="array" ref="I1579">_xlfn.XLOOKUP(B1579,Vendedores!$A$2:$A$41,Vendedores!$D$2:$D$41,"No hay datos")</f>
        <v>Región Norte</v>
      </c>
      <c r="J1579" s="2" t="str">
        <f t="array" ref="J1579:N1579">_xlfn.XLOOKUP(A1579,Productos!$A$2:$A$61,Productos!$B$2:$F$61)</f>
        <v>Bolso de cuero</v>
      </c>
      <c r="K1579" s="2" t="s">
        <v>29</v>
      </c>
      <c r="L1579" s="2" t="s">
        <v>30</v>
      </c>
      <c r="M1579" s="2" t="s">
        <v>100</v>
      </c>
      <c r="N1579" s="2" t="s">
        <v>64</v>
      </c>
    </row>
    <row r="1580">
      <c r="A1580" s="2" t="str">
        <f>IFERROR(__xludf.DUMMYFUNCTION("""COMPUTED_VALUE"""),"PR037")</f>
        <v>PR037</v>
      </c>
      <c r="B1580" s="2" t="str">
        <f>IFERROR(__xludf.DUMMYFUNCTION("""COMPUTED_VALUE"""),"VD045")</f>
        <v>VD045</v>
      </c>
      <c r="C1580" s="2">
        <f>IFERROR(__xludf.DUMMYFUNCTION("""COMPUTED_VALUE"""),9.0)</f>
        <v>9</v>
      </c>
      <c r="D1580" s="6">
        <f>IFERROR(__xludf.DUMMYFUNCTION("""COMPUTED_VALUE"""),1386.0)</f>
        <v>1386</v>
      </c>
      <c r="E1580" s="6">
        <f>IFERROR(__xludf.DUMMYFUNCTION("GOOGLEFINANCE(""Currency:BRLMXN"")*D1580"),4708.935)</f>
        <v>4708.935</v>
      </c>
      <c r="F1580" s="6">
        <f>IFERROR(__xludf.DUMMYFUNCTION("GOOGLEFINANCE(""Currency:BRLPEN"")*D1580"),908.6615999999999)</f>
        <v>908.6616</v>
      </c>
      <c r="G1580" s="2" t="str">
        <f t="array" ref="G1580">_xlfn.XLOOKUP(B1580,Vendedores!$A$2:$A$41,Vendedores!$B$2:$B$41,"No hay datos")</f>
        <v>Rafael Morales</v>
      </c>
      <c r="H1580" s="2" t="str">
        <f t="array" ref="H1580">_xlfn.XLOOKUP(B1580,Vendedores!$A$2:$A$41,Vendedores!$C$2:$C$41,"No hay datos")</f>
        <v>Valle Dorado</v>
      </c>
      <c r="I1580" s="2" t="str">
        <f t="array" ref="I1580">_xlfn.XLOOKUP(B1580,Vendedores!$A$2:$A$41,Vendedores!$D$2:$D$41,"No hay datos")</f>
        <v>Región Central 2</v>
      </c>
      <c r="J1580" s="2" t="str">
        <f t="array" ref="J1580:N1580">_xlfn.XLOOKUP(A1580,Productos!$A$2:$A$61,Productos!$B$2:$F$61)</f>
        <v>Vestido largo</v>
      </c>
      <c r="K1580" s="2" t="s">
        <v>9</v>
      </c>
      <c r="L1580" s="2" t="s">
        <v>10</v>
      </c>
      <c r="M1580" s="2" t="s">
        <v>70</v>
      </c>
      <c r="N1580" s="2" t="s">
        <v>71</v>
      </c>
    </row>
    <row r="1581">
      <c r="A1581" s="2" t="str">
        <f>IFERROR(__xludf.DUMMYFUNCTION("""COMPUTED_VALUE"""),"PR014")</f>
        <v>PR014</v>
      </c>
      <c r="B1581" s="2" t="str">
        <f>IFERROR(__xludf.DUMMYFUNCTION("""COMPUTED_VALUE"""),"VD036")</f>
        <v>VD036</v>
      </c>
      <c r="C1581" s="2">
        <f>IFERROR(__xludf.DUMMYFUNCTION("""COMPUTED_VALUE"""),10.0)</f>
        <v>10</v>
      </c>
      <c r="D1581" s="6">
        <f>IFERROR(__xludf.DUMMYFUNCTION("""COMPUTED_VALUE"""),414.96)</f>
        <v>414.96</v>
      </c>
      <c r="E1581" s="6">
        <f>IFERROR(__xludf.DUMMYFUNCTION("GOOGLEFINANCE(""Currency:BRLMXN"")*D1581"),1409.8265999999999)</f>
        <v>1409.8266</v>
      </c>
      <c r="F1581" s="6">
        <f>IFERROR(__xludf.DUMMYFUNCTION("GOOGLEFINANCE(""Currency:BRLPEN"")*D1581"),272.04777599999994)</f>
        <v>272.047776</v>
      </c>
      <c r="G1581" s="2" t="str">
        <f t="array" ref="G1581">_xlfn.XLOOKUP(B1581,Vendedores!$A$2:$A$41,Vendedores!$B$2:$B$41,"No hay datos")</f>
        <v>Ricardo Sosa</v>
      </c>
      <c r="H1581" s="2" t="str">
        <f t="array" ref="H1581">_xlfn.XLOOKUP(B1581,Vendedores!$A$2:$A$41,Vendedores!$C$2:$C$41,"No hay datos")</f>
        <v>Puerto Nuevo</v>
      </c>
      <c r="I1581" s="2" t="str">
        <f t="array" ref="I1581">_xlfn.XLOOKUP(B1581,Vendedores!$A$2:$A$41,Vendedores!$D$2:$D$41,"No hay datos")</f>
        <v>Región Central 2</v>
      </c>
      <c r="J1581" s="2" t="str">
        <f t="array" ref="J1581:N1581">_xlfn.XLOOKUP(A1581,Productos!$A$2:$A$61,Productos!$B$2:$F$61)</f>
        <v>Playera estampada</v>
      </c>
      <c r="K1581" s="2" t="s">
        <v>17</v>
      </c>
      <c r="L1581" s="2" t="s">
        <v>10</v>
      </c>
      <c r="M1581" s="2" t="s">
        <v>37</v>
      </c>
      <c r="N1581" s="2" t="s">
        <v>38</v>
      </c>
    </row>
    <row r="1582">
      <c r="A1582" s="2" t="str">
        <f>IFERROR(__xludf.DUMMYFUNCTION("""COMPUTED_VALUE"""),"PR013")</f>
        <v>PR013</v>
      </c>
      <c r="B1582" s="2" t="str">
        <f>IFERROR(__xludf.DUMMYFUNCTION("""COMPUTED_VALUE"""),"VD036")</f>
        <v>VD036</v>
      </c>
      <c r="C1582" s="2">
        <f>IFERROR(__xludf.DUMMYFUNCTION("""COMPUTED_VALUE"""),16.0)</f>
        <v>16</v>
      </c>
      <c r="D1582" s="6">
        <f>IFERROR(__xludf.DUMMYFUNCTION("""COMPUTED_VALUE"""),670.32)</f>
        <v>670.32</v>
      </c>
      <c r="E1582" s="6">
        <f>IFERROR(__xludf.DUMMYFUNCTION("GOOGLEFINANCE(""Currency:BRLMXN"")*D1582"),2277.4122)</f>
        <v>2277.4122</v>
      </c>
      <c r="F1582" s="6">
        <f>IFERROR(__xludf.DUMMYFUNCTION("GOOGLEFINANCE(""Currency:BRLPEN"")*D1582"),439.461792)</f>
        <v>439.461792</v>
      </c>
      <c r="G1582" s="2" t="str">
        <f t="array" ref="G1582">_xlfn.XLOOKUP(B1582,Vendedores!$A$2:$A$41,Vendedores!$B$2:$B$41,"No hay datos")</f>
        <v>Ricardo Sosa</v>
      </c>
      <c r="H1582" s="2" t="str">
        <f t="array" ref="H1582">_xlfn.XLOOKUP(B1582,Vendedores!$A$2:$A$41,Vendedores!$C$2:$C$41,"No hay datos")</f>
        <v>Puerto Nuevo</v>
      </c>
      <c r="I1582" s="2" t="str">
        <f t="array" ref="I1582">_xlfn.XLOOKUP(B1582,Vendedores!$A$2:$A$41,Vendedores!$D$2:$D$41,"No hay datos")</f>
        <v>Región Central 2</v>
      </c>
      <c r="J1582" s="2" t="str">
        <f t="array" ref="J1582:N1582">_xlfn.XLOOKUP(A1582,Productos!$A$2:$A$61,Productos!$B$2:$F$61)</f>
        <v>Playera estampada</v>
      </c>
      <c r="K1582" s="2" t="s">
        <v>9</v>
      </c>
      <c r="L1582" s="2" t="s">
        <v>10</v>
      </c>
      <c r="M1582" s="2" t="s">
        <v>66</v>
      </c>
      <c r="N1582" s="2" t="s">
        <v>38</v>
      </c>
    </row>
    <row r="1583">
      <c r="A1583" s="2" t="str">
        <f>IFERROR(__xludf.DUMMYFUNCTION("""COMPUTED_VALUE"""),"PR001")</f>
        <v>PR001</v>
      </c>
      <c r="B1583" s="2" t="str">
        <f>IFERROR(__xludf.DUMMYFUNCTION("""COMPUTED_VALUE"""),"VD030")</f>
        <v>VD030</v>
      </c>
      <c r="C1583" s="2">
        <f>IFERROR(__xludf.DUMMYFUNCTION("""COMPUTED_VALUE"""),20.0)</f>
        <v>20</v>
      </c>
      <c r="D1583" s="6">
        <f>IFERROR(__xludf.DUMMYFUNCTION("""COMPUTED_VALUE"""),1423.44)</f>
        <v>1423.44</v>
      </c>
      <c r="E1583" s="6">
        <f>IFERROR(__xludf.DUMMYFUNCTION("GOOGLEFINANCE(""Currency:BRLMXN"")*D1583"),4836.1374000000005)</f>
        <v>4836.1374</v>
      </c>
      <c r="F1583" s="6">
        <f>IFERROR(__xludf.DUMMYFUNCTION("GOOGLEFINANCE(""Currency:BRLPEN"")*D1583"),933.207264)</f>
        <v>933.207264</v>
      </c>
      <c r="G1583" s="2" t="str">
        <f t="array" ref="G1583">_xlfn.XLOOKUP(B1583,Vendedores!$A$2:$A$41,Vendedores!$B$2:$B$41,"No hay datos")</f>
        <v>Leonardo Rojas</v>
      </c>
      <c r="H1583" s="2" t="str">
        <f t="array" ref="H1583">_xlfn.XLOOKUP(B1583,Vendedores!$A$2:$A$41,Vendedores!$C$2:$C$41,"No hay datos")</f>
        <v>Villa del Sol</v>
      </c>
      <c r="I1583" s="2" t="str">
        <f t="array" ref="I1583">_xlfn.XLOOKUP(B1583,Vendedores!$A$2:$A$41,Vendedores!$D$2:$D$41,"No hay datos")</f>
        <v>Región Central 2</v>
      </c>
      <c r="J1583" s="2" t="str">
        <f t="array" ref="J1583:N1583">_xlfn.XLOOKUP(A1583,Productos!$A$2:$A$61,Productos!$B$2:$F$61)</f>
        <v>Bermuda</v>
      </c>
      <c r="K1583" s="2" t="s">
        <v>9</v>
      </c>
      <c r="L1583" s="2" t="s">
        <v>10</v>
      </c>
      <c r="M1583" s="2" t="s">
        <v>11</v>
      </c>
      <c r="N1583" s="2" t="s">
        <v>12</v>
      </c>
    </row>
    <row r="1584">
      <c r="A1584" s="2" t="str">
        <f>IFERROR(__xludf.DUMMYFUNCTION("""COMPUTED_VALUE"""),"PR029")</f>
        <v>PR029</v>
      </c>
      <c r="B1584" s="2" t="str">
        <f>IFERROR(__xludf.DUMMYFUNCTION("""COMPUTED_VALUE"""),"VD024")</f>
        <v>VD024</v>
      </c>
      <c r="C1584" s="2">
        <f>IFERROR(__xludf.DUMMYFUNCTION("""COMPUTED_VALUE"""),4.0)</f>
        <v>4</v>
      </c>
      <c r="D1584" s="6">
        <f>IFERROR(__xludf.DUMMYFUNCTION("""COMPUTED_VALUE"""),1060.8)</f>
        <v>1060.8</v>
      </c>
      <c r="E1584" s="6">
        <f>IFERROR(__xludf.DUMMYFUNCTION("GOOGLEFINANCE(""Currency:BRLMXN"")*D1584"),3604.0679999999998)</f>
        <v>3604.068</v>
      </c>
      <c r="F1584" s="6">
        <f>IFERROR(__xludf.DUMMYFUNCTION("GOOGLEFINANCE(""Currency:BRLPEN"")*D1584"),695.46048)</f>
        <v>695.46048</v>
      </c>
      <c r="G1584" s="2" t="str">
        <f t="array" ref="G1584">_xlfn.XLOOKUP(B1584,Vendedores!$A$2:$A$41,Vendedores!$B$2:$B$41,"No hay datos")</f>
        <v>Marcos Rivera</v>
      </c>
      <c r="H1584" s="2" t="str">
        <f t="array" ref="H1584">_xlfn.XLOOKUP(B1584,Vendedores!$A$2:$A$41,Vendedores!$C$2:$C$41,"No hay datos")</f>
        <v>Santa Rosa del Valle</v>
      </c>
      <c r="I1584" s="2" t="str">
        <f t="array" ref="I1584">_xlfn.XLOOKUP(B1584,Vendedores!$A$2:$A$41,Vendedores!$D$2:$D$41,"No hay datos")</f>
        <v>Región Norte</v>
      </c>
      <c r="J1584" s="2" t="str">
        <f t="array" ref="J1584:N1584">_xlfn.XLOOKUP(A1584,Productos!$A$2:$A$61,Productos!$B$2:$F$61)</f>
        <v>Tenis Atitas</v>
      </c>
      <c r="K1584" s="2">
        <v>37.0</v>
      </c>
      <c r="L1584" s="2" t="s">
        <v>33</v>
      </c>
      <c r="M1584" s="2" t="s">
        <v>96</v>
      </c>
      <c r="N1584" s="2" t="s">
        <v>97</v>
      </c>
    </row>
    <row r="1585">
      <c r="A1585" s="2" t="str">
        <f>IFERROR(__xludf.DUMMYFUNCTION("""COMPUTED_VALUE"""),"PR008")</f>
        <v>PR008</v>
      </c>
      <c r="B1585" s="2" t="str">
        <f>IFERROR(__xludf.DUMMYFUNCTION("""COMPUTED_VALUE"""),"VD014")</f>
        <v>VD014</v>
      </c>
      <c r="C1585" s="2">
        <f>IFERROR(__xludf.DUMMYFUNCTION("""COMPUTED_VALUE"""),10.0)</f>
        <v>10</v>
      </c>
      <c r="D1585" s="6">
        <f>IFERROR(__xludf.DUMMYFUNCTION("""COMPUTED_VALUE"""),899.0)</f>
        <v>899</v>
      </c>
      <c r="E1585" s="6">
        <f>IFERROR(__xludf.DUMMYFUNCTION("GOOGLEFINANCE(""Currency:BRLMXN"")*D1585"),3054.3525)</f>
        <v>3054.3525</v>
      </c>
      <c r="F1585" s="6">
        <f>IFERROR(__xludf.DUMMYFUNCTION("GOOGLEFINANCE(""Currency:BRLPEN"")*D1585"),589.3843999999999)</f>
        <v>589.3844</v>
      </c>
      <c r="G1585" s="2" t="str">
        <f t="array" ref="G1585">_xlfn.XLOOKUP(B1585,Vendedores!$A$2:$A$41,Vendedores!$B$2:$B$41,"No hay datos")</f>
        <v>Carla Flores</v>
      </c>
      <c r="H1585" s="2" t="str">
        <f t="array" ref="H1585">_xlfn.XLOOKUP(B1585,Vendedores!$A$2:$A$41,Vendedores!$C$2:$C$41,"No hay datos")</f>
        <v>Valle Escondido</v>
      </c>
      <c r="I1585" s="2" t="str">
        <f t="array" ref="I1585">_xlfn.XLOOKUP(B1585,Vendedores!$A$2:$A$41,Vendedores!$D$2:$D$41,"No hay datos")</f>
        <v>Región Andina</v>
      </c>
      <c r="J1585" s="2" t="str">
        <f t="array" ref="J1585:N1585">_xlfn.XLOOKUP(A1585,Productos!$A$2:$A$61,Productos!$B$2:$F$61)</f>
        <v>Pantalón de mezclilla</v>
      </c>
      <c r="K1585" s="2" t="s">
        <v>17</v>
      </c>
      <c r="L1585" s="2" t="s">
        <v>10</v>
      </c>
      <c r="M1585" s="2" t="s">
        <v>65</v>
      </c>
      <c r="N1585" s="2" t="s">
        <v>35</v>
      </c>
    </row>
    <row r="1586">
      <c r="A1586" s="2" t="str">
        <f>IFERROR(__xludf.DUMMYFUNCTION("""COMPUTED_VALUE"""),"PR004")</f>
        <v>PR004</v>
      </c>
      <c r="B1586" s="2" t="str">
        <f>IFERROR(__xludf.DUMMYFUNCTION("""COMPUTED_VALUE"""),"VD042")</f>
        <v>VD042</v>
      </c>
      <c r="C1586" s="2">
        <f>IFERROR(__xludf.DUMMYFUNCTION("""COMPUTED_VALUE"""),2.0)</f>
        <v>2</v>
      </c>
      <c r="D1586" s="6">
        <f>IFERROR(__xludf.DUMMYFUNCTION("""COMPUTED_VALUE"""),301.6)</f>
        <v>301.6</v>
      </c>
      <c r="E1586" s="6">
        <f>IFERROR(__xludf.DUMMYFUNCTION("GOOGLEFINANCE(""Currency:BRLMXN"")*D1586"),1024.6860000000001)</f>
        <v>1024.686</v>
      </c>
      <c r="F1586" s="6">
        <f>IFERROR(__xludf.DUMMYFUNCTION("GOOGLEFINANCE(""Currency:BRLPEN"")*D1586"),197.72896)</f>
        <v>197.72896</v>
      </c>
      <c r="G1586" s="2" t="str">
        <f t="array" ref="G1586">_xlfn.XLOOKUP(B1586,Vendedores!$A$2:$A$41,Vendedores!$B$2:$B$41,"No hay datos")</f>
        <v>Priscila Duarte</v>
      </c>
      <c r="H1586" s="2" t="str">
        <f t="array" ref="H1586">_xlfn.XLOOKUP(B1586,Vendedores!$A$2:$A$41,Vendedores!$C$2:$C$41,"No hay datos")</f>
        <v>Villa Comercial</v>
      </c>
      <c r="I1586" s="2" t="str">
        <f t="array" ref="I1586">_xlfn.XLOOKUP(B1586,Vendedores!$A$2:$A$41,Vendedores!$D$2:$D$41,"No hay datos")</f>
        <v>Región Central 2</v>
      </c>
      <c r="J1586" s="2" t="str">
        <f t="array" ref="J1586:N1586">_xlfn.XLOOKUP(A1586,Productos!$A$2:$A$61,Productos!$B$2:$F$61)</f>
        <v>Bolso versátil</v>
      </c>
      <c r="K1586" s="2" t="s">
        <v>29</v>
      </c>
      <c r="L1586" s="2" t="s">
        <v>30</v>
      </c>
      <c r="M1586" s="2" t="s">
        <v>59</v>
      </c>
      <c r="N1586" s="2" t="s">
        <v>60</v>
      </c>
    </row>
    <row r="1587">
      <c r="A1587" s="2" t="str">
        <f>IFERROR(__xludf.DUMMYFUNCTION("""COMPUTED_VALUE"""),"PR007")</f>
        <v>PR007</v>
      </c>
      <c r="B1587" s="2" t="str">
        <f>IFERROR(__xludf.DUMMYFUNCTION("""COMPUTED_VALUE"""),"VD045")</f>
        <v>VD045</v>
      </c>
      <c r="C1587" s="2">
        <f>IFERROR(__xludf.DUMMYFUNCTION("""COMPUTED_VALUE"""),14.0)</f>
        <v>14</v>
      </c>
      <c r="D1587" s="6">
        <f>IFERROR(__xludf.DUMMYFUNCTION("""COMPUTED_VALUE"""),1226.65)</f>
        <v>1226.65</v>
      </c>
      <c r="E1587" s="6">
        <f>IFERROR(__xludf.DUMMYFUNCTION("GOOGLEFINANCE(""Currency:BRLMXN"")*D1587"),4167.543375)</f>
        <v>4167.543375</v>
      </c>
      <c r="F1587" s="6">
        <f>IFERROR(__xludf.DUMMYFUNCTION("GOOGLEFINANCE(""Currency:BRLPEN"")*D1587"),804.19174)</f>
        <v>804.19174</v>
      </c>
      <c r="G1587" s="2" t="str">
        <f t="array" ref="G1587">_xlfn.XLOOKUP(B1587,Vendedores!$A$2:$A$41,Vendedores!$B$2:$B$41,"No hay datos")</f>
        <v>Rafael Morales</v>
      </c>
      <c r="H1587" s="2" t="str">
        <f t="array" ref="H1587">_xlfn.XLOOKUP(B1587,Vendedores!$A$2:$A$41,Vendedores!$C$2:$C$41,"No hay datos")</f>
        <v>Valle Dorado</v>
      </c>
      <c r="I1587" s="2" t="str">
        <f t="array" ref="I1587">_xlfn.XLOOKUP(B1587,Vendedores!$A$2:$A$41,Vendedores!$D$2:$D$41,"No hay datos")</f>
        <v>Región Central 2</v>
      </c>
      <c r="J1587" s="2" t="str">
        <f t="array" ref="J1587:N1587">_xlfn.XLOOKUP(A1587,Productos!$A$2:$A$61,Productos!$B$2:$F$61)</f>
        <v>Pantalón de mezclilla</v>
      </c>
      <c r="K1587" s="2" t="s">
        <v>9</v>
      </c>
      <c r="L1587" s="2" t="s">
        <v>10</v>
      </c>
      <c r="M1587" s="2" t="s">
        <v>103</v>
      </c>
      <c r="N1587" s="2" t="s">
        <v>104</v>
      </c>
    </row>
    <row r="1588">
      <c r="A1588" s="2" t="str">
        <f>IFERROR(__xludf.DUMMYFUNCTION("""COMPUTED_VALUE"""),"PR060")</f>
        <v>PR060</v>
      </c>
      <c r="B1588" s="2" t="str">
        <f>IFERROR(__xludf.DUMMYFUNCTION("""COMPUTED_VALUE"""),"VD011")</f>
        <v>VD011</v>
      </c>
      <c r="C1588" s="2">
        <f>IFERROR(__xludf.DUMMYFUNCTION("""COMPUTED_VALUE"""),10.0)</f>
        <v>10</v>
      </c>
      <c r="D1588" s="6">
        <f>IFERROR(__xludf.DUMMYFUNCTION("""COMPUTED_VALUE"""),1926.0)</f>
        <v>1926</v>
      </c>
      <c r="E1588" s="6">
        <f>IFERROR(__xludf.DUMMYFUNCTION("GOOGLEFINANCE(""Currency:BRLMXN"")*D1588"),6543.585)</f>
        <v>6543.585</v>
      </c>
      <c r="F1588" s="6">
        <f>IFERROR(__xludf.DUMMYFUNCTION("GOOGLEFINANCE(""Currency:BRLPEN"")*D1588"),1262.6856)</f>
        <v>1262.6856</v>
      </c>
      <c r="G1588" s="2" t="str">
        <f t="array" ref="G1588">_xlfn.XLOOKUP(B1588,Vendedores!$A$2:$A$41,Vendedores!$B$2:$B$41,"No hay datos")</f>
        <v>Juan Santos</v>
      </c>
      <c r="H1588" s="2" t="str">
        <f t="array" ref="H1588">_xlfn.XLOOKUP(B1588,Vendedores!$A$2:$A$41,Vendedores!$C$2:$C$41,"No hay datos")</f>
        <v>Vista Hermosa</v>
      </c>
      <c r="I1588" s="2" t="str">
        <f t="array" ref="I1588">_xlfn.XLOOKUP(B1588,Vendedores!$A$2:$A$41,Vendedores!$D$2:$D$41,"No hay datos")</f>
        <v>Región Central</v>
      </c>
      <c r="J1588" s="2" t="str">
        <f t="array" ref="J1588:N1588">_xlfn.XLOOKUP(A1588,Productos!$A$2:$A$61,Productos!$B$2:$F$61)</f>
        <v>Pantalón de sastre</v>
      </c>
      <c r="K1588" s="2" t="s">
        <v>22</v>
      </c>
      <c r="L1588" s="2" t="s">
        <v>10</v>
      </c>
      <c r="M1588" s="2" t="s">
        <v>75</v>
      </c>
      <c r="N1588" s="2" t="s">
        <v>14</v>
      </c>
    </row>
    <row r="1589">
      <c r="A1589" s="2" t="str">
        <f>IFERROR(__xludf.DUMMYFUNCTION("""COMPUTED_VALUE"""),"PR057")</f>
        <v>PR057</v>
      </c>
      <c r="B1589" s="2" t="str">
        <f>IFERROR(__xludf.DUMMYFUNCTION("""COMPUTED_VALUE"""),"VD036")</f>
        <v>VD036</v>
      </c>
      <c r="C1589" s="2">
        <f>IFERROR(__xludf.DUMMYFUNCTION("""COMPUTED_VALUE"""),10.0)</f>
        <v>10</v>
      </c>
      <c r="D1589" s="6">
        <f>IFERROR(__xludf.DUMMYFUNCTION("""COMPUTED_VALUE"""),979.91)</f>
        <v>979.91</v>
      </c>
      <c r="E1589" s="6">
        <f>IFERROR(__xludf.DUMMYFUNCTION("GOOGLEFINANCE(""Currency:BRLMXN"")*D1589"),3329.244225)</f>
        <v>3329.244225</v>
      </c>
      <c r="F1589" s="6">
        <f>IFERROR(__xludf.DUMMYFUNCTION("GOOGLEFINANCE(""Currency:BRLPEN"")*D1589"),642.428996)</f>
        <v>642.428996</v>
      </c>
      <c r="G1589" s="2" t="str">
        <f t="array" ref="G1589">_xlfn.XLOOKUP(B1589,Vendedores!$A$2:$A$41,Vendedores!$B$2:$B$41,"No hay datos")</f>
        <v>Ricardo Sosa</v>
      </c>
      <c r="H1589" s="2" t="str">
        <f t="array" ref="H1589">_xlfn.XLOOKUP(B1589,Vendedores!$A$2:$A$41,Vendedores!$C$2:$C$41,"No hay datos")</f>
        <v>Puerto Nuevo</v>
      </c>
      <c r="I1589" s="2" t="str">
        <f t="array" ref="I1589">_xlfn.XLOOKUP(B1589,Vendedores!$A$2:$A$41,Vendedores!$D$2:$D$41,"No hay datos")</f>
        <v>Región Central 2</v>
      </c>
      <c r="J1589" s="2" t="str">
        <f t="array" ref="J1589:N1589">_xlfn.XLOOKUP(A1589,Productos!$A$2:$A$61,Productos!$B$2:$F$61)</f>
        <v>Sandalia plana</v>
      </c>
      <c r="K1589" s="2">
        <v>37.0</v>
      </c>
      <c r="L1589" s="2" t="s">
        <v>33</v>
      </c>
      <c r="M1589" s="2" t="s">
        <v>58</v>
      </c>
      <c r="N1589" s="2" t="s">
        <v>35</v>
      </c>
    </row>
    <row r="1590">
      <c r="A1590" s="2" t="str">
        <f>IFERROR(__xludf.DUMMYFUNCTION("""COMPUTED_VALUE"""),"PR036")</f>
        <v>PR036</v>
      </c>
      <c r="B1590" s="2" t="str">
        <f>IFERROR(__xludf.DUMMYFUNCTION("""COMPUTED_VALUE"""),"VD017")</f>
        <v>VD017</v>
      </c>
      <c r="C1590" s="2">
        <f>IFERROR(__xludf.DUMMYFUNCTION("""COMPUTED_VALUE"""),10.0)</f>
        <v>10</v>
      </c>
      <c r="D1590" s="6">
        <f>IFERROR(__xludf.DUMMYFUNCTION("""COMPUTED_VALUE"""),981.75)</f>
        <v>981.75</v>
      </c>
      <c r="E1590" s="6">
        <f>IFERROR(__xludf.DUMMYFUNCTION("GOOGLEFINANCE(""Currency:BRLMXN"")*D1590"),3335.495625)</f>
        <v>3335.495625</v>
      </c>
      <c r="F1590" s="6">
        <f>IFERROR(__xludf.DUMMYFUNCTION("GOOGLEFINANCE(""Currency:BRLPEN"")*D1590"),643.6352999999999)</f>
        <v>643.6353</v>
      </c>
      <c r="G1590" s="2" t="str">
        <f t="array" ref="G1590">_xlfn.XLOOKUP(B1590,Vendedores!$A$2:$A$41,Vendedores!$B$2:$B$41,"No hay datos")</f>
        <v>Bruno Peralta</v>
      </c>
      <c r="H1590" s="2" t="str">
        <f t="array" ref="H1590">_xlfn.XLOOKUP(B1590,Vendedores!$A$2:$A$41,Vendedores!$C$2:$C$41,"No hay datos")</f>
        <v>Costa Azul</v>
      </c>
      <c r="I1590" s="2" t="str">
        <f t="array" ref="I1590">_xlfn.XLOOKUP(B1590,Vendedores!$A$2:$A$41,Vendedores!$D$2:$D$41,"No hay datos")</f>
        <v>Región Norte</v>
      </c>
      <c r="J1590" s="2" t="str">
        <f t="array" ref="J1590:N1590">_xlfn.XLOOKUP(A1590,Productos!$A$2:$A$61,Productos!$B$2:$F$61)</f>
        <v>Vestido corto</v>
      </c>
      <c r="K1590" s="2" t="s">
        <v>22</v>
      </c>
      <c r="L1590" s="2" t="s">
        <v>10</v>
      </c>
      <c r="M1590" s="2" t="s">
        <v>82</v>
      </c>
      <c r="N1590" s="2" t="s">
        <v>83</v>
      </c>
    </row>
    <row r="1591">
      <c r="A1591" s="2" t="str">
        <f>IFERROR(__xludf.DUMMYFUNCTION("""COMPUTED_VALUE"""),"PR045")</f>
        <v>PR045</v>
      </c>
      <c r="B1591" s="2" t="str">
        <f>IFERROR(__xludf.DUMMYFUNCTION("""COMPUTED_VALUE"""),"VD019")</f>
        <v>VD019</v>
      </c>
      <c r="C1591" s="2">
        <f>IFERROR(__xludf.DUMMYFUNCTION("""COMPUTED_VALUE"""),4.0)</f>
        <v>4</v>
      </c>
      <c r="D1591" s="6">
        <f>IFERROR(__xludf.DUMMYFUNCTION("""COMPUTED_VALUE"""),292.9)</f>
        <v>292.9</v>
      </c>
      <c r="E1591" s="6">
        <f>IFERROR(__xludf.DUMMYFUNCTION("GOOGLEFINANCE(""Currency:BRLMXN"")*D1591"),995.1277499999999)</f>
        <v>995.12775</v>
      </c>
      <c r="F1591" s="6">
        <f>IFERROR(__xludf.DUMMYFUNCTION("GOOGLEFINANCE(""Currency:BRLPEN"")*D1591"),192.02523999999997)</f>
        <v>192.02524</v>
      </c>
      <c r="G1591" s="2" t="str">
        <f t="array" ref="G1591">_xlfn.XLOOKUP(B1591,Vendedores!$A$2:$A$41,Vendedores!$B$2:$B$41,"No hay datos")</f>
        <v>Rafael Sosa</v>
      </c>
      <c r="H1591" s="2" t="str">
        <f t="array" ref="H1591">_xlfn.XLOOKUP(B1591,Vendedores!$A$2:$A$41,Vendedores!$C$2:$C$41,"No hay datos")</f>
        <v>Selva Verde</v>
      </c>
      <c r="I1591" s="2" t="str">
        <f t="array" ref="I1591">_xlfn.XLOOKUP(B1591,Vendedores!$A$2:$A$41,Vendedores!$D$2:$D$41,"No hay datos")</f>
        <v>Región Amazónica</v>
      </c>
      <c r="J1591" s="2" t="str">
        <f t="array" ref="J1591:N1591">_xlfn.XLOOKUP(A1591,Productos!$A$2:$A$61,Productos!$B$2:$F$61)</f>
        <v>Vestido floral</v>
      </c>
      <c r="K1591" s="2" t="s">
        <v>22</v>
      </c>
      <c r="L1591" s="2" t="s">
        <v>10</v>
      </c>
      <c r="M1591" s="2" t="s">
        <v>39</v>
      </c>
      <c r="N1591" s="2" t="s">
        <v>40</v>
      </c>
    </row>
    <row r="1592">
      <c r="A1592" s="2" t="str">
        <f>IFERROR(__xludf.DUMMYFUNCTION("""COMPUTED_VALUE"""),"PR058")</f>
        <v>PR058</v>
      </c>
      <c r="B1592" s="2" t="str">
        <f>IFERROR(__xludf.DUMMYFUNCTION("""COMPUTED_VALUE"""),"VD029")</f>
        <v>VD029</v>
      </c>
      <c r="C1592" s="2">
        <f>IFERROR(__xludf.DUMMYFUNCTION("""COMPUTED_VALUE"""),18.0)</f>
        <v>18</v>
      </c>
      <c r="D1592" s="6">
        <f>IFERROR(__xludf.DUMMYFUNCTION("""COMPUTED_VALUE"""),3434.4)</f>
        <v>3434.4</v>
      </c>
      <c r="E1592" s="6">
        <f>IFERROR(__xludf.DUMMYFUNCTION("GOOGLEFINANCE(""Currency:BRLMXN"")*D1592"),11668.374)</f>
        <v>11668.374</v>
      </c>
      <c r="F1592" s="6">
        <f>IFERROR(__xludf.DUMMYFUNCTION("GOOGLEFINANCE(""Currency:BRLPEN"")*D1592"),2251.59264)</f>
        <v>2251.59264</v>
      </c>
      <c r="G1592" s="2" t="str">
        <f t="array" ref="G1592">_xlfn.XLOOKUP(B1592,Vendedores!$A$2:$A$41,Vendedores!$B$2:$B$41,"No hay datos")</f>
        <v>Gabriela Sosa</v>
      </c>
      <c r="H1592" s="2" t="str">
        <f t="array" ref="H1592">_xlfn.XLOOKUP(B1592,Vendedores!$A$2:$A$41,Vendedores!$C$2:$C$41,"No hay datos")</f>
        <v>Selva Verde</v>
      </c>
      <c r="I1592" s="2" t="str">
        <f t="array" ref="I1592">_xlfn.XLOOKUP(B1592,Vendedores!$A$2:$A$41,Vendedores!$D$2:$D$41,"No hay datos")</f>
        <v>Región Amazónica</v>
      </c>
      <c r="J1592" s="2" t="str">
        <f t="array" ref="J1592:N1592">_xlfn.XLOOKUP(A1592,Productos!$A$2:$A$61,Productos!$B$2:$F$61)</f>
        <v>Pantalón de sastre</v>
      </c>
      <c r="K1592" s="2" t="s">
        <v>9</v>
      </c>
      <c r="L1592" s="2" t="s">
        <v>10</v>
      </c>
      <c r="M1592" s="2" t="s">
        <v>13</v>
      </c>
      <c r="N1592" s="2" t="s">
        <v>14</v>
      </c>
    </row>
    <row r="1593">
      <c r="A1593" s="2" t="str">
        <f>IFERROR(__xludf.DUMMYFUNCTION("""COMPUTED_VALUE"""),"PR010")</f>
        <v>PR010</v>
      </c>
      <c r="B1593" s="2" t="str">
        <f>IFERROR(__xludf.DUMMYFUNCTION("""COMPUTED_VALUE"""),"VD046")</f>
        <v>VD046</v>
      </c>
      <c r="C1593" s="2">
        <f>IFERROR(__xludf.DUMMYFUNCTION("""COMPUTED_VALUE"""),14.0)</f>
        <v>14</v>
      </c>
      <c r="D1593" s="6">
        <f>IFERROR(__xludf.DUMMYFUNCTION("""COMPUTED_VALUE"""),666.32)</f>
        <v>666.32</v>
      </c>
      <c r="E1593" s="6">
        <f>IFERROR(__xludf.DUMMYFUNCTION("GOOGLEFINANCE(""Currency:BRLMXN"")*D1593"),2263.8222)</f>
        <v>2263.8222</v>
      </c>
      <c r="F1593" s="6">
        <f>IFERROR(__xludf.DUMMYFUNCTION("GOOGLEFINANCE(""Currency:BRLPEN"")*D1593"),436.83939200000003)</f>
        <v>436.839392</v>
      </c>
      <c r="G1593" s="2" t="str">
        <f t="array" ref="G1593">_xlfn.XLOOKUP(B1593,Vendedores!$A$2:$A$41,Vendedores!$B$2:$B$41,"No hay datos")</f>
        <v>Juliana Pérez</v>
      </c>
      <c r="H1593" s="2" t="str">
        <f t="array" ref="H1593">_xlfn.XLOOKUP(B1593,Vendedores!$A$2:$A$41,Vendedores!$C$2:$C$41,"No hay datos")</f>
        <v>Santa Cruz de la Sierra</v>
      </c>
      <c r="I1593" s="2" t="str">
        <f t="array" ref="I1593">_xlfn.XLOOKUP(B1593,Vendedores!$A$2:$A$41,Vendedores!$D$2:$D$41,"No hay datos")</f>
        <v>Región Central 2</v>
      </c>
      <c r="J1593" s="2" t="str">
        <f t="array" ref="J1593:N1593">_xlfn.XLOOKUP(A1593,Productos!$A$2:$A$61,Productos!$B$2:$F$61)</f>
        <v>Pantalón legging</v>
      </c>
      <c r="K1593" s="2" t="s">
        <v>9</v>
      </c>
      <c r="L1593" s="2" t="s">
        <v>10</v>
      </c>
      <c r="M1593" s="2" t="s">
        <v>86</v>
      </c>
      <c r="N1593" s="2" t="s">
        <v>87</v>
      </c>
    </row>
    <row r="1594">
      <c r="A1594" s="2" t="str">
        <f>IFERROR(__xludf.DUMMYFUNCTION("""COMPUTED_VALUE"""),"PR036")</f>
        <v>PR036</v>
      </c>
      <c r="B1594" s="2" t="str">
        <f>IFERROR(__xludf.DUMMYFUNCTION("""COMPUTED_VALUE"""),"VD017")</f>
        <v>VD017</v>
      </c>
      <c r="C1594" s="2">
        <f>IFERROR(__xludf.DUMMYFUNCTION("""COMPUTED_VALUE"""),5.0)</f>
        <v>5</v>
      </c>
      <c r="D1594" s="6">
        <f>IFERROR(__xludf.DUMMYFUNCTION("""COMPUTED_VALUE"""),486.2)</f>
        <v>486.2</v>
      </c>
      <c r="E1594" s="6">
        <f>IFERROR(__xludf.DUMMYFUNCTION("GOOGLEFINANCE(""Currency:BRLMXN"")*D1594"),1651.8645)</f>
        <v>1651.8645</v>
      </c>
      <c r="F1594" s="6">
        <f>IFERROR(__xludf.DUMMYFUNCTION("GOOGLEFINANCE(""Currency:BRLPEN"")*D1594"),318.75271999999995)</f>
        <v>318.75272</v>
      </c>
      <c r="G1594" s="2" t="str">
        <f t="array" ref="G1594">_xlfn.XLOOKUP(B1594,Vendedores!$A$2:$A$41,Vendedores!$B$2:$B$41,"No hay datos")</f>
        <v>Bruno Peralta</v>
      </c>
      <c r="H1594" s="2" t="str">
        <f t="array" ref="H1594">_xlfn.XLOOKUP(B1594,Vendedores!$A$2:$A$41,Vendedores!$C$2:$C$41,"No hay datos")</f>
        <v>Costa Azul</v>
      </c>
      <c r="I1594" s="2" t="str">
        <f t="array" ref="I1594">_xlfn.XLOOKUP(B1594,Vendedores!$A$2:$A$41,Vendedores!$D$2:$D$41,"No hay datos")</f>
        <v>Región Norte</v>
      </c>
      <c r="J1594" s="2" t="str">
        <f t="array" ref="J1594:N1594">_xlfn.XLOOKUP(A1594,Productos!$A$2:$A$61,Productos!$B$2:$F$61)</f>
        <v>Vestido corto</v>
      </c>
      <c r="K1594" s="2" t="s">
        <v>22</v>
      </c>
      <c r="L1594" s="2" t="s">
        <v>10</v>
      </c>
      <c r="M1594" s="2" t="s">
        <v>82</v>
      </c>
      <c r="N1594" s="2" t="s">
        <v>83</v>
      </c>
    </row>
    <row r="1595">
      <c r="A1595" s="2" t="str">
        <f>IFERROR(__xludf.DUMMYFUNCTION("""COMPUTED_VALUE"""),"PR014")</f>
        <v>PR014</v>
      </c>
      <c r="B1595" s="2" t="str">
        <f>IFERROR(__xludf.DUMMYFUNCTION("""COMPUTED_VALUE"""),"VD048")</f>
        <v>VD048</v>
      </c>
      <c r="C1595" s="2">
        <f>IFERROR(__xludf.DUMMYFUNCTION("""COMPUTED_VALUE"""),4.0)</f>
        <v>4</v>
      </c>
      <c r="D1595" s="6">
        <f>IFERROR(__xludf.DUMMYFUNCTION("""COMPUTED_VALUE"""),172.37)</f>
        <v>172.37</v>
      </c>
      <c r="E1595" s="6">
        <f>IFERROR(__xludf.DUMMYFUNCTION("GOOGLEFINANCE(""Currency:BRLMXN"")*D1595"),585.627075)</f>
        <v>585.627075</v>
      </c>
      <c r="F1595" s="6">
        <f>IFERROR(__xludf.DUMMYFUNCTION("GOOGLEFINANCE(""Currency:BRLPEN"")*D1595"),113.005772)</f>
        <v>113.005772</v>
      </c>
      <c r="G1595" s="2" t="str">
        <f t="array" ref="G1595">_xlfn.XLOOKUP(B1595,Vendedores!$A$2:$A$41,Vendedores!$B$2:$B$41,"No hay datos")</f>
        <v>Mariana Castro</v>
      </c>
      <c r="H1595" s="2" t="str">
        <f t="array" ref="H1595">_xlfn.XLOOKUP(B1595,Vendedores!$A$2:$A$41,Vendedores!$C$2:$C$41,"No hay datos")</f>
        <v>San Carlos del Valle</v>
      </c>
      <c r="I1595" s="2" t="str">
        <f t="array" ref="I1595">_xlfn.XLOOKUP(B1595,Vendedores!$A$2:$A$41,Vendedores!$D$2:$D$41,"No hay datos")</f>
        <v>Región Central 2</v>
      </c>
      <c r="J1595" s="2" t="str">
        <f t="array" ref="J1595:N1595">_xlfn.XLOOKUP(A1595,Productos!$A$2:$A$61,Productos!$B$2:$F$61)</f>
        <v>Playera estampada</v>
      </c>
      <c r="K1595" s="2" t="s">
        <v>17</v>
      </c>
      <c r="L1595" s="2" t="s">
        <v>10</v>
      </c>
      <c r="M1595" s="2" t="s">
        <v>37</v>
      </c>
      <c r="N1595" s="2" t="s">
        <v>38</v>
      </c>
    </row>
    <row r="1596">
      <c r="A1596" s="2" t="str">
        <f>IFERROR(__xludf.DUMMYFUNCTION("""COMPUTED_VALUE"""),"PR041")</f>
        <v>PR041</v>
      </c>
      <c r="B1596" s="2" t="str">
        <f>IFERROR(__xludf.DUMMYFUNCTION("""COMPUTED_VALUE"""),"VD042")</f>
        <v>VD042</v>
      </c>
      <c r="C1596" s="2">
        <f>IFERROR(__xludf.DUMMYFUNCTION("""COMPUTED_VALUE"""),2.0)</f>
        <v>2</v>
      </c>
      <c r="D1596" s="6">
        <f>IFERROR(__xludf.DUMMYFUNCTION("""COMPUTED_VALUE"""),120.78)</f>
        <v>120.78</v>
      </c>
      <c r="E1596" s="6">
        <f>IFERROR(__xludf.DUMMYFUNCTION("GOOGLEFINANCE(""Currency:BRLMXN"")*D1596"),410.35005)</f>
        <v>410.35005</v>
      </c>
      <c r="F1596" s="6">
        <f>IFERROR(__xludf.DUMMYFUNCTION("GOOGLEFINANCE(""Currency:BRLPEN"")*D1596"),79.183368)</f>
        <v>79.183368</v>
      </c>
      <c r="G1596" s="2" t="str">
        <f t="array" ref="G1596">_xlfn.XLOOKUP(B1596,Vendedores!$A$2:$A$41,Vendedores!$B$2:$B$41,"No hay datos")</f>
        <v>Priscila Duarte</v>
      </c>
      <c r="H1596" s="2" t="str">
        <f t="array" ref="H1596">_xlfn.XLOOKUP(B1596,Vendedores!$A$2:$A$41,Vendedores!$C$2:$C$41,"No hay datos")</f>
        <v>Villa Comercial</v>
      </c>
      <c r="I1596" s="2" t="str">
        <f t="array" ref="I1596">_xlfn.XLOOKUP(B1596,Vendedores!$A$2:$A$41,Vendedores!$D$2:$D$41,"No hay datos")</f>
        <v>Región Central 2</v>
      </c>
      <c r="J1596" s="2" t="str">
        <f t="array" ref="J1596:N1596">_xlfn.XLOOKUP(A1596,Productos!$A$2:$A$61,Productos!$B$2:$F$61)</f>
        <v>Playera confort</v>
      </c>
      <c r="K1596" s="2" t="s">
        <v>17</v>
      </c>
      <c r="L1596" s="2" t="s">
        <v>10</v>
      </c>
      <c r="M1596" s="2" t="s">
        <v>95</v>
      </c>
      <c r="N1596" s="2" t="s">
        <v>26</v>
      </c>
    </row>
    <row r="1597">
      <c r="A1597" s="2" t="str">
        <f>IFERROR(__xludf.DUMMYFUNCTION("""COMPUTED_VALUE"""),"PR019")</f>
        <v>PR019</v>
      </c>
      <c r="B1597" s="2" t="str">
        <f>IFERROR(__xludf.DUMMYFUNCTION("""COMPUTED_VALUE"""),"VD034")</f>
        <v>VD034</v>
      </c>
      <c r="C1597" s="2">
        <f>IFERROR(__xludf.DUMMYFUNCTION("""COMPUTED_VALUE"""),7.0)</f>
        <v>7</v>
      </c>
      <c r="D1597" s="6">
        <f>IFERROR(__xludf.DUMMYFUNCTION("""COMPUTED_VALUE"""),373.75)</f>
        <v>373.75</v>
      </c>
      <c r="E1597" s="6">
        <f>IFERROR(__xludf.DUMMYFUNCTION("GOOGLEFINANCE(""Currency:BRLMXN"")*D1597"),1269.815625)</f>
        <v>1269.815625</v>
      </c>
      <c r="F1597" s="6">
        <f>IFERROR(__xludf.DUMMYFUNCTION("GOOGLEFINANCE(""Currency:BRLPEN"")*D1597"),245.0305)</f>
        <v>245.0305</v>
      </c>
      <c r="G1597" s="2" t="str">
        <f t="array" ref="G1597">_xlfn.XLOOKUP(B1597,Vendedores!$A$2:$A$41,Vendedores!$B$2:$B$41,"No hay datos")</f>
        <v>Felipe Carvajal</v>
      </c>
      <c r="H1597" s="2" t="str">
        <f t="array" ref="H1597">_xlfn.XLOOKUP(B1597,Vendedores!$A$2:$A$41,Vendedores!$C$2:$C$41,"No hay datos")</f>
        <v>San Pedro del Río</v>
      </c>
      <c r="I1597" s="2" t="str">
        <f t="array" ref="I1597">_xlfn.XLOOKUP(B1597,Vendedores!$A$2:$A$41,Vendedores!$D$2:$D$41,"No hay datos")</f>
        <v>Región Sur 2</v>
      </c>
      <c r="J1597" s="2" t="str">
        <f t="array" ref="J1597:N1597">_xlfn.XLOOKUP(A1597,Productos!$A$2:$A$61,Productos!$B$2:$F$61)</f>
        <v>Cinturón</v>
      </c>
      <c r="K1597" s="2" t="s">
        <v>29</v>
      </c>
      <c r="L1597" s="2" t="s">
        <v>30</v>
      </c>
      <c r="M1597" s="2" t="s">
        <v>31</v>
      </c>
      <c r="N1597" s="2" t="s">
        <v>32</v>
      </c>
    </row>
    <row r="1598">
      <c r="A1598" s="2" t="str">
        <f>IFERROR(__xludf.DUMMYFUNCTION("""COMPUTED_VALUE"""),"PR024")</f>
        <v>PR024</v>
      </c>
      <c r="B1598" s="2" t="str">
        <f>IFERROR(__xludf.DUMMYFUNCTION("""COMPUTED_VALUE"""),"VD048")</f>
        <v>VD048</v>
      </c>
      <c r="C1598" s="2">
        <f>IFERROR(__xludf.DUMMYFUNCTION("""COMPUTED_VALUE"""),3.0)</f>
        <v>3</v>
      </c>
      <c r="D1598" s="6">
        <f>IFERROR(__xludf.DUMMYFUNCTION("""COMPUTED_VALUE"""),795.29)</f>
        <v>795.29</v>
      </c>
      <c r="E1598" s="6">
        <f>IFERROR(__xludf.DUMMYFUNCTION("GOOGLEFINANCE(""Currency:BRLMXN"")*D1598"),2701.997775)</f>
        <v>2701.997775</v>
      </c>
      <c r="F1598" s="6">
        <f>IFERROR(__xludf.DUMMYFUNCTION("GOOGLEFINANCE(""Currency:BRLPEN"")*D1598"),521.392124)</f>
        <v>521.392124</v>
      </c>
      <c r="G1598" s="2" t="str">
        <f t="array" ref="G1598">_xlfn.XLOOKUP(B1598,Vendedores!$A$2:$A$41,Vendedores!$B$2:$B$41,"No hay datos")</f>
        <v>Mariana Castro</v>
      </c>
      <c r="H1598" s="2" t="str">
        <f t="array" ref="H1598">_xlfn.XLOOKUP(B1598,Vendedores!$A$2:$A$41,Vendedores!$C$2:$C$41,"No hay datos")</f>
        <v>San Carlos del Valle</v>
      </c>
      <c r="I1598" s="2" t="str">
        <f t="array" ref="I1598">_xlfn.XLOOKUP(B1598,Vendedores!$A$2:$A$41,Vendedores!$D$2:$D$41,"No hay datos")</f>
        <v>Región Central 2</v>
      </c>
      <c r="J1598" s="2" t="str">
        <f t="array" ref="J1598:N1598">_xlfn.XLOOKUP(A1598,Productos!$A$2:$A$61,Productos!$B$2:$F$61)</f>
        <v>Chaqueta de mezclilla</v>
      </c>
      <c r="K1598" s="2" t="s">
        <v>17</v>
      </c>
      <c r="L1598" s="2" t="s">
        <v>10</v>
      </c>
      <c r="M1598" s="2" t="s">
        <v>92</v>
      </c>
      <c r="N1598" s="2" t="s">
        <v>64</v>
      </c>
    </row>
    <row r="1599">
      <c r="A1599" s="2" t="str">
        <f>IFERROR(__xludf.DUMMYFUNCTION("""COMPUTED_VALUE"""),"PR044")</f>
        <v>PR044</v>
      </c>
      <c r="B1599" s="2" t="str">
        <f>IFERROR(__xludf.DUMMYFUNCTION("""COMPUTED_VALUE"""),"VD046")</f>
        <v>VD046</v>
      </c>
      <c r="C1599" s="2">
        <f>IFERROR(__xludf.DUMMYFUNCTION("""COMPUTED_VALUE"""),14.0)</f>
        <v>14</v>
      </c>
      <c r="D1599" s="6">
        <f>IFERROR(__xludf.DUMMYFUNCTION("""COMPUTED_VALUE"""),1055.6)</f>
        <v>1055.6</v>
      </c>
      <c r="E1599" s="6">
        <f>IFERROR(__xludf.DUMMYFUNCTION("GOOGLEFINANCE(""Currency:BRLMXN"")*D1599"),3586.401)</f>
        <v>3586.401</v>
      </c>
      <c r="F1599" s="6">
        <f>IFERROR(__xludf.DUMMYFUNCTION("GOOGLEFINANCE(""Currency:BRLPEN"")*D1599"),692.0513599999999)</f>
        <v>692.05136</v>
      </c>
      <c r="G1599" s="2" t="str">
        <f t="array" ref="G1599">_xlfn.XLOOKUP(B1599,Vendedores!$A$2:$A$41,Vendedores!$B$2:$B$41,"No hay datos")</f>
        <v>Juliana Pérez</v>
      </c>
      <c r="H1599" s="2" t="str">
        <f t="array" ref="H1599">_xlfn.XLOOKUP(B1599,Vendedores!$A$2:$A$41,Vendedores!$C$2:$C$41,"No hay datos")</f>
        <v>Santa Cruz de la Sierra</v>
      </c>
      <c r="I1599" s="2" t="str">
        <f t="array" ref="I1599">_xlfn.XLOOKUP(B1599,Vendedores!$A$2:$A$41,Vendedores!$D$2:$D$41,"No hay datos")</f>
        <v>Región Central 2</v>
      </c>
      <c r="J1599" s="2" t="str">
        <f t="array" ref="J1599:N1599">_xlfn.XLOOKUP(A1599,Productos!$A$2:$A$61,Productos!$B$2:$F$61)</f>
        <v>Vestido floral</v>
      </c>
      <c r="K1599" s="2" t="s">
        <v>17</v>
      </c>
      <c r="L1599" s="2" t="s">
        <v>10</v>
      </c>
      <c r="M1599" s="2" t="s">
        <v>105</v>
      </c>
      <c r="N1599" s="2" t="s">
        <v>40</v>
      </c>
    </row>
    <row r="1600">
      <c r="A1600" s="2" t="str">
        <f>IFERROR(__xludf.DUMMYFUNCTION("""COMPUTED_VALUE"""),"PR042")</f>
        <v>PR042</v>
      </c>
      <c r="B1600" s="2" t="str">
        <f>IFERROR(__xludf.DUMMYFUNCTION("""COMPUTED_VALUE"""),"VD048")</f>
        <v>VD048</v>
      </c>
      <c r="C1600" s="2">
        <f>IFERROR(__xludf.DUMMYFUNCTION("""COMPUTED_VALUE"""),7.0)</f>
        <v>7</v>
      </c>
      <c r="D1600" s="6">
        <f>IFERROR(__xludf.DUMMYFUNCTION("""COMPUTED_VALUE"""),399.67)</f>
        <v>399.67</v>
      </c>
      <c r="E1600" s="6">
        <f>IFERROR(__xludf.DUMMYFUNCTION("GOOGLEFINANCE(""Currency:BRLMXN"")*D1600"),1357.878825)</f>
        <v>1357.878825</v>
      </c>
      <c r="F1600" s="6">
        <f>IFERROR(__xludf.DUMMYFUNCTION("GOOGLEFINANCE(""Currency:BRLPEN"")*D1600"),262.02365199999997)</f>
        <v>262.023652</v>
      </c>
      <c r="G1600" s="2" t="str">
        <f t="array" ref="G1600">_xlfn.XLOOKUP(B1600,Vendedores!$A$2:$A$41,Vendedores!$B$2:$B$41,"No hay datos")</f>
        <v>Mariana Castro</v>
      </c>
      <c r="H1600" s="2" t="str">
        <f t="array" ref="H1600">_xlfn.XLOOKUP(B1600,Vendedores!$A$2:$A$41,Vendedores!$C$2:$C$41,"No hay datos")</f>
        <v>San Carlos del Valle</v>
      </c>
      <c r="I1600" s="2" t="str">
        <f t="array" ref="I1600">_xlfn.XLOOKUP(B1600,Vendedores!$A$2:$A$41,Vendedores!$D$2:$D$41,"No hay datos")</f>
        <v>Región Central 2</v>
      </c>
      <c r="J1600" s="2" t="str">
        <f t="array" ref="J1600:N1600">_xlfn.XLOOKUP(A1600,Productos!$A$2:$A$61,Productos!$B$2:$F$61)</f>
        <v>Playera confort</v>
      </c>
      <c r="K1600" s="2" t="s">
        <v>22</v>
      </c>
      <c r="L1600" s="2" t="s">
        <v>10</v>
      </c>
      <c r="M1600" s="2" t="s">
        <v>25</v>
      </c>
      <c r="N1600" s="2" t="s">
        <v>26</v>
      </c>
    </row>
    <row r="1601">
      <c r="A1601" s="2" t="str">
        <f>IFERROR(__xludf.DUMMYFUNCTION("""COMPUTED_VALUE"""),"PR014")</f>
        <v>PR014</v>
      </c>
      <c r="B1601" s="2" t="str">
        <f>IFERROR(__xludf.DUMMYFUNCTION("""COMPUTED_VALUE"""),"VD017")</f>
        <v>VD017</v>
      </c>
      <c r="C1601" s="2">
        <f>IFERROR(__xludf.DUMMYFUNCTION("""COMPUTED_VALUE"""),10.0)</f>
        <v>10</v>
      </c>
      <c r="D1601" s="6">
        <f>IFERROR(__xludf.DUMMYFUNCTION("""COMPUTED_VALUE"""),438.9)</f>
        <v>438.9</v>
      </c>
      <c r="E1601" s="6">
        <f>IFERROR(__xludf.DUMMYFUNCTION("GOOGLEFINANCE(""Currency:BRLMXN"")*D1601"),1491.16275)</f>
        <v>1491.16275</v>
      </c>
      <c r="F1601" s="6">
        <f>IFERROR(__xludf.DUMMYFUNCTION("GOOGLEFINANCE(""Currency:BRLPEN"")*D1601"),287.74283999999994)</f>
        <v>287.74284</v>
      </c>
      <c r="G1601" s="2" t="str">
        <f t="array" ref="G1601">_xlfn.XLOOKUP(B1601,Vendedores!$A$2:$A$41,Vendedores!$B$2:$B$41,"No hay datos")</f>
        <v>Bruno Peralta</v>
      </c>
      <c r="H1601" s="2" t="str">
        <f t="array" ref="H1601">_xlfn.XLOOKUP(B1601,Vendedores!$A$2:$A$41,Vendedores!$C$2:$C$41,"No hay datos")</f>
        <v>Costa Azul</v>
      </c>
      <c r="I1601" s="2" t="str">
        <f t="array" ref="I1601">_xlfn.XLOOKUP(B1601,Vendedores!$A$2:$A$41,Vendedores!$D$2:$D$41,"No hay datos")</f>
        <v>Región Norte</v>
      </c>
      <c r="J1601" s="2" t="str">
        <f t="array" ref="J1601:N1601">_xlfn.XLOOKUP(A1601,Productos!$A$2:$A$61,Productos!$B$2:$F$61)</f>
        <v>Playera estampada</v>
      </c>
      <c r="K1601" s="2" t="s">
        <v>17</v>
      </c>
      <c r="L1601" s="2" t="s">
        <v>10</v>
      </c>
      <c r="M1601" s="2" t="s">
        <v>37</v>
      </c>
      <c r="N1601" s="2" t="s">
        <v>38</v>
      </c>
    </row>
    <row r="1602">
      <c r="A1602" s="2" t="str">
        <f>IFERROR(__xludf.DUMMYFUNCTION("""COMPUTED_VALUE"""),"PR015")</f>
        <v>PR015</v>
      </c>
      <c r="B1602" s="2" t="str">
        <f>IFERROR(__xludf.DUMMYFUNCTION("""COMPUTED_VALUE"""),"VD022")</f>
        <v>VD022</v>
      </c>
      <c r="C1602" s="2">
        <f>IFERROR(__xludf.DUMMYFUNCTION("""COMPUTED_VALUE"""),6.0)</f>
        <v>6</v>
      </c>
      <c r="D1602" s="6">
        <f>IFERROR(__xludf.DUMMYFUNCTION("""COMPUTED_VALUE"""),262.65)</f>
        <v>262.65</v>
      </c>
      <c r="E1602" s="6">
        <f>IFERROR(__xludf.DUMMYFUNCTION("GOOGLEFINANCE(""Currency:BRLMXN"")*D1602"),892.3533749999999)</f>
        <v>892.353375</v>
      </c>
      <c r="F1602" s="6">
        <f>IFERROR(__xludf.DUMMYFUNCTION("GOOGLEFINANCE(""Currency:BRLPEN"")*D1602"),172.19333999999998)</f>
        <v>172.19334</v>
      </c>
      <c r="G1602" s="2" t="str">
        <f t="array" ref="G1602">_xlfn.XLOOKUP(B1602,Vendedores!$A$2:$A$41,Vendedores!$B$2:$B$41,"No hay datos")</f>
        <v>Santiago Linares</v>
      </c>
      <c r="H1602" s="2" t="str">
        <f t="array" ref="H1602">_xlfn.XLOOKUP(B1602,Vendedores!$A$2:$A$41,Vendedores!$C$2:$C$41,"No hay datos")</f>
        <v>Vista Hermosa</v>
      </c>
      <c r="I1602" s="2" t="str">
        <f t="array" ref="I1602">_xlfn.XLOOKUP(B1602,Vendedores!$A$2:$A$41,Vendedores!$D$2:$D$41,"No hay datos")</f>
        <v>Región Central</v>
      </c>
      <c r="J1602" s="2" t="str">
        <f t="array" ref="J1602:N1602">_xlfn.XLOOKUP(A1602,Productos!$A$2:$A$61,Productos!$B$2:$F$61)</f>
        <v>Playera estampada</v>
      </c>
      <c r="K1602" s="2" t="s">
        <v>22</v>
      </c>
      <c r="L1602" s="2" t="s">
        <v>10</v>
      </c>
      <c r="M1602" s="2" t="s">
        <v>101</v>
      </c>
      <c r="N1602" s="2" t="s">
        <v>102</v>
      </c>
    </row>
    <row r="1603">
      <c r="A1603" s="2" t="str">
        <f>IFERROR(__xludf.DUMMYFUNCTION("""COMPUTED_VALUE"""),"PR025")</f>
        <v>PR025</v>
      </c>
      <c r="B1603" s="2" t="str">
        <f>IFERROR(__xludf.DUMMYFUNCTION("""COMPUTED_VALUE"""),"VD034")</f>
        <v>VD034</v>
      </c>
      <c r="C1603" s="2">
        <f>IFERROR(__xludf.DUMMYFUNCTION("""COMPUTED_VALUE"""),4.0)</f>
        <v>4</v>
      </c>
      <c r="D1603" s="6">
        <f>IFERROR(__xludf.DUMMYFUNCTION("""COMPUTED_VALUE"""),1295.57)</f>
        <v>1295.57</v>
      </c>
      <c r="E1603" s="6">
        <f>IFERROR(__xludf.DUMMYFUNCTION("GOOGLEFINANCE(""Currency:BRLMXN"")*D1603"),4401.6990749999995)</f>
        <v>4401.699075</v>
      </c>
      <c r="F1603" s="6">
        <f>IFERROR(__xludf.DUMMYFUNCTION("GOOGLEFINANCE(""Currency:BRLPEN"")*D1603"),849.375692)</f>
        <v>849.375692</v>
      </c>
      <c r="G1603" s="2" t="str">
        <f t="array" ref="G1603">_xlfn.XLOOKUP(B1603,Vendedores!$A$2:$A$41,Vendedores!$B$2:$B$41,"No hay datos")</f>
        <v>Felipe Carvajal</v>
      </c>
      <c r="H1603" s="2" t="str">
        <f t="array" ref="H1603">_xlfn.XLOOKUP(B1603,Vendedores!$A$2:$A$41,Vendedores!$C$2:$C$41,"No hay datos")</f>
        <v>San Pedro del Río</v>
      </c>
      <c r="I1603" s="2" t="str">
        <f t="array" ref="I1603">_xlfn.XLOOKUP(B1603,Vendedores!$A$2:$A$41,Vendedores!$D$2:$D$41,"No hay datos")</f>
        <v>Región Sur 2</v>
      </c>
      <c r="J1603" s="2" t="str">
        <f t="array" ref="J1603:N1603">_xlfn.XLOOKUP(A1603,Productos!$A$2:$A$61,Productos!$B$2:$F$61)</f>
        <v>Chaqueta de mezclilla</v>
      </c>
      <c r="K1603" s="2" t="s">
        <v>22</v>
      </c>
      <c r="L1603" s="2" t="s">
        <v>10</v>
      </c>
      <c r="M1603" s="2" t="s">
        <v>107</v>
      </c>
      <c r="N1603" s="2" t="s">
        <v>16</v>
      </c>
    </row>
    <row r="1604">
      <c r="A1604" s="2" t="str">
        <f>IFERROR(__xludf.DUMMYFUNCTION("""COMPUTED_VALUE"""),"PR001")</f>
        <v>PR001</v>
      </c>
      <c r="B1604" s="2" t="str">
        <f>IFERROR(__xludf.DUMMYFUNCTION("""COMPUTED_VALUE"""),"VD022")</f>
        <v>VD022</v>
      </c>
      <c r="C1604" s="2">
        <f>IFERROR(__xludf.DUMMYFUNCTION("""COMPUTED_VALUE"""),9.0)</f>
        <v>9</v>
      </c>
      <c r="D1604" s="6">
        <f>IFERROR(__xludf.DUMMYFUNCTION("""COMPUTED_VALUE"""),640.55)</f>
        <v>640.55</v>
      </c>
      <c r="E1604" s="6">
        <f>IFERROR(__xludf.DUMMYFUNCTION("GOOGLEFINANCE(""Currency:BRLMXN"")*D1604"),2176.2686249999997)</f>
        <v>2176.268625</v>
      </c>
      <c r="F1604" s="6">
        <f>IFERROR(__xludf.DUMMYFUNCTION("GOOGLEFINANCE(""Currency:BRLPEN"")*D1604"),419.9445799999999)</f>
        <v>419.94458</v>
      </c>
      <c r="G1604" s="2" t="str">
        <f t="array" ref="G1604">_xlfn.XLOOKUP(B1604,Vendedores!$A$2:$A$41,Vendedores!$B$2:$B$41,"No hay datos")</f>
        <v>Santiago Linares</v>
      </c>
      <c r="H1604" s="2" t="str">
        <f t="array" ref="H1604">_xlfn.XLOOKUP(B1604,Vendedores!$A$2:$A$41,Vendedores!$C$2:$C$41,"No hay datos")</f>
        <v>Vista Hermosa</v>
      </c>
      <c r="I1604" s="2" t="str">
        <f t="array" ref="I1604">_xlfn.XLOOKUP(B1604,Vendedores!$A$2:$A$41,Vendedores!$D$2:$D$41,"No hay datos")</f>
        <v>Región Central</v>
      </c>
      <c r="J1604" s="2" t="str">
        <f t="array" ref="J1604:N1604">_xlfn.XLOOKUP(A1604,Productos!$A$2:$A$61,Productos!$B$2:$F$61)</f>
        <v>Bermuda</v>
      </c>
      <c r="K1604" s="2" t="s">
        <v>9</v>
      </c>
      <c r="L1604" s="2" t="s">
        <v>10</v>
      </c>
      <c r="M1604" s="2" t="s">
        <v>11</v>
      </c>
      <c r="N1604" s="2" t="s">
        <v>12</v>
      </c>
    </row>
    <row r="1605">
      <c r="A1605" s="2" t="str">
        <f>IFERROR(__xludf.DUMMYFUNCTION("""COMPUTED_VALUE"""),"PR013")</f>
        <v>PR013</v>
      </c>
      <c r="B1605" s="2" t="str">
        <f>IFERROR(__xludf.DUMMYFUNCTION("""COMPUTED_VALUE"""),"VD019")</f>
        <v>VD019</v>
      </c>
      <c r="C1605" s="2">
        <f>IFERROR(__xludf.DUMMYFUNCTION("""COMPUTED_VALUE"""),20.0)</f>
        <v>20</v>
      </c>
      <c r="D1605" s="6">
        <f>IFERROR(__xludf.DUMMYFUNCTION("""COMPUTED_VALUE"""),869.82)</f>
        <v>869.82</v>
      </c>
      <c r="E1605" s="6">
        <f>IFERROR(__xludf.DUMMYFUNCTION("GOOGLEFINANCE(""Currency:BRLMXN"")*D1605"),2955.21345)</f>
        <v>2955.21345</v>
      </c>
      <c r="F1605" s="6">
        <f>IFERROR(__xludf.DUMMYFUNCTION("GOOGLEFINANCE(""Currency:BRLPEN"")*D1605"),570.253992)</f>
        <v>570.253992</v>
      </c>
      <c r="G1605" s="2" t="str">
        <f t="array" ref="G1605">_xlfn.XLOOKUP(B1605,Vendedores!$A$2:$A$41,Vendedores!$B$2:$B$41,"No hay datos")</f>
        <v>Rafael Sosa</v>
      </c>
      <c r="H1605" s="2" t="str">
        <f t="array" ref="H1605">_xlfn.XLOOKUP(B1605,Vendedores!$A$2:$A$41,Vendedores!$C$2:$C$41,"No hay datos")</f>
        <v>Selva Verde</v>
      </c>
      <c r="I1605" s="2" t="str">
        <f t="array" ref="I1605">_xlfn.XLOOKUP(B1605,Vendedores!$A$2:$A$41,Vendedores!$D$2:$D$41,"No hay datos")</f>
        <v>Región Amazónica</v>
      </c>
      <c r="J1605" s="2" t="str">
        <f t="array" ref="J1605:N1605">_xlfn.XLOOKUP(A1605,Productos!$A$2:$A$61,Productos!$B$2:$F$61)</f>
        <v>Playera estampada</v>
      </c>
      <c r="K1605" s="2" t="s">
        <v>9</v>
      </c>
      <c r="L1605" s="2" t="s">
        <v>10</v>
      </c>
      <c r="M1605" s="2" t="s">
        <v>66</v>
      </c>
      <c r="N1605" s="2" t="s">
        <v>38</v>
      </c>
    </row>
    <row r="1606">
      <c r="A1606" s="2" t="str">
        <f>IFERROR(__xludf.DUMMYFUNCTION("""COMPUTED_VALUE"""),"PR058")</f>
        <v>PR058</v>
      </c>
      <c r="B1606" s="2" t="str">
        <f>IFERROR(__xludf.DUMMYFUNCTION("""COMPUTED_VALUE"""),"VD042")</f>
        <v>VD042</v>
      </c>
      <c r="C1606" s="2">
        <f>IFERROR(__xludf.DUMMYFUNCTION("""COMPUTED_VALUE"""),3.0)</f>
        <v>3</v>
      </c>
      <c r="D1606" s="6">
        <f>IFERROR(__xludf.DUMMYFUNCTION("""COMPUTED_VALUE"""),577.8)</f>
        <v>577.8</v>
      </c>
      <c r="E1606" s="6">
        <f>IFERROR(__xludf.DUMMYFUNCTION("GOOGLEFINANCE(""Currency:BRLMXN"")*D1606"),1963.0755)</f>
        <v>1963.0755</v>
      </c>
      <c r="F1606" s="6">
        <f>IFERROR(__xludf.DUMMYFUNCTION("GOOGLEFINANCE(""Currency:BRLPEN"")*D1606"),378.80567999999994)</f>
        <v>378.80568</v>
      </c>
      <c r="G1606" s="2" t="str">
        <f t="array" ref="G1606">_xlfn.XLOOKUP(B1606,Vendedores!$A$2:$A$41,Vendedores!$B$2:$B$41,"No hay datos")</f>
        <v>Priscila Duarte</v>
      </c>
      <c r="H1606" s="2" t="str">
        <f t="array" ref="H1606">_xlfn.XLOOKUP(B1606,Vendedores!$A$2:$A$41,Vendedores!$C$2:$C$41,"No hay datos")</f>
        <v>Villa Comercial</v>
      </c>
      <c r="I1606" s="2" t="str">
        <f t="array" ref="I1606">_xlfn.XLOOKUP(B1606,Vendedores!$A$2:$A$41,Vendedores!$D$2:$D$41,"No hay datos")</f>
        <v>Región Central 2</v>
      </c>
      <c r="J1606" s="2" t="str">
        <f t="array" ref="J1606:N1606">_xlfn.XLOOKUP(A1606,Productos!$A$2:$A$61,Productos!$B$2:$F$61)</f>
        <v>Pantalón de sastre</v>
      </c>
      <c r="K1606" s="2" t="s">
        <v>9</v>
      </c>
      <c r="L1606" s="2" t="s">
        <v>10</v>
      </c>
      <c r="M1606" s="2" t="s">
        <v>13</v>
      </c>
      <c r="N1606" s="2" t="s">
        <v>14</v>
      </c>
    </row>
    <row r="1607">
      <c r="A1607" s="2" t="str">
        <f>IFERROR(__xludf.DUMMYFUNCTION("""COMPUTED_VALUE"""),"PR053")</f>
        <v>PR053</v>
      </c>
      <c r="B1607" s="2" t="str">
        <f>IFERROR(__xludf.DUMMYFUNCTION("""COMPUTED_VALUE"""),"VD022")</f>
        <v>VD022</v>
      </c>
      <c r="C1607" s="2">
        <f>IFERROR(__xludf.DUMMYFUNCTION("""COMPUTED_VALUE"""),4.0)</f>
        <v>4</v>
      </c>
      <c r="D1607" s="6">
        <f>IFERROR(__xludf.DUMMYFUNCTION("""COMPUTED_VALUE"""),217.56)</f>
        <v>217.56</v>
      </c>
      <c r="E1607" s="6">
        <f>IFERROR(__xludf.DUMMYFUNCTION("GOOGLEFINANCE(""Currency:BRLMXN"")*D1607"),739.1601)</f>
        <v>739.1601</v>
      </c>
      <c r="F1607" s="6">
        <f>IFERROR(__xludf.DUMMYFUNCTION("GOOGLEFINANCE(""Currency:BRLPEN"")*D1607"),142.63233599999998)</f>
        <v>142.632336</v>
      </c>
      <c r="G1607" s="2" t="str">
        <f t="array" ref="G1607">_xlfn.XLOOKUP(B1607,Vendedores!$A$2:$A$41,Vendedores!$B$2:$B$41,"No hay datos")</f>
        <v>Santiago Linares</v>
      </c>
      <c r="H1607" s="2" t="str">
        <f t="array" ref="H1607">_xlfn.XLOOKUP(B1607,Vendedores!$A$2:$A$41,Vendedores!$C$2:$C$41,"No hay datos")</f>
        <v>Vista Hermosa</v>
      </c>
      <c r="I1607" s="2" t="str">
        <f t="array" ref="I1607">_xlfn.XLOOKUP(B1607,Vendedores!$A$2:$A$41,Vendedores!$D$2:$D$41,"No hay datos")</f>
        <v>Región Central</v>
      </c>
      <c r="J1607" s="2" t="str">
        <f t="array" ref="J1607:N1607">_xlfn.XLOOKUP(A1607,Productos!$A$2:$A$61,Productos!$B$2:$F$61)</f>
        <v>Falda plisada</v>
      </c>
      <c r="K1607" s="2" t="s">
        <v>17</v>
      </c>
      <c r="L1607" s="2" t="s">
        <v>10</v>
      </c>
      <c r="M1607" s="2" t="s">
        <v>41</v>
      </c>
      <c r="N1607" s="2" t="s">
        <v>32</v>
      </c>
    </row>
    <row r="1608">
      <c r="A1608" s="2" t="str">
        <f>IFERROR(__xludf.DUMMYFUNCTION("""COMPUTED_VALUE"""),"PR047")</f>
        <v>PR047</v>
      </c>
      <c r="B1608" s="2" t="str">
        <f>IFERROR(__xludf.DUMMYFUNCTION("""COMPUTED_VALUE"""),"VD025")</f>
        <v>VD025</v>
      </c>
      <c r="C1608" s="2">
        <f>IFERROR(__xludf.DUMMYFUNCTION("""COMPUTED_VALUE"""),2.0)</f>
        <v>2</v>
      </c>
      <c r="D1608" s="6">
        <f>IFERROR(__xludf.DUMMYFUNCTION("""COMPUTED_VALUE"""),631.98)</f>
        <v>631.98</v>
      </c>
      <c r="E1608" s="6">
        <f>IFERROR(__xludf.DUMMYFUNCTION("GOOGLEFINANCE(""Currency:BRLMXN"")*D1608"),2147.15205)</f>
        <v>2147.15205</v>
      </c>
      <c r="F1608" s="6">
        <f>IFERROR(__xludf.DUMMYFUNCTION("GOOGLEFINANCE(""Currency:BRLPEN"")*D1608"),414.32608799999997)</f>
        <v>414.326088</v>
      </c>
      <c r="G1608" s="2" t="str">
        <f t="array" ref="G1608">_xlfn.XLOOKUP(B1608,Vendedores!$A$2:$A$41,Vendedores!$B$2:$B$41,"No hay datos")</f>
        <v>Alina Santana</v>
      </c>
      <c r="H1608" s="2" t="str">
        <f t="array" ref="H1608">_xlfn.XLOOKUP(B1608,Vendedores!$A$2:$A$41,Vendedores!$C$2:$C$41,"No hay datos")</f>
        <v>Playa Blanca</v>
      </c>
      <c r="I1608" s="2" t="str">
        <f t="array" ref="I1608">_xlfn.XLOOKUP(B1608,Vendedores!$A$2:$A$41,Vendedores!$D$2:$D$41,"No hay datos")</f>
        <v>Región Norte</v>
      </c>
      <c r="J1608" s="2" t="str">
        <f t="array" ref="J1608:N1608">_xlfn.XLOOKUP(A1608,Productos!$A$2:$A$61,Productos!$B$2:$F$61)</f>
        <v>Chaqueta de cuero</v>
      </c>
      <c r="K1608" s="2" t="s">
        <v>17</v>
      </c>
      <c r="L1608" s="2" t="s">
        <v>10</v>
      </c>
      <c r="M1608" s="2" t="s">
        <v>43</v>
      </c>
      <c r="N1608" s="2" t="s">
        <v>44</v>
      </c>
    </row>
    <row r="1609">
      <c r="A1609" s="2" t="str">
        <f>IFERROR(__xludf.DUMMYFUNCTION("""COMPUTED_VALUE"""),"PR044")</f>
        <v>PR044</v>
      </c>
      <c r="B1609" s="2" t="str">
        <f>IFERROR(__xludf.DUMMYFUNCTION("""COMPUTED_VALUE"""),"VD026")</f>
        <v>VD026</v>
      </c>
      <c r="C1609" s="2">
        <f>IFERROR(__xludf.DUMMYFUNCTION("""COMPUTED_VALUE"""),7.0)</f>
        <v>7</v>
      </c>
      <c r="D1609" s="6">
        <f>IFERROR(__xludf.DUMMYFUNCTION("""COMPUTED_VALUE"""),522.73)</f>
        <v>522.73</v>
      </c>
      <c r="E1609" s="6">
        <f>IFERROR(__xludf.DUMMYFUNCTION("GOOGLEFINANCE(""Currency:BRLMXN"")*D1609"),1775.975175)</f>
        <v>1775.975175</v>
      </c>
      <c r="F1609" s="6">
        <f>IFERROR(__xludf.DUMMYFUNCTION("GOOGLEFINANCE(""Currency:BRLPEN"")*D1609"),342.70178799999996)</f>
        <v>342.701788</v>
      </c>
      <c r="G1609" s="2" t="str">
        <f t="array" ref="G1609">_xlfn.XLOOKUP(B1609,Vendedores!$A$2:$A$41,Vendedores!$B$2:$B$41,"No hay datos")</f>
        <v>Daniel Fernández</v>
      </c>
      <c r="H1609" s="2" t="str">
        <f t="array" ref="H1609">_xlfn.XLOOKUP(B1609,Vendedores!$A$2:$A$41,Vendedores!$C$2:$C$41,"No hay datos")</f>
        <v>Puerto Esperanza</v>
      </c>
      <c r="I1609" s="2" t="str">
        <f t="array" ref="I1609">_xlfn.XLOOKUP(B1609,Vendedores!$A$2:$A$41,Vendedores!$D$2:$D$41,"No hay datos")</f>
        <v>Región Sur</v>
      </c>
      <c r="J1609" s="2" t="str">
        <f t="array" ref="J1609:N1609">_xlfn.XLOOKUP(A1609,Productos!$A$2:$A$61,Productos!$B$2:$F$61)</f>
        <v>Vestido floral</v>
      </c>
      <c r="K1609" s="2" t="s">
        <v>17</v>
      </c>
      <c r="L1609" s="2" t="s">
        <v>10</v>
      </c>
      <c r="M1609" s="2" t="s">
        <v>105</v>
      </c>
      <c r="N1609" s="2" t="s">
        <v>40</v>
      </c>
    </row>
    <row r="1610">
      <c r="A1610" s="2" t="str">
        <f>IFERROR(__xludf.DUMMYFUNCTION("""COMPUTED_VALUE"""),"PR050")</f>
        <v>PR050</v>
      </c>
      <c r="B1610" s="2" t="str">
        <f>IFERROR(__xludf.DUMMYFUNCTION("""COMPUTED_VALUE"""),"VD039")</f>
        <v>VD039</v>
      </c>
      <c r="C1610" s="2">
        <f>IFERROR(__xludf.DUMMYFUNCTION("""COMPUTED_VALUE"""),12.0)</f>
        <v>12</v>
      </c>
      <c r="D1610" s="6">
        <f>IFERROR(__xludf.DUMMYFUNCTION("""COMPUTED_VALUE"""),410.59)</f>
        <v>410.59</v>
      </c>
      <c r="E1610" s="6">
        <f>IFERROR(__xludf.DUMMYFUNCTION("GOOGLEFINANCE(""Currency:BRLMXN"")*D1610"),1394.979525)</f>
        <v>1394.979525</v>
      </c>
      <c r="F1610" s="6">
        <f>IFERROR(__xludf.DUMMYFUNCTION("GOOGLEFINANCE(""Currency:BRLPEN"")*D1610"),269.182804)</f>
        <v>269.182804</v>
      </c>
      <c r="G1610" s="2" t="str">
        <f t="array" ref="G1610">_xlfn.XLOOKUP(B1610,Vendedores!$A$2:$A$41,Vendedores!$B$2:$B$41,"No hay datos")</f>
        <v>Daniela Rodríguez</v>
      </c>
      <c r="H1610" s="2" t="str">
        <f t="array" ref="H1610">_xlfn.XLOOKUP(B1610,Vendedores!$A$2:$A$41,Vendedores!$C$2:$C$41,"No hay datos")</f>
        <v>Bahía del Sol</v>
      </c>
      <c r="I1610" s="2" t="str">
        <f t="array" ref="I1610">_xlfn.XLOOKUP(B1610,Vendedores!$A$2:$A$41,Vendedores!$D$2:$D$41,"No hay datos")</f>
        <v>Región Central 2</v>
      </c>
      <c r="J1610" s="2" t="str">
        <f t="array" ref="J1610:N1610">_xlfn.XLOOKUP(A1610,Productos!$A$2:$A$61,Productos!$B$2:$F$61)</f>
        <v>Playera a rayas</v>
      </c>
      <c r="K1610" s="2" t="s">
        <v>17</v>
      </c>
      <c r="L1610" s="2" t="s">
        <v>10</v>
      </c>
      <c r="M1610" s="2" t="s">
        <v>27</v>
      </c>
      <c r="N1610" s="2" t="s">
        <v>24</v>
      </c>
    </row>
    <row r="1611">
      <c r="A1611" s="2" t="str">
        <f>IFERROR(__xludf.DUMMYFUNCTION("""COMPUTED_VALUE"""),"PR042")</f>
        <v>PR042</v>
      </c>
      <c r="B1611" s="2" t="str">
        <f>IFERROR(__xludf.DUMMYFUNCTION("""COMPUTED_VALUE"""),"VD040")</f>
        <v>VD040</v>
      </c>
      <c r="C1611" s="2">
        <f>IFERROR(__xludf.DUMMYFUNCTION("""COMPUTED_VALUE"""),8.0)</f>
        <v>8</v>
      </c>
      <c r="D1611" s="6">
        <f>IFERROR(__xludf.DUMMYFUNCTION("""COMPUTED_VALUE"""),447.98)</f>
        <v>447.98</v>
      </c>
      <c r="E1611" s="6">
        <f>IFERROR(__xludf.DUMMYFUNCTION("GOOGLEFINANCE(""Currency:BRLMXN"")*D1611"),1522.01205)</f>
        <v>1522.01205</v>
      </c>
      <c r="F1611" s="6">
        <f>IFERROR(__xludf.DUMMYFUNCTION("GOOGLEFINANCE(""Currency:BRLPEN"")*D1611"),293.695688)</f>
        <v>293.695688</v>
      </c>
      <c r="G1611" s="2" t="str">
        <f t="array" ref="G1611">_xlfn.XLOOKUP(B1611,Vendedores!$A$2:$A$41,Vendedores!$B$2:$B$41,"No hay datos")</f>
        <v>Tatiana Montero</v>
      </c>
      <c r="H1611" s="2" t="str">
        <f t="array" ref="H1611">_xlfn.XLOOKUP(B1611,Vendedores!$A$2:$A$41,Vendedores!$C$2:$C$41,"No hay datos")</f>
        <v>Ciudad Industrial</v>
      </c>
      <c r="I1611" s="2" t="str">
        <f t="array" ref="I1611">_xlfn.XLOOKUP(B1611,Vendedores!$A$2:$A$41,Vendedores!$D$2:$D$41,"No hay datos")</f>
        <v>Región Central 2</v>
      </c>
      <c r="J1611" s="2" t="str">
        <f t="array" ref="J1611:N1611">_xlfn.XLOOKUP(A1611,Productos!$A$2:$A$61,Productos!$B$2:$F$61)</f>
        <v>Playera confort</v>
      </c>
      <c r="K1611" s="2" t="s">
        <v>22</v>
      </c>
      <c r="L1611" s="2" t="s">
        <v>10</v>
      </c>
      <c r="M1611" s="2" t="s">
        <v>25</v>
      </c>
      <c r="N1611" s="2" t="s">
        <v>26</v>
      </c>
    </row>
    <row r="1612">
      <c r="A1612" s="2" t="str">
        <f>IFERROR(__xludf.DUMMYFUNCTION("""COMPUTED_VALUE"""),"PR003")</f>
        <v>PR003</v>
      </c>
      <c r="B1612" s="2" t="str">
        <f>IFERROR(__xludf.DUMMYFUNCTION("""COMPUTED_VALUE"""),"VD038")</f>
        <v>VD038</v>
      </c>
      <c r="C1612" s="2">
        <f>IFERROR(__xludf.DUMMYFUNCTION("""COMPUTED_VALUE"""),2.0)</f>
        <v>2</v>
      </c>
      <c r="D1612" s="6">
        <f>IFERROR(__xludf.DUMMYFUNCTION("""COMPUTED_VALUE"""),143.22)</f>
        <v>143.22</v>
      </c>
      <c r="E1612" s="6">
        <f>IFERROR(__xludf.DUMMYFUNCTION("GOOGLEFINANCE(""Currency:BRLMXN"")*D1612"),486.58995)</f>
        <v>486.58995</v>
      </c>
      <c r="F1612" s="6">
        <f>IFERROR(__xludf.DUMMYFUNCTION("GOOGLEFINANCE(""Currency:BRLPEN"")*D1612"),93.895032)</f>
        <v>93.895032</v>
      </c>
      <c r="G1612" s="2" t="str">
        <f t="array" ref="G1612">_xlfn.XLOOKUP(B1612,Vendedores!$A$2:$A$41,Vendedores!$B$2:$B$41,"No hay datos")</f>
        <v>Bruno Olmedo</v>
      </c>
      <c r="H1612" s="2" t="str">
        <f t="array" ref="H1612">_xlfn.XLOOKUP(B1612,Vendedores!$A$2:$A$41,Vendedores!$C$2:$C$41,"No hay datos")</f>
        <v>Tierra Fertil</v>
      </c>
      <c r="I1612" s="2" t="str">
        <f t="array" ref="I1612">_xlfn.XLOOKUP(B1612,Vendedores!$A$2:$A$41,Vendedores!$D$2:$D$41,"No hay datos")</f>
        <v>Región Sur 2</v>
      </c>
      <c r="J1612" s="2" t="str">
        <f t="array" ref="J1612:N1612">_xlfn.XLOOKUP(A1612,Productos!$A$2:$A$61,Productos!$B$2:$F$61)</f>
        <v>Bermuda</v>
      </c>
      <c r="K1612" s="2" t="s">
        <v>22</v>
      </c>
      <c r="L1612" s="2" t="s">
        <v>10</v>
      </c>
      <c r="M1612" s="2" t="s">
        <v>45</v>
      </c>
      <c r="N1612" s="2" t="s">
        <v>46</v>
      </c>
    </row>
    <row r="1613">
      <c r="A1613" s="2" t="str">
        <f>IFERROR(__xludf.DUMMYFUNCTION("""COMPUTED_VALUE"""),"PR010")</f>
        <v>PR010</v>
      </c>
      <c r="B1613" s="2" t="str">
        <f>IFERROR(__xludf.DUMMYFUNCTION("""COMPUTED_VALUE"""),"VD025")</f>
        <v>VD025</v>
      </c>
      <c r="C1613" s="2">
        <f>IFERROR(__xludf.DUMMYFUNCTION("""COMPUTED_VALUE"""),6.0)</f>
        <v>6</v>
      </c>
      <c r="D1613" s="6">
        <f>IFERROR(__xludf.DUMMYFUNCTION("""COMPUTED_VALUE"""),274.79)</f>
        <v>274.79</v>
      </c>
      <c r="E1613" s="6">
        <f>IFERROR(__xludf.DUMMYFUNCTION("GOOGLEFINANCE(""Currency:BRLMXN"")*D1613"),933.5990250000001)</f>
        <v>933.599025</v>
      </c>
      <c r="F1613" s="6">
        <f>IFERROR(__xludf.DUMMYFUNCTION("GOOGLEFINANCE(""Currency:BRLPEN"")*D1613"),180.152324)</f>
        <v>180.152324</v>
      </c>
      <c r="G1613" s="2" t="str">
        <f t="array" ref="G1613">_xlfn.XLOOKUP(B1613,Vendedores!$A$2:$A$41,Vendedores!$B$2:$B$41,"No hay datos")</f>
        <v>Alina Santana</v>
      </c>
      <c r="H1613" s="2" t="str">
        <f t="array" ref="H1613">_xlfn.XLOOKUP(B1613,Vendedores!$A$2:$A$41,Vendedores!$C$2:$C$41,"No hay datos")</f>
        <v>Playa Blanca</v>
      </c>
      <c r="I1613" s="2" t="str">
        <f t="array" ref="I1613">_xlfn.XLOOKUP(B1613,Vendedores!$A$2:$A$41,Vendedores!$D$2:$D$41,"No hay datos")</f>
        <v>Región Norte</v>
      </c>
      <c r="J1613" s="2" t="str">
        <f t="array" ref="J1613:N1613">_xlfn.XLOOKUP(A1613,Productos!$A$2:$A$61,Productos!$B$2:$F$61)</f>
        <v>Pantalón legging</v>
      </c>
      <c r="K1613" s="2" t="s">
        <v>9</v>
      </c>
      <c r="L1613" s="2" t="s">
        <v>10</v>
      </c>
      <c r="M1613" s="2" t="s">
        <v>86</v>
      </c>
      <c r="N1613" s="2" t="s">
        <v>87</v>
      </c>
    </row>
    <row r="1614">
      <c r="A1614" s="2" t="str">
        <f>IFERROR(__xludf.DUMMYFUNCTION("""COMPUTED_VALUE"""),"PR043")</f>
        <v>PR043</v>
      </c>
      <c r="B1614" s="2" t="str">
        <f>IFERROR(__xludf.DUMMYFUNCTION("""COMPUTED_VALUE"""),"VD013")</f>
        <v>VD013</v>
      </c>
      <c r="C1614" s="2">
        <f>IFERROR(__xludf.DUMMYFUNCTION("""COMPUTED_VALUE"""),6.0)</f>
        <v>6</v>
      </c>
      <c r="D1614" s="6">
        <f>IFERROR(__xludf.DUMMYFUNCTION("""COMPUTED_VALUE"""),439.35)</f>
        <v>439.35</v>
      </c>
      <c r="E1614" s="6">
        <f>IFERROR(__xludf.DUMMYFUNCTION("GOOGLEFINANCE(""Currency:BRLMXN"")*D1614"),1492.6916250000002)</f>
        <v>1492.691625</v>
      </c>
      <c r="F1614" s="6">
        <f>IFERROR(__xludf.DUMMYFUNCTION("GOOGLEFINANCE(""Currency:BRLPEN"")*D1614"),288.03786)</f>
        <v>288.03786</v>
      </c>
      <c r="G1614" s="2" t="str">
        <f t="array" ref="G1614">_xlfn.XLOOKUP(B1614,Vendedores!$A$2:$A$41,Vendedores!$B$2:$B$41,"No hay datos")</f>
        <v>Pedro Almonte</v>
      </c>
      <c r="H1614" s="2" t="str">
        <f t="array" ref="H1614">_xlfn.XLOOKUP(B1614,Vendedores!$A$2:$A$41,Vendedores!$C$2:$C$41,"No hay datos")</f>
        <v>Santa Rosa del Valle</v>
      </c>
      <c r="I1614" s="2" t="str">
        <f t="array" ref="I1614">_xlfn.XLOOKUP(B1614,Vendedores!$A$2:$A$41,Vendedores!$D$2:$D$41,"No hay datos")</f>
        <v>Región Norte</v>
      </c>
      <c r="J1614" s="2" t="str">
        <f t="array" ref="J1614:N1614">_xlfn.XLOOKUP(A1614,Productos!$A$2:$A$61,Productos!$B$2:$F$61)</f>
        <v>Vestido floral</v>
      </c>
      <c r="K1614" s="2" t="s">
        <v>9</v>
      </c>
      <c r="L1614" s="2" t="s">
        <v>10</v>
      </c>
      <c r="M1614" s="2" t="s">
        <v>69</v>
      </c>
      <c r="N1614" s="2" t="s">
        <v>40</v>
      </c>
    </row>
    <row r="1615">
      <c r="A1615" s="2" t="str">
        <f>IFERROR(__xludf.DUMMYFUNCTION("""COMPUTED_VALUE"""),"PR012")</f>
        <v>PR012</v>
      </c>
      <c r="B1615" s="2" t="str">
        <f>IFERROR(__xludf.DUMMYFUNCTION("""COMPUTED_VALUE"""),"VD035")</f>
        <v>VD035</v>
      </c>
      <c r="C1615" s="2">
        <f>IFERROR(__xludf.DUMMYFUNCTION("""COMPUTED_VALUE"""),6.0)</f>
        <v>6</v>
      </c>
      <c r="D1615" s="6">
        <f>IFERROR(__xludf.DUMMYFUNCTION("""COMPUTED_VALUE"""),293.4)</f>
        <v>293.4</v>
      </c>
      <c r="E1615" s="6">
        <f>IFERROR(__xludf.DUMMYFUNCTION("GOOGLEFINANCE(""Currency:BRLMXN"")*D1615"),996.8264999999999)</f>
        <v>996.8265</v>
      </c>
      <c r="F1615" s="6">
        <f>IFERROR(__xludf.DUMMYFUNCTION("GOOGLEFINANCE(""Currency:BRLPEN"")*D1615"),192.35303999999996)</f>
        <v>192.35304</v>
      </c>
      <c r="G1615" s="2" t="str">
        <f t="array" ref="G1615">_xlfn.XLOOKUP(B1615,Vendedores!$A$2:$A$41,Vendedores!$B$2:$B$41,"No hay datos")</f>
        <v>Carolina Méndez</v>
      </c>
      <c r="H1615" s="2" t="str">
        <f t="array" ref="H1615">_xlfn.XLOOKUP(B1615,Vendedores!$A$2:$A$41,Vendedores!$C$2:$C$41,"No hay datos")</f>
        <v>Valle de los Robles</v>
      </c>
      <c r="I1615" s="2" t="str">
        <f t="array" ref="I1615">_xlfn.XLOOKUP(B1615,Vendedores!$A$2:$A$41,Vendedores!$D$2:$D$41,"No hay datos")</f>
        <v>Región Central 2</v>
      </c>
      <c r="J1615" s="2" t="str">
        <f t="array" ref="J1615:N1615">_xlfn.XLOOKUP(A1615,Productos!$A$2:$A$61,Productos!$B$2:$F$61)</f>
        <v>Pantalón legging</v>
      </c>
      <c r="K1615" s="2" t="s">
        <v>22</v>
      </c>
      <c r="L1615" s="2" t="s">
        <v>10</v>
      </c>
      <c r="M1615" s="2" t="s">
        <v>88</v>
      </c>
      <c r="N1615" s="2" t="s">
        <v>89</v>
      </c>
    </row>
    <row r="1616">
      <c r="A1616" s="2" t="str">
        <f>IFERROR(__xludf.DUMMYFUNCTION("""COMPUTED_VALUE"""),"PR007")</f>
        <v>PR007</v>
      </c>
      <c r="B1616" s="2" t="str">
        <f>IFERROR(__xludf.DUMMYFUNCTION("""COMPUTED_VALUE"""),"VD017")</f>
        <v>VD017</v>
      </c>
      <c r="C1616" s="2">
        <f>IFERROR(__xludf.DUMMYFUNCTION("""COMPUTED_VALUE"""),12.0)</f>
        <v>12</v>
      </c>
      <c r="D1616" s="6">
        <f>IFERROR(__xludf.DUMMYFUNCTION("""COMPUTED_VALUE"""),1123.57)</f>
        <v>1123.57</v>
      </c>
      <c r="E1616" s="6">
        <f>IFERROR(__xludf.DUMMYFUNCTION("GOOGLEFINANCE(""Currency:BRLMXN"")*D1616"),3817.3290749999996)</f>
        <v>3817.329075</v>
      </c>
      <c r="F1616" s="6">
        <f>IFERROR(__xludf.DUMMYFUNCTION("GOOGLEFINANCE(""Currency:BRLPEN"")*D1616"),736.6124919999999)</f>
        <v>736.612492</v>
      </c>
      <c r="G1616" s="2" t="str">
        <f t="array" ref="G1616">_xlfn.XLOOKUP(B1616,Vendedores!$A$2:$A$41,Vendedores!$B$2:$B$41,"No hay datos")</f>
        <v>Bruno Peralta</v>
      </c>
      <c r="H1616" s="2" t="str">
        <f t="array" ref="H1616">_xlfn.XLOOKUP(B1616,Vendedores!$A$2:$A$41,Vendedores!$C$2:$C$41,"No hay datos")</f>
        <v>Costa Azul</v>
      </c>
      <c r="I1616" s="2" t="str">
        <f t="array" ref="I1616">_xlfn.XLOOKUP(B1616,Vendedores!$A$2:$A$41,Vendedores!$D$2:$D$41,"No hay datos")</f>
        <v>Región Norte</v>
      </c>
      <c r="J1616" s="2" t="str">
        <f t="array" ref="J1616:N1616">_xlfn.XLOOKUP(A1616,Productos!$A$2:$A$61,Productos!$B$2:$F$61)</f>
        <v>Pantalón de mezclilla</v>
      </c>
      <c r="K1616" s="2" t="s">
        <v>9</v>
      </c>
      <c r="L1616" s="2" t="s">
        <v>10</v>
      </c>
      <c r="M1616" s="2" t="s">
        <v>103</v>
      </c>
      <c r="N1616" s="2" t="s">
        <v>104</v>
      </c>
    </row>
    <row r="1617">
      <c r="A1617" s="2" t="str">
        <f>IFERROR(__xludf.DUMMYFUNCTION("""COMPUTED_VALUE"""),"PR042")</f>
        <v>PR042</v>
      </c>
      <c r="B1617" s="2" t="str">
        <f>IFERROR(__xludf.DUMMYFUNCTION("""COMPUTED_VALUE"""),"VD021")</f>
        <v>VD021</v>
      </c>
      <c r="C1617" s="2">
        <f>IFERROR(__xludf.DUMMYFUNCTION("""COMPUTED_VALUE"""),14.0)</f>
        <v>14</v>
      </c>
      <c r="D1617" s="6">
        <f>IFERROR(__xludf.DUMMYFUNCTION("""COMPUTED_VALUE"""),791.66)</f>
        <v>791.66</v>
      </c>
      <c r="E1617" s="6">
        <f>IFERROR(__xludf.DUMMYFUNCTION("GOOGLEFINANCE(""Currency:BRLMXN"")*D1617"),2689.6648499999997)</f>
        <v>2689.66485</v>
      </c>
      <c r="F1617" s="6">
        <f>IFERROR(__xludf.DUMMYFUNCTION("GOOGLEFINANCE(""Currency:BRLPEN"")*D1617"),519.012296)</f>
        <v>519.012296</v>
      </c>
      <c r="G1617" s="2" t="str">
        <f t="array" ref="G1617">_xlfn.XLOOKUP(B1617,Vendedores!$A$2:$A$41,Vendedores!$B$2:$B$41,"No hay datos")</f>
        <v>Fernanda Méndez</v>
      </c>
      <c r="H1617" s="2" t="str">
        <f t="array" ref="H1617">_xlfn.XLOOKUP(B1617,Vendedores!$A$2:$A$41,Vendedores!$C$2:$C$41,"No hay datos")</f>
        <v>San Juan de la Sierra</v>
      </c>
      <c r="I1617" s="2" t="str">
        <f t="array" ref="I1617">_xlfn.XLOOKUP(B1617,Vendedores!$A$2:$A$41,Vendedores!$D$2:$D$41,"No hay datos")</f>
        <v>Región Central</v>
      </c>
      <c r="J1617" s="2" t="str">
        <f t="array" ref="J1617:N1617">_xlfn.XLOOKUP(A1617,Productos!$A$2:$A$61,Productos!$B$2:$F$61)</f>
        <v>Playera confort</v>
      </c>
      <c r="K1617" s="2" t="s">
        <v>22</v>
      </c>
      <c r="L1617" s="2" t="s">
        <v>10</v>
      </c>
      <c r="M1617" s="2" t="s">
        <v>25</v>
      </c>
      <c r="N1617" s="2" t="s">
        <v>26</v>
      </c>
    </row>
    <row r="1618">
      <c r="A1618" s="2" t="str">
        <f>IFERROR(__xludf.DUMMYFUNCTION("""COMPUTED_VALUE"""),"PR035")</f>
        <v>PR035</v>
      </c>
      <c r="B1618" s="2" t="str">
        <f>IFERROR(__xludf.DUMMYFUNCTION("""COMPUTED_VALUE"""),"VD033")</f>
        <v>VD033</v>
      </c>
      <c r="C1618" s="2">
        <f>IFERROR(__xludf.DUMMYFUNCTION("""COMPUTED_VALUE"""),4.0)</f>
        <v>4</v>
      </c>
      <c r="D1618" s="6">
        <f>IFERROR(__xludf.DUMMYFUNCTION("""COMPUTED_VALUE"""),391.19)</f>
        <v>391.19</v>
      </c>
      <c r="E1618" s="6">
        <f>IFERROR(__xludf.DUMMYFUNCTION("GOOGLEFINANCE(""Currency:BRLMXN"")*D1618"),1329.068025)</f>
        <v>1329.068025</v>
      </c>
      <c r="F1618" s="6">
        <f>IFERROR(__xludf.DUMMYFUNCTION("GOOGLEFINANCE(""Currency:BRLPEN"")*D1618"),256.464164)</f>
        <v>256.464164</v>
      </c>
      <c r="G1618" s="2" t="str">
        <f t="array" ref="G1618">_xlfn.XLOOKUP(B1618,Vendedores!$A$2:$A$41,Vendedores!$B$2:$B$41,"No hay datos")</f>
        <v>Renata Flores</v>
      </c>
      <c r="H1618" s="2" t="str">
        <f t="array" ref="H1618">_xlfn.XLOOKUP(B1618,Vendedores!$A$2:$A$41,Vendedores!$C$2:$C$41,"No hay datos")</f>
        <v>Altos del Sur</v>
      </c>
      <c r="I1618" s="2" t="str">
        <f t="array" ref="I1618">_xlfn.XLOOKUP(B1618,Vendedores!$A$2:$A$41,Vendedores!$D$2:$D$41,"No hay datos")</f>
        <v>Región Central 2</v>
      </c>
      <c r="J1618" s="2" t="str">
        <f t="array" ref="J1618:N1618">_xlfn.XLOOKUP(A1618,Productos!$A$2:$A$61,Productos!$B$2:$F$61)</f>
        <v>Vestido corto</v>
      </c>
      <c r="K1618" s="2" t="s">
        <v>17</v>
      </c>
      <c r="L1618" s="2" t="s">
        <v>10</v>
      </c>
      <c r="M1618" s="2" t="s">
        <v>18</v>
      </c>
      <c r="N1618" s="2" t="s">
        <v>19</v>
      </c>
    </row>
    <row r="1619">
      <c r="A1619" s="2" t="str">
        <f>IFERROR(__xludf.DUMMYFUNCTION("""COMPUTED_VALUE"""),"PR040")</f>
        <v>PR040</v>
      </c>
      <c r="B1619" s="2" t="str">
        <f>IFERROR(__xludf.DUMMYFUNCTION("""COMPUTED_VALUE"""),"VD027")</f>
        <v>VD027</v>
      </c>
      <c r="C1619" s="2">
        <f>IFERROR(__xludf.DUMMYFUNCTION("""COMPUTED_VALUE"""),16.0)</f>
        <v>16</v>
      </c>
      <c r="D1619" s="6">
        <f>IFERROR(__xludf.DUMMYFUNCTION("""COMPUTED_VALUE"""),1176.0)</f>
        <v>1176</v>
      </c>
      <c r="E1619" s="6">
        <f>IFERROR(__xludf.DUMMYFUNCTION("GOOGLEFINANCE(""Currency:BRLMXN"")*D1619"),3995.46)</f>
        <v>3995.46</v>
      </c>
      <c r="F1619" s="6">
        <f>IFERROR(__xludf.DUMMYFUNCTION("GOOGLEFINANCE(""Currency:BRLPEN"")*D1619"),770.9856)</f>
        <v>770.9856</v>
      </c>
      <c r="G1619" s="2" t="str">
        <f t="array" ref="G1619">_xlfn.XLOOKUP(B1619,Vendedores!$A$2:$A$41,Vendedores!$B$2:$B$41,"No hay datos")</f>
        <v>Patricia Cortés</v>
      </c>
      <c r="H1619" s="2" t="str">
        <f t="array" ref="H1619">_xlfn.XLOOKUP(B1619,Vendedores!$A$2:$A$41,Vendedores!$C$2:$C$41,"No hay datos")</f>
        <v>Costa Azul</v>
      </c>
      <c r="I1619" s="2" t="str">
        <f t="array" ref="I1619">_xlfn.XLOOKUP(B1619,Vendedores!$A$2:$A$41,Vendedores!$D$2:$D$41,"No hay datos")</f>
        <v>Región Norte</v>
      </c>
      <c r="J1619" s="2" t="str">
        <f t="array" ref="J1619:N1619">_xlfn.XLOOKUP(A1619,Productos!$A$2:$A$61,Productos!$B$2:$F$61)</f>
        <v>Playera confort</v>
      </c>
      <c r="K1619" s="2" t="s">
        <v>9</v>
      </c>
      <c r="L1619" s="2" t="s">
        <v>10</v>
      </c>
      <c r="M1619" s="2" t="s">
        <v>68</v>
      </c>
      <c r="N1619" s="2" t="s">
        <v>70</v>
      </c>
    </row>
    <row r="1620">
      <c r="A1620" s="2" t="str">
        <f>IFERROR(__xludf.DUMMYFUNCTION("""COMPUTED_VALUE"""),"PR027")</f>
        <v>PR027</v>
      </c>
      <c r="B1620" s="2" t="str">
        <f>IFERROR(__xludf.DUMMYFUNCTION("""COMPUTED_VALUE"""),"VD022")</f>
        <v>VD022</v>
      </c>
      <c r="C1620" s="2">
        <f>IFERROR(__xludf.DUMMYFUNCTION("""COMPUTED_VALUE"""),6.0)</f>
        <v>6</v>
      </c>
      <c r="D1620" s="6">
        <f>IFERROR(__xludf.DUMMYFUNCTION("""COMPUTED_VALUE"""),763.2)</f>
        <v>763.2</v>
      </c>
      <c r="E1620" s="6">
        <f>IFERROR(__xludf.DUMMYFUNCTION("GOOGLEFINANCE(""Currency:BRLMXN"")*D1620"),2592.972)</f>
        <v>2592.972</v>
      </c>
      <c r="F1620" s="6">
        <f>IFERROR(__xludf.DUMMYFUNCTION("GOOGLEFINANCE(""Currency:BRLPEN"")*D1620"),500.35392)</f>
        <v>500.35392</v>
      </c>
      <c r="G1620" s="2" t="str">
        <f t="array" ref="G1620">_xlfn.XLOOKUP(B1620,Vendedores!$A$2:$A$41,Vendedores!$B$2:$B$41,"No hay datos")</f>
        <v>Santiago Linares</v>
      </c>
      <c r="H1620" s="2" t="str">
        <f t="array" ref="H1620">_xlfn.XLOOKUP(B1620,Vendedores!$A$2:$A$41,Vendedores!$C$2:$C$41,"No hay datos")</f>
        <v>Vista Hermosa</v>
      </c>
      <c r="I1620" s="2" t="str">
        <f t="array" ref="I1620">_xlfn.XLOOKUP(B1620,Vendedores!$A$2:$A$41,Vendedores!$D$2:$D$41,"No hay datos")</f>
        <v>Región Central</v>
      </c>
      <c r="J1620" s="2" t="str">
        <f t="array" ref="J1620:N1620">_xlfn.XLOOKUP(A1620,Productos!$A$2:$A$61,Productos!$B$2:$F$61)</f>
        <v>Gafas redondas</v>
      </c>
      <c r="K1620" s="2" t="s">
        <v>29</v>
      </c>
      <c r="L1620" s="2" t="s">
        <v>30</v>
      </c>
      <c r="M1620" s="2" t="s">
        <v>53</v>
      </c>
      <c r="N1620" s="2" t="s">
        <v>54</v>
      </c>
    </row>
    <row r="1621">
      <c r="A1621" s="2" t="str">
        <f>IFERROR(__xludf.DUMMYFUNCTION("""COMPUTED_VALUE"""),"PR006")</f>
        <v>PR006</v>
      </c>
      <c r="B1621" s="2" t="str">
        <f>IFERROR(__xludf.DUMMYFUNCTION("""COMPUTED_VALUE"""),"VD020")</f>
        <v>VD020</v>
      </c>
      <c r="C1621" s="2">
        <f>IFERROR(__xludf.DUMMYFUNCTION("""COMPUTED_VALUE"""),7.0)</f>
        <v>7</v>
      </c>
      <c r="D1621" s="6">
        <f>IFERROR(__xludf.DUMMYFUNCTION("""COMPUTED_VALUE"""),279.3)</f>
        <v>279.3</v>
      </c>
      <c r="E1621" s="6">
        <f>IFERROR(__xludf.DUMMYFUNCTION("GOOGLEFINANCE(""Currency:BRLMXN"")*D1621"),948.92175)</f>
        <v>948.92175</v>
      </c>
      <c r="F1621" s="6">
        <f>IFERROR(__xludf.DUMMYFUNCTION("GOOGLEFINANCE(""Currency:BRLPEN"")*D1621"),183.10908)</f>
        <v>183.10908</v>
      </c>
      <c r="G1621" s="2" t="str">
        <f t="array" ref="G1621">_xlfn.XLOOKUP(B1621,Vendedores!$A$2:$A$41,Vendedores!$B$2:$B$41,"No hay datos")</f>
        <v>Gustavo Morales</v>
      </c>
      <c r="H1621" s="2" t="str">
        <f t="array" ref="H1621">_xlfn.XLOOKUP(B1621,Vendedores!$A$2:$A$41,Vendedores!$C$2:$C$41,"No hay datos")</f>
        <v>Villa del Sol</v>
      </c>
      <c r="I1621" s="2" t="str">
        <f t="array" ref="I1621">_xlfn.XLOOKUP(B1621,Vendedores!$A$2:$A$41,Vendedores!$D$2:$D$41,"No hay datos")</f>
        <v>Región Central 2</v>
      </c>
      <c r="J1621" s="2" t="str">
        <f t="array" ref="J1621:N1621">_xlfn.XLOOKUP(A1621,Productos!$A$2:$A$61,Productos!$B$2:$F$61)</f>
        <v>Gorra</v>
      </c>
      <c r="K1621" s="2" t="s">
        <v>29</v>
      </c>
      <c r="L1621" s="2" t="s">
        <v>30</v>
      </c>
      <c r="M1621" s="2" t="s">
        <v>48</v>
      </c>
      <c r="N1621" s="2" t="s">
        <v>38</v>
      </c>
    </row>
    <row r="1622">
      <c r="A1622" s="2" t="str">
        <f>IFERROR(__xludf.DUMMYFUNCTION("""COMPUTED_VALUE"""),"PR005")</f>
        <v>PR005</v>
      </c>
      <c r="B1622" s="2" t="str">
        <f>IFERROR(__xludf.DUMMYFUNCTION("""COMPUTED_VALUE"""),"VD018")</f>
        <v>VD018</v>
      </c>
      <c r="C1622" s="2">
        <f>IFERROR(__xludf.DUMMYFUNCTION("""COMPUTED_VALUE"""),18.0)</f>
        <v>18</v>
      </c>
      <c r="D1622" s="6">
        <f>IFERROR(__xludf.DUMMYFUNCTION("""COMPUTED_VALUE"""),4958.89)</f>
        <v>4958.89</v>
      </c>
      <c r="E1622" s="6">
        <f>IFERROR(__xludf.DUMMYFUNCTION("GOOGLEFINANCE(""Currency:BRLMXN"")*D1622"),16847.828775)</f>
        <v>16847.82878</v>
      </c>
      <c r="F1622" s="6">
        <f>IFERROR(__xludf.DUMMYFUNCTION("GOOGLEFINANCE(""Currency:BRLPEN"")*D1622"),3251.048284)</f>
        <v>3251.048284</v>
      </c>
      <c r="G1622" s="2" t="str">
        <f t="array" ref="G1622">_xlfn.XLOOKUP(B1622,Vendedores!$A$2:$A$41,Vendedores!$B$2:$B$41,"No hay datos")</f>
        <v>Leticia Rodríguez</v>
      </c>
      <c r="H1622" s="2" t="str">
        <f t="array" ref="H1622">_xlfn.XLOOKUP(B1622,Vendedores!$A$2:$A$41,Vendedores!$C$2:$C$41,"No hay datos")</f>
        <v>Playa Blanca</v>
      </c>
      <c r="I1622" s="2" t="str">
        <f t="array" ref="I1622">_xlfn.XLOOKUP(B1622,Vendedores!$A$2:$A$41,Vendedores!$D$2:$D$41,"No hay datos")</f>
        <v>Región Norte</v>
      </c>
      <c r="J1622" s="2" t="str">
        <f t="array" ref="J1622:N1622">_xlfn.XLOOKUP(A1622,Productos!$A$2:$A$61,Productos!$B$2:$F$61)</f>
        <v>Bolso de cuero</v>
      </c>
      <c r="K1622" s="2" t="s">
        <v>29</v>
      </c>
      <c r="L1622" s="2" t="s">
        <v>30</v>
      </c>
      <c r="M1622" s="2" t="s">
        <v>100</v>
      </c>
      <c r="N1622" s="2" t="s">
        <v>64</v>
      </c>
    </row>
    <row r="1623">
      <c r="A1623" s="2" t="str">
        <f>IFERROR(__xludf.DUMMYFUNCTION("""COMPUTED_VALUE"""),"PR046")</f>
        <v>PR046</v>
      </c>
      <c r="B1623" s="2" t="str">
        <f>IFERROR(__xludf.DUMMYFUNCTION("""COMPUTED_VALUE"""),"VD034")</f>
        <v>VD034</v>
      </c>
      <c r="C1623" s="2">
        <f>IFERROR(__xludf.DUMMYFUNCTION("""COMPUTED_VALUE"""),20.0)</f>
        <v>20</v>
      </c>
      <c r="D1623" s="6">
        <f>IFERROR(__xludf.DUMMYFUNCTION("""COMPUTED_VALUE"""),6261.84)</f>
        <v>6261.84</v>
      </c>
      <c r="E1623" s="6">
        <f>IFERROR(__xludf.DUMMYFUNCTION("GOOGLEFINANCE(""Currency:BRLMXN"")*D1623"),21274.6014)</f>
        <v>21274.6014</v>
      </c>
      <c r="F1623" s="6">
        <f>IFERROR(__xludf.DUMMYFUNCTION("GOOGLEFINANCE(""Currency:BRLPEN"")*D1623"),4105.262304)</f>
        <v>4105.262304</v>
      </c>
      <c r="G1623" s="2" t="str">
        <f t="array" ref="G1623">_xlfn.XLOOKUP(B1623,Vendedores!$A$2:$A$41,Vendedores!$B$2:$B$41,"No hay datos")</f>
        <v>Felipe Carvajal</v>
      </c>
      <c r="H1623" s="2" t="str">
        <f t="array" ref="H1623">_xlfn.XLOOKUP(B1623,Vendedores!$A$2:$A$41,Vendedores!$C$2:$C$41,"No hay datos")</f>
        <v>San Pedro del Río</v>
      </c>
      <c r="I1623" s="2" t="str">
        <f t="array" ref="I1623">_xlfn.XLOOKUP(B1623,Vendedores!$A$2:$A$41,Vendedores!$D$2:$D$41,"No hay datos")</f>
        <v>Región Sur 2</v>
      </c>
      <c r="J1623" s="2" t="str">
        <f t="array" ref="J1623:N1623">_xlfn.XLOOKUP(A1623,Productos!$A$2:$A$61,Productos!$B$2:$F$61)</f>
        <v>Chaqueta de cuero</v>
      </c>
      <c r="K1623" s="2" t="s">
        <v>9</v>
      </c>
      <c r="L1623" s="2" t="s">
        <v>10</v>
      </c>
      <c r="M1623" s="2" t="s">
        <v>94</v>
      </c>
      <c r="N1623" s="2" t="s">
        <v>44</v>
      </c>
    </row>
    <row r="1624">
      <c r="A1624" s="2" t="str">
        <f>IFERROR(__xludf.DUMMYFUNCTION("""COMPUTED_VALUE"""),"PR001")</f>
        <v>PR001</v>
      </c>
      <c r="B1624" s="2" t="str">
        <f>IFERROR(__xludf.DUMMYFUNCTION("""COMPUTED_VALUE"""),"VD041")</f>
        <v>VD041</v>
      </c>
      <c r="C1624" s="2">
        <f>IFERROR(__xludf.DUMMYFUNCTION("""COMPUTED_VALUE"""),10.0)</f>
        <v>10</v>
      </c>
      <c r="D1624" s="6">
        <f>IFERROR(__xludf.DUMMYFUNCTION("""COMPUTED_VALUE"""),705.13)</f>
        <v>705.13</v>
      </c>
      <c r="E1624" s="6">
        <f>IFERROR(__xludf.DUMMYFUNCTION("GOOGLEFINANCE(""Currency:BRLMXN"")*D1624"),2395.6791749999998)</f>
        <v>2395.679175</v>
      </c>
      <c r="F1624" s="6">
        <f>IFERROR(__xludf.DUMMYFUNCTION("GOOGLEFINANCE(""Currency:BRLPEN"")*D1624"),462.28322799999995)</f>
        <v>462.283228</v>
      </c>
      <c r="G1624" s="2" t="str">
        <f t="array" ref="G1624">_xlfn.XLOOKUP(B1624,Vendedores!$A$2:$A$41,Vendedores!$B$2:$B$41,"No hay datos")</f>
        <v>Alejandro Ramos</v>
      </c>
      <c r="H1624" s="2" t="str">
        <f t="array" ref="H1624">_xlfn.XLOOKUP(B1624,Vendedores!$A$2:$A$41,Vendedores!$C$2:$C$41,"No hay datos")</f>
        <v>San Martín de las Rosas</v>
      </c>
      <c r="I1624" s="2" t="str">
        <f t="array" ref="I1624">_xlfn.XLOOKUP(B1624,Vendedores!$A$2:$A$41,Vendedores!$D$2:$D$41,"No hay datos")</f>
        <v>Región Central 2</v>
      </c>
      <c r="J1624" s="2" t="str">
        <f t="array" ref="J1624:N1624">_xlfn.XLOOKUP(A1624,Productos!$A$2:$A$61,Productos!$B$2:$F$61)</f>
        <v>Bermuda</v>
      </c>
      <c r="K1624" s="2" t="s">
        <v>9</v>
      </c>
      <c r="L1624" s="2" t="s">
        <v>10</v>
      </c>
      <c r="M1624" s="2" t="s">
        <v>11</v>
      </c>
      <c r="N1624" s="2" t="s">
        <v>12</v>
      </c>
    </row>
    <row r="1625">
      <c r="A1625" s="2" t="str">
        <f>IFERROR(__xludf.DUMMYFUNCTION("""COMPUTED_VALUE"""),"PR037")</f>
        <v>PR037</v>
      </c>
      <c r="B1625" s="2" t="str">
        <f>IFERROR(__xludf.DUMMYFUNCTION("""COMPUTED_VALUE"""),"VD028")</f>
        <v>VD028</v>
      </c>
      <c r="C1625" s="2">
        <f>IFERROR(__xludf.DUMMYFUNCTION("""COMPUTED_VALUE"""),12.0)</f>
        <v>12</v>
      </c>
      <c r="D1625" s="6">
        <f>IFERROR(__xludf.DUMMYFUNCTION("""COMPUTED_VALUE"""),1680.0)</f>
        <v>1680</v>
      </c>
      <c r="E1625" s="6">
        <f>IFERROR(__xludf.DUMMYFUNCTION("GOOGLEFINANCE(""Currency:BRLMXN"")*D1625"),5707.8)</f>
        <v>5707.8</v>
      </c>
      <c r="F1625" s="6">
        <f>IFERROR(__xludf.DUMMYFUNCTION("GOOGLEFINANCE(""Currency:BRLPEN"")*D1625"),1101.408)</f>
        <v>1101.408</v>
      </c>
      <c r="G1625" s="2" t="str">
        <f t="array" ref="G1625">_xlfn.XLOOKUP(B1625,Vendedores!$A$2:$A$41,Vendedores!$B$2:$B$41,"No hay datos")</f>
        <v>Rodrigo Almonte</v>
      </c>
      <c r="H1625" s="2" t="str">
        <f t="array" ref="H1625">_xlfn.XLOOKUP(B1625,Vendedores!$A$2:$A$41,Vendedores!$C$2:$C$41,"No hay datos")</f>
        <v>Valle Escondido</v>
      </c>
      <c r="I1625" s="2" t="str">
        <f t="array" ref="I1625">_xlfn.XLOOKUP(B1625,Vendedores!$A$2:$A$41,Vendedores!$D$2:$D$41,"No hay datos")</f>
        <v>Región Andina</v>
      </c>
      <c r="J1625" s="2" t="str">
        <f t="array" ref="J1625:N1625">_xlfn.XLOOKUP(A1625,Productos!$A$2:$A$61,Productos!$B$2:$F$61)</f>
        <v>Vestido largo</v>
      </c>
      <c r="K1625" s="2" t="s">
        <v>9</v>
      </c>
      <c r="L1625" s="2" t="s">
        <v>10</v>
      </c>
      <c r="M1625" s="2" t="s">
        <v>70</v>
      </c>
      <c r="N1625" s="2" t="s">
        <v>71</v>
      </c>
    </row>
    <row r="1626">
      <c r="A1626" s="2" t="str">
        <f>IFERROR(__xludf.DUMMYFUNCTION("""COMPUTED_VALUE"""),"PR036")</f>
        <v>PR036</v>
      </c>
      <c r="B1626" s="2" t="str">
        <f>IFERROR(__xludf.DUMMYFUNCTION("""COMPUTED_VALUE"""),"VD038")</f>
        <v>VD038</v>
      </c>
      <c r="C1626" s="2">
        <f>IFERROR(__xludf.DUMMYFUNCTION("""COMPUTED_VALUE"""),4.0)</f>
        <v>4</v>
      </c>
      <c r="D1626" s="6">
        <f>IFERROR(__xludf.DUMMYFUNCTION("""COMPUTED_VALUE"""),388.96)</f>
        <v>388.96</v>
      </c>
      <c r="E1626" s="6">
        <f>IFERROR(__xludf.DUMMYFUNCTION("GOOGLEFINANCE(""Currency:BRLMXN"")*D1626"),1321.4915999999998)</f>
        <v>1321.4916</v>
      </c>
      <c r="F1626" s="6">
        <f>IFERROR(__xludf.DUMMYFUNCTION("GOOGLEFINANCE(""Currency:BRLPEN"")*D1626"),255.00217599999996)</f>
        <v>255.002176</v>
      </c>
      <c r="G1626" s="2" t="str">
        <f t="array" ref="G1626">_xlfn.XLOOKUP(B1626,Vendedores!$A$2:$A$41,Vendedores!$B$2:$B$41,"No hay datos")</f>
        <v>Bruno Olmedo</v>
      </c>
      <c r="H1626" s="2" t="str">
        <f t="array" ref="H1626">_xlfn.XLOOKUP(B1626,Vendedores!$A$2:$A$41,Vendedores!$C$2:$C$41,"No hay datos")</f>
        <v>Tierra Fertil</v>
      </c>
      <c r="I1626" s="2" t="str">
        <f t="array" ref="I1626">_xlfn.XLOOKUP(B1626,Vendedores!$A$2:$A$41,Vendedores!$D$2:$D$41,"No hay datos")</f>
        <v>Región Sur 2</v>
      </c>
      <c r="J1626" s="2" t="str">
        <f t="array" ref="J1626:N1626">_xlfn.XLOOKUP(A1626,Productos!$A$2:$A$61,Productos!$B$2:$F$61)</f>
        <v>Vestido corto</v>
      </c>
      <c r="K1626" s="2" t="s">
        <v>22</v>
      </c>
      <c r="L1626" s="2" t="s">
        <v>10</v>
      </c>
      <c r="M1626" s="2" t="s">
        <v>82</v>
      </c>
      <c r="N1626" s="2" t="s">
        <v>83</v>
      </c>
    </row>
    <row r="1627">
      <c r="A1627" s="2" t="str">
        <f>IFERROR(__xludf.DUMMYFUNCTION("""COMPUTED_VALUE"""),"PR035")</f>
        <v>PR035</v>
      </c>
      <c r="B1627" s="2" t="str">
        <f>IFERROR(__xludf.DUMMYFUNCTION("""COMPUTED_VALUE"""),"VD018")</f>
        <v>VD018</v>
      </c>
      <c r="C1627" s="2">
        <f>IFERROR(__xludf.DUMMYFUNCTION("""COMPUTED_VALUE"""),6.0)</f>
        <v>6</v>
      </c>
      <c r="D1627" s="6">
        <f>IFERROR(__xludf.DUMMYFUNCTION("""COMPUTED_VALUE"""),548.4)</f>
        <v>548.4</v>
      </c>
      <c r="E1627" s="6">
        <f>IFERROR(__xludf.DUMMYFUNCTION("GOOGLEFINANCE(""Currency:BRLMXN"")*D1627"),1863.1889999999999)</f>
        <v>1863.189</v>
      </c>
      <c r="F1627" s="6">
        <f>IFERROR(__xludf.DUMMYFUNCTION("GOOGLEFINANCE(""Currency:BRLPEN"")*D1627"),359.53103999999996)</f>
        <v>359.53104</v>
      </c>
      <c r="G1627" s="2" t="str">
        <f t="array" ref="G1627">_xlfn.XLOOKUP(B1627,Vendedores!$A$2:$A$41,Vendedores!$B$2:$B$41,"No hay datos")</f>
        <v>Leticia Rodríguez</v>
      </c>
      <c r="H1627" s="2" t="str">
        <f t="array" ref="H1627">_xlfn.XLOOKUP(B1627,Vendedores!$A$2:$A$41,Vendedores!$C$2:$C$41,"No hay datos")</f>
        <v>Playa Blanca</v>
      </c>
      <c r="I1627" s="2" t="str">
        <f t="array" ref="I1627">_xlfn.XLOOKUP(B1627,Vendedores!$A$2:$A$41,Vendedores!$D$2:$D$41,"No hay datos")</f>
        <v>Región Norte</v>
      </c>
      <c r="J1627" s="2" t="str">
        <f t="array" ref="J1627:N1627">_xlfn.XLOOKUP(A1627,Productos!$A$2:$A$61,Productos!$B$2:$F$61)</f>
        <v>Vestido corto</v>
      </c>
      <c r="K1627" s="2" t="s">
        <v>17</v>
      </c>
      <c r="L1627" s="2" t="s">
        <v>10</v>
      </c>
      <c r="M1627" s="2" t="s">
        <v>18</v>
      </c>
      <c r="N1627" s="2" t="s">
        <v>19</v>
      </c>
    </row>
    <row r="1628">
      <c r="A1628" s="2" t="str">
        <f>IFERROR(__xludf.DUMMYFUNCTION("""COMPUTED_VALUE"""),"PR057")</f>
        <v>PR057</v>
      </c>
      <c r="B1628" s="2" t="str">
        <f>IFERROR(__xludf.DUMMYFUNCTION("""COMPUTED_VALUE"""),"VD014")</f>
        <v>VD014</v>
      </c>
      <c r="C1628" s="2">
        <f>IFERROR(__xludf.DUMMYFUNCTION("""COMPUTED_VALUE"""),3.0)</f>
        <v>3</v>
      </c>
      <c r="D1628" s="6">
        <f>IFERROR(__xludf.DUMMYFUNCTION("""COMPUTED_VALUE"""),285.88)</f>
        <v>285.88</v>
      </c>
      <c r="E1628" s="6">
        <f>IFERROR(__xludf.DUMMYFUNCTION("GOOGLEFINANCE(""Currency:BRLMXN"")*D1628"),971.2773)</f>
        <v>971.2773</v>
      </c>
      <c r="F1628" s="6">
        <f>IFERROR(__xludf.DUMMYFUNCTION("GOOGLEFINANCE(""Currency:BRLPEN"")*D1628"),187.42292799999998)</f>
        <v>187.422928</v>
      </c>
      <c r="G1628" s="2" t="str">
        <f t="array" ref="G1628">_xlfn.XLOOKUP(B1628,Vendedores!$A$2:$A$41,Vendedores!$B$2:$B$41,"No hay datos")</f>
        <v>Carla Flores</v>
      </c>
      <c r="H1628" s="2" t="str">
        <f t="array" ref="H1628">_xlfn.XLOOKUP(B1628,Vendedores!$A$2:$A$41,Vendedores!$C$2:$C$41,"No hay datos")</f>
        <v>Valle Escondido</v>
      </c>
      <c r="I1628" s="2" t="str">
        <f t="array" ref="I1628">_xlfn.XLOOKUP(B1628,Vendedores!$A$2:$A$41,Vendedores!$D$2:$D$41,"No hay datos")</f>
        <v>Región Andina</v>
      </c>
      <c r="J1628" s="2" t="str">
        <f t="array" ref="J1628:N1628">_xlfn.XLOOKUP(A1628,Productos!$A$2:$A$61,Productos!$B$2:$F$61)</f>
        <v>Sandalia plana</v>
      </c>
      <c r="K1628" s="2">
        <v>37.0</v>
      </c>
      <c r="L1628" s="2" t="s">
        <v>33</v>
      </c>
      <c r="M1628" s="2" t="s">
        <v>58</v>
      </c>
      <c r="N1628" s="2" t="s">
        <v>35</v>
      </c>
    </row>
    <row r="1629">
      <c r="A1629" s="2" t="str">
        <f>IFERROR(__xludf.DUMMYFUNCTION("""COMPUTED_VALUE"""),"PR033")</f>
        <v>PR033</v>
      </c>
      <c r="B1629" s="2" t="str">
        <f>IFERROR(__xludf.DUMMYFUNCTION("""COMPUTED_VALUE"""),"VD043")</f>
        <v>VD043</v>
      </c>
      <c r="C1629" s="2">
        <f>IFERROR(__xludf.DUMMYFUNCTION("""COMPUTED_VALUE"""),20.0)</f>
        <v>20</v>
      </c>
      <c r="D1629" s="6">
        <f>IFERROR(__xludf.DUMMYFUNCTION("""COMPUTED_VALUE"""),5717.8)</f>
        <v>5717.8</v>
      </c>
      <c r="E1629" s="6">
        <f>IFERROR(__xludf.DUMMYFUNCTION("GOOGLEFINANCE(""Currency:BRLMXN"")*D1629"),19426.2255)</f>
        <v>19426.2255</v>
      </c>
      <c r="F1629" s="6">
        <f>IFERROR(__xludf.DUMMYFUNCTION("GOOGLEFINANCE(""Currency:BRLPEN"")*D1629"),3748.58968)</f>
        <v>3748.58968</v>
      </c>
      <c r="G1629" s="2" t="str">
        <f t="array" ref="G1629">_xlfn.XLOOKUP(B1629,Vendedores!$A$2:$A$41,Vendedores!$B$2:$B$41,"No hay datos")</f>
        <v>Carlos Henríquez</v>
      </c>
      <c r="H1629" s="2" t="str">
        <f t="array" ref="H1629">_xlfn.XLOOKUP(B1629,Vendedores!$A$2:$A$41,Vendedores!$C$2:$C$41,"No hay datos")</f>
        <v>Ciudad Aeropuerto</v>
      </c>
      <c r="I1629" s="2" t="str">
        <f t="array" ref="I1629">_xlfn.XLOOKUP(B1629,Vendedores!$A$2:$A$41,Vendedores!$D$2:$D$41,"No hay datos")</f>
        <v>Región Central 2</v>
      </c>
      <c r="J1629" s="2" t="str">
        <f t="array" ref="J1629:N1629">_xlfn.XLOOKUP(A1629,Productos!$A$2:$A$61,Productos!$B$2:$F$61)</f>
        <v>Tenis Chunky</v>
      </c>
      <c r="K1629" s="2">
        <v>38.0</v>
      </c>
      <c r="L1629" s="2" t="s">
        <v>33</v>
      </c>
      <c r="M1629" s="2" t="s">
        <v>63</v>
      </c>
      <c r="N1629" s="2" t="s">
        <v>64</v>
      </c>
    </row>
    <row r="1630">
      <c r="A1630" s="2" t="str">
        <f>IFERROR(__xludf.DUMMYFUNCTION("""COMPUTED_VALUE"""),"PR041")</f>
        <v>PR041</v>
      </c>
      <c r="B1630" s="2" t="str">
        <f>IFERROR(__xludf.DUMMYFUNCTION("""COMPUTED_VALUE"""),"VD022")</f>
        <v>VD022</v>
      </c>
      <c r="C1630" s="2">
        <f>IFERROR(__xludf.DUMMYFUNCTION("""COMPUTED_VALUE"""),6.0)</f>
        <v>6</v>
      </c>
      <c r="D1630" s="6">
        <f>IFERROR(__xludf.DUMMYFUNCTION("""COMPUTED_VALUE"""),345.87)</f>
        <v>345.87</v>
      </c>
      <c r="E1630" s="6">
        <f>IFERROR(__xludf.DUMMYFUNCTION("GOOGLEFINANCE(""Currency:BRLMXN"")*D1630"),1175.093325)</f>
        <v>1175.093325</v>
      </c>
      <c r="F1630" s="6">
        <f>IFERROR(__xludf.DUMMYFUNCTION("GOOGLEFINANCE(""Currency:BRLPEN"")*D1630"),226.75237199999998)</f>
        <v>226.752372</v>
      </c>
      <c r="G1630" s="2" t="str">
        <f t="array" ref="G1630">_xlfn.XLOOKUP(B1630,Vendedores!$A$2:$A$41,Vendedores!$B$2:$B$41,"No hay datos")</f>
        <v>Santiago Linares</v>
      </c>
      <c r="H1630" s="2" t="str">
        <f t="array" ref="H1630">_xlfn.XLOOKUP(B1630,Vendedores!$A$2:$A$41,Vendedores!$C$2:$C$41,"No hay datos")</f>
        <v>Vista Hermosa</v>
      </c>
      <c r="I1630" s="2" t="str">
        <f t="array" ref="I1630">_xlfn.XLOOKUP(B1630,Vendedores!$A$2:$A$41,Vendedores!$D$2:$D$41,"No hay datos")</f>
        <v>Región Central</v>
      </c>
      <c r="J1630" s="2" t="str">
        <f t="array" ref="J1630:N1630">_xlfn.XLOOKUP(A1630,Productos!$A$2:$A$61,Productos!$B$2:$F$61)</f>
        <v>Playera confort</v>
      </c>
      <c r="K1630" s="2" t="s">
        <v>17</v>
      </c>
      <c r="L1630" s="2" t="s">
        <v>10</v>
      </c>
      <c r="M1630" s="2" t="s">
        <v>95</v>
      </c>
      <c r="N1630" s="2" t="s">
        <v>26</v>
      </c>
    </row>
    <row r="1631">
      <c r="A1631" s="2" t="str">
        <f>IFERROR(__xludf.DUMMYFUNCTION("""COMPUTED_VALUE"""),"PR010")</f>
        <v>PR010</v>
      </c>
      <c r="B1631" s="2" t="str">
        <f>IFERROR(__xludf.DUMMYFUNCTION("""COMPUTED_VALUE"""),"VD030")</f>
        <v>VD030</v>
      </c>
      <c r="C1631" s="2">
        <f>IFERROR(__xludf.DUMMYFUNCTION("""COMPUTED_VALUE"""),4.0)</f>
        <v>4</v>
      </c>
      <c r="D1631" s="6">
        <f>IFERROR(__xludf.DUMMYFUNCTION("""COMPUTED_VALUE"""),183.19)</f>
        <v>183.19</v>
      </c>
      <c r="E1631" s="6">
        <f>IFERROR(__xludf.DUMMYFUNCTION("GOOGLEFINANCE(""Currency:BRLMXN"")*D1631"),622.388025)</f>
        <v>622.388025</v>
      </c>
      <c r="F1631" s="6">
        <f>IFERROR(__xludf.DUMMYFUNCTION("GOOGLEFINANCE(""Currency:BRLPEN"")*D1631"),120.099364)</f>
        <v>120.099364</v>
      </c>
      <c r="G1631" s="2" t="str">
        <f t="array" ref="G1631">_xlfn.XLOOKUP(B1631,Vendedores!$A$2:$A$41,Vendedores!$B$2:$B$41,"No hay datos")</f>
        <v>Leonardo Rojas</v>
      </c>
      <c r="H1631" s="2" t="str">
        <f t="array" ref="H1631">_xlfn.XLOOKUP(B1631,Vendedores!$A$2:$A$41,Vendedores!$C$2:$C$41,"No hay datos")</f>
        <v>Villa del Sol</v>
      </c>
      <c r="I1631" s="2" t="str">
        <f t="array" ref="I1631">_xlfn.XLOOKUP(B1631,Vendedores!$A$2:$A$41,Vendedores!$D$2:$D$41,"No hay datos")</f>
        <v>Región Central 2</v>
      </c>
      <c r="J1631" s="2" t="str">
        <f t="array" ref="J1631:N1631">_xlfn.XLOOKUP(A1631,Productos!$A$2:$A$61,Productos!$B$2:$F$61)</f>
        <v>Pantalón legging</v>
      </c>
      <c r="K1631" s="2" t="s">
        <v>9</v>
      </c>
      <c r="L1631" s="2" t="s">
        <v>10</v>
      </c>
      <c r="M1631" s="2" t="s">
        <v>86</v>
      </c>
      <c r="N1631" s="2" t="s">
        <v>87</v>
      </c>
    </row>
    <row r="1632">
      <c r="A1632" s="2" t="str">
        <f>IFERROR(__xludf.DUMMYFUNCTION("""COMPUTED_VALUE"""),"PR026")</f>
        <v>PR026</v>
      </c>
      <c r="B1632" s="2" t="str">
        <f>IFERROR(__xludf.DUMMYFUNCTION("""COMPUTED_VALUE"""),"VD010")</f>
        <v>VD010</v>
      </c>
      <c r="C1632" s="2">
        <f>IFERROR(__xludf.DUMMYFUNCTION("""COMPUTED_VALUE"""),16.0)</f>
        <v>16</v>
      </c>
      <c r="D1632" s="6">
        <f>IFERROR(__xludf.DUMMYFUNCTION("""COMPUTED_VALUE"""),6102.26)</f>
        <v>6102.26</v>
      </c>
      <c r="E1632" s="6">
        <f>IFERROR(__xludf.DUMMYFUNCTION("GOOGLEFINANCE(""Currency:BRLMXN"")*D1632"),20732.428350000002)</f>
        <v>20732.42835</v>
      </c>
      <c r="F1632" s="6">
        <f>IFERROR(__xludf.DUMMYFUNCTION("GOOGLEFINANCE(""Currency:BRLPEN"")*D1632"),4000.641656)</f>
        <v>4000.641656</v>
      </c>
      <c r="G1632" s="2" t="str">
        <f t="array" ref="G1632">_xlfn.XLOOKUP(B1632,Vendedores!$A$2:$A$41,Vendedores!$B$2:$B$41,"No hay datos")</f>
        <v>María Silva</v>
      </c>
      <c r="H1632" s="2" t="str">
        <f t="array" ref="H1632">_xlfn.XLOOKUP(B1632,Vendedores!$A$2:$A$41,Vendedores!$C$2:$C$41,"No hay datos")</f>
        <v>San Juan de la Sierra</v>
      </c>
      <c r="I1632" s="2" t="str">
        <f t="array" ref="I1632">_xlfn.XLOOKUP(B1632,Vendedores!$A$2:$A$41,Vendedores!$D$2:$D$41,"No hay datos")</f>
        <v>Región Central</v>
      </c>
      <c r="J1632" s="2" t="str">
        <f t="array" ref="J1632:N1632">_xlfn.XLOOKUP(A1632,Productos!$A$2:$A$61,Productos!$B$2:$F$61)</f>
        <v>Gafas cuadradas</v>
      </c>
      <c r="K1632" s="2" t="s">
        <v>29</v>
      </c>
      <c r="L1632" s="2" t="s">
        <v>30</v>
      </c>
      <c r="M1632" s="2" t="s">
        <v>90</v>
      </c>
      <c r="N1632" s="2" t="s">
        <v>91</v>
      </c>
    </row>
    <row r="1633">
      <c r="A1633" s="2" t="str">
        <f>IFERROR(__xludf.DUMMYFUNCTION("""COMPUTED_VALUE"""),"PR052")</f>
        <v>PR052</v>
      </c>
      <c r="B1633" s="2" t="str">
        <f>IFERROR(__xludf.DUMMYFUNCTION("""COMPUTED_VALUE"""),"VD043")</f>
        <v>VD043</v>
      </c>
      <c r="C1633" s="2">
        <f>IFERROR(__xludf.DUMMYFUNCTION("""COMPUTED_VALUE"""),1.0)</f>
        <v>1</v>
      </c>
      <c r="D1633" s="6">
        <f>IFERROR(__xludf.DUMMYFUNCTION("""COMPUTED_VALUE"""),54.89)</f>
        <v>54.89</v>
      </c>
      <c r="E1633" s="6">
        <f>IFERROR(__xludf.DUMMYFUNCTION("GOOGLEFINANCE(""Currency:BRLMXN"")*D1633"),186.488775)</f>
        <v>186.488775</v>
      </c>
      <c r="F1633" s="6">
        <f>IFERROR(__xludf.DUMMYFUNCTION("GOOGLEFINANCE(""Currency:BRLPEN"")*D1633"),35.985884)</f>
        <v>35.985884</v>
      </c>
      <c r="G1633" s="2" t="str">
        <f t="array" ref="G1633">_xlfn.XLOOKUP(B1633,Vendedores!$A$2:$A$41,Vendedores!$B$2:$B$41,"No hay datos")</f>
        <v>Carlos Henríquez</v>
      </c>
      <c r="H1633" s="2" t="str">
        <f t="array" ref="H1633">_xlfn.XLOOKUP(B1633,Vendedores!$A$2:$A$41,Vendedores!$C$2:$C$41,"No hay datos")</f>
        <v>Ciudad Aeropuerto</v>
      </c>
      <c r="I1633" s="2" t="str">
        <f t="array" ref="I1633">_xlfn.XLOOKUP(B1633,Vendedores!$A$2:$A$41,Vendedores!$D$2:$D$41,"No hay datos")</f>
        <v>Región Central 2</v>
      </c>
      <c r="J1633" s="2" t="str">
        <f t="array" ref="J1633:N1633">_xlfn.XLOOKUP(A1633,Productos!$A$2:$A$61,Productos!$B$2:$F$61)</f>
        <v>Falda plisada</v>
      </c>
      <c r="K1633" s="2" t="s">
        <v>9</v>
      </c>
      <c r="L1633" s="2" t="s">
        <v>10</v>
      </c>
      <c r="M1633" s="2" t="s">
        <v>36</v>
      </c>
      <c r="N1633" s="2" t="s">
        <v>32</v>
      </c>
    </row>
    <row r="1634">
      <c r="A1634" s="2" t="str">
        <f>IFERROR(__xludf.DUMMYFUNCTION("""COMPUTED_VALUE"""),"PR015")</f>
        <v>PR015</v>
      </c>
      <c r="B1634" s="2" t="str">
        <f>IFERROR(__xludf.DUMMYFUNCTION("""COMPUTED_VALUE"""),"VD041")</f>
        <v>VD041</v>
      </c>
      <c r="C1634" s="2">
        <f>IFERROR(__xludf.DUMMYFUNCTION("""COMPUTED_VALUE"""),4.0)</f>
        <v>4</v>
      </c>
      <c r="D1634" s="6">
        <f>IFERROR(__xludf.DUMMYFUNCTION("""COMPUTED_VALUE"""),187.0)</f>
        <v>187</v>
      </c>
      <c r="E1634" s="6">
        <f>IFERROR(__xludf.DUMMYFUNCTION("GOOGLEFINANCE(""Currency:BRLMXN"")*D1634"),635.3325)</f>
        <v>635.3325</v>
      </c>
      <c r="F1634" s="6">
        <f>IFERROR(__xludf.DUMMYFUNCTION("GOOGLEFINANCE(""Currency:BRLPEN"")*D1634"),122.59719999999999)</f>
        <v>122.5972</v>
      </c>
      <c r="G1634" s="2" t="str">
        <f t="array" ref="G1634">_xlfn.XLOOKUP(B1634,Vendedores!$A$2:$A$41,Vendedores!$B$2:$B$41,"No hay datos")</f>
        <v>Alejandro Ramos</v>
      </c>
      <c r="H1634" s="2" t="str">
        <f t="array" ref="H1634">_xlfn.XLOOKUP(B1634,Vendedores!$A$2:$A$41,Vendedores!$C$2:$C$41,"No hay datos")</f>
        <v>San Martín de las Rosas</v>
      </c>
      <c r="I1634" s="2" t="str">
        <f t="array" ref="I1634">_xlfn.XLOOKUP(B1634,Vendedores!$A$2:$A$41,Vendedores!$D$2:$D$41,"No hay datos")</f>
        <v>Región Central 2</v>
      </c>
      <c r="J1634" s="2" t="str">
        <f t="array" ref="J1634:N1634">_xlfn.XLOOKUP(A1634,Productos!$A$2:$A$61,Productos!$B$2:$F$61)</f>
        <v>Playera estampada</v>
      </c>
      <c r="K1634" s="2" t="s">
        <v>22</v>
      </c>
      <c r="L1634" s="2" t="s">
        <v>10</v>
      </c>
      <c r="M1634" s="2" t="s">
        <v>101</v>
      </c>
      <c r="N1634" s="2" t="s">
        <v>102</v>
      </c>
    </row>
    <row r="1635">
      <c r="A1635" s="2" t="str">
        <f>IFERROR(__xludf.DUMMYFUNCTION("""COMPUTED_VALUE"""),"PR034")</f>
        <v>PR034</v>
      </c>
      <c r="B1635" s="2" t="str">
        <f>IFERROR(__xludf.DUMMYFUNCTION("""COMPUTED_VALUE"""),"VD020")</f>
        <v>VD020</v>
      </c>
      <c r="C1635" s="2">
        <f>IFERROR(__xludf.DUMMYFUNCTION("""COMPUTED_VALUE"""),3.0)</f>
        <v>3</v>
      </c>
      <c r="D1635" s="6">
        <f>IFERROR(__xludf.DUMMYFUNCTION("""COMPUTED_VALUE"""),272.4)</f>
        <v>272.4</v>
      </c>
      <c r="E1635" s="6">
        <f>IFERROR(__xludf.DUMMYFUNCTION("GOOGLEFINANCE(""Currency:BRLMXN"")*D1635"),925.4789999999999)</f>
        <v>925.479</v>
      </c>
      <c r="F1635" s="6">
        <f>IFERROR(__xludf.DUMMYFUNCTION("GOOGLEFINANCE(""Currency:BRLPEN"")*D1635"),178.58543999999998)</f>
        <v>178.58544</v>
      </c>
      <c r="G1635" s="2" t="str">
        <f t="array" ref="G1635">_xlfn.XLOOKUP(B1635,Vendedores!$A$2:$A$41,Vendedores!$B$2:$B$41,"No hay datos")</f>
        <v>Gustavo Morales</v>
      </c>
      <c r="H1635" s="2" t="str">
        <f t="array" ref="H1635">_xlfn.XLOOKUP(B1635,Vendedores!$A$2:$A$41,Vendedores!$C$2:$C$41,"No hay datos")</f>
        <v>Villa del Sol</v>
      </c>
      <c r="I1635" s="2" t="str">
        <f t="array" ref="I1635">_xlfn.XLOOKUP(B1635,Vendedores!$A$2:$A$41,Vendedores!$D$2:$D$41,"No hay datos")</f>
        <v>Región Central 2</v>
      </c>
      <c r="J1635" s="2" t="str">
        <f t="array" ref="J1635:N1635">_xlfn.XLOOKUP(A1635,Productos!$A$2:$A$61,Productos!$B$2:$F$61)</f>
        <v>Vestido corto</v>
      </c>
      <c r="K1635" s="2" t="s">
        <v>9</v>
      </c>
      <c r="L1635" s="2" t="s">
        <v>10</v>
      </c>
      <c r="M1635" s="2" t="s">
        <v>93</v>
      </c>
      <c r="N1635" s="2" t="s">
        <v>35</v>
      </c>
    </row>
    <row r="1636">
      <c r="A1636" s="2" t="str">
        <f>IFERROR(__xludf.DUMMYFUNCTION("""COMPUTED_VALUE"""),"PR013")</f>
        <v>PR013</v>
      </c>
      <c r="B1636" s="2" t="str">
        <f>IFERROR(__xludf.DUMMYFUNCTION("""COMPUTED_VALUE"""),"VD044")</f>
        <v>VD044</v>
      </c>
      <c r="C1636" s="2">
        <f>IFERROR(__xludf.DUMMYFUNCTION("""COMPUTED_VALUE"""),2.0)</f>
        <v>2</v>
      </c>
      <c r="D1636" s="6">
        <f>IFERROR(__xludf.DUMMYFUNCTION("""COMPUTED_VALUE"""),84.59)</f>
        <v>84.59</v>
      </c>
      <c r="E1636" s="6">
        <f>IFERROR(__xludf.DUMMYFUNCTION("GOOGLEFINANCE(""Currency:BRLMXN"")*D1636"),287.394525)</f>
        <v>287.394525</v>
      </c>
      <c r="F1636" s="6">
        <f>IFERROR(__xludf.DUMMYFUNCTION("GOOGLEFINANCE(""Currency:BRLPEN"")*D1636"),55.457204)</f>
        <v>55.457204</v>
      </c>
      <c r="G1636" s="2" t="str">
        <f t="array" ref="G1636">_xlfn.XLOOKUP(B1636,Vendedores!$A$2:$A$41,Vendedores!$B$2:$B$41,"No hay datos")</f>
        <v>Silvia Menéndez</v>
      </c>
      <c r="H1636" s="2" t="str">
        <f t="array" ref="H1636">_xlfn.XLOOKUP(B1636,Vendedores!$A$2:$A$41,Vendedores!$C$2:$C$41,"No hay datos")</f>
        <v>San Antonio del Monte</v>
      </c>
      <c r="I1636" s="2" t="str">
        <f t="array" ref="I1636">_xlfn.XLOOKUP(B1636,Vendedores!$A$2:$A$41,Vendedores!$D$2:$D$41,"No hay datos")</f>
        <v>Región Central 2</v>
      </c>
      <c r="J1636" s="2" t="str">
        <f t="array" ref="J1636:N1636">_xlfn.XLOOKUP(A1636,Productos!$A$2:$A$61,Productos!$B$2:$F$61)</f>
        <v>Playera estampada</v>
      </c>
      <c r="K1636" s="2" t="s">
        <v>9</v>
      </c>
      <c r="L1636" s="2" t="s">
        <v>10</v>
      </c>
      <c r="M1636" s="2" t="s">
        <v>66</v>
      </c>
      <c r="N1636" s="2" t="s">
        <v>38</v>
      </c>
    </row>
    <row r="1637">
      <c r="A1637" s="2" t="str">
        <f>IFERROR(__xludf.DUMMYFUNCTION("""COMPUTED_VALUE"""),"PR054")</f>
        <v>PR054</v>
      </c>
      <c r="B1637" s="2" t="str">
        <f>IFERROR(__xludf.DUMMYFUNCTION("""COMPUTED_VALUE"""),"VD031")</f>
        <v>VD031</v>
      </c>
      <c r="C1637" s="2">
        <f>IFERROR(__xludf.DUMMYFUNCTION("""COMPUTED_VALUE"""),6.0)</f>
        <v>6</v>
      </c>
      <c r="D1637" s="6">
        <f>IFERROR(__xludf.DUMMYFUNCTION("""COMPUTED_VALUE"""),305.39)</f>
        <v>305.39</v>
      </c>
      <c r="E1637" s="6">
        <f>IFERROR(__xludf.DUMMYFUNCTION("GOOGLEFINANCE(""Currency:BRLMXN"")*D1637"),1037.562525)</f>
        <v>1037.562525</v>
      </c>
      <c r="F1637" s="6">
        <f>IFERROR(__xludf.DUMMYFUNCTION("GOOGLEFINANCE(""Currency:BRLPEN"")*D1637"),200.21368399999997)</f>
        <v>200.213684</v>
      </c>
      <c r="G1637" s="2" t="str">
        <f t="array" ref="G1637">_xlfn.XLOOKUP(B1637,Vendedores!$A$2:$A$41,Vendedores!$B$2:$B$41,"No hay datos")</f>
        <v>Vanessa Martínez</v>
      </c>
      <c r="H1637" s="2" t="str">
        <f t="array" ref="H1637">_xlfn.XLOOKUP(B1637,Vendedores!$A$2:$A$41,Vendedores!$C$2:$C$41,"No hay datos")</f>
        <v>Monte Verde</v>
      </c>
      <c r="I1637" s="2" t="str">
        <f t="array" ref="I1637">_xlfn.XLOOKUP(B1637,Vendedores!$A$2:$A$41,Vendedores!$D$2:$D$41,"No hay datos")</f>
        <v>Región Central 2</v>
      </c>
      <c r="J1637" s="2" t="str">
        <f t="array" ref="J1637:N1637">_xlfn.XLOOKUP(A1637,Productos!$A$2:$A$61,Productos!$B$2:$F$61)</f>
        <v>Falda plisada</v>
      </c>
      <c r="K1637" s="2" t="s">
        <v>22</v>
      </c>
      <c r="L1637" s="2" t="s">
        <v>10</v>
      </c>
      <c r="M1637" s="2" t="s">
        <v>42</v>
      </c>
      <c r="N1637" s="2" t="s">
        <v>32</v>
      </c>
    </row>
    <row r="1638">
      <c r="A1638" s="2" t="str">
        <f>IFERROR(__xludf.DUMMYFUNCTION("""COMPUTED_VALUE"""),"PR005")</f>
        <v>PR005</v>
      </c>
      <c r="B1638" s="2" t="str">
        <f>IFERROR(__xludf.DUMMYFUNCTION("""COMPUTED_VALUE"""),"VD039")</f>
        <v>VD039</v>
      </c>
      <c r="C1638" s="2">
        <f>IFERROR(__xludf.DUMMYFUNCTION("""COMPUTED_VALUE"""),10.0)</f>
        <v>10</v>
      </c>
      <c r="D1638" s="6">
        <f>IFERROR(__xludf.DUMMYFUNCTION("""COMPUTED_VALUE"""),2806.92)</f>
        <v>2806.92</v>
      </c>
      <c r="E1638" s="6">
        <f>IFERROR(__xludf.DUMMYFUNCTION("GOOGLEFINANCE(""Currency:BRLMXN"")*D1638"),9536.5107)</f>
        <v>9536.5107</v>
      </c>
      <c r="F1638" s="6">
        <f>IFERROR(__xludf.DUMMYFUNCTION("GOOGLEFINANCE(""Currency:BRLPEN"")*D1638"),1840.216752)</f>
        <v>1840.216752</v>
      </c>
      <c r="G1638" s="2" t="str">
        <f t="array" ref="G1638">_xlfn.XLOOKUP(B1638,Vendedores!$A$2:$A$41,Vendedores!$B$2:$B$41,"No hay datos")</f>
        <v>Daniela Rodríguez</v>
      </c>
      <c r="H1638" s="2" t="str">
        <f t="array" ref="H1638">_xlfn.XLOOKUP(B1638,Vendedores!$A$2:$A$41,Vendedores!$C$2:$C$41,"No hay datos")</f>
        <v>Bahía del Sol</v>
      </c>
      <c r="I1638" s="2" t="str">
        <f t="array" ref="I1638">_xlfn.XLOOKUP(B1638,Vendedores!$A$2:$A$41,Vendedores!$D$2:$D$41,"No hay datos")</f>
        <v>Región Central 2</v>
      </c>
      <c r="J1638" s="2" t="str">
        <f t="array" ref="J1638:N1638">_xlfn.XLOOKUP(A1638,Productos!$A$2:$A$61,Productos!$B$2:$F$61)</f>
        <v>Bolso de cuero</v>
      </c>
      <c r="K1638" s="2" t="s">
        <v>29</v>
      </c>
      <c r="L1638" s="2" t="s">
        <v>30</v>
      </c>
      <c r="M1638" s="2" t="s">
        <v>100</v>
      </c>
      <c r="N1638" s="2" t="s">
        <v>64</v>
      </c>
    </row>
    <row r="1639">
      <c r="A1639" s="2" t="str">
        <f>IFERROR(__xludf.DUMMYFUNCTION("""COMPUTED_VALUE"""),"PR046")</f>
        <v>PR046</v>
      </c>
      <c r="B1639" s="2" t="str">
        <f>IFERROR(__xludf.DUMMYFUNCTION("""COMPUTED_VALUE"""),"VD027")</f>
        <v>VD027</v>
      </c>
      <c r="C1639" s="2">
        <f>IFERROR(__xludf.DUMMYFUNCTION("""COMPUTED_VALUE"""),14.0)</f>
        <v>14</v>
      </c>
      <c r="D1639" s="6">
        <f>IFERROR(__xludf.DUMMYFUNCTION("""COMPUTED_VALUE"""),4383.29)</f>
        <v>4383.29</v>
      </c>
      <c r="E1639" s="6">
        <f>IFERROR(__xludf.DUMMYFUNCTION("GOOGLEFINANCE(""Currency:BRLMXN"")*D1639"),14892.227775)</f>
        <v>14892.22778</v>
      </c>
      <c r="F1639" s="6">
        <f>IFERROR(__xludf.DUMMYFUNCTION("GOOGLEFINANCE(""Currency:BRLPEN"")*D1639"),2873.6849239999997)</f>
        <v>2873.684924</v>
      </c>
      <c r="G1639" s="2" t="str">
        <f t="array" ref="G1639">_xlfn.XLOOKUP(B1639,Vendedores!$A$2:$A$41,Vendedores!$B$2:$B$41,"No hay datos")</f>
        <v>Patricia Cortés</v>
      </c>
      <c r="H1639" s="2" t="str">
        <f t="array" ref="H1639">_xlfn.XLOOKUP(B1639,Vendedores!$A$2:$A$41,Vendedores!$C$2:$C$41,"No hay datos")</f>
        <v>Costa Azul</v>
      </c>
      <c r="I1639" s="2" t="str">
        <f t="array" ref="I1639">_xlfn.XLOOKUP(B1639,Vendedores!$A$2:$A$41,Vendedores!$D$2:$D$41,"No hay datos")</f>
        <v>Región Norte</v>
      </c>
      <c r="J1639" s="2" t="str">
        <f t="array" ref="J1639:N1639">_xlfn.XLOOKUP(A1639,Productos!$A$2:$A$61,Productos!$B$2:$F$61)</f>
        <v>Chaqueta de cuero</v>
      </c>
      <c r="K1639" s="2" t="s">
        <v>9</v>
      </c>
      <c r="L1639" s="2" t="s">
        <v>10</v>
      </c>
      <c r="M1639" s="2" t="s">
        <v>94</v>
      </c>
      <c r="N1639" s="2" t="s">
        <v>44</v>
      </c>
    </row>
    <row r="1640">
      <c r="A1640" s="2" t="str">
        <f>IFERROR(__xludf.DUMMYFUNCTION("""COMPUTED_VALUE"""),"PR019")</f>
        <v>PR019</v>
      </c>
      <c r="B1640" s="2" t="str">
        <f>IFERROR(__xludf.DUMMYFUNCTION("""COMPUTED_VALUE"""),"VD015")</f>
        <v>VD015</v>
      </c>
      <c r="C1640" s="2">
        <f>IFERROR(__xludf.DUMMYFUNCTION("""COMPUTED_VALUE"""),9.0)</f>
        <v>9</v>
      </c>
      <c r="D1640" s="6">
        <f>IFERROR(__xludf.DUMMYFUNCTION("""COMPUTED_VALUE"""),485.03)</f>
        <v>485.03</v>
      </c>
      <c r="E1640" s="6">
        <f>IFERROR(__xludf.DUMMYFUNCTION("GOOGLEFINANCE(""Currency:BRLMXN"")*D1640"),1647.8894249999998)</f>
        <v>1647.889425</v>
      </c>
      <c r="F1640" s="6">
        <f>IFERROR(__xludf.DUMMYFUNCTION("GOOGLEFINANCE(""Currency:BRLPEN"")*D1640"),317.985668)</f>
        <v>317.985668</v>
      </c>
      <c r="G1640" s="2" t="str">
        <f t="array" ref="G1640">_xlfn.XLOOKUP(B1640,Vendedores!$A$2:$A$41,Vendedores!$B$2:$B$41,"No hay datos")</f>
        <v>Lucas Castillo</v>
      </c>
      <c r="H1640" s="2" t="str">
        <f t="array" ref="H1640">_xlfn.XLOOKUP(B1640,Vendedores!$A$2:$A$41,Vendedores!$C$2:$C$41,"No hay datos")</f>
        <v>San Miguel de los Pinos</v>
      </c>
      <c r="I1640" s="2" t="str">
        <f t="array" ref="I1640">_xlfn.XLOOKUP(B1640,Vendedores!$A$2:$A$41,Vendedores!$D$2:$D$41,"No hay datos")</f>
        <v>Región Sur</v>
      </c>
      <c r="J1640" s="2" t="str">
        <f t="array" ref="J1640:N1640">_xlfn.XLOOKUP(A1640,Productos!$A$2:$A$61,Productos!$B$2:$F$61)</f>
        <v>Cinturón</v>
      </c>
      <c r="K1640" s="2" t="s">
        <v>29</v>
      </c>
      <c r="L1640" s="2" t="s">
        <v>30</v>
      </c>
      <c r="M1640" s="2" t="s">
        <v>31</v>
      </c>
      <c r="N1640" s="2" t="s">
        <v>32</v>
      </c>
    </row>
    <row r="1641">
      <c r="A1641" s="2" t="str">
        <f>IFERROR(__xludf.DUMMYFUNCTION("""COMPUTED_VALUE"""),"PR047")</f>
        <v>PR047</v>
      </c>
      <c r="B1641" s="2" t="str">
        <f>IFERROR(__xludf.DUMMYFUNCTION("""COMPUTED_VALUE"""),"VD026")</f>
        <v>VD026</v>
      </c>
      <c r="C1641" s="2">
        <f>IFERROR(__xludf.DUMMYFUNCTION("""COMPUTED_VALUE"""),2.0)</f>
        <v>2</v>
      </c>
      <c r="D1641" s="6">
        <f>IFERROR(__xludf.DUMMYFUNCTION("""COMPUTED_VALUE"""),608.79)</f>
        <v>608.79</v>
      </c>
      <c r="E1641" s="6">
        <f>IFERROR(__xludf.DUMMYFUNCTION("GOOGLEFINANCE(""Currency:BRLMXN"")*D1641"),2068.364025)</f>
        <v>2068.364025</v>
      </c>
      <c r="F1641" s="6">
        <f>IFERROR(__xludf.DUMMYFUNCTION("GOOGLEFINANCE(""Currency:BRLPEN"")*D1641"),399.12272399999995)</f>
        <v>399.122724</v>
      </c>
      <c r="G1641" s="2" t="str">
        <f t="array" ref="G1641">_xlfn.XLOOKUP(B1641,Vendedores!$A$2:$A$41,Vendedores!$B$2:$B$41,"No hay datos")</f>
        <v>Daniel Fernández</v>
      </c>
      <c r="H1641" s="2" t="str">
        <f t="array" ref="H1641">_xlfn.XLOOKUP(B1641,Vendedores!$A$2:$A$41,Vendedores!$C$2:$C$41,"No hay datos")</f>
        <v>Puerto Esperanza</v>
      </c>
      <c r="I1641" s="2" t="str">
        <f t="array" ref="I1641">_xlfn.XLOOKUP(B1641,Vendedores!$A$2:$A$41,Vendedores!$D$2:$D$41,"No hay datos")</f>
        <v>Región Sur</v>
      </c>
      <c r="J1641" s="2" t="str">
        <f t="array" ref="J1641:N1641">_xlfn.XLOOKUP(A1641,Productos!$A$2:$A$61,Productos!$B$2:$F$61)</f>
        <v>Chaqueta de cuero</v>
      </c>
      <c r="K1641" s="2" t="s">
        <v>17</v>
      </c>
      <c r="L1641" s="2" t="s">
        <v>10</v>
      </c>
      <c r="M1641" s="2" t="s">
        <v>43</v>
      </c>
      <c r="N1641" s="2" t="s">
        <v>44</v>
      </c>
    </row>
    <row r="1642">
      <c r="A1642" s="2" t="str">
        <f>IFERROR(__xludf.DUMMYFUNCTION("""COMPUTED_VALUE"""),"PR058")</f>
        <v>PR058</v>
      </c>
      <c r="B1642" s="2" t="str">
        <f>IFERROR(__xludf.DUMMYFUNCTION("""COMPUTED_VALUE"""),"VD037")</f>
        <v>VD037</v>
      </c>
      <c r="C1642" s="2">
        <f>IFERROR(__xludf.DUMMYFUNCTION("""COMPUTED_VALUE"""),16.0)</f>
        <v>16</v>
      </c>
      <c r="D1642" s="6">
        <f>IFERROR(__xludf.DUMMYFUNCTION("""COMPUTED_VALUE"""),3139.2)</f>
        <v>3139.2</v>
      </c>
      <c r="E1642" s="6">
        <f>IFERROR(__xludf.DUMMYFUNCTION("GOOGLEFINANCE(""Currency:BRLMXN"")*D1642"),10665.431999999999)</f>
        <v>10665.432</v>
      </c>
      <c r="F1642" s="6">
        <f>IFERROR(__xludf.DUMMYFUNCTION("GOOGLEFINANCE(""Currency:BRLPEN"")*D1642"),2058.05952)</f>
        <v>2058.05952</v>
      </c>
      <c r="G1642" s="2" t="str">
        <f t="array" ref="G1642">_xlfn.XLOOKUP(B1642,Vendedores!$A$2:$A$41,Vendedores!$B$2:$B$41,"No hay datos")</f>
        <v>Amanda Silva</v>
      </c>
      <c r="H1642" s="2" t="str">
        <f t="array" ref="H1642">_xlfn.XLOOKUP(B1642,Vendedores!$A$2:$A$41,Vendedores!$C$2:$C$41,"No hay datos")</f>
        <v>Villa Esperanza</v>
      </c>
      <c r="I1642" s="2" t="str">
        <f t="array" ref="I1642">_xlfn.XLOOKUP(B1642,Vendedores!$A$2:$A$41,Vendedores!$D$2:$D$41,"No hay datos")</f>
        <v>Región Sur 2</v>
      </c>
      <c r="J1642" s="2" t="str">
        <f t="array" ref="J1642:N1642">_xlfn.XLOOKUP(A1642,Productos!$A$2:$A$61,Productos!$B$2:$F$61)</f>
        <v>Pantalón de sastre</v>
      </c>
      <c r="K1642" s="2" t="s">
        <v>9</v>
      </c>
      <c r="L1642" s="2" t="s">
        <v>10</v>
      </c>
      <c r="M1642" s="2" t="s">
        <v>13</v>
      </c>
      <c r="N1642" s="2" t="s">
        <v>14</v>
      </c>
    </row>
    <row r="1643">
      <c r="A1643" s="2" t="str">
        <f>IFERROR(__xludf.DUMMYFUNCTION("""COMPUTED_VALUE"""),"PR030")</f>
        <v>PR030</v>
      </c>
      <c r="B1643" s="2" t="str">
        <f>IFERROR(__xludf.DUMMYFUNCTION("""COMPUTED_VALUE"""),"VD035")</f>
        <v>VD035</v>
      </c>
      <c r="C1643" s="2">
        <f>IFERROR(__xludf.DUMMYFUNCTION("""COMPUTED_VALUE"""),8.0)</f>
        <v>8</v>
      </c>
      <c r="D1643" s="6">
        <f>IFERROR(__xludf.DUMMYFUNCTION("""COMPUTED_VALUE"""),2287.12)</f>
        <v>2287.12</v>
      </c>
      <c r="E1643" s="6">
        <f>IFERROR(__xludf.DUMMYFUNCTION("GOOGLEFINANCE(""Currency:BRLMXN"")*D1643"),7770.490199999999)</f>
        <v>7770.4902</v>
      </c>
      <c r="F1643" s="6">
        <f>IFERROR(__xludf.DUMMYFUNCTION("GOOGLEFINANCE(""Currency:BRLPEN"")*D1643"),1499.4358719999998)</f>
        <v>1499.435872</v>
      </c>
      <c r="G1643" s="2" t="str">
        <f t="array" ref="G1643">_xlfn.XLOOKUP(B1643,Vendedores!$A$2:$A$41,Vendedores!$B$2:$B$41,"No hay datos")</f>
        <v>Carolina Méndez</v>
      </c>
      <c r="H1643" s="2" t="str">
        <f t="array" ref="H1643">_xlfn.XLOOKUP(B1643,Vendedores!$A$2:$A$41,Vendedores!$C$2:$C$41,"No hay datos")</f>
        <v>Valle de los Robles</v>
      </c>
      <c r="I1643" s="2" t="str">
        <f t="array" ref="I1643">_xlfn.XLOOKUP(B1643,Vendedores!$A$2:$A$41,Vendedores!$D$2:$D$41,"No hay datos")</f>
        <v>Región Central 2</v>
      </c>
      <c r="J1643" s="2" t="str">
        <f t="array" ref="J1643:N1643">_xlfn.XLOOKUP(A1643,Productos!$A$2:$A$61,Productos!$B$2:$F$61)</f>
        <v>Tenis Atitas</v>
      </c>
      <c r="K1643" s="2">
        <v>38.0</v>
      </c>
      <c r="L1643" s="2" t="s">
        <v>33</v>
      </c>
      <c r="M1643" s="2" t="s">
        <v>63</v>
      </c>
      <c r="N1643" s="2" t="s">
        <v>64</v>
      </c>
    </row>
    <row r="1644">
      <c r="A1644" s="2" t="str">
        <f>IFERROR(__xludf.DUMMYFUNCTION("""COMPUTED_VALUE"""),"PR031")</f>
        <v>PR031</v>
      </c>
      <c r="B1644" s="2" t="str">
        <f>IFERROR(__xludf.DUMMYFUNCTION("""COMPUTED_VALUE"""),"VD043")</f>
        <v>VD043</v>
      </c>
      <c r="C1644" s="2">
        <f>IFERROR(__xludf.DUMMYFUNCTION("""COMPUTED_VALUE"""),20.0)</f>
        <v>20</v>
      </c>
      <c r="D1644" s="6">
        <f>IFERROR(__xludf.DUMMYFUNCTION("""COMPUTED_VALUE"""),5047.0)</f>
        <v>5047</v>
      </c>
      <c r="E1644" s="6">
        <f>IFERROR(__xludf.DUMMYFUNCTION("GOOGLEFINANCE(""Currency:BRLMXN"")*D1644"),17147.1825)</f>
        <v>17147.1825</v>
      </c>
      <c r="F1644" s="6">
        <f>IFERROR(__xludf.DUMMYFUNCTION("GOOGLEFINANCE(""Currency:BRLPEN"")*D1644"),3308.8131999999996)</f>
        <v>3308.8132</v>
      </c>
      <c r="G1644" s="2" t="str">
        <f t="array" ref="G1644">_xlfn.XLOOKUP(B1644,Vendedores!$A$2:$A$41,Vendedores!$B$2:$B$41,"No hay datos")</f>
        <v>Carlos Henríquez</v>
      </c>
      <c r="H1644" s="2" t="str">
        <f t="array" ref="H1644">_xlfn.XLOOKUP(B1644,Vendedores!$A$2:$A$41,Vendedores!$C$2:$C$41,"No hay datos")</f>
        <v>Ciudad Aeropuerto</v>
      </c>
      <c r="I1644" s="2" t="str">
        <f t="array" ref="I1644">_xlfn.XLOOKUP(B1644,Vendedores!$A$2:$A$41,Vendedores!$D$2:$D$41,"No hay datos")</f>
        <v>Región Central 2</v>
      </c>
      <c r="J1644" s="2" t="str">
        <f t="array" ref="J1644:N1644">_xlfn.XLOOKUP(A1644,Productos!$A$2:$A$61,Productos!$B$2:$F$61)</f>
        <v>Tenis Chunky</v>
      </c>
      <c r="K1644" s="2">
        <v>36.0</v>
      </c>
      <c r="L1644" s="2" t="s">
        <v>33</v>
      </c>
      <c r="M1644" s="2" t="s">
        <v>84</v>
      </c>
      <c r="N1644" s="2" t="s">
        <v>85</v>
      </c>
    </row>
    <row r="1645">
      <c r="A1645" s="2" t="str">
        <f>IFERROR(__xludf.DUMMYFUNCTION("""COMPUTED_VALUE"""),"PR013")</f>
        <v>PR013</v>
      </c>
      <c r="B1645" s="2" t="str">
        <f>IFERROR(__xludf.DUMMYFUNCTION("""COMPUTED_VALUE"""),"VD034")</f>
        <v>VD034</v>
      </c>
      <c r="C1645" s="2">
        <f>IFERROR(__xludf.DUMMYFUNCTION("""COMPUTED_VALUE"""),4.0)</f>
        <v>4</v>
      </c>
      <c r="D1645" s="6">
        <f>IFERROR(__xludf.DUMMYFUNCTION("""COMPUTED_VALUE"""),167.58)</f>
        <v>167.58</v>
      </c>
      <c r="E1645" s="6">
        <f>IFERROR(__xludf.DUMMYFUNCTION("GOOGLEFINANCE(""Currency:BRLMXN"")*D1645"),569.35305)</f>
        <v>569.35305</v>
      </c>
      <c r="F1645" s="6">
        <f>IFERROR(__xludf.DUMMYFUNCTION("GOOGLEFINANCE(""Currency:BRLPEN"")*D1645"),109.865448)</f>
        <v>109.865448</v>
      </c>
      <c r="G1645" s="2" t="str">
        <f t="array" ref="G1645">_xlfn.XLOOKUP(B1645,Vendedores!$A$2:$A$41,Vendedores!$B$2:$B$41,"No hay datos")</f>
        <v>Felipe Carvajal</v>
      </c>
      <c r="H1645" s="2" t="str">
        <f t="array" ref="H1645">_xlfn.XLOOKUP(B1645,Vendedores!$A$2:$A$41,Vendedores!$C$2:$C$41,"No hay datos")</f>
        <v>San Pedro del Río</v>
      </c>
      <c r="I1645" s="2" t="str">
        <f t="array" ref="I1645">_xlfn.XLOOKUP(B1645,Vendedores!$A$2:$A$41,Vendedores!$D$2:$D$41,"No hay datos")</f>
        <v>Región Sur 2</v>
      </c>
      <c r="J1645" s="2" t="str">
        <f t="array" ref="J1645:N1645">_xlfn.XLOOKUP(A1645,Productos!$A$2:$A$61,Productos!$B$2:$F$61)</f>
        <v>Playera estampada</v>
      </c>
      <c r="K1645" s="2" t="s">
        <v>9</v>
      </c>
      <c r="L1645" s="2" t="s">
        <v>10</v>
      </c>
      <c r="M1645" s="2" t="s">
        <v>66</v>
      </c>
      <c r="N1645" s="2" t="s">
        <v>38</v>
      </c>
    </row>
    <row r="1646">
      <c r="A1646" s="2" t="str">
        <f>IFERROR(__xludf.DUMMYFUNCTION("""COMPUTED_VALUE"""),"PR036")</f>
        <v>PR036</v>
      </c>
      <c r="B1646" s="2" t="str">
        <f>IFERROR(__xludf.DUMMYFUNCTION("""COMPUTED_VALUE"""),"VD039")</f>
        <v>VD039</v>
      </c>
      <c r="C1646" s="2">
        <f>IFERROR(__xludf.DUMMYFUNCTION("""COMPUTED_VALUE"""),7.0)</f>
        <v>7</v>
      </c>
      <c r="D1646" s="6">
        <f>IFERROR(__xludf.DUMMYFUNCTION("""COMPUTED_VALUE"""),706.86)</f>
        <v>706.86</v>
      </c>
      <c r="E1646" s="6">
        <f>IFERROR(__xludf.DUMMYFUNCTION("GOOGLEFINANCE(""Currency:BRLMXN"")*D1646"),2401.55685)</f>
        <v>2401.55685</v>
      </c>
      <c r="F1646" s="6">
        <f>IFERROR(__xludf.DUMMYFUNCTION("GOOGLEFINANCE(""Currency:BRLPEN"")*D1646"),463.417416)</f>
        <v>463.417416</v>
      </c>
      <c r="G1646" s="2" t="str">
        <f t="array" ref="G1646">_xlfn.XLOOKUP(B1646,Vendedores!$A$2:$A$41,Vendedores!$B$2:$B$41,"No hay datos")</f>
        <v>Daniela Rodríguez</v>
      </c>
      <c r="H1646" s="2" t="str">
        <f t="array" ref="H1646">_xlfn.XLOOKUP(B1646,Vendedores!$A$2:$A$41,Vendedores!$C$2:$C$41,"No hay datos")</f>
        <v>Bahía del Sol</v>
      </c>
      <c r="I1646" s="2" t="str">
        <f t="array" ref="I1646">_xlfn.XLOOKUP(B1646,Vendedores!$A$2:$A$41,Vendedores!$D$2:$D$41,"No hay datos")</f>
        <v>Región Central 2</v>
      </c>
      <c r="J1646" s="2" t="str">
        <f t="array" ref="J1646:N1646">_xlfn.XLOOKUP(A1646,Productos!$A$2:$A$61,Productos!$B$2:$F$61)</f>
        <v>Vestido corto</v>
      </c>
      <c r="K1646" s="2" t="s">
        <v>22</v>
      </c>
      <c r="L1646" s="2" t="s">
        <v>10</v>
      </c>
      <c r="M1646" s="2" t="s">
        <v>82</v>
      </c>
      <c r="N1646" s="2" t="s">
        <v>83</v>
      </c>
    </row>
    <row r="1647">
      <c r="A1647" s="2" t="str">
        <f>IFERROR(__xludf.DUMMYFUNCTION("""COMPUTED_VALUE"""),"PR050")</f>
        <v>PR050</v>
      </c>
      <c r="B1647" s="2" t="str">
        <f>IFERROR(__xludf.DUMMYFUNCTION("""COMPUTED_VALUE"""),"VD025")</f>
        <v>VD025</v>
      </c>
      <c r="C1647" s="2">
        <f>IFERROR(__xludf.DUMMYFUNCTION("""COMPUTED_VALUE"""),9.0)</f>
        <v>9</v>
      </c>
      <c r="D1647" s="6">
        <f>IFERROR(__xludf.DUMMYFUNCTION("""COMPUTED_VALUE"""),304.98)</f>
        <v>304.98</v>
      </c>
      <c r="E1647" s="6">
        <f>IFERROR(__xludf.DUMMYFUNCTION("GOOGLEFINANCE(""Currency:BRLMXN"")*D1647"),1036.16955)</f>
        <v>1036.16955</v>
      </c>
      <c r="F1647" s="6">
        <f>IFERROR(__xludf.DUMMYFUNCTION("GOOGLEFINANCE(""Currency:BRLPEN"")*D1647"),199.944888)</f>
        <v>199.944888</v>
      </c>
      <c r="G1647" s="2" t="str">
        <f t="array" ref="G1647">_xlfn.XLOOKUP(B1647,Vendedores!$A$2:$A$41,Vendedores!$B$2:$B$41,"No hay datos")</f>
        <v>Alina Santana</v>
      </c>
      <c r="H1647" s="2" t="str">
        <f t="array" ref="H1647">_xlfn.XLOOKUP(B1647,Vendedores!$A$2:$A$41,Vendedores!$C$2:$C$41,"No hay datos")</f>
        <v>Playa Blanca</v>
      </c>
      <c r="I1647" s="2" t="str">
        <f t="array" ref="I1647">_xlfn.XLOOKUP(B1647,Vendedores!$A$2:$A$41,Vendedores!$D$2:$D$41,"No hay datos")</f>
        <v>Región Norte</v>
      </c>
      <c r="J1647" s="2" t="str">
        <f t="array" ref="J1647:N1647">_xlfn.XLOOKUP(A1647,Productos!$A$2:$A$61,Productos!$B$2:$F$61)</f>
        <v>Playera a rayas</v>
      </c>
      <c r="K1647" s="2" t="s">
        <v>17</v>
      </c>
      <c r="L1647" s="2" t="s">
        <v>10</v>
      </c>
      <c r="M1647" s="2" t="s">
        <v>27</v>
      </c>
      <c r="N1647" s="2" t="s">
        <v>24</v>
      </c>
    </row>
    <row r="1648">
      <c r="A1648" s="2" t="str">
        <f>IFERROR(__xludf.DUMMYFUNCTION("""COMPUTED_VALUE"""),"PR055")</f>
        <v>PR055</v>
      </c>
      <c r="B1648" s="2" t="str">
        <f>IFERROR(__xludf.DUMMYFUNCTION("""COMPUTED_VALUE"""),"VD040")</f>
        <v>VD040</v>
      </c>
      <c r="C1648" s="2">
        <f>IFERROR(__xludf.DUMMYFUNCTION("""COMPUTED_VALUE"""),20.0)</f>
        <v>20</v>
      </c>
      <c r="D1648" s="6">
        <f>IFERROR(__xludf.DUMMYFUNCTION("""COMPUTED_VALUE"""),1923.86)</f>
        <v>1923.86</v>
      </c>
      <c r="E1648" s="6">
        <f>IFERROR(__xludf.DUMMYFUNCTION("GOOGLEFINANCE(""Currency:BRLMXN"")*D1648"),6536.31435)</f>
        <v>6536.31435</v>
      </c>
      <c r="F1648" s="6">
        <f>IFERROR(__xludf.DUMMYFUNCTION("GOOGLEFINANCE(""Currency:BRLPEN"")*D1648"),1261.282616)</f>
        <v>1261.282616</v>
      </c>
      <c r="G1648" s="2" t="str">
        <f t="array" ref="G1648">_xlfn.XLOOKUP(B1648,Vendedores!$A$2:$A$41,Vendedores!$B$2:$B$41,"No hay datos")</f>
        <v>Tatiana Montero</v>
      </c>
      <c r="H1648" s="2" t="str">
        <f t="array" ref="H1648">_xlfn.XLOOKUP(B1648,Vendedores!$A$2:$A$41,Vendedores!$C$2:$C$41,"No hay datos")</f>
        <v>Ciudad Industrial</v>
      </c>
      <c r="I1648" s="2" t="str">
        <f t="array" ref="I1648">_xlfn.XLOOKUP(B1648,Vendedores!$A$2:$A$41,Vendedores!$D$2:$D$41,"No hay datos")</f>
        <v>Región Central 2</v>
      </c>
      <c r="J1648" s="2" t="str">
        <f t="array" ref="J1648:N1648">_xlfn.XLOOKUP(A1648,Productos!$A$2:$A$61,Productos!$B$2:$F$61)</f>
        <v>Sandalia plana</v>
      </c>
      <c r="K1648" s="2">
        <v>35.0</v>
      </c>
      <c r="L1648" s="2" t="s">
        <v>33</v>
      </c>
      <c r="M1648" s="2" t="s">
        <v>34</v>
      </c>
      <c r="N1648" s="2" t="s">
        <v>35</v>
      </c>
    </row>
    <row r="1649">
      <c r="A1649" s="2" t="str">
        <f>IFERROR(__xludf.DUMMYFUNCTION("""COMPUTED_VALUE"""),"PR007")</f>
        <v>PR007</v>
      </c>
      <c r="B1649" s="2" t="str">
        <f>IFERROR(__xludf.DUMMYFUNCTION("""COMPUTED_VALUE"""),"VD012")</f>
        <v>VD012</v>
      </c>
      <c r="C1649" s="2">
        <f>IFERROR(__xludf.DUMMYFUNCTION("""COMPUTED_VALUE"""),16.0)</f>
        <v>16</v>
      </c>
      <c r="D1649" s="6">
        <f>IFERROR(__xludf.DUMMYFUNCTION("""COMPUTED_VALUE"""),1470.61)</f>
        <v>1470.61</v>
      </c>
      <c r="E1649" s="6">
        <f>IFERROR(__xludf.DUMMYFUNCTION("GOOGLEFINANCE(""Currency:BRLMXN"")*D1649"),4996.397475)</f>
        <v>4996.397475</v>
      </c>
      <c r="F1649" s="6">
        <f>IFERROR(__xludf.DUMMYFUNCTION("GOOGLEFINANCE(""Currency:BRLPEN"")*D1649"),964.1319159999999)</f>
        <v>964.131916</v>
      </c>
      <c r="G1649" s="2" t="str">
        <f t="array" ref="G1649">_xlfn.XLOOKUP(B1649,Vendedores!$A$2:$A$41,Vendedores!$B$2:$B$41,"No hay datos")</f>
        <v>Ana Olmedo</v>
      </c>
      <c r="H1649" s="2" t="str">
        <f t="array" ref="H1649">_xlfn.XLOOKUP(B1649,Vendedores!$A$2:$A$41,Vendedores!$C$2:$C$41,"No hay datos")</f>
        <v>Río Claro</v>
      </c>
      <c r="I1649" s="2" t="str">
        <f t="array" ref="I1649">_xlfn.XLOOKUP(B1649,Vendedores!$A$2:$A$41,Vendedores!$D$2:$D$41,"No hay datos")</f>
        <v>Región Central</v>
      </c>
      <c r="J1649" s="2" t="str">
        <f t="array" ref="J1649:N1649">_xlfn.XLOOKUP(A1649,Productos!$A$2:$A$61,Productos!$B$2:$F$61)</f>
        <v>Pantalón de mezclilla</v>
      </c>
      <c r="K1649" s="2" t="s">
        <v>9</v>
      </c>
      <c r="L1649" s="2" t="s">
        <v>10</v>
      </c>
      <c r="M1649" s="2" t="s">
        <v>103</v>
      </c>
      <c r="N1649" s="2" t="s">
        <v>104</v>
      </c>
    </row>
    <row r="1650">
      <c r="A1650" s="2" t="str">
        <f>IFERROR(__xludf.DUMMYFUNCTION("""COMPUTED_VALUE"""),"PR002")</f>
        <v>PR002</v>
      </c>
      <c r="B1650" s="2" t="str">
        <f>IFERROR(__xludf.DUMMYFUNCTION("""COMPUTED_VALUE"""),"VD042")</f>
        <v>VD042</v>
      </c>
      <c r="C1650" s="2">
        <f>IFERROR(__xludf.DUMMYFUNCTION("""COMPUTED_VALUE"""),10.0)</f>
        <v>10</v>
      </c>
      <c r="D1650" s="6">
        <f>IFERROR(__xludf.DUMMYFUNCTION("""COMPUTED_VALUE"""),712.98)</f>
        <v>712.98</v>
      </c>
      <c r="E1650" s="6">
        <f>IFERROR(__xludf.DUMMYFUNCTION("GOOGLEFINANCE(""Currency:BRLMXN"")*D1650"),2422.34955)</f>
        <v>2422.34955</v>
      </c>
      <c r="F1650" s="6">
        <f>IFERROR(__xludf.DUMMYFUNCTION("GOOGLEFINANCE(""Currency:BRLPEN"")*D1650"),467.429688)</f>
        <v>467.429688</v>
      </c>
      <c r="G1650" s="2" t="str">
        <f t="array" ref="G1650">_xlfn.XLOOKUP(B1650,Vendedores!$A$2:$A$41,Vendedores!$B$2:$B$41,"No hay datos")</f>
        <v>Priscila Duarte</v>
      </c>
      <c r="H1650" s="2" t="str">
        <f t="array" ref="H1650">_xlfn.XLOOKUP(B1650,Vendedores!$A$2:$A$41,Vendedores!$C$2:$C$41,"No hay datos")</f>
        <v>Villa Comercial</v>
      </c>
      <c r="I1650" s="2" t="str">
        <f t="array" ref="I1650">_xlfn.XLOOKUP(B1650,Vendedores!$A$2:$A$41,Vendedores!$D$2:$D$41,"No hay datos")</f>
        <v>Región Central 2</v>
      </c>
      <c r="J1650" s="2" t="str">
        <f t="array" ref="J1650:N1650">_xlfn.XLOOKUP(A1650,Productos!$A$2:$A$61,Productos!$B$2:$F$61)</f>
        <v>Bermuda</v>
      </c>
      <c r="K1650" s="2" t="s">
        <v>17</v>
      </c>
      <c r="L1650" s="2" t="s">
        <v>10</v>
      </c>
      <c r="M1650" s="2" t="s">
        <v>49</v>
      </c>
      <c r="N1650" s="2" t="s">
        <v>50</v>
      </c>
    </row>
    <row r="1651">
      <c r="A1651" s="2" t="str">
        <f>IFERROR(__xludf.DUMMYFUNCTION("""COMPUTED_VALUE"""),"PR030")</f>
        <v>PR030</v>
      </c>
      <c r="B1651" s="2" t="str">
        <f>IFERROR(__xludf.DUMMYFUNCTION("""COMPUTED_VALUE"""),"VD013")</f>
        <v>VD013</v>
      </c>
      <c r="C1651" s="2">
        <f>IFERROR(__xludf.DUMMYFUNCTION("""COMPUTED_VALUE"""),12.0)</f>
        <v>12</v>
      </c>
      <c r="D1651" s="6">
        <f>IFERROR(__xludf.DUMMYFUNCTION("""COMPUTED_VALUE"""),3118.8)</f>
        <v>3118.8</v>
      </c>
      <c r="E1651" s="6">
        <f>IFERROR(__xludf.DUMMYFUNCTION("GOOGLEFINANCE(""Currency:BRLMXN"")*D1651"),10596.123000000001)</f>
        <v>10596.123</v>
      </c>
      <c r="F1651" s="6">
        <f>IFERROR(__xludf.DUMMYFUNCTION("GOOGLEFINANCE(""Currency:BRLPEN"")*D1651"),2044.68528)</f>
        <v>2044.68528</v>
      </c>
      <c r="G1651" s="2" t="str">
        <f t="array" ref="G1651">_xlfn.XLOOKUP(B1651,Vendedores!$A$2:$A$41,Vendedores!$B$2:$B$41,"No hay datos")</f>
        <v>Pedro Almonte</v>
      </c>
      <c r="H1651" s="2" t="str">
        <f t="array" ref="H1651">_xlfn.XLOOKUP(B1651,Vendedores!$A$2:$A$41,Vendedores!$C$2:$C$41,"No hay datos")</f>
        <v>Santa Rosa del Valle</v>
      </c>
      <c r="I1651" s="2" t="str">
        <f t="array" ref="I1651">_xlfn.XLOOKUP(B1651,Vendedores!$A$2:$A$41,Vendedores!$D$2:$D$41,"No hay datos")</f>
        <v>Región Norte</v>
      </c>
      <c r="J1651" s="2" t="str">
        <f t="array" ref="J1651:N1651">_xlfn.XLOOKUP(A1651,Productos!$A$2:$A$61,Productos!$B$2:$F$61)</f>
        <v>Tenis Atitas</v>
      </c>
      <c r="K1651" s="2">
        <v>38.0</v>
      </c>
      <c r="L1651" s="2" t="s">
        <v>33</v>
      </c>
      <c r="M1651" s="2" t="s">
        <v>63</v>
      </c>
      <c r="N1651" s="2" t="s">
        <v>64</v>
      </c>
    </row>
    <row r="1652">
      <c r="A1652" s="2" t="str">
        <f>IFERROR(__xludf.DUMMYFUNCTION("""COMPUTED_VALUE"""),"PR060")</f>
        <v>PR060</v>
      </c>
      <c r="B1652" s="2" t="str">
        <f>IFERROR(__xludf.DUMMYFUNCTION("""COMPUTED_VALUE"""),"VD027")</f>
        <v>VD027</v>
      </c>
      <c r="C1652" s="2">
        <f>IFERROR(__xludf.DUMMYFUNCTION("""COMPUTED_VALUE"""),14.0)</f>
        <v>14</v>
      </c>
      <c r="D1652" s="6">
        <f>IFERROR(__xludf.DUMMYFUNCTION("""COMPUTED_VALUE"""),2520.0)</f>
        <v>2520</v>
      </c>
      <c r="E1652" s="6">
        <f>IFERROR(__xludf.DUMMYFUNCTION("GOOGLEFINANCE(""Currency:BRLMXN"")*D1652"),8561.7)</f>
        <v>8561.7</v>
      </c>
      <c r="F1652" s="6">
        <f>IFERROR(__xludf.DUMMYFUNCTION("GOOGLEFINANCE(""Currency:BRLPEN"")*D1652"),1652.1119999999999)</f>
        <v>1652.112</v>
      </c>
      <c r="G1652" s="2" t="str">
        <f t="array" ref="G1652">_xlfn.XLOOKUP(B1652,Vendedores!$A$2:$A$41,Vendedores!$B$2:$B$41,"No hay datos")</f>
        <v>Patricia Cortés</v>
      </c>
      <c r="H1652" s="2" t="str">
        <f t="array" ref="H1652">_xlfn.XLOOKUP(B1652,Vendedores!$A$2:$A$41,Vendedores!$C$2:$C$41,"No hay datos")</f>
        <v>Costa Azul</v>
      </c>
      <c r="I1652" s="2" t="str">
        <f t="array" ref="I1652">_xlfn.XLOOKUP(B1652,Vendedores!$A$2:$A$41,Vendedores!$D$2:$D$41,"No hay datos")</f>
        <v>Región Norte</v>
      </c>
      <c r="J1652" s="2" t="str">
        <f t="array" ref="J1652:N1652">_xlfn.XLOOKUP(A1652,Productos!$A$2:$A$61,Productos!$B$2:$F$61)</f>
        <v>Pantalón de sastre</v>
      </c>
      <c r="K1652" s="2" t="s">
        <v>22</v>
      </c>
      <c r="L1652" s="2" t="s">
        <v>10</v>
      </c>
      <c r="M1652" s="2" t="s">
        <v>75</v>
      </c>
      <c r="N1652" s="2" t="s">
        <v>14</v>
      </c>
    </row>
    <row r="1653">
      <c r="A1653" s="2" t="str">
        <f>IFERROR(__xludf.DUMMYFUNCTION("""COMPUTED_VALUE"""),"PR040")</f>
        <v>PR040</v>
      </c>
      <c r="B1653" s="2" t="str">
        <f>IFERROR(__xludf.DUMMYFUNCTION("""COMPUTED_VALUE"""),"VD039")</f>
        <v>VD039</v>
      </c>
      <c r="C1653" s="2">
        <f>IFERROR(__xludf.DUMMYFUNCTION("""COMPUTED_VALUE"""),7.0)</f>
        <v>7</v>
      </c>
      <c r="D1653" s="6">
        <f>IFERROR(__xludf.DUMMYFUNCTION("""COMPUTED_VALUE"""),504.7)</f>
        <v>504.7</v>
      </c>
      <c r="E1653" s="6">
        <f>IFERROR(__xludf.DUMMYFUNCTION("GOOGLEFINANCE(""Currency:BRLMXN"")*D1653"),1714.71825)</f>
        <v>1714.71825</v>
      </c>
      <c r="F1653" s="6">
        <f>IFERROR(__xludf.DUMMYFUNCTION("GOOGLEFINANCE(""Currency:BRLPEN"")*D1653"),330.88131999999996)</f>
        <v>330.88132</v>
      </c>
      <c r="G1653" s="2" t="str">
        <f t="array" ref="G1653">_xlfn.XLOOKUP(B1653,Vendedores!$A$2:$A$41,Vendedores!$B$2:$B$41,"No hay datos")</f>
        <v>Daniela Rodríguez</v>
      </c>
      <c r="H1653" s="2" t="str">
        <f t="array" ref="H1653">_xlfn.XLOOKUP(B1653,Vendedores!$A$2:$A$41,Vendedores!$C$2:$C$41,"No hay datos")</f>
        <v>Bahía del Sol</v>
      </c>
      <c r="I1653" s="2" t="str">
        <f t="array" ref="I1653">_xlfn.XLOOKUP(B1653,Vendedores!$A$2:$A$41,Vendedores!$D$2:$D$41,"No hay datos")</f>
        <v>Región Central 2</v>
      </c>
      <c r="J1653" s="2" t="str">
        <f t="array" ref="J1653:N1653">_xlfn.XLOOKUP(A1653,Productos!$A$2:$A$61,Productos!$B$2:$F$61)</f>
        <v>Playera confort</v>
      </c>
      <c r="K1653" s="2" t="s">
        <v>9</v>
      </c>
      <c r="L1653" s="2" t="s">
        <v>10</v>
      </c>
      <c r="M1653" s="2" t="s">
        <v>68</v>
      </c>
      <c r="N1653" s="2" t="s">
        <v>70</v>
      </c>
    </row>
    <row r="1654">
      <c r="A1654" s="2" t="str">
        <f>IFERROR(__xludf.DUMMYFUNCTION("""COMPUTED_VALUE"""),"PR052")</f>
        <v>PR052</v>
      </c>
      <c r="B1654" s="2" t="str">
        <f>IFERROR(__xludf.DUMMYFUNCTION("""COMPUTED_VALUE"""),"VD016")</f>
        <v>VD016</v>
      </c>
      <c r="C1654" s="2">
        <f>IFERROR(__xludf.DUMMYFUNCTION("""COMPUTED_VALUE"""),7.0)</f>
        <v>7</v>
      </c>
      <c r="D1654" s="6">
        <f>IFERROR(__xludf.DUMMYFUNCTION("""COMPUTED_VALUE"""),363.27)</f>
        <v>363.27</v>
      </c>
      <c r="E1654" s="6">
        <f>IFERROR(__xludf.DUMMYFUNCTION("GOOGLEFINANCE(""Currency:BRLMXN"")*D1654"),1234.209825)</f>
        <v>1234.209825</v>
      </c>
      <c r="F1654" s="6">
        <f>IFERROR(__xludf.DUMMYFUNCTION("GOOGLEFINANCE(""Currency:BRLPEN"")*D1654"),238.15981199999996)</f>
        <v>238.159812</v>
      </c>
      <c r="G1654" s="2" t="str">
        <f t="array" ref="G1654">_xlfn.XLOOKUP(B1654,Vendedores!$A$2:$A$41,Vendedores!$B$2:$B$41,"No hay datos")</f>
        <v>Beatriz Linares</v>
      </c>
      <c r="H1654" s="2" t="str">
        <f t="array" ref="H1654">_xlfn.XLOOKUP(B1654,Vendedores!$A$2:$A$41,Vendedores!$C$2:$C$41,"No hay datos")</f>
        <v>Puerto Esperanza</v>
      </c>
      <c r="I1654" s="2" t="str">
        <f t="array" ref="I1654">_xlfn.XLOOKUP(B1654,Vendedores!$A$2:$A$41,Vendedores!$D$2:$D$41,"No hay datos")</f>
        <v>Región Sur</v>
      </c>
      <c r="J1654" s="2" t="str">
        <f t="array" ref="J1654:N1654">_xlfn.XLOOKUP(A1654,Productos!$A$2:$A$61,Productos!$B$2:$F$61)</f>
        <v>Falda plisada</v>
      </c>
      <c r="K1654" s="2" t="s">
        <v>9</v>
      </c>
      <c r="L1654" s="2" t="s">
        <v>10</v>
      </c>
      <c r="M1654" s="2" t="s">
        <v>36</v>
      </c>
      <c r="N1654" s="2" t="s">
        <v>32</v>
      </c>
    </row>
    <row r="1655">
      <c r="A1655" s="2" t="str">
        <f>IFERROR(__xludf.DUMMYFUNCTION("""COMPUTED_VALUE"""),"PR057")</f>
        <v>PR057</v>
      </c>
      <c r="B1655" s="2" t="str">
        <f>IFERROR(__xludf.DUMMYFUNCTION("""COMPUTED_VALUE"""),"VD035")</f>
        <v>VD035</v>
      </c>
      <c r="C1655" s="2">
        <f>IFERROR(__xludf.DUMMYFUNCTION("""COMPUTED_VALUE"""),2.0)</f>
        <v>2</v>
      </c>
      <c r="D1655" s="6">
        <f>IFERROR(__xludf.DUMMYFUNCTION("""COMPUTED_VALUE"""),188.79)</f>
        <v>188.79</v>
      </c>
      <c r="E1655" s="6">
        <f>IFERROR(__xludf.DUMMYFUNCTION("GOOGLEFINANCE(""Currency:BRLMXN"")*D1655"),641.4140249999999)</f>
        <v>641.414025</v>
      </c>
      <c r="F1655" s="6">
        <f>IFERROR(__xludf.DUMMYFUNCTION("GOOGLEFINANCE(""Currency:BRLPEN"")*D1655"),123.77072399999999)</f>
        <v>123.770724</v>
      </c>
      <c r="G1655" s="2" t="str">
        <f t="array" ref="G1655">_xlfn.XLOOKUP(B1655,Vendedores!$A$2:$A$41,Vendedores!$B$2:$B$41,"No hay datos")</f>
        <v>Carolina Méndez</v>
      </c>
      <c r="H1655" s="2" t="str">
        <f t="array" ref="H1655">_xlfn.XLOOKUP(B1655,Vendedores!$A$2:$A$41,Vendedores!$C$2:$C$41,"No hay datos")</f>
        <v>Valle de los Robles</v>
      </c>
      <c r="I1655" s="2" t="str">
        <f t="array" ref="I1655">_xlfn.XLOOKUP(B1655,Vendedores!$A$2:$A$41,Vendedores!$D$2:$D$41,"No hay datos")</f>
        <v>Región Central 2</v>
      </c>
      <c r="J1655" s="2" t="str">
        <f t="array" ref="J1655:N1655">_xlfn.XLOOKUP(A1655,Productos!$A$2:$A$61,Productos!$B$2:$F$61)</f>
        <v>Sandalia plana</v>
      </c>
      <c r="K1655" s="2">
        <v>37.0</v>
      </c>
      <c r="L1655" s="2" t="s">
        <v>33</v>
      </c>
      <c r="M1655" s="2" t="s">
        <v>58</v>
      </c>
      <c r="N1655" s="2" t="s">
        <v>35</v>
      </c>
    </row>
    <row r="1656">
      <c r="A1656" s="2" t="str">
        <f>IFERROR(__xludf.DUMMYFUNCTION("""COMPUTED_VALUE"""),"PR019")</f>
        <v>PR019</v>
      </c>
      <c r="B1656" s="2" t="str">
        <f>IFERROR(__xludf.DUMMYFUNCTION("""COMPUTED_VALUE"""),"VD031")</f>
        <v>VD031</v>
      </c>
      <c r="C1656" s="2">
        <f>IFERROR(__xludf.DUMMYFUNCTION("""COMPUTED_VALUE"""),9.0)</f>
        <v>9</v>
      </c>
      <c r="D1656" s="6">
        <f>IFERROR(__xludf.DUMMYFUNCTION("""COMPUTED_VALUE"""),480.54)</f>
        <v>480.54</v>
      </c>
      <c r="E1656" s="6">
        <f>IFERROR(__xludf.DUMMYFUNCTION("GOOGLEFINANCE(""Currency:BRLMXN"")*D1656"),1632.63465)</f>
        <v>1632.63465</v>
      </c>
      <c r="F1656" s="6">
        <f>IFERROR(__xludf.DUMMYFUNCTION("GOOGLEFINANCE(""Currency:BRLPEN"")*D1656"),315.04202399999997)</f>
        <v>315.042024</v>
      </c>
      <c r="G1656" s="2" t="str">
        <f t="array" ref="G1656">_xlfn.XLOOKUP(B1656,Vendedores!$A$2:$A$41,Vendedores!$B$2:$B$41,"No hay datos")</f>
        <v>Vanessa Martínez</v>
      </c>
      <c r="H1656" s="2" t="str">
        <f t="array" ref="H1656">_xlfn.XLOOKUP(B1656,Vendedores!$A$2:$A$41,Vendedores!$C$2:$C$41,"No hay datos")</f>
        <v>Monte Verde</v>
      </c>
      <c r="I1656" s="2" t="str">
        <f t="array" ref="I1656">_xlfn.XLOOKUP(B1656,Vendedores!$A$2:$A$41,Vendedores!$D$2:$D$41,"No hay datos")</f>
        <v>Región Central 2</v>
      </c>
      <c r="J1656" s="2" t="str">
        <f t="array" ref="J1656:N1656">_xlfn.XLOOKUP(A1656,Productos!$A$2:$A$61,Productos!$B$2:$F$61)</f>
        <v>Cinturón</v>
      </c>
      <c r="K1656" s="2" t="s">
        <v>29</v>
      </c>
      <c r="L1656" s="2" t="s">
        <v>30</v>
      </c>
      <c r="M1656" s="2" t="s">
        <v>31</v>
      </c>
      <c r="N1656" s="2" t="s">
        <v>32</v>
      </c>
    </row>
    <row r="1657">
      <c r="A1657" s="2" t="str">
        <f>IFERROR(__xludf.DUMMYFUNCTION("""COMPUTED_VALUE"""),"PR049")</f>
        <v>PR049</v>
      </c>
      <c r="B1657" s="2" t="str">
        <f>IFERROR(__xludf.DUMMYFUNCTION("""COMPUTED_VALUE"""),"VD044")</f>
        <v>VD044</v>
      </c>
      <c r="C1657" s="2">
        <f>IFERROR(__xludf.DUMMYFUNCTION("""COMPUTED_VALUE"""),2.0)</f>
        <v>2</v>
      </c>
      <c r="D1657" s="6">
        <f>IFERROR(__xludf.DUMMYFUNCTION("""COMPUTED_VALUE"""),70.41)</f>
        <v>70.41</v>
      </c>
      <c r="E1657" s="6">
        <f>IFERROR(__xludf.DUMMYFUNCTION("GOOGLEFINANCE(""Currency:BRLMXN"")*D1657"),239.217975)</f>
        <v>239.217975</v>
      </c>
      <c r="F1657" s="6">
        <f>IFERROR(__xludf.DUMMYFUNCTION("GOOGLEFINANCE(""Currency:BRLPEN"")*D1657"),46.160796)</f>
        <v>46.160796</v>
      </c>
      <c r="G1657" s="2" t="str">
        <f t="array" ref="G1657">_xlfn.XLOOKUP(B1657,Vendedores!$A$2:$A$41,Vendedores!$B$2:$B$41,"No hay datos")</f>
        <v>Silvia Menéndez</v>
      </c>
      <c r="H1657" s="2" t="str">
        <f t="array" ref="H1657">_xlfn.XLOOKUP(B1657,Vendedores!$A$2:$A$41,Vendedores!$C$2:$C$41,"No hay datos")</f>
        <v>San Antonio del Monte</v>
      </c>
      <c r="I1657" s="2" t="str">
        <f t="array" ref="I1657">_xlfn.XLOOKUP(B1657,Vendedores!$A$2:$A$41,Vendedores!$D$2:$D$41,"No hay datos")</f>
        <v>Región Central 2</v>
      </c>
      <c r="J1657" s="2" t="str">
        <f t="array" ref="J1657:N1657">_xlfn.XLOOKUP(A1657,Productos!$A$2:$A$61,Productos!$B$2:$F$61)</f>
        <v>Playera a rayas</v>
      </c>
      <c r="K1657" s="2" t="s">
        <v>9</v>
      </c>
      <c r="L1657" s="2" t="s">
        <v>10</v>
      </c>
      <c r="M1657" s="2" t="s">
        <v>47</v>
      </c>
      <c r="N1657" s="2" t="s">
        <v>24</v>
      </c>
    </row>
    <row r="1658">
      <c r="A1658" s="2" t="str">
        <f>IFERROR(__xludf.DUMMYFUNCTION("""COMPUTED_VALUE"""),"PR017")</f>
        <v>PR017</v>
      </c>
      <c r="B1658" s="2" t="str">
        <f>IFERROR(__xludf.DUMMYFUNCTION("""COMPUTED_VALUE"""),"VD033")</f>
        <v>VD033</v>
      </c>
      <c r="C1658" s="2">
        <f>IFERROR(__xludf.DUMMYFUNCTION("""COMPUTED_VALUE"""),4.0)</f>
        <v>4</v>
      </c>
      <c r="D1658" s="6">
        <f>IFERROR(__xludf.DUMMYFUNCTION("""COMPUTED_VALUE"""),131.56)</f>
        <v>131.56</v>
      </c>
      <c r="E1658" s="6">
        <f>IFERROR(__xludf.DUMMYFUNCTION("GOOGLEFINANCE(""Currency:BRLMXN"")*D1658"),446.9751)</f>
        <v>446.9751</v>
      </c>
      <c r="F1658" s="6">
        <f>IFERROR(__xludf.DUMMYFUNCTION("GOOGLEFINANCE(""Currency:BRLPEN"")*D1658"),86.250736)</f>
        <v>86.250736</v>
      </c>
      <c r="G1658" s="2" t="str">
        <f t="array" ref="G1658">_xlfn.XLOOKUP(B1658,Vendedores!$A$2:$A$41,Vendedores!$B$2:$B$41,"No hay datos")</f>
        <v>Renata Flores</v>
      </c>
      <c r="H1658" s="2" t="str">
        <f t="array" ref="H1658">_xlfn.XLOOKUP(B1658,Vendedores!$A$2:$A$41,Vendedores!$C$2:$C$41,"No hay datos")</f>
        <v>Altos del Sur</v>
      </c>
      <c r="I1658" s="2" t="str">
        <f t="array" ref="I1658">_xlfn.XLOOKUP(B1658,Vendedores!$A$2:$A$41,Vendedores!$D$2:$D$41,"No hay datos")</f>
        <v>Región Central 2</v>
      </c>
      <c r="J1658" s="2" t="str">
        <f t="array" ref="J1658:N1658">_xlfn.XLOOKUP(A1658,Productos!$A$2:$A$61,Productos!$B$2:$F$61)</f>
        <v>Playera lisa</v>
      </c>
      <c r="K1658" s="2" t="s">
        <v>17</v>
      </c>
      <c r="L1658" s="2" t="s">
        <v>10</v>
      </c>
      <c r="M1658" s="2" t="s">
        <v>98</v>
      </c>
      <c r="N1658" s="2" t="s">
        <v>99</v>
      </c>
    </row>
    <row r="1659">
      <c r="A1659" s="2" t="str">
        <f>IFERROR(__xludf.DUMMYFUNCTION("""COMPUTED_VALUE"""),"PR034")</f>
        <v>PR034</v>
      </c>
      <c r="B1659" s="2" t="str">
        <f>IFERROR(__xludf.DUMMYFUNCTION("""COMPUTED_VALUE"""),"VD015")</f>
        <v>VD015</v>
      </c>
      <c r="C1659" s="2">
        <f>IFERROR(__xludf.DUMMYFUNCTION("""COMPUTED_VALUE"""),6.0)</f>
        <v>6</v>
      </c>
      <c r="D1659" s="6">
        <f>IFERROR(__xludf.DUMMYFUNCTION("""COMPUTED_VALUE"""),544.79)</f>
        <v>544.79</v>
      </c>
      <c r="E1659" s="6">
        <f>IFERROR(__xludf.DUMMYFUNCTION("GOOGLEFINANCE(""Currency:BRLMXN"")*D1659"),1850.9240249999998)</f>
        <v>1850.924025</v>
      </c>
      <c r="F1659" s="6">
        <f>IFERROR(__xludf.DUMMYFUNCTION("GOOGLEFINANCE(""Currency:BRLPEN"")*D1659"),357.16432399999997)</f>
        <v>357.164324</v>
      </c>
      <c r="G1659" s="2" t="str">
        <f t="array" ref="G1659">_xlfn.XLOOKUP(B1659,Vendedores!$A$2:$A$41,Vendedores!$B$2:$B$41,"No hay datos")</f>
        <v>Lucas Castillo</v>
      </c>
      <c r="H1659" s="2" t="str">
        <f t="array" ref="H1659">_xlfn.XLOOKUP(B1659,Vendedores!$A$2:$A$41,Vendedores!$C$2:$C$41,"No hay datos")</f>
        <v>San Miguel de los Pinos</v>
      </c>
      <c r="I1659" s="2" t="str">
        <f t="array" ref="I1659">_xlfn.XLOOKUP(B1659,Vendedores!$A$2:$A$41,Vendedores!$D$2:$D$41,"No hay datos")</f>
        <v>Región Sur</v>
      </c>
      <c r="J1659" s="2" t="str">
        <f t="array" ref="J1659:N1659">_xlfn.XLOOKUP(A1659,Productos!$A$2:$A$61,Productos!$B$2:$F$61)</f>
        <v>Vestido corto</v>
      </c>
      <c r="K1659" s="2" t="s">
        <v>9</v>
      </c>
      <c r="L1659" s="2" t="s">
        <v>10</v>
      </c>
      <c r="M1659" s="2" t="s">
        <v>93</v>
      </c>
      <c r="N1659" s="2" t="s">
        <v>35</v>
      </c>
    </row>
    <row r="1660">
      <c r="A1660" s="2" t="str">
        <f>IFERROR(__xludf.DUMMYFUNCTION("""COMPUTED_VALUE"""),"PR048")</f>
        <v>PR048</v>
      </c>
      <c r="B1660" s="2" t="str">
        <f>IFERROR(__xludf.DUMMYFUNCTION("""COMPUTED_VALUE"""),"VD043")</f>
        <v>VD043</v>
      </c>
      <c r="C1660" s="2">
        <f>IFERROR(__xludf.DUMMYFUNCTION("""COMPUTED_VALUE"""),9.0)</f>
        <v>9</v>
      </c>
      <c r="D1660" s="6">
        <f>IFERROR(__xludf.DUMMYFUNCTION("""COMPUTED_VALUE"""),2713.46)</f>
        <v>2713.46</v>
      </c>
      <c r="E1660" s="6">
        <f>IFERROR(__xludf.DUMMYFUNCTION("GOOGLEFINANCE(""Currency:BRLMXN"")*D1660"),9218.98035)</f>
        <v>9218.98035</v>
      </c>
      <c r="F1660" s="6">
        <f>IFERROR(__xludf.DUMMYFUNCTION("GOOGLEFINANCE(""Currency:BRLPEN"")*D1660"),1778.944376)</f>
        <v>1778.944376</v>
      </c>
      <c r="G1660" s="2" t="str">
        <f t="array" ref="G1660">_xlfn.XLOOKUP(B1660,Vendedores!$A$2:$A$41,Vendedores!$B$2:$B$41,"No hay datos")</f>
        <v>Carlos Henríquez</v>
      </c>
      <c r="H1660" s="2" t="str">
        <f t="array" ref="H1660">_xlfn.XLOOKUP(B1660,Vendedores!$A$2:$A$41,Vendedores!$C$2:$C$41,"No hay datos")</f>
        <v>Ciudad Aeropuerto</v>
      </c>
      <c r="I1660" s="2" t="str">
        <f t="array" ref="I1660">_xlfn.XLOOKUP(B1660,Vendedores!$A$2:$A$41,Vendedores!$D$2:$D$41,"No hay datos")</f>
        <v>Región Central 2</v>
      </c>
      <c r="J1660" s="2" t="str">
        <f t="array" ref="J1660:N1660">_xlfn.XLOOKUP(A1660,Productos!$A$2:$A$61,Productos!$B$2:$F$61)</f>
        <v>Chaqueta de cuero</v>
      </c>
      <c r="K1660" s="2" t="s">
        <v>22</v>
      </c>
      <c r="L1660" s="2" t="s">
        <v>10</v>
      </c>
      <c r="M1660" s="2" t="s">
        <v>94</v>
      </c>
      <c r="N1660" s="2" t="s">
        <v>44</v>
      </c>
    </row>
    <row r="1661">
      <c r="A1661" s="2" t="str">
        <f>IFERROR(__xludf.DUMMYFUNCTION("""COMPUTED_VALUE"""),"PR004")</f>
        <v>PR004</v>
      </c>
      <c r="B1661" s="2" t="str">
        <f>IFERROR(__xludf.DUMMYFUNCTION("""COMPUTED_VALUE"""),"VD037")</f>
        <v>VD037</v>
      </c>
      <c r="C1661" s="2">
        <f>IFERROR(__xludf.DUMMYFUNCTION("""COMPUTED_VALUE"""),5.0)</f>
        <v>5</v>
      </c>
      <c r="D1661" s="6">
        <f>IFERROR(__xludf.DUMMYFUNCTION("""COMPUTED_VALUE"""),725.0)</f>
        <v>725</v>
      </c>
      <c r="E1661" s="6">
        <f>IFERROR(__xludf.DUMMYFUNCTION("GOOGLEFINANCE(""Currency:BRLMXN"")*D1661"),2463.1875)</f>
        <v>2463.1875</v>
      </c>
      <c r="F1661" s="6">
        <f>IFERROR(__xludf.DUMMYFUNCTION("GOOGLEFINANCE(""Currency:BRLPEN"")*D1661"),475.30999999999995)</f>
        <v>475.31</v>
      </c>
      <c r="G1661" s="2" t="str">
        <f t="array" ref="G1661">_xlfn.XLOOKUP(B1661,Vendedores!$A$2:$A$41,Vendedores!$B$2:$B$41,"No hay datos")</f>
        <v>Amanda Silva</v>
      </c>
      <c r="H1661" s="2" t="str">
        <f t="array" ref="H1661">_xlfn.XLOOKUP(B1661,Vendedores!$A$2:$A$41,Vendedores!$C$2:$C$41,"No hay datos")</f>
        <v>Villa Esperanza</v>
      </c>
      <c r="I1661" s="2" t="str">
        <f t="array" ref="I1661">_xlfn.XLOOKUP(B1661,Vendedores!$A$2:$A$41,Vendedores!$D$2:$D$41,"No hay datos")</f>
        <v>Región Sur 2</v>
      </c>
      <c r="J1661" s="2" t="str">
        <f t="array" ref="J1661:N1661">_xlfn.XLOOKUP(A1661,Productos!$A$2:$A$61,Productos!$B$2:$F$61)</f>
        <v>Bolso versátil</v>
      </c>
      <c r="K1661" s="2" t="s">
        <v>29</v>
      </c>
      <c r="L1661" s="2" t="s">
        <v>30</v>
      </c>
      <c r="M1661" s="2" t="s">
        <v>59</v>
      </c>
      <c r="N1661" s="2" t="s">
        <v>60</v>
      </c>
    </row>
    <row r="1662">
      <c r="A1662" s="2" t="str">
        <f>IFERROR(__xludf.DUMMYFUNCTION("""COMPUTED_VALUE"""),"PR059")</f>
        <v>PR059</v>
      </c>
      <c r="B1662" s="2" t="str">
        <f>IFERROR(__xludf.DUMMYFUNCTION("""COMPUTED_VALUE"""),"VD049")</f>
        <v>VD049</v>
      </c>
      <c r="C1662" s="2">
        <f>IFERROR(__xludf.DUMMYFUNCTION("""COMPUTED_VALUE"""),5.0)</f>
        <v>5</v>
      </c>
      <c r="D1662" s="6">
        <f>IFERROR(__xludf.DUMMYFUNCTION("""COMPUTED_VALUE"""),945.0)</f>
        <v>945</v>
      </c>
      <c r="E1662" s="6">
        <f>IFERROR(__xludf.DUMMYFUNCTION("GOOGLEFINANCE(""Currency:BRLMXN"")*D1662"),3210.6375)</f>
        <v>3210.6375</v>
      </c>
      <c r="F1662" s="6">
        <f>IFERROR(__xludf.DUMMYFUNCTION("GOOGLEFINANCE(""Currency:BRLPEN"")*D1662"),619.5419999999999)</f>
        <v>619.542</v>
      </c>
      <c r="G1662" s="2" t="str">
        <f t="array" ref="G1662">_xlfn.XLOOKUP(B1662,Vendedores!$A$2:$A$41,Vendedores!$B$2:$B$41,"No hay datos")</f>
        <v>Fernando Navarro</v>
      </c>
      <c r="H1662" s="2" t="str">
        <f t="array" ref="H1662">_xlfn.XLOOKUP(B1662,Vendedores!$A$2:$A$41,Vendedores!$C$2:$C$41,"No hay datos")</f>
        <v>Colinas Verdes</v>
      </c>
      <c r="I1662" s="2" t="str">
        <f t="array" ref="I1662">_xlfn.XLOOKUP(B1662,Vendedores!$A$2:$A$41,Vendedores!$D$2:$D$41,"No hay datos")</f>
        <v>Región Central 2</v>
      </c>
      <c r="J1662" s="2" t="str">
        <f t="array" ref="J1662:N1662">_xlfn.XLOOKUP(A1662,Productos!$A$2:$A$61,Productos!$B$2:$F$61)</f>
        <v>Pantalón de sastre</v>
      </c>
      <c r="K1662" s="2" t="s">
        <v>17</v>
      </c>
      <c r="L1662" s="2" t="s">
        <v>10</v>
      </c>
      <c r="M1662" s="2" t="s">
        <v>28</v>
      </c>
      <c r="N1662" s="2" t="s">
        <v>14</v>
      </c>
    </row>
    <row r="1663">
      <c r="A1663" s="2" t="str">
        <f>IFERROR(__xludf.DUMMYFUNCTION("""COMPUTED_VALUE"""),"PR005")</f>
        <v>PR005</v>
      </c>
      <c r="B1663" s="2" t="str">
        <f>IFERROR(__xludf.DUMMYFUNCTION("""COMPUTED_VALUE"""),"VD018")</f>
        <v>VD018</v>
      </c>
      <c r="C1663" s="2">
        <f>IFERROR(__xludf.DUMMYFUNCTION("""COMPUTED_VALUE"""),20.0)</f>
        <v>20</v>
      </c>
      <c r="D1663" s="6">
        <f>IFERROR(__xludf.DUMMYFUNCTION("""COMPUTED_VALUE"""),5717.8)</f>
        <v>5717.8</v>
      </c>
      <c r="E1663" s="6">
        <f>IFERROR(__xludf.DUMMYFUNCTION("GOOGLEFINANCE(""Currency:BRLMXN"")*D1663"),19426.2255)</f>
        <v>19426.2255</v>
      </c>
      <c r="F1663" s="6">
        <f>IFERROR(__xludf.DUMMYFUNCTION("GOOGLEFINANCE(""Currency:BRLPEN"")*D1663"),3748.58968)</f>
        <v>3748.58968</v>
      </c>
      <c r="G1663" s="2" t="str">
        <f t="array" ref="G1663">_xlfn.XLOOKUP(B1663,Vendedores!$A$2:$A$41,Vendedores!$B$2:$B$41,"No hay datos")</f>
        <v>Leticia Rodríguez</v>
      </c>
      <c r="H1663" s="2" t="str">
        <f t="array" ref="H1663">_xlfn.XLOOKUP(B1663,Vendedores!$A$2:$A$41,Vendedores!$C$2:$C$41,"No hay datos")</f>
        <v>Playa Blanca</v>
      </c>
      <c r="I1663" s="2" t="str">
        <f t="array" ref="I1663">_xlfn.XLOOKUP(B1663,Vendedores!$A$2:$A$41,Vendedores!$D$2:$D$41,"No hay datos")</f>
        <v>Región Norte</v>
      </c>
      <c r="J1663" s="2" t="str">
        <f t="array" ref="J1663:N1663">_xlfn.XLOOKUP(A1663,Productos!$A$2:$A$61,Productos!$B$2:$F$61)</f>
        <v>Bolso de cuero</v>
      </c>
      <c r="K1663" s="2" t="s">
        <v>29</v>
      </c>
      <c r="L1663" s="2" t="s">
        <v>30</v>
      </c>
      <c r="M1663" s="2" t="s">
        <v>100</v>
      </c>
      <c r="N1663" s="2" t="s">
        <v>64</v>
      </c>
    </row>
    <row r="1664">
      <c r="A1664" s="2" t="str">
        <f>IFERROR(__xludf.DUMMYFUNCTION("""COMPUTED_VALUE"""),"PR050")</f>
        <v>PR050</v>
      </c>
      <c r="B1664" s="2" t="str">
        <f>IFERROR(__xludf.DUMMYFUNCTION("""COMPUTED_VALUE"""),"VD010")</f>
        <v>VD010</v>
      </c>
      <c r="C1664" s="2">
        <f>IFERROR(__xludf.DUMMYFUNCTION("""COMPUTED_VALUE"""),10.0)</f>
        <v>10</v>
      </c>
      <c r="D1664" s="6">
        <f>IFERROR(__xludf.DUMMYFUNCTION("""COMPUTED_VALUE"""),342.16)</f>
        <v>342.16</v>
      </c>
      <c r="E1664" s="6">
        <f>IFERROR(__xludf.DUMMYFUNCTION("GOOGLEFINANCE(""Currency:BRLMXN"")*D1664"),1162.4886000000001)</f>
        <v>1162.4886</v>
      </c>
      <c r="F1664" s="6">
        <f>IFERROR(__xludf.DUMMYFUNCTION("GOOGLEFINANCE(""Currency:BRLPEN"")*D1664"),224.320096)</f>
        <v>224.320096</v>
      </c>
      <c r="G1664" s="2" t="str">
        <f t="array" ref="G1664">_xlfn.XLOOKUP(B1664,Vendedores!$A$2:$A$41,Vendedores!$B$2:$B$41,"No hay datos")</f>
        <v>María Silva</v>
      </c>
      <c r="H1664" s="2" t="str">
        <f t="array" ref="H1664">_xlfn.XLOOKUP(B1664,Vendedores!$A$2:$A$41,Vendedores!$C$2:$C$41,"No hay datos")</f>
        <v>San Juan de la Sierra</v>
      </c>
      <c r="I1664" s="2" t="str">
        <f t="array" ref="I1664">_xlfn.XLOOKUP(B1664,Vendedores!$A$2:$A$41,Vendedores!$D$2:$D$41,"No hay datos")</f>
        <v>Región Central</v>
      </c>
      <c r="J1664" s="2" t="str">
        <f t="array" ref="J1664:N1664">_xlfn.XLOOKUP(A1664,Productos!$A$2:$A$61,Productos!$B$2:$F$61)</f>
        <v>Playera a rayas</v>
      </c>
      <c r="K1664" s="2" t="s">
        <v>17</v>
      </c>
      <c r="L1664" s="2" t="s">
        <v>10</v>
      </c>
      <c r="M1664" s="2" t="s">
        <v>27</v>
      </c>
      <c r="N1664" s="2" t="s">
        <v>24</v>
      </c>
    </row>
    <row r="1665">
      <c r="A1665" s="2" t="str">
        <f>IFERROR(__xludf.DUMMYFUNCTION("""COMPUTED_VALUE"""),"PR033")</f>
        <v>PR033</v>
      </c>
      <c r="B1665" s="2" t="str">
        <f>IFERROR(__xludf.DUMMYFUNCTION("""COMPUTED_VALUE"""),"VD042")</f>
        <v>VD042</v>
      </c>
      <c r="C1665" s="2">
        <f>IFERROR(__xludf.DUMMYFUNCTION("""COMPUTED_VALUE"""),8.0)</f>
        <v>8</v>
      </c>
      <c r="D1665" s="6">
        <f>IFERROR(__xludf.DUMMYFUNCTION("""COMPUTED_VALUE"""),2079.2)</f>
        <v>2079.2</v>
      </c>
      <c r="E1665" s="6">
        <f>IFERROR(__xludf.DUMMYFUNCTION("GOOGLEFINANCE(""Currency:BRLMXN"")*D1665"),7064.081999999999)</f>
        <v>7064.082</v>
      </c>
      <c r="F1665" s="6">
        <f>IFERROR(__xludf.DUMMYFUNCTION("GOOGLEFINANCE(""Currency:BRLPEN"")*D1665"),1363.1235199999999)</f>
        <v>1363.12352</v>
      </c>
      <c r="G1665" s="2" t="str">
        <f t="array" ref="G1665">_xlfn.XLOOKUP(B1665,Vendedores!$A$2:$A$41,Vendedores!$B$2:$B$41,"No hay datos")</f>
        <v>Priscila Duarte</v>
      </c>
      <c r="H1665" s="2" t="str">
        <f t="array" ref="H1665">_xlfn.XLOOKUP(B1665,Vendedores!$A$2:$A$41,Vendedores!$C$2:$C$41,"No hay datos")</f>
        <v>Villa Comercial</v>
      </c>
      <c r="I1665" s="2" t="str">
        <f t="array" ref="I1665">_xlfn.XLOOKUP(B1665,Vendedores!$A$2:$A$41,Vendedores!$D$2:$D$41,"No hay datos")</f>
        <v>Región Central 2</v>
      </c>
      <c r="J1665" s="2" t="str">
        <f t="array" ref="J1665:N1665">_xlfn.XLOOKUP(A1665,Productos!$A$2:$A$61,Productos!$B$2:$F$61)</f>
        <v>Tenis Chunky</v>
      </c>
      <c r="K1665" s="2">
        <v>38.0</v>
      </c>
      <c r="L1665" s="2" t="s">
        <v>33</v>
      </c>
      <c r="M1665" s="2" t="s">
        <v>63</v>
      </c>
      <c r="N1665" s="2" t="s">
        <v>64</v>
      </c>
    </row>
    <row r="1666">
      <c r="A1666" s="2" t="str">
        <f>IFERROR(__xludf.DUMMYFUNCTION("""COMPUTED_VALUE"""),"PR038")</f>
        <v>PR038</v>
      </c>
      <c r="B1666" s="2" t="str">
        <f>IFERROR(__xludf.DUMMYFUNCTION("""COMPUTED_VALUE"""),"VD027")</f>
        <v>VD027</v>
      </c>
      <c r="C1666" s="2">
        <f>IFERROR(__xludf.DUMMYFUNCTION("""COMPUTED_VALUE"""),14.0)</f>
        <v>14</v>
      </c>
      <c r="D1666" s="6">
        <f>IFERROR(__xludf.DUMMYFUNCTION("""COMPUTED_VALUE"""),2080.62)</f>
        <v>2080.62</v>
      </c>
      <c r="E1666" s="6">
        <f>IFERROR(__xludf.DUMMYFUNCTION("GOOGLEFINANCE(""Currency:BRLMXN"")*D1666"),7068.9064499999995)</f>
        <v>7068.90645</v>
      </c>
      <c r="F1666" s="6">
        <f>IFERROR(__xludf.DUMMYFUNCTION("GOOGLEFINANCE(""Currency:BRLPEN"")*D1666"),1364.0544719999998)</f>
        <v>1364.054472</v>
      </c>
      <c r="G1666" s="2" t="str">
        <f t="array" ref="G1666">_xlfn.XLOOKUP(B1666,Vendedores!$A$2:$A$41,Vendedores!$B$2:$B$41,"No hay datos")</f>
        <v>Patricia Cortés</v>
      </c>
      <c r="H1666" s="2" t="str">
        <f t="array" ref="H1666">_xlfn.XLOOKUP(B1666,Vendedores!$A$2:$A$41,Vendedores!$C$2:$C$41,"No hay datos")</f>
        <v>Costa Azul</v>
      </c>
      <c r="I1666" s="2" t="str">
        <f t="array" ref="I1666">_xlfn.XLOOKUP(B1666,Vendedores!$A$2:$A$41,Vendedores!$D$2:$D$41,"No hay datos")</f>
        <v>Región Norte</v>
      </c>
      <c r="J1666" s="2" t="str">
        <f t="array" ref="J1666:N1666">_xlfn.XLOOKUP(A1666,Productos!$A$2:$A$61,Productos!$B$2:$F$61)</f>
        <v>Vestido largo</v>
      </c>
      <c r="K1666" s="2" t="s">
        <v>17</v>
      </c>
      <c r="L1666" s="2" t="s">
        <v>10</v>
      </c>
      <c r="M1666" s="2" t="s">
        <v>51</v>
      </c>
      <c r="N1666" s="2" t="s">
        <v>52</v>
      </c>
    </row>
    <row r="1667">
      <c r="A1667" s="2" t="str">
        <f>IFERROR(__xludf.DUMMYFUNCTION("""COMPUTED_VALUE"""),"PR032")</f>
        <v>PR032</v>
      </c>
      <c r="B1667" s="2" t="str">
        <f>IFERROR(__xludf.DUMMYFUNCTION("""COMPUTED_VALUE"""),"VD034")</f>
        <v>VD034</v>
      </c>
      <c r="C1667" s="2">
        <f>IFERROR(__xludf.DUMMYFUNCTION("""COMPUTED_VALUE"""),7.0)</f>
        <v>7</v>
      </c>
      <c r="D1667" s="6">
        <f>IFERROR(__xludf.DUMMYFUNCTION("""COMPUTED_VALUE"""),1907.5)</f>
        <v>1907.5</v>
      </c>
      <c r="E1667" s="6">
        <f>IFERROR(__xludf.DUMMYFUNCTION("GOOGLEFINANCE(""Currency:BRLMXN"")*D1667"),6480.73125)</f>
        <v>6480.73125</v>
      </c>
      <c r="F1667" s="6">
        <f>IFERROR(__xludf.DUMMYFUNCTION("GOOGLEFINANCE(""Currency:BRLPEN"")*D1667"),1250.557)</f>
        <v>1250.557</v>
      </c>
      <c r="G1667" s="2" t="str">
        <f t="array" ref="G1667">_xlfn.XLOOKUP(B1667,Vendedores!$A$2:$A$41,Vendedores!$B$2:$B$41,"No hay datos")</f>
        <v>Felipe Carvajal</v>
      </c>
      <c r="H1667" s="2" t="str">
        <f t="array" ref="H1667">_xlfn.XLOOKUP(B1667,Vendedores!$A$2:$A$41,Vendedores!$C$2:$C$41,"No hay datos")</f>
        <v>San Pedro del Río</v>
      </c>
      <c r="I1667" s="2" t="str">
        <f t="array" ref="I1667">_xlfn.XLOOKUP(B1667,Vendedores!$A$2:$A$41,Vendedores!$D$2:$D$41,"No hay datos")</f>
        <v>Región Sur 2</v>
      </c>
      <c r="J1667" s="2" t="str">
        <f t="array" ref="J1667:N1667">_xlfn.XLOOKUP(A1667,Productos!$A$2:$A$61,Productos!$B$2:$F$61)</f>
        <v>Tenis Chunky</v>
      </c>
      <c r="K1667" s="2">
        <v>37.0</v>
      </c>
      <c r="L1667" s="2" t="s">
        <v>33</v>
      </c>
      <c r="M1667" s="2" t="s">
        <v>61</v>
      </c>
      <c r="N1667" s="2" t="s">
        <v>62</v>
      </c>
    </row>
    <row r="1668">
      <c r="A1668" s="2" t="str">
        <f>IFERROR(__xludf.DUMMYFUNCTION("""COMPUTED_VALUE"""),"PR042")</f>
        <v>PR042</v>
      </c>
      <c r="B1668" s="2" t="str">
        <f>IFERROR(__xludf.DUMMYFUNCTION("""COMPUTED_VALUE"""),"VD012")</f>
        <v>VD012</v>
      </c>
      <c r="C1668" s="2">
        <f>IFERROR(__xludf.DUMMYFUNCTION("""COMPUTED_VALUE"""),2.0)</f>
        <v>2</v>
      </c>
      <c r="D1668" s="6">
        <f>IFERROR(__xludf.DUMMYFUNCTION("""COMPUTED_VALUE"""),109.8)</f>
        <v>109.8</v>
      </c>
      <c r="E1668" s="6">
        <f>IFERROR(__xludf.DUMMYFUNCTION("GOOGLEFINANCE(""Currency:BRLMXN"")*D1668"),373.0455)</f>
        <v>373.0455</v>
      </c>
      <c r="F1668" s="6">
        <f>IFERROR(__xludf.DUMMYFUNCTION("GOOGLEFINANCE(""Currency:BRLPEN"")*D1668"),71.98487999999999)</f>
        <v>71.98488</v>
      </c>
      <c r="G1668" s="2" t="str">
        <f t="array" ref="G1668">_xlfn.XLOOKUP(B1668,Vendedores!$A$2:$A$41,Vendedores!$B$2:$B$41,"No hay datos")</f>
        <v>Ana Olmedo</v>
      </c>
      <c r="H1668" s="2" t="str">
        <f t="array" ref="H1668">_xlfn.XLOOKUP(B1668,Vendedores!$A$2:$A$41,Vendedores!$C$2:$C$41,"No hay datos")</f>
        <v>Río Claro</v>
      </c>
      <c r="I1668" s="2" t="str">
        <f t="array" ref="I1668">_xlfn.XLOOKUP(B1668,Vendedores!$A$2:$A$41,Vendedores!$D$2:$D$41,"No hay datos")</f>
        <v>Región Central</v>
      </c>
      <c r="J1668" s="2" t="str">
        <f t="array" ref="J1668:N1668">_xlfn.XLOOKUP(A1668,Productos!$A$2:$A$61,Productos!$B$2:$F$61)</f>
        <v>Playera confort</v>
      </c>
      <c r="K1668" s="2" t="s">
        <v>22</v>
      </c>
      <c r="L1668" s="2" t="s">
        <v>10</v>
      </c>
      <c r="M1668" s="2" t="s">
        <v>25</v>
      </c>
      <c r="N1668" s="2" t="s">
        <v>26</v>
      </c>
    </row>
    <row r="1669">
      <c r="A1669" s="2" t="str">
        <f>IFERROR(__xludf.DUMMYFUNCTION("""COMPUTED_VALUE"""),"PR017")</f>
        <v>PR017</v>
      </c>
      <c r="B1669" s="2" t="str">
        <f>IFERROR(__xludf.DUMMYFUNCTION("""COMPUTED_VALUE"""),"VD018")</f>
        <v>VD018</v>
      </c>
      <c r="C1669" s="2">
        <f>IFERROR(__xludf.DUMMYFUNCTION("""COMPUTED_VALUE"""),20.0)</f>
        <v>20</v>
      </c>
      <c r="D1669" s="6">
        <f>IFERROR(__xludf.DUMMYFUNCTION("""COMPUTED_VALUE"""),657.8)</f>
        <v>657.8</v>
      </c>
      <c r="E1669" s="6">
        <f>IFERROR(__xludf.DUMMYFUNCTION("GOOGLEFINANCE(""Currency:BRLMXN"")*D1669"),2234.8754999999996)</f>
        <v>2234.8755</v>
      </c>
      <c r="F1669" s="6">
        <f>IFERROR(__xludf.DUMMYFUNCTION("GOOGLEFINANCE(""Currency:BRLPEN"")*D1669"),431.2536799999999)</f>
        <v>431.25368</v>
      </c>
      <c r="G1669" s="2" t="str">
        <f t="array" ref="G1669">_xlfn.XLOOKUP(B1669,Vendedores!$A$2:$A$41,Vendedores!$B$2:$B$41,"No hay datos")</f>
        <v>Leticia Rodríguez</v>
      </c>
      <c r="H1669" s="2" t="str">
        <f t="array" ref="H1669">_xlfn.XLOOKUP(B1669,Vendedores!$A$2:$A$41,Vendedores!$C$2:$C$41,"No hay datos")</f>
        <v>Playa Blanca</v>
      </c>
      <c r="I1669" s="2" t="str">
        <f t="array" ref="I1669">_xlfn.XLOOKUP(B1669,Vendedores!$A$2:$A$41,Vendedores!$D$2:$D$41,"No hay datos")</f>
        <v>Región Norte</v>
      </c>
      <c r="J1669" s="2" t="str">
        <f t="array" ref="J1669:N1669">_xlfn.XLOOKUP(A1669,Productos!$A$2:$A$61,Productos!$B$2:$F$61)</f>
        <v>Playera lisa</v>
      </c>
      <c r="K1669" s="2" t="s">
        <v>17</v>
      </c>
      <c r="L1669" s="2" t="s">
        <v>10</v>
      </c>
      <c r="M1669" s="2" t="s">
        <v>98</v>
      </c>
      <c r="N1669" s="2" t="s">
        <v>99</v>
      </c>
    </row>
    <row r="1670">
      <c r="A1670" s="2" t="str">
        <f>IFERROR(__xludf.DUMMYFUNCTION("""COMPUTED_VALUE"""),"PR037")</f>
        <v>PR037</v>
      </c>
      <c r="B1670" s="2" t="str">
        <f>IFERROR(__xludf.DUMMYFUNCTION("""COMPUTED_VALUE"""),"VD013")</f>
        <v>VD013</v>
      </c>
      <c r="C1670" s="2">
        <f>IFERROR(__xludf.DUMMYFUNCTION("""COMPUTED_VALUE"""),10.0)</f>
        <v>10</v>
      </c>
      <c r="D1670" s="6">
        <f>IFERROR(__xludf.DUMMYFUNCTION("""COMPUTED_VALUE"""),1414.0)</f>
        <v>1414</v>
      </c>
      <c r="E1670" s="6">
        <f>IFERROR(__xludf.DUMMYFUNCTION("GOOGLEFINANCE(""Currency:BRLMXN"")*D1670"),4804.065)</f>
        <v>4804.065</v>
      </c>
      <c r="F1670" s="6">
        <f>IFERROR(__xludf.DUMMYFUNCTION("GOOGLEFINANCE(""Currency:BRLPEN"")*D1670"),927.0183999999999)</f>
        <v>927.0184</v>
      </c>
      <c r="G1670" s="2" t="str">
        <f t="array" ref="G1670">_xlfn.XLOOKUP(B1670,Vendedores!$A$2:$A$41,Vendedores!$B$2:$B$41,"No hay datos")</f>
        <v>Pedro Almonte</v>
      </c>
      <c r="H1670" s="2" t="str">
        <f t="array" ref="H1670">_xlfn.XLOOKUP(B1670,Vendedores!$A$2:$A$41,Vendedores!$C$2:$C$41,"No hay datos")</f>
        <v>Santa Rosa del Valle</v>
      </c>
      <c r="I1670" s="2" t="str">
        <f t="array" ref="I1670">_xlfn.XLOOKUP(B1670,Vendedores!$A$2:$A$41,Vendedores!$D$2:$D$41,"No hay datos")</f>
        <v>Región Norte</v>
      </c>
      <c r="J1670" s="2" t="str">
        <f t="array" ref="J1670:N1670">_xlfn.XLOOKUP(A1670,Productos!$A$2:$A$61,Productos!$B$2:$F$61)</f>
        <v>Vestido largo</v>
      </c>
      <c r="K1670" s="2" t="s">
        <v>9</v>
      </c>
      <c r="L1670" s="2" t="s">
        <v>10</v>
      </c>
      <c r="M1670" s="2" t="s">
        <v>70</v>
      </c>
      <c r="N1670" s="2" t="s">
        <v>71</v>
      </c>
    </row>
    <row r="1671">
      <c r="A1671" s="2" t="str">
        <f>IFERROR(__xludf.DUMMYFUNCTION("""COMPUTED_VALUE"""),"PR041")</f>
        <v>PR041</v>
      </c>
      <c r="B1671" s="2" t="str">
        <f>IFERROR(__xludf.DUMMYFUNCTION("""COMPUTED_VALUE"""),"VD021")</f>
        <v>VD021</v>
      </c>
      <c r="C1671" s="2">
        <f>IFERROR(__xludf.DUMMYFUNCTION("""COMPUTED_VALUE"""),8.0)</f>
        <v>8</v>
      </c>
      <c r="D1671" s="6">
        <f>IFERROR(__xludf.DUMMYFUNCTION("""COMPUTED_VALUE"""),443.59)</f>
        <v>443.59</v>
      </c>
      <c r="E1671" s="6">
        <f>IFERROR(__xludf.DUMMYFUNCTION("GOOGLEFINANCE(""Currency:BRLMXN"")*D1671"),1507.0970249999998)</f>
        <v>1507.097025</v>
      </c>
      <c r="F1671" s="6">
        <f>IFERROR(__xludf.DUMMYFUNCTION("GOOGLEFINANCE(""Currency:BRLPEN"")*D1671"),290.81760399999996)</f>
        <v>290.817604</v>
      </c>
      <c r="G1671" s="2" t="str">
        <f t="array" ref="G1671">_xlfn.XLOOKUP(B1671,Vendedores!$A$2:$A$41,Vendedores!$B$2:$B$41,"No hay datos")</f>
        <v>Fernanda Méndez</v>
      </c>
      <c r="H1671" s="2" t="str">
        <f t="array" ref="H1671">_xlfn.XLOOKUP(B1671,Vendedores!$A$2:$A$41,Vendedores!$C$2:$C$41,"No hay datos")</f>
        <v>San Juan de la Sierra</v>
      </c>
      <c r="I1671" s="2" t="str">
        <f t="array" ref="I1671">_xlfn.XLOOKUP(B1671,Vendedores!$A$2:$A$41,Vendedores!$D$2:$D$41,"No hay datos")</f>
        <v>Región Central</v>
      </c>
      <c r="J1671" s="2" t="str">
        <f t="array" ref="J1671:N1671">_xlfn.XLOOKUP(A1671,Productos!$A$2:$A$61,Productos!$B$2:$F$61)</f>
        <v>Playera confort</v>
      </c>
      <c r="K1671" s="2" t="s">
        <v>17</v>
      </c>
      <c r="L1671" s="2" t="s">
        <v>10</v>
      </c>
      <c r="M1671" s="2" t="s">
        <v>95</v>
      </c>
      <c r="N1671" s="2" t="s">
        <v>26</v>
      </c>
    </row>
    <row r="1672">
      <c r="A1672" s="2" t="str">
        <f>IFERROR(__xludf.DUMMYFUNCTION("""COMPUTED_VALUE"""),"PR039")</f>
        <v>PR039</v>
      </c>
      <c r="B1672" s="2" t="str">
        <f>IFERROR(__xludf.DUMMYFUNCTION("""COMPUTED_VALUE"""),"VD032")</f>
        <v>VD032</v>
      </c>
      <c r="C1672" s="2">
        <f>IFERROR(__xludf.DUMMYFUNCTION("""COMPUTED_VALUE"""),8.0)</f>
        <v>8</v>
      </c>
      <c r="D1672" s="6">
        <f>IFERROR(__xludf.DUMMYFUNCTION("""COMPUTED_VALUE"""),1214.72)</f>
        <v>1214.72</v>
      </c>
      <c r="E1672" s="6">
        <f>IFERROR(__xludf.DUMMYFUNCTION("GOOGLEFINANCE(""Currency:BRLMXN"")*D1672"),4127.0112)</f>
        <v>4127.0112</v>
      </c>
      <c r="F1672" s="6">
        <f>IFERROR(__xludf.DUMMYFUNCTION("GOOGLEFINANCE(""Currency:BRLPEN"")*D1672"),796.3704319999999)</f>
        <v>796.370432</v>
      </c>
      <c r="G1672" s="2" t="str">
        <f t="array" ref="G1672">_xlfn.XLOOKUP(B1672,Vendedores!$A$2:$A$41,Vendedores!$B$2:$B$41,"No hay datos")</f>
        <v>Eduardo Almonte</v>
      </c>
      <c r="H1672" s="2" t="str">
        <f t="array" ref="H1672">_xlfn.XLOOKUP(B1672,Vendedores!$A$2:$A$41,Vendedores!$C$2:$C$41,"No hay datos")</f>
        <v>Tierra Colorada</v>
      </c>
      <c r="I1672" s="2" t="str">
        <f t="array" ref="I1672">_xlfn.XLOOKUP(B1672,Vendedores!$A$2:$A$41,Vendedores!$D$2:$D$41,"No hay datos")</f>
        <v>Región Central 2</v>
      </c>
      <c r="J1672" s="2" t="str">
        <f t="array" ref="J1672:N1672">_xlfn.XLOOKUP(A1672,Productos!$A$2:$A$61,Productos!$B$2:$F$61)</f>
        <v>Vestido largo</v>
      </c>
      <c r="K1672" s="2" t="s">
        <v>22</v>
      </c>
      <c r="L1672" s="2" t="s">
        <v>10</v>
      </c>
      <c r="M1672" s="2" t="s">
        <v>73</v>
      </c>
      <c r="N1672" s="2" t="s">
        <v>74</v>
      </c>
    </row>
    <row r="1673">
      <c r="A1673" s="2" t="str">
        <f>IFERROR(__xludf.DUMMYFUNCTION("""COMPUTED_VALUE"""),"PR043")</f>
        <v>PR043</v>
      </c>
      <c r="B1673" s="2" t="str">
        <f>IFERROR(__xludf.DUMMYFUNCTION("""COMPUTED_VALUE"""),"VD026")</f>
        <v>VD026</v>
      </c>
      <c r="C1673" s="2">
        <f>IFERROR(__xludf.DUMMYFUNCTION("""COMPUTED_VALUE"""),2.0)</f>
        <v>2</v>
      </c>
      <c r="D1673" s="6">
        <f>IFERROR(__xludf.DUMMYFUNCTION("""COMPUTED_VALUE"""),152.25)</f>
        <v>152.25</v>
      </c>
      <c r="E1673" s="6">
        <f>IFERROR(__xludf.DUMMYFUNCTION("GOOGLEFINANCE(""Currency:BRLMXN"")*D1673"),517.269375)</f>
        <v>517.269375</v>
      </c>
      <c r="F1673" s="6">
        <f>IFERROR(__xludf.DUMMYFUNCTION("GOOGLEFINANCE(""Currency:BRLPEN"")*D1673"),99.8151)</f>
        <v>99.8151</v>
      </c>
      <c r="G1673" s="2" t="str">
        <f t="array" ref="G1673">_xlfn.XLOOKUP(B1673,Vendedores!$A$2:$A$41,Vendedores!$B$2:$B$41,"No hay datos")</f>
        <v>Daniel Fernández</v>
      </c>
      <c r="H1673" s="2" t="str">
        <f t="array" ref="H1673">_xlfn.XLOOKUP(B1673,Vendedores!$A$2:$A$41,Vendedores!$C$2:$C$41,"No hay datos")</f>
        <v>Puerto Esperanza</v>
      </c>
      <c r="I1673" s="2" t="str">
        <f t="array" ref="I1673">_xlfn.XLOOKUP(B1673,Vendedores!$A$2:$A$41,Vendedores!$D$2:$D$41,"No hay datos")</f>
        <v>Región Sur</v>
      </c>
      <c r="J1673" s="2" t="str">
        <f t="array" ref="J1673:N1673">_xlfn.XLOOKUP(A1673,Productos!$A$2:$A$61,Productos!$B$2:$F$61)</f>
        <v>Vestido floral</v>
      </c>
      <c r="K1673" s="2" t="s">
        <v>9</v>
      </c>
      <c r="L1673" s="2" t="s">
        <v>10</v>
      </c>
      <c r="M1673" s="2" t="s">
        <v>69</v>
      </c>
      <c r="N1673" s="2" t="s">
        <v>40</v>
      </c>
    </row>
    <row r="1674">
      <c r="A1674" s="2" t="str">
        <f>IFERROR(__xludf.DUMMYFUNCTION("""COMPUTED_VALUE"""),"PR046")</f>
        <v>PR046</v>
      </c>
      <c r="B1674" s="2" t="str">
        <f>IFERROR(__xludf.DUMMYFUNCTION("""COMPUTED_VALUE"""),"VD038")</f>
        <v>VD038</v>
      </c>
      <c r="C1674" s="2">
        <f>IFERROR(__xludf.DUMMYFUNCTION("""COMPUTED_VALUE"""),8.0)</f>
        <v>8</v>
      </c>
      <c r="D1674" s="6">
        <f>IFERROR(__xludf.DUMMYFUNCTION("""COMPUTED_VALUE"""),2527.93)</f>
        <v>2527.93</v>
      </c>
      <c r="E1674" s="6">
        <f>IFERROR(__xludf.DUMMYFUNCTION("GOOGLEFINANCE(""Currency:BRLMXN"")*D1674"),8588.642174999999)</f>
        <v>8588.642175</v>
      </c>
      <c r="F1674" s="6">
        <f>IFERROR(__xludf.DUMMYFUNCTION("GOOGLEFINANCE(""Currency:BRLPEN"")*D1674"),1657.3109079999997)</f>
        <v>1657.310908</v>
      </c>
      <c r="G1674" s="2" t="str">
        <f t="array" ref="G1674">_xlfn.XLOOKUP(B1674,Vendedores!$A$2:$A$41,Vendedores!$B$2:$B$41,"No hay datos")</f>
        <v>Bruno Olmedo</v>
      </c>
      <c r="H1674" s="2" t="str">
        <f t="array" ref="H1674">_xlfn.XLOOKUP(B1674,Vendedores!$A$2:$A$41,Vendedores!$C$2:$C$41,"No hay datos")</f>
        <v>Tierra Fertil</v>
      </c>
      <c r="I1674" s="2" t="str">
        <f t="array" ref="I1674">_xlfn.XLOOKUP(B1674,Vendedores!$A$2:$A$41,Vendedores!$D$2:$D$41,"No hay datos")</f>
        <v>Región Sur 2</v>
      </c>
      <c r="J1674" s="2" t="str">
        <f t="array" ref="J1674:N1674">_xlfn.XLOOKUP(A1674,Productos!$A$2:$A$61,Productos!$B$2:$F$61)</f>
        <v>Chaqueta de cuero</v>
      </c>
      <c r="K1674" s="2" t="s">
        <v>9</v>
      </c>
      <c r="L1674" s="2" t="s">
        <v>10</v>
      </c>
      <c r="M1674" s="2" t="s">
        <v>94</v>
      </c>
      <c r="N1674" s="2" t="s">
        <v>44</v>
      </c>
    </row>
    <row r="1675">
      <c r="A1675" s="2" t="str">
        <f>IFERROR(__xludf.DUMMYFUNCTION("""COMPUTED_VALUE"""),"PR006")</f>
        <v>PR006</v>
      </c>
      <c r="B1675" s="2" t="str">
        <f>IFERROR(__xludf.DUMMYFUNCTION("""COMPUTED_VALUE"""),"VD030")</f>
        <v>VD030</v>
      </c>
      <c r="C1675" s="2">
        <f>IFERROR(__xludf.DUMMYFUNCTION("""COMPUTED_VALUE"""),8.0)</f>
        <v>8</v>
      </c>
      <c r="D1675" s="6">
        <f>IFERROR(__xludf.DUMMYFUNCTION("""COMPUTED_VALUE"""),335.16)</f>
        <v>335.16</v>
      </c>
      <c r="E1675" s="6">
        <f>IFERROR(__xludf.DUMMYFUNCTION("GOOGLEFINANCE(""Currency:BRLMXN"")*D1675"),1138.7061)</f>
        <v>1138.7061</v>
      </c>
      <c r="F1675" s="6">
        <f>IFERROR(__xludf.DUMMYFUNCTION("GOOGLEFINANCE(""Currency:BRLPEN"")*D1675"),219.730896)</f>
        <v>219.730896</v>
      </c>
      <c r="G1675" s="2" t="str">
        <f t="array" ref="G1675">_xlfn.XLOOKUP(B1675,Vendedores!$A$2:$A$41,Vendedores!$B$2:$B$41,"No hay datos")</f>
        <v>Leonardo Rojas</v>
      </c>
      <c r="H1675" s="2" t="str">
        <f t="array" ref="H1675">_xlfn.XLOOKUP(B1675,Vendedores!$A$2:$A$41,Vendedores!$C$2:$C$41,"No hay datos")</f>
        <v>Villa del Sol</v>
      </c>
      <c r="I1675" s="2" t="str">
        <f t="array" ref="I1675">_xlfn.XLOOKUP(B1675,Vendedores!$A$2:$A$41,Vendedores!$D$2:$D$41,"No hay datos")</f>
        <v>Región Central 2</v>
      </c>
      <c r="J1675" s="2" t="str">
        <f t="array" ref="J1675:N1675">_xlfn.XLOOKUP(A1675,Productos!$A$2:$A$61,Productos!$B$2:$F$61)</f>
        <v>Gorra</v>
      </c>
      <c r="K1675" s="2" t="s">
        <v>29</v>
      </c>
      <c r="L1675" s="2" t="s">
        <v>30</v>
      </c>
      <c r="M1675" s="2" t="s">
        <v>48</v>
      </c>
      <c r="N1675" s="2" t="s">
        <v>38</v>
      </c>
    </row>
    <row r="1676">
      <c r="A1676" s="2" t="str">
        <f>IFERROR(__xludf.DUMMYFUNCTION("""COMPUTED_VALUE"""),"PR052")</f>
        <v>PR052</v>
      </c>
      <c r="B1676" s="2" t="str">
        <f>IFERROR(__xludf.DUMMYFUNCTION("""COMPUTED_VALUE"""),"VD032")</f>
        <v>VD032</v>
      </c>
      <c r="C1676" s="2">
        <f>IFERROR(__xludf.DUMMYFUNCTION("""COMPUTED_VALUE"""),1.0)</f>
        <v>1</v>
      </c>
      <c r="D1676" s="6">
        <f>IFERROR(__xludf.DUMMYFUNCTION("""COMPUTED_VALUE"""),50.4)</f>
        <v>50.4</v>
      </c>
      <c r="E1676" s="6">
        <f>IFERROR(__xludf.DUMMYFUNCTION("GOOGLEFINANCE(""Currency:BRLMXN"")*D1676"),171.23399999999998)</f>
        <v>171.234</v>
      </c>
      <c r="F1676" s="6">
        <f>IFERROR(__xludf.DUMMYFUNCTION("GOOGLEFINANCE(""Currency:BRLPEN"")*D1676"),33.04224)</f>
        <v>33.04224</v>
      </c>
      <c r="G1676" s="2" t="str">
        <f t="array" ref="G1676">_xlfn.XLOOKUP(B1676,Vendedores!$A$2:$A$41,Vendedores!$B$2:$B$41,"No hay datos")</f>
        <v>Eduardo Almonte</v>
      </c>
      <c r="H1676" s="2" t="str">
        <f t="array" ref="H1676">_xlfn.XLOOKUP(B1676,Vendedores!$A$2:$A$41,Vendedores!$C$2:$C$41,"No hay datos")</f>
        <v>Tierra Colorada</v>
      </c>
      <c r="I1676" s="2" t="str">
        <f t="array" ref="I1676">_xlfn.XLOOKUP(B1676,Vendedores!$A$2:$A$41,Vendedores!$D$2:$D$41,"No hay datos")</f>
        <v>Región Central 2</v>
      </c>
      <c r="J1676" s="2" t="str">
        <f t="array" ref="J1676:N1676">_xlfn.XLOOKUP(A1676,Productos!$A$2:$A$61,Productos!$B$2:$F$61)</f>
        <v>Falda plisada</v>
      </c>
      <c r="K1676" s="2" t="s">
        <v>9</v>
      </c>
      <c r="L1676" s="2" t="s">
        <v>10</v>
      </c>
      <c r="M1676" s="2" t="s">
        <v>36</v>
      </c>
      <c r="N1676" s="2" t="s">
        <v>32</v>
      </c>
    </row>
    <row r="1677">
      <c r="A1677" s="2" t="str">
        <f>IFERROR(__xludf.DUMMYFUNCTION("""COMPUTED_VALUE"""),"PR057")</f>
        <v>PR057</v>
      </c>
      <c r="B1677" s="2" t="str">
        <f>IFERROR(__xludf.DUMMYFUNCTION("""COMPUTED_VALUE"""),"VD038")</f>
        <v>VD038</v>
      </c>
      <c r="C1677" s="2">
        <f>IFERROR(__xludf.DUMMYFUNCTION("""COMPUTED_VALUE"""),2.0)</f>
        <v>2</v>
      </c>
      <c r="D1677" s="6">
        <f>IFERROR(__xludf.DUMMYFUNCTION("""COMPUTED_VALUE"""),197.78)</f>
        <v>197.78</v>
      </c>
      <c r="E1677" s="6">
        <f>IFERROR(__xludf.DUMMYFUNCTION("GOOGLEFINANCE(""Currency:BRLMXN"")*D1677"),671.95755)</f>
        <v>671.95755</v>
      </c>
      <c r="F1677" s="6">
        <f>IFERROR(__xludf.DUMMYFUNCTION("GOOGLEFINANCE(""Currency:BRLPEN"")*D1677"),129.664568)</f>
        <v>129.664568</v>
      </c>
      <c r="G1677" s="2" t="str">
        <f t="array" ref="G1677">_xlfn.XLOOKUP(B1677,Vendedores!$A$2:$A$41,Vendedores!$B$2:$B$41,"No hay datos")</f>
        <v>Bruno Olmedo</v>
      </c>
      <c r="H1677" s="2" t="str">
        <f t="array" ref="H1677">_xlfn.XLOOKUP(B1677,Vendedores!$A$2:$A$41,Vendedores!$C$2:$C$41,"No hay datos")</f>
        <v>Tierra Fertil</v>
      </c>
      <c r="I1677" s="2" t="str">
        <f t="array" ref="I1677">_xlfn.XLOOKUP(B1677,Vendedores!$A$2:$A$41,Vendedores!$D$2:$D$41,"No hay datos")</f>
        <v>Región Sur 2</v>
      </c>
      <c r="J1677" s="2" t="str">
        <f t="array" ref="J1677:N1677">_xlfn.XLOOKUP(A1677,Productos!$A$2:$A$61,Productos!$B$2:$F$61)</f>
        <v>Sandalia plana</v>
      </c>
      <c r="K1677" s="2">
        <v>37.0</v>
      </c>
      <c r="L1677" s="2" t="s">
        <v>33</v>
      </c>
      <c r="M1677" s="2" t="s">
        <v>58</v>
      </c>
      <c r="N1677" s="2" t="s">
        <v>35</v>
      </c>
    </row>
    <row r="1678">
      <c r="A1678" s="2" t="str">
        <f>IFERROR(__xludf.DUMMYFUNCTION("""COMPUTED_VALUE"""),"PR056")</f>
        <v>PR056</v>
      </c>
      <c r="B1678" s="2" t="str">
        <f>IFERROR(__xludf.DUMMYFUNCTION("""COMPUTED_VALUE"""),"VD020")</f>
        <v>VD020</v>
      </c>
      <c r="C1678" s="2">
        <f>IFERROR(__xludf.DUMMYFUNCTION("""COMPUTED_VALUE"""),6.0)</f>
        <v>6</v>
      </c>
      <c r="D1678" s="6">
        <f>IFERROR(__xludf.DUMMYFUNCTION("""COMPUTED_VALUE"""),587.95)</f>
        <v>587.95</v>
      </c>
      <c r="E1678" s="6">
        <f>IFERROR(__xludf.DUMMYFUNCTION("GOOGLEFINANCE(""Currency:BRLMXN"")*D1678"),1997.5601250000002)</f>
        <v>1997.560125</v>
      </c>
      <c r="F1678" s="6">
        <f>IFERROR(__xludf.DUMMYFUNCTION("GOOGLEFINANCE(""Currency:BRLPEN"")*D1678"),385.46002)</f>
        <v>385.46002</v>
      </c>
      <c r="G1678" s="2" t="str">
        <f t="array" ref="G1678">_xlfn.XLOOKUP(B1678,Vendedores!$A$2:$A$41,Vendedores!$B$2:$B$41,"No hay datos")</f>
        <v>Gustavo Morales</v>
      </c>
      <c r="H1678" s="2" t="str">
        <f t="array" ref="H1678">_xlfn.XLOOKUP(B1678,Vendedores!$A$2:$A$41,Vendedores!$C$2:$C$41,"No hay datos")</f>
        <v>Villa del Sol</v>
      </c>
      <c r="I1678" s="2" t="str">
        <f t="array" ref="I1678">_xlfn.XLOOKUP(B1678,Vendedores!$A$2:$A$41,Vendedores!$D$2:$D$41,"No hay datos")</f>
        <v>Región Central 2</v>
      </c>
      <c r="J1678" s="2" t="str">
        <f t="array" ref="J1678:N1678">_xlfn.XLOOKUP(A1678,Productos!$A$2:$A$61,Productos!$B$2:$F$61)</f>
        <v>Sandalia plana</v>
      </c>
      <c r="K1678" s="2">
        <v>36.0</v>
      </c>
      <c r="L1678" s="2" t="s">
        <v>33</v>
      </c>
      <c r="M1678" s="2" t="s">
        <v>106</v>
      </c>
      <c r="N1678" s="2" t="s">
        <v>35</v>
      </c>
    </row>
    <row r="1679">
      <c r="A1679" s="2" t="str">
        <f>IFERROR(__xludf.DUMMYFUNCTION("""COMPUTED_VALUE"""),"PR024")</f>
        <v>PR024</v>
      </c>
      <c r="B1679" s="2" t="str">
        <f>IFERROR(__xludf.DUMMYFUNCTION("""COMPUTED_VALUE"""),"VD049")</f>
        <v>VD049</v>
      </c>
      <c r="C1679" s="2">
        <f>IFERROR(__xludf.DUMMYFUNCTION("""COMPUTED_VALUE"""),3.0)</f>
        <v>3</v>
      </c>
      <c r="D1679" s="6">
        <f>IFERROR(__xludf.DUMMYFUNCTION("""COMPUTED_VALUE"""),810.89)</f>
        <v>810.89</v>
      </c>
      <c r="E1679" s="6">
        <f>IFERROR(__xludf.DUMMYFUNCTION("GOOGLEFINANCE(""Currency:BRLMXN"")*D1679"),2754.998775)</f>
        <v>2754.998775</v>
      </c>
      <c r="F1679" s="6">
        <f>IFERROR(__xludf.DUMMYFUNCTION("GOOGLEFINANCE(""Currency:BRLPEN"")*D1679"),531.6194839999999)</f>
        <v>531.619484</v>
      </c>
      <c r="G1679" s="2" t="str">
        <f t="array" ref="G1679">_xlfn.XLOOKUP(B1679,Vendedores!$A$2:$A$41,Vendedores!$B$2:$B$41,"No hay datos")</f>
        <v>Fernando Navarro</v>
      </c>
      <c r="H1679" s="2" t="str">
        <f t="array" ref="H1679">_xlfn.XLOOKUP(B1679,Vendedores!$A$2:$A$41,Vendedores!$C$2:$C$41,"No hay datos")</f>
        <v>Colinas Verdes</v>
      </c>
      <c r="I1679" s="2" t="str">
        <f t="array" ref="I1679">_xlfn.XLOOKUP(B1679,Vendedores!$A$2:$A$41,Vendedores!$D$2:$D$41,"No hay datos")</f>
        <v>Región Central 2</v>
      </c>
      <c r="J1679" s="2" t="str">
        <f t="array" ref="J1679:N1679">_xlfn.XLOOKUP(A1679,Productos!$A$2:$A$61,Productos!$B$2:$F$61)</f>
        <v>Chaqueta de mezclilla</v>
      </c>
      <c r="K1679" s="2" t="s">
        <v>17</v>
      </c>
      <c r="L1679" s="2" t="s">
        <v>10</v>
      </c>
      <c r="M1679" s="2" t="s">
        <v>92</v>
      </c>
      <c r="N1679" s="2" t="s">
        <v>64</v>
      </c>
    </row>
    <row r="1680">
      <c r="A1680" s="2" t="str">
        <f>IFERROR(__xludf.DUMMYFUNCTION("""COMPUTED_VALUE"""),"PR036")</f>
        <v>PR036</v>
      </c>
      <c r="B1680" s="2" t="str">
        <f>IFERROR(__xludf.DUMMYFUNCTION("""COMPUTED_VALUE"""),"VD021")</f>
        <v>VD021</v>
      </c>
      <c r="C1680" s="2">
        <f>IFERROR(__xludf.DUMMYFUNCTION("""COMPUTED_VALUE"""),2.0)</f>
        <v>2</v>
      </c>
      <c r="D1680" s="6">
        <f>IFERROR(__xludf.DUMMYFUNCTION("""COMPUTED_VALUE"""),198.22)</f>
        <v>198.22</v>
      </c>
      <c r="E1680" s="6">
        <f>IFERROR(__xludf.DUMMYFUNCTION("GOOGLEFINANCE(""Currency:BRLMXN"")*D1680"),673.45245)</f>
        <v>673.45245</v>
      </c>
      <c r="F1680" s="6">
        <f>IFERROR(__xludf.DUMMYFUNCTION("GOOGLEFINANCE(""Currency:BRLPEN"")*D1680"),129.95303199999998)</f>
        <v>129.953032</v>
      </c>
      <c r="G1680" s="2" t="str">
        <f t="array" ref="G1680">_xlfn.XLOOKUP(B1680,Vendedores!$A$2:$A$41,Vendedores!$B$2:$B$41,"No hay datos")</f>
        <v>Fernanda Méndez</v>
      </c>
      <c r="H1680" s="2" t="str">
        <f t="array" ref="H1680">_xlfn.XLOOKUP(B1680,Vendedores!$A$2:$A$41,Vendedores!$C$2:$C$41,"No hay datos")</f>
        <v>San Juan de la Sierra</v>
      </c>
      <c r="I1680" s="2" t="str">
        <f t="array" ref="I1680">_xlfn.XLOOKUP(B1680,Vendedores!$A$2:$A$41,Vendedores!$D$2:$D$41,"No hay datos")</f>
        <v>Región Central</v>
      </c>
      <c r="J1680" s="2" t="str">
        <f t="array" ref="J1680:N1680">_xlfn.XLOOKUP(A1680,Productos!$A$2:$A$61,Productos!$B$2:$F$61)</f>
        <v>Vestido corto</v>
      </c>
      <c r="K1680" s="2" t="s">
        <v>22</v>
      </c>
      <c r="L1680" s="2" t="s">
        <v>10</v>
      </c>
      <c r="M1680" s="2" t="s">
        <v>82</v>
      </c>
      <c r="N1680" s="2" t="s">
        <v>83</v>
      </c>
    </row>
    <row r="1681">
      <c r="A1681" s="2" t="str">
        <f>IFERROR(__xludf.DUMMYFUNCTION("""COMPUTED_VALUE"""),"PR024")</f>
        <v>PR024</v>
      </c>
      <c r="B1681" s="2" t="str">
        <f>IFERROR(__xludf.DUMMYFUNCTION("""COMPUTED_VALUE"""),"VD031")</f>
        <v>VD031</v>
      </c>
      <c r="C1681" s="2">
        <f>IFERROR(__xludf.DUMMYFUNCTION("""COMPUTED_VALUE"""),4.0)</f>
        <v>4</v>
      </c>
      <c r="D1681" s="6">
        <f>IFERROR(__xludf.DUMMYFUNCTION("""COMPUTED_VALUE"""),1101.98)</f>
        <v>1101.98</v>
      </c>
      <c r="E1681" s="6">
        <f>IFERROR(__xludf.DUMMYFUNCTION("GOOGLEFINANCE(""Currency:BRLMXN"")*D1681"),3743.97705)</f>
        <v>3743.97705</v>
      </c>
      <c r="F1681" s="6">
        <f>IFERROR(__xludf.DUMMYFUNCTION("GOOGLEFINANCE(""Currency:BRLPEN"")*D1681"),722.458088)</f>
        <v>722.458088</v>
      </c>
      <c r="G1681" s="2" t="str">
        <f t="array" ref="G1681">_xlfn.XLOOKUP(B1681,Vendedores!$A$2:$A$41,Vendedores!$B$2:$B$41,"No hay datos")</f>
        <v>Vanessa Martínez</v>
      </c>
      <c r="H1681" s="2" t="str">
        <f t="array" ref="H1681">_xlfn.XLOOKUP(B1681,Vendedores!$A$2:$A$41,Vendedores!$C$2:$C$41,"No hay datos")</f>
        <v>Monte Verde</v>
      </c>
      <c r="I1681" s="2" t="str">
        <f t="array" ref="I1681">_xlfn.XLOOKUP(B1681,Vendedores!$A$2:$A$41,Vendedores!$D$2:$D$41,"No hay datos")</f>
        <v>Región Central 2</v>
      </c>
      <c r="J1681" s="2" t="str">
        <f t="array" ref="J1681:N1681">_xlfn.XLOOKUP(A1681,Productos!$A$2:$A$61,Productos!$B$2:$F$61)</f>
        <v>Chaqueta de mezclilla</v>
      </c>
      <c r="K1681" s="2" t="s">
        <v>17</v>
      </c>
      <c r="L1681" s="2" t="s">
        <v>10</v>
      </c>
      <c r="M1681" s="2" t="s">
        <v>92</v>
      </c>
      <c r="N1681" s="2" t="s">
        <v>64</v>
      </c>
    </row>
    <row r="1682">
      <c r="A1682" s="2" t="str">
        <f>IFERROR(__xludf.DUMMYFUNCTION("""COMPUTED_VALUE"""),"PR011")</f>
        <v>PR011</v>
      </c>
      <c r="B1682" s="2" t="str">
        <f>IFERROR(__xludf.DUMMYFUNCTION("""COMPUTED_VALUE"""),"VD019")</f>
        <v>VD019</v>
      </c>
      <c r="C1682" s="2">
        <f>IFERROR(__xludf.DUMMYFUNCTION("""COMPUTED_VALUE"""),20.0)</f>
        <v>20</v>
      </c>
      <c r="D1682" s="6">
        <f>IFERROR(__xludf.DUMMYFUNCTION("""COMPUTED_VALUE"""),938.0)</f>
        <v>938</v>
      </c>
      <c r="E1682" s="6">
        <f>IFERROR(__xludf.DUMMYFUNCTION("GOOGLEFINANCE(""Currency:BRLMXN"")*D1682"),3186.855)</f>
        <v>3186.855</v>
      </c>
      <c r="F1682" s="6">
        <f>IFERROR(__xludf.DUMMYFUNCTION("GOOGLEFINANCE(""Currency:BRLPEN"")*D1682"),614.9527999999999)</f>
        <v>614.9528</v>
      </c>
      <c r="G1682" s="2" t="str">
        <f t="array" ref="G1682">_xlfn.XLOOKUP(B1682,Vendedores!$A$2:$A$41,Vendedores!$B$2:$B$41,"No hay datos")</f>
        <v>Rafael Sosa</v>
      </c>
      <c r="H1682" s="2" t="str">
        <f t="array" ref="H1682">_xlfn.XLOOKUP(B1682,Vendedores!$A$2:$A$41,Vendedores!$C$2:$C$41,"No hay datos")</f>
        <v>Selva Verde</v>
      </c>
      <c r="I1682" s="2" t="str">
        <f t="array" ref="I1682">_xlfn.XLOOKUP(B1682,Vendedores!$A$2:$A$41,Vendedores!$D$2:$D$41,"No hay datos")</f>
        <v>Región Amazónica</v>
      </c>
      <c r="J1682" s="2" t="str">
        <f t="array" ref="J1682:N1682">_xlfn.XLOOKUP(A1682,Productos!$A$2:$A$61,Productos!$B$2:$F$61)</f>
        <v>Pantalón legging</v>
      </c>
      <c r="K1682" s="2" t="s">
        <v>17</v>
      </c>
      <c r="L1682" s="2" t="s">
        <v>10</v>
      </c>
      <c r="M1682" s="2" t="s">
        <v>67</v>
      </c>
      <c r="N1682" s="2" t="s">
        <v>68</v>
      </c>
    </row>
    <row r="1683">
      <c r="A1683" s="2" t="str">
        <f>IFERROR(__xludf.DUMMYFUNCTION("""COMPUTED_VALUE"""),"PR019")</f>
        <v>PR019</v>
      </c>
      <c r="B1683" s="2" t="str">
        <f>IFERROR(__xludf.DUMMYFUNCTION("""COMPUTED_VALUE"""),"VD012")</f>
        <v>VD012</v>
      </c>
      <c r="C1683" s="2">
        <f>IFERROR(__xludf.DUMMYFUNCTION("""COMPUTED_VALUE"""),10.0)</f>
        <v>10</v>
      </c>
      <c r="D1683" s="6">
        <f>IFERROR(__xludf.DUMMYFUNCTION("""COMPUTED_VALUE"""),533.93)</f>
        <v>533.93</v>
      </c>
      <c r="E1683" s="6">
        <f>IFERROR(__xludf.DUMMYFUNCTION("GOOGLEFINANCE(""Currency:BRLMXN"")*D1683"),1814.0271749999997)</f>
        <v>1814.027175</v>
      </c>
      <c r="F1683" s="6">
        <f>IFERROR(__xludf.DUMMYFUNCTION("GOOGLEFINANCE(""Currency:BRLPEN"")*D1683"),350.04450799999995)</f>
        <v>350.044508</v>
      </c>
      <c r="G1683" s="2" t="str">
        <f t="array" ref="G1683">_xlfn.XLOOKUP(B1683,Vendedores!$A$2:$A$41,Vendedores!$B$2:$B$41,"No hay datos")</f>
        <v>Ana Olmedo</v>
      </c>
      <c r="H1683" s="2" t="str">
        <f t="array" ref="H1683">_xlfn.XLOOKUP(B1683,Vendedores!$A$2:$A$41,Vendedores!$C$2:$C$41,"No hay datos")</f>
        <v>Río Claro</v>
      </c>
      <c r="I1683" s="2" t="str">
        <f t="array" ref="I1683">_xlfn.XLOOKUP(B1683,Vendedores!$A$2:$A$41,Vendedores!$D$2:$D$41,"No hay datos")</f>
        <v>Región Central</v>
      </c>
      <c r="J1683" s="2" t="str">
        <f t="array" ref="J1683:N1683">_xlfn.XLOOKUP(A1683,Productos!$A$2:$A$61,Productos!$B$2:$F$61)</f>
        <v>Cinturón</v>
      </c>
      <c r="K1683" s="2" t="s">
        <v>29</v>
      </c>
      <c r="L1683" s="2" t="s">
        <v>30</v>
      </c>
      <c r="M1683" s="2" t="s">
        <v>31</v>
      </c>
      <c r="N1683" s="2" t="s">
        <v>32</v>
      </c>
    </row>
    <row r="1684">
      <c r="A1684" s="2" t="str">
        <f>IFERROR(__xludf.DUMMYFUNCTION("""COMPUTED_VALUE"""),"PR058")</f>
        <v>PR058</v>
      </c>
      <c r="B1684" s="2" t="str">
        <f>IFERROR(__xludf.DUMMYFUNCTION("""COMPUTED_VALUE"""),"VD019")</f>
        <v>VD019</v>
      </c>
      <c r="C1684" s="2">
        <f>IFERROR(__xludf.DUMMYFUNCTION("""COMPUTED_VALUE"""),7.0)</f>
        <v>7</v>
      </c>
      <c r="D1684" s="6">
        <f>IFERROR(__xludf.DUMMYFUNCTION("""COMPUTED_VALUE"""),1386.0)</f>
        <v>1386</v>
      </c>
      <c r="E1684" s="6">
        <f>IFERROR(__xludf.DUMMYFUNCTION("GOOGLEFINANCE(""Currency:BRLMXN"")*D1684"),4708.935)</f>
        <v>4708.935</v>
      </c>
      <c r="F1684" s="6">
        <f>IFERROR(__xludf.DUMMYFUNCTION("GOOGLEFINANCE(""Currency:BRLPEN"")*D1684"),908.6615999999999)</f>
        <v>908.6616</v>
      </c>
      <c r="G1684" s="2" t="str">
        <f t="array" ref="G1684">_xlfn.XLOOKUP(B1684,Vendedores!$A$2:$A$41,Vendedores!$B$2:$B$41,"No hay datos")</f>
        <v>Rafael Sosa</v>
      </c>
      <c r="H1684" s="2" t="str">
        <f t="array" ref="H1684">_xlfn.XLOOKUP(B1684,Vendedores!$A$2:$A$41,Vendedores!$C$2:$C$41,"No hay datos")</f>
        <v>Selva Verde</v>
      </c>
      <c r="I1684" s="2" t="str">
        <f t="array" ref="I1684">_xlfn.XLOOKUP(B1684,Vendedores!$A$2:$A$41,Vendedores!$D$2:$D$41,"No hay datos")</f>
        <v>Región Amazónica</v>
      </c>
      <c r="J1684" s="2" t="str">
        <f t="array" ref="J1684:N1684">_xlfn.XLOOKUP(A1684,Productos!$A$2:$A$61,Productos!$B$2:$F$61)</f>
        <v>Pantalón de sastre</v>
      </c>
      <c r="K1684" s="2" t="s">
        <v>9</v>
      </c>
      <c r="L1684" s="2" t="s">
        <v>10</v>
      </c>
      <c r="M1684" s="2" t="s">
        <v>13</v>
      </c>
      <c r="N1684" s="2" t="s">
        <v>14</v>
      </c>
    </row>
    <row r="1685">
      <c r="A1685" s="2" t="str">
        <f>IFERROR(__xludf.DUMMYFUNCTION("""COMPUTED_VALUE"""),"PR034")</f>
        <v>PR034</v>
      </c>
      <c r="B1685" s="2" t="str">
        <f>IFERROR(__xludf.DUMMYFUNCTION("""COMPUTED_VALUE"""),"VD039")</f>
        <v>VD039</v>
      </c>
      <c r="C1685" s="2">
        <f>IFERROR(__xludf.DUMMYFUNCTION("""COMPUTED_VALUE"""),16.0)</f>
        <v>16</v>
      </c>
      <c r="D1685" s="6">
        <f>IFERROR(__xludf.DUMMYFUNCTION("""COMPUTED_VALUE"""),1524.7)</f>
        <v>1524.7</v>
      </c>
      <c r="E1685" s="6">
        <f>IFERROR(__xludf.DUMMYFUNCTION("GOOGLEFINANCE(""Currency:BRLMXN"")*D1685"),5180.16825)</f>
        <v>5180.16825</v>
      </c>
      <c r="F1685" s="6">
        <f>IFERROR(__xludf.DUMMYFUNCTION("GOOGLEFINANCE(""Currency:BRLPEN"")*D1685"),999.59332)</f>
        <v>999.59332</v>
      </c>
      <c r="G1685" s="2" t="str">
        <f t="array" ref="G1685">_xlfn.XLOOKUP(B1685,Vendedores!$A$2:$A$41,Vendedores!$B$2:$B$41,"No hay datos")</f>
        <v>Daniela Rodríguez</v>
      </c>
      <c r="H1685" s="2" t="str">
        <f t="array" ref="H1685">_xlfn.XLOOKUP(B1685,Vendedores!$A$2:$A$41,Vendedores!$C$2:$C$41,"No hay datos")</f>
        <v>Bahía del Sol</v>
      </c>
      <c r="I1685" s="2" t="str">
        <f t="array" ref="I1685">_xlfn.XLOOKUP(B1685,Vendedores!$A$2:$A$41,Vendedores!$D$2:$D$41,"No hay datos")</f>
        <v>Región Central 2</v>
      </c>
      <c r="J1685" s="2" t="str">
        <f t="array" ref="J1685:N1685">_xlfn.XLOOKUP(A1685,Productos!$A$2:$A$61,Productos!$B$2:$F$61)</f>
        <v>Vestido corto</v>
      </c>
      <c r="K1685" s="2" t="s">
        <v>9</v>
      </c>
      <c r="L1685" s="2" t="s">
        <v>10</v>
      </c>
      <c r="M1685" s="2" t="s">
        <v>93</v>
      </c>
      <c r="N1685" s="2" t="s">
        <v>35</v>
      </c>
    </row>
    <row r="1686">
      <c r="A1686" s="2" t="str">
        <f>IFERROR(__xludf.DUMMYFUNCTION("""COMPUTED_VALUE"""),"PR043")</f>
        <v>PR043</v>
      </c>
      <c r="B1686" s="2" t="str">
        <f>IFERROR(__xludf.DUMMYFUNCTION("""COMPUTED_VALUE"""),"VD046")</f>
        <v>VD046</v>
      </c>
      <c r="C1686" s="2">
        <f>IFERROR(__xludf.DUMMYFUNCTION("""COMPUTED_VALUE"""),3.0)</f>
        <v>3</v>
      </c>
      <c r="D1686" s="6">
        <f>IFERROR(__xludf.DUMMYFUNCTION("""COMPUTED_VALUE"""),230.55)</f>
        <v>230.55</v>
      </c>
      <c r="E1686" s="6">
        <f>IFERROR(__xludf.DUMMYFUNCTION("GOOGLEFINANCE(""Currency:BRLMXN"")*D1686"),783.293625)</f>
        <v>783.293625</v>
      </c>
      <c r="F1686" s="6">
        <f>IFERROR(__xludf.DUMMYFUNCTION("GOOGLEFINANCE(""Currency:BRLPEN"")*D1686"),151.14858)</f>
        <v>151.14858</v>
      </c>
      <c r="G1686" s="2" t="str">
        <f t="array" ref="G1686">_xlfn.XLOOKUP(B1686,Vendedores!$A$2:$A$41,Vendedores!$B$2:$B$41,"No hay datos")</f>
        <v>Juliana Pérez</v>
      </c>
      <c r="H1686" s="2" t="str">
        <f t="array" ref="H1686">_xlfn.XLOOKUP(B1686,Vendedores!$A$2:$A$41,Vendedores!$C$2:$C$41,"No hay datos")</f>
        <v>Santa Cruz de la Sierra</v>
      </c>
      <c r="I1686" s="2" t="str">
        <f t="array" ref="I1686">_xlfn.XLOOKUP(B1686,Vendedores!$A$2:$A$41,Vendedores!$D$2:$D$41,"No hay datos")</f>
        <v>Región Central 2</v>
      </c>
      <c r="J1686" s="2" t="str">
        <f t="array" ref="J1686:N1686">_xlfn.XLOOKUP(A1686,Productos!$A$2:$A$61,Productos!$B$2:$F$61)</f>
        <v>Vestido floral</v>
      </c>
      <c r="K1686" s="2" t="s">
        <v>9</v>
      </c>
      <c r="L1686" s="2" t="s">
        <v>10</v>
      </c>
      <c r="M1686" s="2" t="s">
        <v>69</v>
      </c>
      <c r="N1686" s="2" t="s">
        <v>40</v>
      </c>
    </row>
    <row r="1687">
      <c r="A1687" s="2" t="str">
        <f>IFERROR(__xludf.DUMMYFUNCTION("""COMPUTED_VALUE"""),"PR052")</f>
        <v>PR052</v>
      </c>
      <c r="B1687" s="2" t="str">
        <f>IFERROR(__xludf.DUMMYFUNCTION("""COMPUTED_VALUE"""),"VD045")</f>
        <v>VD045</v>
      </c>
      <c r="C1687" s="2">
        <f>IFERROR(__xludf.DUMMYFUNCTION("""COMPUTED_VALUE"""),3.0)</f>
        <v>3</v>
      </c>
      <c r="D1687" s="6">
        <f>IFERROR(__xludf.DUMMYFUNCTION("""COMPUTED_VALUE"""),163.17)</f>
        <v>163.17</v>
      </c>
      <c r="E1687" s="6">
        <f>IFERROR(__xludf.DUMMYFUNCTION("GOOGLEFINANCE(""Currency:BRLMXN"")*D1687"),554.3700749999999)</f>
        <v>554.370075</v>
      </c>
      <c r="F1687" s="6">
        <f>IFERROR(__xludf.DUMMYFUNCTION("GOOGLEFINANCE(""Currency:BRLPEN"")*D1687"),106.97425199999998)</f>
        <v>106.974252</v>
      </c>
      <c r="G1687" s="2" t="str">
        <f t="array" ref="G1687">_xlfn.XLOOKUP(B1687,Vendedores!$A$2:$A$41,Vendedores!$B$2:$B$41,"No hay datos")</f>
        <v>Rafael Morales</v>
      </c>
      <c r="H1687" s="2" t="str">
        <f t="array" ref="H1687">_xlfn.XLOOKUP(B1687,Vendedores!$A$2:$A$41,Vendedores!$C$2:$C$41,"No hay datos")</f>
        <v>Valle Dorado</v>
      </c>
      <c r="I1687" s="2" t="str">
        <f t="array" ref="I1687">_xlfn.XLOOKUP(B1687,Vendedores!$A$2:$A$41,Vendedores!$D$2:$D$41,"No hay datos")</f>
        <v>Región Central 2</v>
      </c>
      <c r="J1687" s="2" t="str">
        <f t="array" ref="J1687:N1687">_xlfn.XLOOKUP(A1687,Productos!$A$2:$A$61,Productos!$B$2:$F$61)</f>
        <v>Falda plisada</v>
      </c>
      <c r="K1687" s="2" t="s">
        <v>9</v>
      </c>
      <c r="L1687" s="2" t="s">
        <v>10</v>
      </c>
      <c r="M1687" s="2" t="s">
        <v>36</v>
      </c>
      <c r="N1687" s="2" t="s">
        <v>32</v>
      </c>
    </row>
    <row r="1688">
      <c r="A1688" s="2" t="str">
        <f>IFERROR(__xludf.DUMMYFUNCTION("""COMPUTED_VALUE"""),"PR054")</f>
        <v>PR054</v>
      </c>
      <c r="B1688" s="2" t="str">
        <f>IFERROR(__xludf.DUMMYFUNCTION("""COMPUTED_VALUE"""),"VD041")</f>
        <v>VD041</v>
      </c>
      <c r="C1688" s="2">
        <f>IFERROR(__xludf.DUMMYFUNCTION("""COMPUTED_VALUE"""),12.0)</f>
        <v>12</v>
      </c>
      <c r="D1688" s="6">
        <f>IFERROR(__xludf.DUMMYFUNCTION("""COMPUTED_VALUE"""),622.75)</f>
        <v>622.75</v>
      </c>
      <c r="E1688" s="6">
        <f>IFERROR(__xludf.DUMMYFUNCTION("GOOGLEFINANCE(""Currency:BRLMXN"")*D1688"),2115.793125)</f>
        <v>2115.793125</v>
      </c>
      <c r="F1688" s="6">
        <f>IFERROR(__xludf.DUMMYFUNCTION("GOOGLEFINANCE(""Currency:BRLPEN"")*D1688"),408.2749)</f>
        <v>408.2749</v>
      </c>
      <c r="G1688" s="2" t="str">
        <f t="array" ref="G1688">_xlfn.XLOOKUP(B1688,Vendedores!$A$2:$A$41,Vendedores!$B$2:$B$41,"No hay datos")</f>
        <v>Alejandro Ramos</v>
      </c>
      <c r="H1688" s="2" t="str">
        <f t="array" ref="H1688">_xlfn.XLOOKUP(B1688,Vendedores!$A$2:$A$41,Vendedores!$C$2:$C$41,"No hay datos")</f>
        <v>San Martín de las Rosas</v>
      </c>
      <c r="I1688" s="2" t="str">
        <f t="array" ref="I1688">_xlfn.XLOOKUP(B1688,Vendedores!$A$2:$A$41,Vendedores!$D$2:$D$41,"No hay datos")</f>
        <v>Región Central 2</v>
      </c>
      <c r="J1688" s="2" t="str">
        <f t="array" ref="J1688:N1688">_xlfn.XLOOKUP(A1688,Productos!$A$2:$A$61,Productos!$B$2:$F$61)</f>
        <v>Falda plisada</v>
      </c>
      <c r="K1688" s="2" t="s">
        <v>22</v>
      </c>
      <c r="L1688" s="2" t="s">
        <v>10</v>
      </c>
      <c r="M1688" s="2" t="s">
        <v>42</v>
      </c>
      <c r="N1688" s="2" t="s">
        <v>32</v>
      </c>
    </row>
    <row r="1689">
      <c r="A1689" s="2" t="str">
        <f>IFERROR(__xludf.DUMMYFUNCTION("""COMPUTED_VALUE"""),"PR059")</f>
        <v>PR059</v>
      </c>
      <c r="B1689" s="2" t="str">
        <f>IFERROR(__xludf.DUMMYFUNCTION("""COMPUTED_VALUE"""),"VD014")</f>
        <v>VD014</v>
      </c>
      <c r="C1689" s="2">
        <f>IFERROR(__xludf.DUMMYFUNCTION("""COMPUTED_VALUE"""),7.0)</f>
        <v>7</v>
      </c>
      <c r="D1689" s="6">
        <f>IFERROR(__xludf.DUMMYFUNCTION("""COMPUTED_VALUE"""),1310.4)</f>
        <v>1310.4</v>
      </c>
      <c r="E1689" s="6">
        <f>IFERROR(__xludf.DUMMYFUNCTION("GOOGLEFINANCE(""Currency:BRLMXN"")*D1689"),4452.084)</f>
        <v>4452.084</v>
      </c>
      <c r="F1689" s="6">
        <f>IFERROR(__xludf.DUMMYFUNCTION("GOOGLEFINANCE(""Currency:BRLPEN"")*D1689"),859.09824)</f>
        <v>859.09824</v>
      </c>
      <c r="G1689" s="2" t="str">
        <f t="array" ref="G1689">_xlfn.XLOOKUP(B1689,Vendedores!$A$2:$A$41,Vendedores!$B$2:$B$41,"No hay datos")</f>
        <v>Carla Flores</v>
      </c>
      <c r="H1689" s="2" t="str">
        <f t="array" ref="H1689">_xlfn.XLOOKUP(B1689,Vendedores!$A$2:$A$41,Vendedores!$C$2:$C$41,"No hay datos")</f>
        <v>Valle Escondido</v>
      </c>
      <c r="I1689" s="2" t="str">
        <f t="array" ref="I1689">_xlfn.XLOOKUP(B1689,Vendedores!$A$2:$A$41,Vendedores!$D$2:$D$41,"No hay datos")</f>
        <v>Región Andina</v>
      </c>
      <c r="J1689" s="2" t="str">
        <f t="array" ref="J1689:N1689">_xlfn.XLOOKUP(A1689,Productos!$A$2:$A$61,Productos!$B$2:$F$61)</f>
        <v>Pantalón de sastre</v>
      </c>
      <c r="K1689" s="2" t="s">
        <v>17</v>
      </c>
      <c r="L1689" s="2" t="s">
        <v>10</v>
      </c>
      <c r="M1689" s="2" t="s">
        <v>28</v>
      </c>
      <c r="N1689" s="2" t="s">
        <v>14</v>
      </c>
    </row>
    <row r="1690">
      <c r="A1690" s="2" t="str">
        <f>IFERROR(__xludf.DUMMYFUNCTION("""COMPUTED_VALUE"""),"PR020")</f>
        <v>PR020</v>
      </c>
      <c r="B1690" s="2" t="str">
        <f>IFERROR(__xludf.DUMMYFUNCTION("""COMPUTED_VALUE"""),"VD036")</f>
        <v>VD036</v>
      </c>
      <c r="C1690" s="2">
        <f>IFERROR(__xludf.DUMMYFUNCTION("""COMPUTED_VALUE"""),20.0)</f>
        <v>20</v>
      </c>
      <c r="D1690" s="6">
        <f>IFERROR(__xludf.DUMMYFUNCTION("""COMPUTED_VALUE"""),6357.88)</f>
        <v>6357.88</v>
      </c>
      <c r="E1690" s="6">
        <f>IFERROR(__xludf.DUMMYFUNCTION("GOOGLEFINANCE(""Currency:BRLMXN"")*D1690"),21600.8973)</f>
        <v>21600.8973</v>
      </c>
      <c r="F1690" s="6">
        <f>IFERROR(__xludf.DUMMYFUNCTION("GOOGLEFINANCE(""Currency:BRLPEN"")*D1690"),4168.226128)</f>
        <v>4168.226128</v>
      </c>
      <c r="G1690" s="2" t="str">
        <f t="array" ref="G1690">_xlfn.XLOOKUP(B1690,Vendedores!$A$2:$A$41,Vendedores!$B$2:$B$41,"No hay datos")</f>
        <v>Ricardo Sosa</v>
      </c>
      <c r="H1690" s="2" t="str">
        <f t="array" ref="H1690">_xlfn.XLOOKUP(B1690,Vendedores!$A$2:$A$41,Vendedores!$C$2:$C$41,"No hay datos")</f>
        <v>Puerto Nuevo</v>
      </c>
      <c r="I1690" s="2" t="str">
        <f t="array" ref="I1690">_xlfn.XLOOKUP(B1690,Vendedores!$A$2:$A$41,Vendedores!$D$2:$D$41,"No hay datos")</f>
        <v>Región Central 2</v>
      </c>
      <c r="J1690" s="2" t="str">
        <f t="array" ref="J1690:N1690">_xlfn.XLOOKUP(A1690,Productos!$A$2:$A$61,Productos!$B$2:$F$61)</f>
        <v>Chaqueta de cuero</v>
      </c>
      <c r="K1690" s="2" t="s">
        <v>9</v>
      </c>
      <c r="L1690" s="2" t="s">
        <v>10</v>
      </c>
      <c r="M1690" s="2" t="s">
        <v>15</v>
      </c>
      <c r="N1690" s="2" t="s">
        <v>16</v>
      </c>
    </row>
    <row r="1691">
      <c r="A1691" s="2" t="str">
        <f>IFERROR(__xludf.DUMMYFUNCTION("""COMPUTED_VALUE"""),"PR017")</f>
        <v>PR017</v>
      </c>
      <c r="B1691" s="2" t="str">
        <f>IFERROR(__xludf.DUMMYFUNCTION("""COMPUTED_VALUE"""),"VD027")</f>
        <v>VD027</v>
      </c>
      <c r="C1691" s="2">
        <f>IFERROR(__xludf.DUMMYFUNCTION("""COMPUTED_VALUE"""),12.0)</f>
        <v>12</v>
      </c>
      <c r="D1691" s="6">
        <f>IFERROR(__xludf.DUMMYFUNCTION("""COMPUTED_VALUE"""),391.09)</f>
        <v>391.09</v>
      </c>
      <c r="E1691" s="6">
        <f>IFERROR(__xludf.DUMMYFUNCTION("GOOGLEFINANCE(""Currency:BRLMXN"")*D1691"),1328.728275)</f>
        <v>1328.728275</v>
      </c>
      <c r="F1691" s="6">
        <f>IFERROR(__xludf.DUMMYFUNCTION("GOOGLEFINANCE(""Currency:BRLPEN"")*D1691"),256.398604)</f>
        <v>256.398604</v>
      </c>
      <c r="G1691" s="2" t="str">
        <f t="array" ref="G1691">_xlfn.XLOOKUP(B1691,Vendedores!$A$2:$A$41,Vendedores!$B$2:$B$41,"No hay datos")</f>
        <v>Patricia Cortés</v>
      </c>
      <c r="H1691" s="2" t="str">
        <f t="array" ref="H1691">_xlfn.XLOOKUP(B1691,Vendedores!$A$2:$A$41,Vendedores!$C$2:$C$41,"No hay datos")</f>
        <v>Costa Azul</v>
      </c>
      <c r="I1691" s="2" t="str">
        <f t="array" ref="I1691">_xlfn.XLOOKUP(B1691,Vendedores!$A$2:$A$41,Vendedores!$D$2:$D$41,"No hay datos")</f>
        <v>Región Norte</v>
      </c>
      <c r="J1691" s="2" t="str">
        <f t="array" ref="J1691:N1691">_xlfn.XLOOKUP(A1691,Productos!$A$2:$A$61,Productos!$B$2:$F$61)</f>
        <v>Playera lisa</v>
      </c>
      <c r="K1691" s="2" t="s">
        <v>17</v>
      </c>
      <c r="L1691" s="2" t="s">
        <v>10</v>
      </c>
      <c r="M1691" s="2" t="s">
        <v>98</v>
      </c>
      <c r="N1691" s="2" t="s">
        <v>99</v>
      </c>
    </row>
    <row r="1692">
      <c r="A1692" s="2" t="str">
        <f>IFERROR(__xludf.DUMMYFUNCTION("""COMPUTED_VALUE"""),"PR049")</f>
        <v>PR049</v>
      </c>
      <c r="B1692" s="2" t="str">
        <f>IFERROR(__xludf.DUMMYFUNCTION("""COMPUTED_VALUE"""),"VD039")</f>
        <v>VD039</v>
      </c>
      <c r="C1692" s="2">
        <f>IFERROR(__xludf.DUMMYFUNCTION("""COMPUTED_VALUE"""),4.0)</f>
        <v>4</v>
      </c>
      <c r="D1692" s="6">
        <f>IFERROR(__xludf.DUMMYFUNCTION("""COMPUTED_VALUE"""),139.5)</f>
        <v>139.5</v>
      </c>
      <c r="E1692" s="6">
        <f>IFERROR(__xludf.DUMMYFUNCTION("GOOGLEFINANCE(""Currency:BRLMXN"")*D1692"),473.95125)</f>
        <v>473.95125</v>
      </c>
      <c r="F1692" s="6">
        <f>IFERROR(__xludf.DUMMYFUNCTION("GOOGLEFINANCE(""Currency:BRLPEN"")*D1692"),91.4562)</f>
        <v>91.4562</v>
      </c>
      <c r="G1692" s="2" t="str">
        <f t="array" ref="G1692">_xlfn.XLOOKUP(B1692,Vendedores!$A$2:$A$41,Vendedores!$B$2:$B$41,"No hay datos")</f>
        <v>Daniela Rodríguez</v>
      </c>
      <c r="H1692" s="2" t="str">
        <f t="array" ref="H1692">_xlfn.XLOOKUP(B1692,Vendedores!$A$2:$A$41,Vendedores!$C$2:$C$41,"No hay datos")</f>
        <v>Bahía del Sol</v>
      </c>
      <c r="I1692" s="2" t="str">
        <f t="array" ref="I1692">_xlfn.XLOOKUP(B1692,Vendedores!$A$2:$A$41,Vendedores!$D$2:$D$41,"No hay datos")</f>
        <v>Región Central 2</v>
      </c>
      <c r="J1692" s="2" t="str">
        <f t="array" ref="J1692:N1692">_xlfn.XLOOKUP(A1692,Productos!$A$2:$A$61,Productos!$B$2:$F$61)</f>
        <v>Playera a rayas</v>
      </c>
      <c r="K1692" s="2" t="s">
        <v>9</v>
      </c>
      <c r="L1692" s="2" t="s">
        <v>10</v>
      </c>
      <c r="M1692" s="2" t="s">
        <v>47</v>
      </c>
      <c r="N1692" s="2" t="s">
        <v>24</v>
      </c>
    </row>
    <row r="1693">
      <c r="A1693" s="2" t="str">
        <f>IFERROR(__xludf.DUMMYFUNCTION("""COMPUTED_VALUE"""),"PR034")</f>
        <v>PR034</v>
      </c>
      <c r="B1693" s="2" t="str">
        <f>IFERROR(__xludf.DUMMYFUNCTION("""COMPUTED_VALUE"""),"VD017")</f>
        <v>VD017</v>
      </c>
      <c r="C1693" s="2">
        <f>IFERROR(__xludf.DUMMYFUNCTION("""COMPUTED_VALUE"""),8.0)</f>
        <v>8</v>
      </c>
      <c r="D1693" s="6">
        <f>IFERROR(__xludf.DUMMYFUNCTION("""COMPUTED_VALUE"""),733.58)</f>
        <v>733.58</v>
      </c>
      <c r="E1693" s="6">
        <f>IFERROR(__xludf.DUMMYFUNCTION("GOOGLEFINANCE(""Currency:BRLMXN"")*D1693"),2492.3380500000003)</f>
        <v>2492.33805</v>
      </c>
      <c r="F1693" s="6">
        <f>IFERROR(__xludf.DUMMYFUNCTION("GOOGLEFINANCE(""Currency:BRLPEN"")*D1693"),480.935048)</f>
        <v>480.935048</v>
      </c>
      <c r="G1693" s="2" t="str">
        <f t="array" ref="G1693">_xlfn.XLOOKUP(B1693,Vendedores!$A$2:$A$41,Vendedores!$B$2:$B$41,"No hay datos")</f>
        <v>Bruno Peralta</v>
      </c>
      <c r="H1693" s="2" t="str">
        <f t="array" ref="H1693">_xlfn.XLOOKUP(B1693,Vendedores!$A$2:$A$41,Vendedores!$C$2:$C$41,"No hay datos")</f>
        <v>Costa Azul</v>
      </c>
      <c r="I1693" s="2" t="str">
        <f t="array" ref="I1693">_xlfn.XLOOKUP(B1693,Vendedores!$A$2:$A$41,Vendedores!$D$2:$D$41,"No hay datos")</f>
        <v>Región Norte</v>
      </c>
      <c r="J1693" s="2" t="str">
        <f t="array" ref="J1693:N1693">_xlfn.XLOOKUP(A1693,Productos!$A$2:$A$61,Productos!$B$2:$F$61)</f>
        <v>Vestido corto</v>
      </c>
      <c r="K1693" s="2" t="s">
        <v>9</v>
      </c>
      <c r="L1693" s="2" t="s">
        <v>10</v>
      </c>
      <c r="M1693" s="2" t="s">
        <v>93</v>
      </c>
      <c r="N1693" s="2" t="s">
        <v>35</v>
      </c>
    </row>
    <row r="1694">
      <c r="A1694" s="2" t="str">
        <f>IFERROR(__xludf.DUMMYFUNCTION("""COMPUTED_VALUE"""),"PR045")</f>
        <v>PR045</v>
      </c>
      <c r="B1694" s="2" t="str">
        <f>IFERROR(__xludf.DUMMYFUNCTION("""COMPUTED_VALUE"""),"VD045")</f>
        <v>VD045</v>
      </c>
      <c r="C1694" s="2">
        <f>IFERROR(__xludf.DUMMYFUNCTION("""COMPUTED_VALUE"""),14.0)</f>
        <v>14</v>
      </c>
      <c r="D1694" s="6">
        <f>IFERROR(__xludf.DUMMYFUNCTION("""COMPUTED_VALUE"""),1025.15)</f>
        <v>1025.15</v>
      </c>
      <c r="E1694" s="6">
        <f>IFERROR(__xludf.DUMMYFUNCTION("GOOGLEFINANCE(""Currency:BRLMXN"")*D1694"),3482.947125)</f>
        <v>3482.947125</v>
      </c>
      <c r="F1694" s="6">
        <f>IFERROR(__xludf.DUMMYFUNCTION("GOOGLEFINANCE(""Currency:BRLPEN"")*D1694"),672.08834)</f>
        <v>672.08834</v>
      </c>
      <c r="G1694" s="2" t="str">
        <f t="array" ref="G1694">_xlfn.XLOOKUP(B1694,Vendedores!$A$2:$A$41,Vendedores!$B$2:$B$41,"No hay datos")</f>
        <v>Rafael Morales</v>
      </c>
      <c r="H1694" s="2" t="str">
        <f t="array" ref="H1694">_xlfn.XLOOKUP(B1694,Vendedores!$A$2:$A$41,Vendedores!$C$2:$C$41,"No hay datos")</f>
        <v>Valle Dorado</v>
      </c>
      <c r="I1694" s="2" t="str">
        <f t="array" ref="I1694">_xlfn.XLOOKUP(B1694,Vendedores!$A$2:$A$41,Vendedores!$D$2:$D$41,"No hay datos")</f>
        <v>Región Central 2</v>
      </c>
      <c r="J1694" s="2" t="str">
        <f t="array" ref="J1694:N1694">_xlfn.XLOOKUP(A1694,Productos!$A$2:$A$61,Productos!$B$2:$F$61)</f>
        <v>Vestido floral</v>
      </c>
      <c r="K1694" s="2" t="s">
        <v>22</v>
      </c>
      <c r="L1694" s="2" t="s">
        <v>10</v>
      </c>
      <c r="M1694" s="2" t="s">
        <v>39</v>
      </c>
      <c r="N1694" s="2" t="s">
        <v>40</v>
      </c>
    </row>
    <row r="1695">
      <c r="A1695" s="2" t="str">
        <f>IFERROR(__xludf.DUMMYFUNCTION("""COMPUTED_VALUE"""),"PR018")</f>
        <v>PR018</v>
      </c>
      <c r="B1695" s="2" t="str">
        <f>IFERROR(__xludf.DUMMYFUNCTION("""COMPUTED_VALUE"""),"VD018")</f>
        <v>VD018</v>
      </c>
      <c r="C1695" s="2">
        <f>IFERROR(__xludf.DUMMYFUNCTION("""COMPUTED_VALUE"""),4.0)</f>
        <v>4</v>
      </c>
      <c r="D1695" s="6">
        <f>IFERROR(__xludf.DUMMYFUNCTION("""COMPUTED_VALUE"""),139.5)</f>
        <v>139.5</v>
      </c>
      <c r="E1695" s="6">
        <f>IFERROR(__xludf.DUMMYFUNCTION("GOOGLEFINANCE(""Currency:BRLMXN"")*D1695"),473.95125)</f>
        <v>473.95125</v>
      </c>
      <c r="F1695" s="6">
        <f>IFERROR(__xludf.DUMMYFUNCTION("GOOGLEFINANCE(""Currency:BRLPEN"")*D1695"),91.4562)</f>
        <v>91.4562</v>
      </c>
      <c r="G1695" s="2" t="str">
        <f t="array" ref="G1695">_xlfn.XLOOKUP(B1695,Vendedores!$A$2:$A$41,Vendedores!$B$2:$B$41,"No hay datos")</f>
        <v>Leticia Rodríguez</v>
      </c>
      <c r="H1695" s="2" t="str">
        <f t="array" ref="H1695">_xlfn.XLOOKUP(B1695,Vendedores!$A$2:$A$41,Vendedores!$C$2:$C$41,"No hay datos")</f>
        <v>Playa Blanca</v>
      </c>
      <c r="I1695" s="2" t="str">
        <f t="array" ref="I1695">_xlfn.XLOOKUP(B1695,Vendedores!$A$2:$A$41,Vendedores!$D$2:$D$41,"No hay datos")</f>
        <v>Región Norte</v>
      </c>
      <c r="J1695" s="2" t="str">
        <f t="array" ref="J1695:N1695">_xlfn.XLOOKUP(A1695,Productos!$A$2:$A$61,Productos!$B$2:$F$61)</f>
        <v>Playera lisa</v>
      </c>
      <c r="K1695" s="2" t="s">
        <v>22</v>
      </c>
      <c r="L1695" s="2" t="s">
        <v>10</v>
      </c>
      <c r="M1695" s="2" t="s">
        <v>57</v>
      </c>
      <c r="N1695" s="2" t="s">
        <v>24</v>
      </c>
    </row>
    <row r="1696">
      <c r="A1696" s="2" t="str">
        <f>IFERROR(__xludf.DUMMYFUNCTION("""COMPUTED_VALUE"""),"PR008")</f>
        <v>PR008</v>
      </c>
      <c r="B1696" s="2" t="str">
        <f>IFERROR(__xludf.DUMMYFUNCTION("""COMPUTED_VALUE"""),"VD016")</f>
        <v>VD016</v>
      </c>
      <c r="C1696" s="2">
        <f>IFERROR(__xludf.DUMMYFUNCTION("""COMPUTED_VALUE"""),6.0)</f>
        <v>6</v>
      </c>
      <c r="D1696" s="6">
        <f>IFERROR(__xludf.DUMMYFUNCTION("""COMPUTED_VALUE"""),539.4)</f>
        <v>539.4</v>
      </c>
      <c r="E1696" s="6">
        <f>IFERROR(__xludf.DUMMYFUNCTION("GOOGLEFINANCE(""Currency:BRLMXN"")*D1696"),1832.6115)</f>
        <v>1832.6115</v>
      </c>
      <c r="F1696" s="6">
        <f>IFERROR(__xludf.DUMMYFUNCTION("GOOGLEFINANCE(""Currency:BRLPEN"")*D1696"),353.63063999999997)</f>
        <v>353.63064</v>
      </c>
      <c r="G1696" s="2" t="str">
        <f t="array" ref="G1696">_xlfn.XLOOKUP(B1696,Vendedores!$A$2:$A$41,Vendedores!$B$2:$B$41,"No hay datos")</f>
        <v>Beatriz Linares</v>
      </c>
      <c r="H1696" s="2" t="str">
        <f t="array" ref="H1696">_xlfn.XLOOKUP(B1696,Vendedores!$A$2:$A$41,Vendedores!$C$2:$C$41,"No hay datos")</f>
        <v>Puerto Esperanza</v>
      </c>
      <c r="I1696" s="2" t="str">
        <f t="array" ref="I1696">_xlfn.XLOOKUP(B1696,Vendedores!$A$2:$A$41,Vendedores!$D$2:$D$41,"No hay datos")</f>
        <v>Región Sur</v>
      </c>
      <c r="J1696" s="2" t="str">
        <f t="array" ref="J1696:N1696">_xlfn.XLOOKUP(A1696,Productos!$A$2:$A$61,Productos!$B$2:$F$61)</f>
        <v>Pantalón de mezclilla</v>
      </c>
      <c r="K1696" s="2" t="s">
        <v>17</v>
      </c>
      <c r="L1696" s="2" t="s">
        <v>10</v>
      </c>
      <c r="M1696" s="2" t="s">
        <v>65</v>
      </c>
      <c r="N1696" s="2" t="s">
        <v>35</v>
      </c>
    </row>
    <row r="1697">
      <c r="A1697" s="2" t="str">
        <f>IFERROR(__xludf.DUMMYFUNCTION("""COMPUTED_VALUE"""),"PR013")</f>
        <v>PR013</v>
      </c>
      <c r="B1697" s="2" t="str">
        <f>IFERROR(__xludf.DUMMYFUNCTION("""COMPUTED_VALUE"""),"VD036")</f>
        <v>VD036</v>
      </c>
      <c r="C1697" s="2">
        <f>IFERROR(__xludf.DUMMYFUNCTION("""COMPUTED_VALUE"""),3.0)</f>
        <v>3</v>
      </c>
      <c r="D1697" s="6">
        <f>IFERROR(__xludf.DUMMYFUNCTION("""COMPUTED_VALUE"""),124.49)</f>
        <v>124.49</v>
      </c>
      <c r="E1697" s="6">
        <f>IFERROR(__xludf.DUMMYFUNCTION("GOOGLEFINANCE(""Currency:BRLMXN"")*D1697"),422.954775)</f>
        <v>422.954775</v>
      </c>
      <c r="F1697" s="6">
        <f>IFERROR(__xludf.DUMMYFUNCTION("GOOGLEFINANCE(""Currency:BRLPEN"")*D1697"),81.61564399999999)</f>
        <v>81.615644</v>
      </c>
      <c r="G1697" s="2" t="str">
        <f t="array" ref="G1697">_xlfn.XLOOKUP(B1697,Vendedores!$A$2:$A$41,Vendedores!$B$2:$B$41,"No hay datos")</f>
        <v>Ricardo Sosa</v>
      </c>
      <c r="H1697" s="2" t="str">
        <f t="array" ref="H1697">_xlfn.XLOOKUP(B1697,Vendedores!$A$2:$A$41,Vendedores!$C$2:$C$41,"No hay datos")</f>
        <v>Puerto Nuevo</v>
      </c>
      <c r="I1697" s="2" t="str">
        <f t="array" ref="I1697">_xlfn.XLOOKUP(B1697,Vendedores!$A$2:$A$41,Vendedores!$D$2:$D$41,"No hay datos")</f>
        <v>Región Central 2</v>
      </c>
      <c r="J1697" s="2" t="str">
        <f t="array" ref="J1697:N1697">_xlfn.XLOOKUP(A1697,Productos!$A$2:$A$61,Productos!$B$2:$F$61)</f>
        <v>Playera estampada</v>
      </c>
      <c r="K1697" s="2" t="s">
        <v>9</v>
      </c>
      <c r="L1697" s="2" t="s">
        <v>10</v>
      </c>
      <c r="M1697" s="2" t="s">
        <v>66</v>
      </c>
      <c r="N1697" s="2" t="s">
        <v>38</v>
      </c>
    </row>
    <row r="1698">
      <c r="A1698" s="2" t="str">
        <f>IFERROR(__xludf.DUMMYFUNCTION("""COMPUTED_VALUE"""),"PR055")</f>
        <v>PR055</v>
      </c>
      <c r="B1698" s="2" t="str">
        <f>IFERROR(__xludf.DUMMYFUNCTION("""COMPUTED_VALUE"""),"VD016")</f>
        <v>VD016</v>
      </c>
      <c r="C1698" s="2">
        <f>IFERROR(__xludf.DUMMYFUNCTION("""COMPUTED_VALUE"""),9.0)</f>
        <v>9</v>
      </c>
      <c r="D1698" s="6">
        <f>IFERROR(__xludf.DUMMYFUNCTION("""COMPUTED_VALUE"""),881.92)</f>
        <v>881.92</v>
      </c>
      <c r="E1698" s="6">
        <f>IFERROR(__xludf.DUMMYFUNCTION("GOOGLEFINANCE(""Currency:BRLMXN"")*D1698"),2996.3232)</f>
        <v>2996.3232</v>
      </c>
      <c r="F1698" s="6">
        <f>IFERROR(__xludf.DUMMYFUNCTION("GOOGLEFINANCE(""Currency:BRLPEN"")*D1698"),578.186752)</f>
        <v>578.186752</v>
      </c>
      <c r="G1698" s="2" t="str">
        <f t="array" ref="G1698">_xlfn.XLOOKUP(B1698,Vendedores!$A$2:$A$41,Vendedores!$B$2:$B$41,"No hay datos")</f>
        <v>Beatriz Linares</v>
      </c>
      <c r="H1698" s="2" t="str">
        <f t="array" ref="H1698">_xlfn.XLOOKUP(B1698,Vendedores!$A$2:$A$41,Vendedores!$C$2:$C$41,"No hay datos")</f>
        <v>Puerto Esperanza</v>
      </c>
      <c r="I1698" s="2" t="str">
        <f t="array" ref="I1698">_xlfn.XLOOKUP(B1698,Vendedores!$A$2:$A$41,Vendedores!$D$2:$D$41,"No hay datos")</f>
        <v>Región Sur</v>
      </c>
      <c r="J1698" s="2" t="str">
        <f t="array" ref="J1698:N1698">_xlfn.XLOOKUP(A1698,Productos!$A$2:$A$61,Productos!$B$2:$F$61)</f>
        <v>Sandalia plana</v>
      </c>
      <c r="K1698" s="2">
        <v>35.0</v>
      </c>
      <c r="L1698" s="2" t="s">
        <v>33</v>
      </c>
      <c r="M1698" s="2" t="s">
        <v>34</v>
      </c>
      <c r="N1698" s="2" t="s">
        <v>35</v>
      </c>
    </row>
    <row r="1699">
      <c r="A1699" s="2" t="str">
        <f>IFERROR(__xludf.DUMMYFUNCTION("""COMPUTED_VALUE"""),"PR037")</f>
        <v>PR037</v>
      </c>
      <c r="B1699" s="2" t="str">
        <f>IFERROR(__xludf.DUMMYFUNCTION("""COMPUTED_VALUE"""),"VD048")</f>
        <v>VD048</v>
      </c>
      <c r="C1699" s="2">
        <f>IFERROR(__xludf.DUMMYFUNCTION("""COMPUTED_VALUE"""),1.0)</f>
        <v>1</v>
      </c>
      <c r="D1699" s="6">
        <f>IFERROR(__xludf.DUMMYFUNCTION("""COMPUTED_VALUE"""),154.0)</f>
        <v>154</v>
      </c>
      <c r="E1699" s="6">
        <f>IFERROR(__xludf.DUMMYFUNCTION("GOOGLEFINANCE(""Currency:BRLMXN"")*D1699"),523.215)</f>
        <v>523.215</v>
      </c>
      <c r="F1699" s="6">
        <f>IFERROR(__xludf.DUMMYFUNCTION("GOOGLEFINANCE(""Currency:BRLPEN"")*D1699"),100.96239999999999)</f>
        <v>100.9624</v>
      </c>
      <c r="G1699" s="2" t="str">
        <f t="array" ref="G1699">_xlfn.XLOOKUP(B1699,Vendedores!$A$2:$A$41,Vendedores!$B$2:$B$41,"No hay datos")</f>
        <v>Mariana Castro</v>
      </c>
      <c r="H1699" s="2" t="str">
        <f t="array" ref="H1699">_xlfn.XLOOKUP(B1699,Vendedores!$A$2:$A$41,Vendedores!$C$2:$C$41,"No hay datos")</f>
        <v>San Carlos del Valle</v>
      </c>
      <c r="I1699" s="2" t="str">
        <f t="array" ref="I1699">_xlfn.XLOOKUP(B1699,Vendedores!$A$2:$A$41,Vendedores!$D$2:$D$41,"No hay datos")</f>
        <v>Región Central 2</v>
      </c>
      <c r="J1699" s="2" t="str">
        <f t="array" ref="J1699:N1699">_xlfn.XLOOKUP(A1699,Productos!$A$2:$A$61,Productos!$B$2:$F$61)</f>
        <v>Vestido largo</v>
      </c>
      <c r="K1699" s="2" t="s">
        <v>9</v>
      </c>
      <c r="L1699" s="2" t="s">
        <v>10</v>
      </c>
      <c r="M1699" s="2" t="s">
        <v>70</v>
      </c>
      <c r="N1699" s="2" t="s">
        <v>71</v>
      </c>
    </row>
    <row r="1700">
      <c r="A1700" s="2" t="str">
        <f>IFERROR(__xludf.DUMMYFUNCTION("""COMPUTED_VALUE"""),"PR036")</f>
        <v>PR036</v>
      </c>
      <c r="B1700" s="2" t="str">
        <f>IFERROR(__xludf.DUMMYFUNCTION("""COMPUTED_VALUE"""),"VD029")</f>
        <v>VD029</v>
      </c>
      <c r="C1700" s="2">
        <f>IFERROR(__xludf.DUMMYFUNCTION("""COMPUTED_VALUE"""),8.0)</f>
        <v>8</v>
      </c>
      <c r="D1700" s="6">
        <f>IFERROR(__xludf.DUMMYFUNCTION("""COMPUTED_VALUE"""),748.0)</f>
        <v>748</v>
      </c>
      <c r="E1700" s="6">
        <f>IFERROR(__xludf.DUMMYFUNCTION("GOOGLEFINANCE(""Currency:BRLMXN"")*D1700"),2541.33)</f>
        <v>2541.33</v>
      </c>
      <c r="F1700" s="6">
        <f>IFERROR(__xludf.DUMMYFUNCTION("GOOGLEFINANCE(""Currency:BRLPEN"")*D1700"),490.38879999999995)</f>
        <v>490.3888</v>
      </c>
      <c r="G1700" s="2" t="str">
        <f t="array" ref="G1700">_xlfn.XLOOKUP(B1700,Vendedores!$A$2:$A$41,Vendedores!$B$2:$B$41,"No hay datos")</f>
        <v>Gabriela Sosa</v>
      </c>
      <c r="H1700" s="2" t="str">
        <f t="array" ref="H1700">_xlfn.XLOOKUP(B1700,Vendedores!$A$2:$A$41,Vendedores!$C$2:$C$41,"No hay datos")</f>
        <v>Selva Verde</v>
      </c>
      <c r="I1700" s="2" t="str">
        <f t="array" ref="I1700">_xlfn.XLOOKUP(B1700,Vendedores!$A$2:$A$41,Vendedores!$D$2:$D$41,"No hay datos")</f>
        <v>Región Amazónica</v>
      </c>
      <c r="J1700" s="2" t="str">
        <f t="array" ref="J1700:N1700">_xlfn.XLOOKUP(A1700,Productos!$A$2:$A$61,Productos!$B$2:$F$61)</f>
        <v>Vestido corto</v>
      </c>
      <c r="K1700" s="2" t="s">
        <v>22</v>
      </c>
      <c r="L1700" s="2" t="s">
        <v>10</v>
      </c>
      <c r="M1700" s="2" t="s">
        <v>82</v>
      </c>
      <c r="N1700" s="2" t="s">
        <v>83</v>
      </c>
    </row>
    <row r="1701">
      <c r="A1701" s="2" t="str">
        <f>IFERROR(__xludf.DUMMYFUNCTION("""COMPUTED_VALUE"""),"PR008")</f>
        <v>PR008</v>
      </c>
      <c r="B1701" s="2" t="str">
        <f>IFERROR(__xludf.DUMMYFUNCTION("""COMPUTED_VALUE"""),"VD013")</f>
        <v>VD013</v>
      </c>
      <c r="C1701" s="2">
        <f>IFERROR(__xludf.DUMMYFUNCTION("""COMPUTED_VALUE"""),20.0)</f>
        <v>20</v>
      </c>
      <c r="D1701" s="6">
        <f>IFERROR(__xludf.DUMMYFUNCTION("""COMPUTED_VALUE"""),1815.98)</f>
        <v>1815.98</v>
      </c>
      <c r="E1701" s="6">
        <f>IFERROR(__xludf.DUMMYFUNCTION("GOOGLEFINANCE(""Currency:BRLMXN"")*D1701"),6169.79205)</f>
        <v>6169.79205</v>
      </c>
      <c r="F1701" s="6">
        <f>IFERROR(__xludf.DUMMYFUNCTION("GOOGLEFINANCE(""Currency:BRLPEN"")*D1701"),1190.556488)</f>
        <v>1190.556488</v>
      </c>
      <c r="G1701" s="2" t="str">
        <f t="array" ref="G1701">_xlfn.XLOOKUP(B1701,Vendedores!$A$2:$A$41,Vendedores!$B$2:$B$41,"No hay datos")</f>
        <v>Pedro Almonte</v>
      </c>
      <c r="H1701" s="2" t="str">
        <f t="array" ref="H1701">_xlfn.XLOOKUP(B1701,Vendedores!$A$2:$A$41,Vendedores!$C$2:$C$41,"No hay datos")</f>
        <v>Santa Rosa del Valle</v>
      </c>
      <c r="I1701" s="2" t="str">
        <f t="array" ref="I1701">_xlfn.XLOOKUP(B1701,Vendedores!$A$2:$A$41,Vendedores!$D$2:$D$41,"No hay datos")</f>
        <v>Región Norte</v>
      </c>
      <c r="J1701" s="2" t="str">
        <f t="array" ref="J1701:N1701">_xlfn.XLOOKUP(A1701,Productos!$A$2:$A$61,Productos!$B$2:$F$61)</f>
        <v>Pantalón de mezclilla</v>
      </c>
      <c r="K1701" s="2" t="s">
        <v>17</v>
      </c>
      <c r="L1701" s="2" t="s">
        <v>10</v>
      </c>
      <c r="M1701" s="2" t="s">
        <v>65</v>
      </c>
      <c r="N1701" s="2" t="s">
        <v>35</v>
      </c>
    </row>
    <row r="1702">
      <c r="A1702" s="2" t="str">
        <f>IFERROR(__xludf.DUMMYFUNCTION("""COMPUTED_VALUE"""),"PR056")</f>
        <v>PR056</v>
      </c>
      <c r="B1702" s="2" t="str">
        <f>IFERROR(__xludf.DUMMYFUNCTION("""COMPUTED_VALUE"""),"VD032")</f>
        <v>VD032</v>
      </c>
      <c r="C1702" s="2">
        <f>IFERROR(__xludf.DUMMYFUNCTION("""COMPUTED_VALUE"""),10.0)</f>
        <v>10</v>
      </c>
      <c r="D1702" s="6">
        <f>IFERROR(__xludf.DUMMYFUNCTION("""COMPUTED_VALUE"""),961.93)</f>
        <v>961.93</v>
      </c>
      <c r="E1702" s="6">
        <f>IFERROR(__xludf.DUMMYFUNCTION("GOOGLEFINANCE(""Currency:BRLMXN"")*D1702"),3268.157175)</f>
        <v>3268.157175</v>
      </c>
      <c r="F1702" s="6">
        <f>IFERROR(__xludf.DUMMYFUNCTION("GOOGLEFINANCE(""Currency:BRLPEN"")*D1702"),630.641308)</f>
        <v>630.641308</v>
      </c>
      <c r="G1702" s="2" t="str">
        <f t="array" ref="G1702">_xlfn.XLOOKUP(B1702,Vendedores!$A$2:$A$41,Vendedores!$B$2:$B$41,"No hay datos")</f>
        <v>Eduardo Almonte</v>
      </c>
      <c r="H1702" s="2" t="str">
        <f t="array" ref="H1702">_xlfn.XLOOKUP(B1702,Vendedores!$A$2:$A$41,Vendedores!$C$2:$C$41,"No hay datos")</f>
        <v>Tierra Colorada</v>
      </c>
      <c r="I1702" s="2" t="str">
        <f t="array" ref="I1702">_xlfn.XLOOKUP(B1702,Vendedores!$A$2:$A$41,Vendedores!$D$2:$D$41,"No hay datos")</f>
        <v>Región Central 2</v>
      </c>
      <c r="J1702" s="2" t="str">
        <f t="array" ref="J1702:N1702">_xlfn.XLOOKUP(A1702,Productos!$A$2:$A$61,Productos!$B$2:$F$61)</f>
        <v>Sandalia plana</v>
      </c>
      <c r="K1702" s="2">
        <v>36.0</v>
      </c>
      <c r="L1702" s="2" t="s">
        <v>33</v>
      </c>
      <c r="M1702" s="2" t="s">
        <v>106</v>
      </c>
      <c r="N1702" s="2" t="s">
        <v>35</v>
      </c>
    </row>
    <row r="1703">
      <c r="A1703" s="2" t="str">
        <f>IFERROR(__xludf.DUMMYFUNCTION("""COMPUTED_VALUE"""),"PR033")</f>
        <v>PR033</v>
      </c>
      <c r="B1703" s="2" t="str">
        <f>IFERROR(__xludf.DUMMYFUNCTION("""COMPUTED_VALUE"""),"VD012")</f>
        <v>VD012</v>
      </c>
      <c r="C1703" s="2">
        <f>IFERROR(__xludf.DUMMYFUNCTION("""COMPUTED_VALUE"""),8.0)</f>
        <v>8</v>
      </c>
      <c r="D1703" s="6">
        <f>IFERROR(__xludf.DUMMYFUNCTION("""COMPUTED_VALUE"""),2141.58)</f>
        <v>2141.58</v>
      </c>
      <c r="E1703" s="6">
        <f>IFERROR(__xludf.DUMMYFUNCTION("GOOGLEFINANCE(""Currency:BRLMXN"")*D1703"),7276.01805)</f>
        <v>7276.01805</v>
      </c>
      <c r="F1703" s="6">
        <f>IFERROR(__xludf.DUMMYFUNCTION("GOOGLEFINANCE(""Currency:BRLPEN"")*D1703"),1404.019848)</f>
        <v>1404.019848</v>
      </c>
      <c r="G1703" s="2" t="str">
        <f t="array" ref="G1703">_xlfn.XLOOKUP(B1703,Vendedores!$A$2:$A$41,Vendedores!$B$2:$B$41,"No hay datos")</f>
        <v>Ana Olmedo</v>
      </c>
      <c r="H1703" s="2" t="str">
        <f t="array" ref="H1703">_xlfn.XLOOKUP(B1703,Vendedores!$A$2:$A$41,Vendedores!$C$2:$C$41,"No hay datos")</f>
        <v>Río Claro</v>
      </c>
      <c r="I1703" s="2" t="str">
        <f t="array" ref="I1703">_xlfn.XLOOKUP(B1703,Vendedores!$A$2:$A$41,Vendedores!$D$2:$D$41,"No hay datos")</f>
        <v>Región Central</v>
      </c>
      <c r="J1703" s="2" t="str">
        <f t="array" ref="J1703:N1703">_xlfn.XLOOKUP(A1703,Productos!$A$2:$A$61,Productos!$B$2:$F$61)</f>
        <v>Tenis Chunky</v>
      </c>
      <c r="K1703" s="2">
        <v>38.0</v>
      </c>
      <c r="L1703" s="2" t="s">
        <v>33</v>
      </c>
      <c r="M1703" s="2" t="s">
        <v>63</v>
      </c>
      <c r="N1703" s="2" t="s">
        <v>64</v>
      </c>
    </row>
    <row r="1704">
      <c r="A1704" s="2" t="str">
        <f>IFERROR(__xludf.DUMMYFUNCTION("""COMPUTED_VALUE"""),"PR001")</f>
        <v>PR001</v>
      </c>
      <c r="B1704" s="2" t="str">
        <f>IFERROR(__xludf.DUMMYFUNCTION("""COMPUTED_VALUE"""),"VD036")</f>
        <v>VD036</v>
      </c>
      <c r="C1704" s="2">
        <f>IFERROR(__xludf.DUMMYFUNCTION("""COMPUTED_VALUE"""),2.0)</f>
        <v>2</v>
      </c>
      <c r="D1704" s="6">
        <f>IFERROR(__xludf.DUMMYFUNCTION("""COMPUTED_VALUE"""),139.71)</f>
        <v>139.71</v>
      </c>
      <c r="E1704" s="6">
        <f>IFERROR(__xludf.DUMMYFUNCTION("GOOGLEFINANCE(""Currency:BRLMXN"")*D1704"),474.66472500000003)</f>
        <v>474.664725</v>
      </c>
      <c r="F1704" s="6">
        <f>IFERROR(__xludf.DUMMYFUNCTION("GOOGLEFINANCE(""Currency:BRLPEN"")*D1704"),91.593876)</f>
        <v>91.593876</v>
      </c>
      <c r="G1704" s="2" t="str">
        <f t="array" ref="G1704">_xlfn.XLOOKUP(B1704,Vendedores!$A$2:$A$41,Vendedores!$B$2:$B$41,"No hay datos")</f>
        <v>Ricardo Sosa</v>
      </c>
      <c r="H1704" s="2" t="str">
        <f t="array" ref="H1704">_xlfn.XLOOKUP(B1704,Vendedores!$A$2:$A$41,Vendedores!$C$2:$C$41,"No hay datos")</f>
        <v>Puerto Nuevo</v>
      </c>
      <c r="I1704" s="2" t="str">
        <f t="array" ref="I1704">_xlfn.XLOOKUP(B1704,Vendedores!$A$2:$A$41,Vendedores!$D$2:$D$41,"No hay datos")</f>
        <v>Región Central 2</v>
      </c>
      <c r="J1704" s="2" t="str">
        <f t="array" ref="J1704:N1704">_xlfn.XLOOKUP(A1704,Productos!$A$2:$A$61,Productos!$B$2:$F$61)</f>
        <v>Bermuda</v>
      </c>
      <c r="K1704" s="2" t="s">
        <v>9</v>
      </c>
      <c r="L1704" s="2" t="s">
        <v>10</v>
      </c>
      <c r="M1704" s="2" t="s">
        <v>11</v>
      </c>
      <c r="N1704" s="2" t="s">
        <v>12</v>
      </c>
    </row>
    <row r="1705">
      <c r="A1705" s="2" t="str">
        <f>IFERROR(__xludf.DUMMYFUNCTION("""COMPUTED_VALUE"""),"PR007")</f>
        <v>PR007</v>
      </c>
      <c r="B1705" s="2" t="str">
        <f>IFERROR(__xludf.DUMMYFUNCTION("""COMPUTED_VALUE"""),"VD022")</f>
        <v>VD022</v>
      </c>
      <c r="C1705" s="2">
        <f>IFERROR(__xludf.DUMMYFUNCTION("""COMPUTED_VALUE"""),4.0)</f>
        <v>4</v>
      </c>
      <c r="D1705" s="6">
        <f>IFERROR(__xludf.DUMMYFUNCTION("""COMPUTED_VALUE"""),350.47)</f>
        <v>350.47</v>
      </c>
      <c r="E1705" s="6">
        <f>IFERROR(__xludf.DUMMYFUNCTION("GOOGLEFINANCE(""Currency:BRLMXN"")*D1705"),1190.721825)</f>
        <v>1190.721825</v>
      </c>
      <c r="F1705" s="6">
        <f>IFERROR(__xludf.DUMMYFUNCTION("GOOGLEFINANCE(""Currency:BRLPEN"")*D1705"),229.768132)</f>
        <v>229.768132</v>
      </c>
      <c r="G1705" s="2" t="str">
        <f t="array" ref="G1705">_xlfn.XLOOKUP(B1705,Vendedores!$A$2:$A$41,Vendedores!$B$2:$B$41,"No hay datos")</f>
        <v>Santiago Linares</v>
      </c>
      <c r="H1705" s="2" t="str">
        <f t="array" ref="H1705">_xlfn.XLOOKUP(B1705,Vendedores!$A$2:$A$41,Vendedores!$C$2:$C$41,"No hay datos")</f>
        <v>Vista Hermosa</v>
      </c>
      <c r="I1705" s="2" t="str">
        <f t="array" ref="I1705">_xlfn.XLOOKUP(B1705,Vendedores!$A$2:$A$41,Vendedores!$D$2:$D$41,"No hay datos")</f>
        <v>Región Central</v>
      </c>
      <c r="J1705" s="2" t="str">
        <f t="array" ref="J1705:N1705">_xlfn.XLOOKUP(A1705,Productos!$A$2:$A$61,Productos!$B$2:$F$61)</f>
        <v>Pantalón de mezclilla</v>
      </c>
      <c r="K1705" s="2" t="s">
        <v>9</v>
      </c>
      <c r="L1705" s="2" t="s">
        <v>10</v>
      </c>
      <c r="M1705" s="2" t="s">
        <v>103</v>
      </c>
      <c r="N1705" s="2" t="s">
        <v>104</v>
      </c>
    </row>
    <row r="1706">
      <c r="A1706" s="2" t="str">
        <f>IFERROR(__xludf.DUMMYFUNCTION("""COMPUTED_VALUE"""),"PR056")</f>
        <v>PR056</v>
      </c>
      <c r="B1706" s="2" t="str">
        <f>IFERROR(__xludf.DUMMYFUNCTION("""COMPUTED_VALUE"""),"VD010")</f>
        <v>VD010</v>
      </c>
      <c r="C1706" s="2">
        <f>IFERROR(__xludf.DUMMYFUNCTION("""COMPUTED_VALUE"""),20.0)</f>
        <v>20</v>
      </c>
      <c r="D1706" s="6">
        <f>IFERROR(__xludf.DUMMYFUNCTION("""COMPUTED_VALUE"""),1905.88)</f>
        <v>1905.88</v>
      </c>
      <c r="E1706" s="6">
        <f>IFERROR(__xludf.DUMMYFUNCTION("GOOGLEFINANCE(""Currency:BRLMXN"")*D1706"),6475.2273000000005)</f>
        <v>6475.2273</v>
      </c>
      <c r="F1706" s="6">
        <f>IFERROR(__xludf.DUMMYFUNCTION("GOOGLEFINANCE(""Currency:BRLPEN"")*D1706"),1249.494928)</f>
        <v>1249.494928</v>
      </c>
      <c r="G1706" s="2" t="str">
        <f t="array" ref="G1706">_xlfn.XLOOKUP(B1706,Vendedores!$A$2:$A$41,Vendedores!$B$2:$B$41,"No hay datos")</f>
        <v>María Silva</v>
      </c>
      <c r="H1706" s="2" t="str">
        <f t="array" ref="H1706">_xlfn.XLOOKUP(B1706,Vendedores!$A$2:$A$41,Vendedores!$C$2:$C$41,"No hay datos")</f>
        <v>San Juan de la Sierra</v>
      </c>
      <c r="I1706" s="2" t="str">
        <f t="array" ref="I1706">_xlfn.XLOOKUP(B1706,Vendedores!$A$2:$A$41,Vendedores!$D$2:$D$41,"No hay datos")</f>
        <v>Región Central</v>
      </c>
      <c r="J1706" s="2" t="str">
        <f t="array" ref="J1706:N1706">_xlfn.XLOOKUP(A1706,Productos!$A$2:$A$61,Productos!$B$2:$F$61)</f>
        <v>Sandalia plana</v>
      </c>
      <c r="K1706" s="2">
        <v>36.0</v>
      </c>
      <c r="L1706" s="2" t="s">
        <v>33</v>
      </c>
      <c r="M1706" s="2" t="s">
        <v>106</v>
      </c>
      <c r="N1706" s="2" t="s">
        <v>35</v>
      </c>
    </row>
    <row r="1707">
      <c r="A1707" s="2" t="str">
        <f>IFERROR(__xludf.DUMMYFUNCTION("""COMPUTED_VALUE"""),"PR055")</f>
        <v>PR055</v>
      </c>
      <c r="B1707" s="2" t="str">
        <f>IFERROR(__xludf.DUMMYFUNCTION("""COMPUTED_VALUE"""),"VD025")</f>
        <v>VD025</v>
      </c>
      <c r="C1707" s="2">
        <f>IFERROR(__xludf.DUMMYFUNCTION("""COMPUTED_VALUE"""),10.0)</f>
        <v>10</v>
      </c>
      <c r="D1707" s="6">
        <f>IFERROR(__xludf.DUMMYFUNCTION("""COMPUTED_VALUE"""),952.94)</f>
        <v>952.94</v>
      </c>
      <c r="E1707" s="6">
        <f>IFERROR(__xludf.DUMMYFUNCTION("GOOGLEFINANCE(""Currency:BRLMXN"")*D1707"),3237.6136500000002)</f>
        <v>3237.61365</v>
      </c>
      <c r="F1707" s="6">
        <f>IFERROR(__xludf.DUMMYFUNCTION("GOOGLEFINANCE(""Currency:BRLPEN"")*D1707"),624.747464)</f>
        <v>624.747464</v>
      </c>
      <c r="G1707" s="2" t="str">
        <f t="array" ref="G1707">_xlfn.XLOOKUP(B1707,Vendedores!$A$2:$A$41,Vendedores!$B$2:$B$41,"No hay datos")</f>
        <v>Alina Santana</v>
      </c>
      <c r="H1707" s="2" t="str">
        <f t="array" ref="H1707">_xlfn.XLOOKUP(B1707,Vendedores!$A$2:$A$41,Vendedores!$C$2:$C$41,"No hay datos")</f>
        <v>Playa Blanca</v>
      </c>
      <c r="I1707" s="2" t="str">
        <f t="array" ref="I1707">_xlfn.XLOOKUP(B1707,Vendedores!$A$2:$A$41,Vendedores!$D$2:$D$41,"No hay datos")</f>
        <v>Región Norte</v>
      </c>
      <c r="J1707" s="2" t="str">
        <f t="array" ref="J1707:N1707">_xlfn.XLOOKUP(A1707,Productos!$A$2:$A$61,Productos!$B$2:$F$61)</f>
        <v>Sandalia plana</v>
      </c>
      <c r="K1707" s="2">
        <v>35.0</v>
      </c>
      <c r="L1707" s="2" t="s">
        <v>33</v>
      </c>
      <c r="M1707" s="2" t="s">
        <v>34</v>
      </c>
      <c r="N1707" s="2" t="s">
        <v>35</v>
      </c>
    </row>
    <row r="1708">
      <c r="A1708" s="2" t="str">
        <f>IFERROR(__xludf.DUMMYFUNCTION("""COMPUTED_VALUE"""),"PR055")</f>
        <v>PR055</v>
      </c>
      <c r="B1708" s="2" t="str">
        <f>IFERROR(__xludf.DUMMYFUNCTION("""COMPUTED_VALUE"""),"VD030")</f>
        <v>VD030</v>
      </c>
      <c r="C1708" s="2">
        <f>IFERROR(__xludf.DUMMYFUNCTION("""COMPUTED_VALUE"""),2.0)</f>
        <v>2</v>
      </c>
      <c r="D1708" s="6">
        <f>IFERROR(__xludf.DUMMYFUNCTION("""COMPUTED_VALUE"""),190.59)</f>
        <v>190.59</v>
      </c>
      <c r="E1708" s="6">
        <f>IFERROR(__xludf.DUMMYFUNCTION("GOOGLEFINANCE(""Currency:BRLMXN"")*D1708"),647.529525)</f>
        <v>647.529525</v>
      </c>
      <c r="F1708" s="6">
        <f>IFERROR(__xludf.DUMMYFUNCTION("GOOGLEFINANCE(""Currency:BRLPEN"")*D1708"),124.95080399999999)</f>
        <v>124.950804</v>
      </c>
      <c r="G1708" s="2" t="str">
        <f t="array" ref="G1708">_xlfn.XLOOKUP(B1708,Vendedores!$A$2:$A$41,Vendedores!$B$2:$B$41,"No hay datos")</f>
        <v>Leonardo Rojas</v>
      </c>
      <c r="H1708" s="2" t="str">
        <f t="array" ref="H1708">_xlfn.XLOOKUP(B1708,Vendedores!$A$2:$A$41,Vendedores!$C$2:$C$41,"No hay datos")</f>
        <v>Villa del Sol</v>
      </c>
      <c r="I1708" s="2" t="str">
        <f t="array" ref="I1708">_xlfn.XLOOKUP(B1708,Vendedores!$A$2:$A$41,Vendedores!$D$2:$D$41,"No hay datos")</f>
        <v>Región Central 2</v>
      </c>
      <c r="J1708" s="2" t="str">
        <f t="array" ref="J1708:N1708">_xlfn.XLOOKUP(A1708,Productos!$A$2:$A$61,Productos!$B$2:$F$61)</f>
        <v>Sandalia plana</v>
      </c>
      <c r="K1708" s="2">
        <v>35.0</v>
      </c>
      <c r="L1708" s="2" t="s">
        <v>33</v>
      </c>
      <c r="M1708" s="2" t="s">
        <v>34</v>
      </c>
      <c r="N1708" s="2" t="s">
        <v>35</v>
      </c>
    </row>
    <row r="1709">
      <c r="A1709" s="2"/>
      <c r="B1709" s="2"/>
      <c r="C1709" s="2"/>
      <c r="D1709" s="2"/>
    </row>
    <row r="1710">
      <c r="A1710" s="2"/>
      <c r="B1710" s="2"/>
      <c r="C1710" s="2"/>
      <c r="D1710" s="2"/>
    </row>
    <row r="1711">
      <c r="A1711" s="2"/>
      <c r="B1711" s="2"/>
      <c r="C1711" s="2"/>
      <c r="D1711" s="2"/>
    </row>
    <row r="1712">
      <c r="A1712" s="2"/>
      <c r="B1712" s="2"/>
      <c r="C1712" s="2"/>
      <c r="D1712" s="2"/>
    </row>
    <row r="1713">
      <c r="A1713" s="2"/>
      <c r="B1713" s="2"/>
      <c r="C1713" s="2"/>
      <c r="D1713" s="2"/>
    </row>
    <row r="1714">
      <c r="A1714" s="2"/>
      <c r="B1714" s="2"/>
      <c r="C1714" s="2"/>
      <c r="D1714" s="2"/>
    </row>
    <row r="1715">
      <c r="A1715" s="2"/>
      <c r="B1715" s="2"/>
      <c r="C1715" s="2"/>
      <c r="D1715" s="2"/>
    </row>
    <row r="1716">
      <c r="A1716" s="2"/>
      <c r="B1716" s="2"/>
      <c r="C1716" s="2"/>
      <c r="D1716" s="2"/>
    </row>
    <row r="1717">
      <c r="A1717" s="2"/>
      <c r="B1717" s="2"/>
      <c r="C1717" s="2"/>
      <c r="D1717" s="2"/>
    </row>
    <row r="1718">
      <c r="A1718" s="2"/>
      <c r="B1718" s="2"/>
      <c r="C1718" s="2"/>
      <c r="D1718" s="2"/>
    </row>
    <row r="1719">
      <c r="A1719" s="2"/>
      <c r="B1719" s="2"/>
      <c r="C1719" s="2"/>
      <c r="D1719" s="2"/>
    </row>
    <row r="1720">
      <c r="A1720" s="2"/>
      <c r="B1720" s="2"/>
      <c r="C1720" s="2"/>
      <c r="D1720" s="2"/>
    </row>
    <row r="1721">
      <c r="A1721" s="2"/>
      <c r="B1721" s="2"/>
      <c r="C1721" s="2"/>
      <c r="D1721" s="2"/>
    </row>
    <row r="1722">
      <c r="A1722" s="2"/>
      <c r="B1722" s="2"/>
      <c r="C1722" s="2"/>
      <c r="D1722" s="2"/>
    </row>
    <row r="1723">
      <c r="A1723" s="2"/>
      <c r="B1723" s="2"/>
      <c r="C1723" s="2"/>
      <c r="D1723" s="2"/>
    </row>
    <row r="1724">
      <c r="A1724" s="2"/>
      <c r="B1724" s="2"/>
      <c r="C1724" s="2"/>
      <c r="D1724" s="2"/>
    </row>
    <row r="1725">
      <c r="A1725" s="2"/>
      <c r="B1725" s="2"/>
      <c r="C1725" s="2"/>
      <c r="D1725" s="2"/>
    </row>
    <row r="1726">
      <c r="A1726" s="2"/>
      <c r="B1726" s="2"/>
      <c r="C1726" s="2"/>
      <c r="D1726" s="2"/>
    </row>
    <row r="1727">
      <c r="A1727" s="2"/>
      <c r="B1727" s="2"/>
      <c r="C1727" s="2"/>
      <c r="D1727" s="2"/>
    </row>
    <row r="1728">
      <c r="A1728" s="2"/>
      <c r="B1728" s="2"/>
      <c r="C1728" s="2"/>
      <c r="D1728" s="2"/>
    </row>
    <row r="1729">
      <c r="A1729" s="2"/>
      <c r="B1729" s="2"/>
      <c r="C1729" s="2"/>
      <c r="D1729" s="2"/>
    </row>
    <row r="1730">
      <c r="A1730" s="2"/>
      <c r="B1730" s="2"/>
      <c r="C1730" s="2"/>
      <c r="D1730" s="2"/>
    </row>
    <row r="1731">
      <c r="A1731" s="2"/>
      <c r="B1731" s="2"/>
      <c r="C1731" s="2"/>
      <c r="D1731" s="2"/>
    </row>
    <row r="1732">
      <c r="A1732" s="2"/>
      <c r="B1732" s="2"/>
      <c r="C1732" s="2"/>
      <c r="D1732" s="2"/>
    </row>
    <row r="1733">
      <c r="A1733" s="2"/>
      <c r="B1733" s="2"/>
      <c r="C1733" s="2"/>
      <c r="D1733" s="2"/>
    </row>
    <row r="1734">
      <c r="A1734" s="2"/>
      <c r="B1734" s="2"/>
      <c r="C1734" s="2"/>
      <c r="D1734" s="2"/>
    </row>
    <row r="1735">
      <c r="A1735" s="2"/>
      <c r="B1735" s="2"/>
      <c r="C1735" s="2"/>
      <c r="D1735" s="2"/>
    </row>
    <row r="1736">
      <c r="A1736" s="2"/>
      <c r="B1736" s="2"/>
      <c r="C1736" s="2"/>
      <c r="D1736" s="2"/>
    </row>
    <row r="1737">
      <c r="A1737" s="2"/>
      <c r="B1737" s="2"/>
      <c r="C1737" s="2"/>
      <c r="D1737" s="2"/>
    </row>
    <row r="1738">
      <c r="A1738" s="2"/>
      <c r="B1738" s="2"/>
      <c r="C1738" s="2"/>
      <c r="D1738" s="2"/>
    </row>
    <row r="1739">
      <c r="A1739" s="2"/>
      <c r="B1739" s="2"/>
      <c r="C1739" s="2"/>
      <c r="D1739" s="2"/>
    </row>
    <row r="1740">
      <c r="A1740" s="2"/>
      <c r="B1740" s="2"/>
      <c r="C1740" s="2"/>
      <c r="D1740" s="2"/>
    </row>
    <row r="1741">
      <c r="A1741" s="2"/>
      <c r="B1741" s="2"/>
      <c r="C1741" s="2"/>
      <c r="D1741" s="2"/>
    </row>
    <row r="1742">
      <c r="A1742" s="2"/>
      <c r="B1742" s="2"/>
      <c r="C1742" s="2"/>
      <c r="D1742" s="2"/>
    </row>
    <row r="1743">
      <c r="A1743" s="2"/>
      <c r="B1743" s="2"/>
      <c r="C1743" s="2"/>
      <c r="D1743" s="2"/>
    </row>
    <row r="1744">
      <c r="A1744" s="2"/>
      <c r="B1744" s="2"/>
      <c r="C1744" s="2"/>
      <c r="D1744" s="2"/>
    </row>
    <row r="1745">
      <c r="A1745" s="2"/>
      <c r="B1745" s="2"/>
      <c r="C1745" s="2"/>
      <c r="D1745" s="2"/>
    </row>
    <row r="1746">
      <c r="A1746" s="2"/>
      <c r="B1746" s="2"/>
      <c r="C1746" s="2"/>
      <c r="D1746" s="2"/>
    </row>
    <row r="1747">
      <c r="A1747" s="2"/>
      <c r="B1747" s="2"/>
      <c r="C1747" s="2"/>
      <c r="D1747" s="2"/>
    </row>
    <row r="1748">
      <c r="A1748" s="2"/>
      <c r="B1748" s="2"/>
      <c r="C1748" s="2"/>
      <c r="D1748" s="2"/>
    </row>
    <row r="1749">
      <c r="A1749" s="2"/>
      <c r="B1749" s="2"/>
      <c r="C1749" s="2"/>
      <c r="D1749" s="2"/>
    </row>
    <row r="1750">
      <c r="A1750" s="2"/>
      <c r="B1750" s="2"/>
      <c r="C1750" s="2"/>
      <c r="D1750" s="2"/>
    </row>
    <row r="1751">
      <c r="A1751" s="2"/>
      <c r="B1751" s="2"/>
      <c r="C1751" s="2"/>
      <c r="D1751" s="2"/>
    </row>
    <row r="1752">
      <c r="A1752" s="2"/>
      <c r="B1752" s="2"/>
      <c r="C1752" s="2"/>
      <c r="D1752" s="2"/>
    </row>
    <row r="1753">
      <c r="A1753" s="2"/>
      <c r="B1753" s="2"/>
      <c r="C1753" s="2"/>
      <c r="D1753" s="2"/>
    </row>
    <row r="1754">
      <c r="A1754" s="2"/>
      <c r="B1754" s="2"/>
      <c r="C1754" s="2"/>
      <c r="D1754" s="2"/>
    </row>
    <row r="1755">
      <c r="A1755" s="2"/>
      <c r="B1755" s="2"/>
      <c r="C1755" s="2"/>
      <c r="D1755" s="2"/>
    </row>
    <row r="1756">
      <c r="A1756" s="2"/>
      <c r="B1756" s="2"/>
      <c r="C1756" s="2"/>
      <c r="D1756" s="2"/>
    </row>
    <row r="1757">
      <c r="A1757" s="2"/>
      <c r="B1757" s="2"/>
      <c r="C1757" s="2"/>
      <c r="D1757" s="2"/>
    </row>
    <row r="1758">
      <c r="A1758" s="2"/>
      <c r="B1758" s="2"/>
      <c r="C1758" s="2"/>
      <c r="D1758" s="2"/>
    </row>
    <row r="1759">
      <c r="A1759" s="2"/>
      <c r="B1759" s="2"/>
      <c r="C1759" s="2"/>
      <c r="D1759" s="2"/>
    </row>
    <row r="1760">
      <c r="A1760" s="2"/>
      <c r="B1760" s="2"/>
      <c r="C1760" s="2"/>
      <c r="D1760" s="2"/>
    </row>
    <row r="1761">
      <c r="A1761" s="2"/>
      <c r="B1761" s="2"/>
      <c r="C1761" s="2"/>
      <c r="D1761" s="2"/>
    </row>
    <row r="1762">
      <c r="A1762" s="2"/>
      <c r="B1762" s="2"/>
      <c r="C1762" s="2"/>
      <c r="D1762" s="2"/>
    </row>
    <row r="1763">
      <c r="A1763" s="2"/>
      <c r="B1763" s="2"/>
      <c r="C1763" s="2"/>
      <c r="D1763" s="2"/>
    </row>
    <row r="1764">
      <c r="A1764" s="2"/>
      <c r="B1764" s="2"/>
      <c r="C1764" s="2"/>
      <c r="D1764" s="2"/>
    </row>
    <row r="1765">
      <c r="A1765" s="2"/>
      <c r="B1765" s="2"/>
      <c r="C1765" s="2"/>
      <c r="D1765" s="2"/>
    </row>
    <row r="1766">
      <c r="A1766" s="2"/>
      <c r="B1766" s="2"/>
      <c r="C1766" s="2"/>
      <c r="D1766" s="2"/>
    </row>
    <row r="1767">
      <c r="A1767" s="2"/>
      <c r="B1767" s="2"/>
      <c r="C1767" s="2"/>
      <c r="D1767" s="2"/>
    </row>
    <row r="1768">
      <c r="A1768" s="2"/>
      <c r="B1768" s="2"/>
      <c r="C1768" s="2"/>
      <c r="D1768" s="2"/>
    </row>
    <row r="1769">
      <c r="A1769" s="2"/>
      <c r="B1769" s="2"/>
      <c r="C1769" s="2"/>
      <c r="D1769" s="2"/>
    </row>
    <row r="1770">
      <c r="A1770" s="2"/>
      <c r="B1770" s="2"/>
      <c r="C1770" s="2"/>
      <c r="D1770" s="2"/>
    </row>
    <row r="1771">
      <c r="A1771" s="2"/>
      <c r="B1771" s="2"/>
      <c r="C1771" s="2"/>
      <c r="D1771" s="2"/>
    </row>
    <row r="1772">
      <c r="A1772" s="2"/>
      <c r="B1772" s="2"/>
      <c r="C1772" s="2"/>
      <c r="D1772" s="2"/>
    </row>
    <row r="1773">
      <c r="A1773" s="2"/>
      <c r="B1773" s="2"/>
      <c r="C1773" s="2"/>
      <c r="D1773" s="2"/>
    </row>
    <row r="1774">
      <c r="A1774" s="2"/>
      <c r="B1774" s="2"/>
      <c r="C1774" s="2"/>
      <c r="D1774" s="2"/>
    </row>
    <row r="1775">
      <c r="A1775" s="2"/>
      <c r="B1775" s="2"/>
      <c r="C1775" s="2"/>
      <c r="D1775" s="2"/>
    </row>
    <row r="1776">
      <c r="A1776" s="2"/>
      <c r="B1776" s="2"/>
      <c r="C1776" s="2"/>
      <c r="D1776" s="2"/>
    </row>
    <row r="1777">
      <c r="A1777" s="2"/>
      <c r="B1777" s="2"/>
      <c r="C1777" s="2"/>
      <c r="D1777" s="2"/>
    </row>
    <row r="1778">
      <c r="A1778" s="2"/>
      <c r="B1778" s="2"/>
      <c r="C1778" s="2"/>
      <c r="D1778" s="2"/>
    </row>
    <row r="1779">
      <c r="A1779" s="2"/>
      <c r="B1779" s="2"/>
      <c r="C1779" s="2"/>
      <c r="D1779" s="2"/>
    </row>
    <row r="1780">
      <c r="A1780" s="2"/>
      <c r="B1780" s="2"/>
      <c r="C1780" s="2"/>
      <c r="D1780" s="2"/>
    </row>
    <row r="1781">
      <c r="A1781" s="2"/>
      <c r="B1781" s="2"/>
      <c r="C1781" s="2"/>
      <c r="D1781" s="2"/>
    </row>
    <row r="1782">
      <c r="A1782" s="2"/>
      <c r="B1782" s="2"/>
      <c r="C1782" s="2"/>
      <c r="D1782" s="2"/>
    </row>
    <row r="1783">
      <c r="A1783" s="2"/>
      <c r="B1783" s="2"/>
      <c r="C1783" s="2"/>
      <c r="D1783" s="2"/>
    </row>
    <row r="1784">
      <c r="A1784" s="2"/>
      <c r="B1784" s="2"/>
      <c r="C1784" s="2"/>
      <c r="D1784" s="2"/>
    </row>
    <row r="1785">
      <c r="A1785" s="2"/>
      <c r="B1785" s="2"/>
      <c r="C1785" s="2"/>
      <c r="D1785" s="2"/>
    </row>
    <row r="1786">
      <c r="A1786" s="2"/>
      <c r="B1786" s="2"/>
      <c r="C1786" s="2"/>
      <c r="D1786" s="2"/>
    </row>
    <row r="1787">
      <c r="A1787" s="2"/>
      <c r="B1787" s="2"/>
      <c r="C1787" s="2"/>
      <c r="D1787" s="2"/>
    </row>
    <row r="1788">
      <c r="A1788" s="2"/>
      <c r="B1788" s="2"/>
      <c r="C1788" s="2"/>
      <c r="D1788" s="2"/>
    </row>
    <row r="1789">
      <c r="A1789" s="2"/>
      <c r="B1789" s="2"/>
      <c r="C1789" s="2"/>
      <c r="D1789" s="2"/>
    </row>
    <row r="1790">
      <c r="A1790" s="2"/>
      <c r="B1790" s="2"/>
      <c r="C1790" s="2"/>
      <c r="D1790" s="2"/>
    </row>
    <row r="1791">
      <c r="A1791" s="2"/>
      <c r="B1791" s="2"/>
      <c r="C1791" s="2"/>
      <c r="D1791" s="2"/>
    </row>
    <row r="1792">
      <c r="A1792" s="2"/>
      <c r="B1792" s="2"/>
      <c r="C1792" s="2"/>
      <c r="D1792" s="2"/>
    </row>
    <row r="1793">
      <c r="A1793" s="2"/>
      <c r="B1793" s="2"/>
      <c r="C1793" s="2"/>
      <c r="D1793" s="2"/>
    </row>
    <row r="1794">
      <c r="A1794" s="2"/>
      <c r="B1794" s="2"/>
      <c r="C1794" s="2"/>
      <c r="D1794" s="2"/>
    </row>
    <row r="1795">
      <c r="A1795" s="2"/>
      <c r="B1795" s="2"/>
      <c r="C1795" s="2"/>
      <c r="D1795" s="2"/>
    </row>
    <row r="1796">
      <c r="A1796" s="2"/>
      <c r="B1796" s="2"/>
      <c r="C1796" s="2"/>
      <c r="D1796" s="2"/>
    </row>
    <row r="1797">
      <c r="A1797" s="2"/>
      <c r="B1797" s="2"/>
      <c r="C1797" s="2"/>
      <c r="D1797" s="2"/>
    </row>
    <row r="1798">
      <c r="A1798" s="2"/>
      <c r="B1798" s="2"/>
      <c r="C1798" s="2"/>
      <c r="D1798" s="2"/>
    </row>
    <row r="1799">
      <c r="A1799" s="2"/>
      <c r="B1799" s="2"/>
      <c r="C1799" s="2"/>
      <c r="D1799" s="2"/>
    </row>
    <row r="1800">
      <c r="A1800" s="2"/>
      <c r="B1800" s="2"/>
      <c r="C1800" s="2"/>
      <c r="D1800" s="2"/>
    </row>
    <row r="1801">
      <c r="A1801" s="2"/>
      <c r="B1801" s="2"/>
      <c r="C1801" s="2"/>
      <c r="D1801" s="2"/>
    </row>
    <row r="1802">
      <c r="A1802" s="2"/>
      <c r="B1802" s="2"/>
      <c r="C1802" s="2"/>
      <c r="D1802" s="2"/>
    </row>
    <row r="1803">
      <c r="A1803" s="2"/>
      <c r="B1803" s="2"/>
      <c r="C1803" s="2"/>
      <c r="D1803" s="2"/>
    </row>
    <row r="1804">
      <c r="A1804" s="2"/>
      <c r="B1804" s="2"/>
      <c r="C1804" s="2"/>
      <c r="D1804" s="2"/>
    </row>
    <row r="1805">
      <c r="A1805" s="2"/>
      <c r="B1805" s="2"/>
      <c r="C1805" s="2"/>
      <c r="D1805" s="2"/>
    </row>
    <row r="1806">
      <c r="A1806" s="2"/>
      <c r="B1806" s="2"/>
      <c r="C1806" s="2"/>
      <c r="D1806" s="2"/>
    </row>
    <row r="1807">
      <c r="A1807" s="2"/>
      <c r="B1807" s="2"/>
      <c r="C1807" s="2"/>
      <c r="D1807" s="2"/>
    </row>
    <row r="1808">
      <c r="A1808" s="2"/>
      <c r="B1808" s="2"/>
      <c r="C1808" s="2"/>
      <c r="D1808" s="2"/>
    </row>
    <row r="1809">
      <c r="A1809" s="2"/>
      <c r="B1809" s="2"/>
      <c r="C1809" s="2"/>
      <c r="D1809" s="2"/>
    </row>
    <row r="1810">
      <c r="A1810" s="2"/>
      <c r="B1810" s="2"/>
      <c r="C1810" s="2"/>
      <c r="D1810" s="2"/>
    </row>
    <row r="1811">
      <c r="A1811" s="2"/>
      <c r="B1811" s="2"/>
      <c r="C1811" s="2"/>
      <c r="D1811" s="2"/>
    </row>
    <row r="1812">
      <c r="A1812" s="2"/>
      <c r="B1812" s="2"/>
      <c r="C1812" s="2"/>
      <c r="D1812" s="2"/>
    </row>
    <row r="1813">
      <c r="A1813" s="2"/>
      <c r="B1813" s="2"/>
      <c r="C1813" s="2"/>
      <c r="D1813" s="2"/>
    </row>
    <row r="1814">
      <c r="A1814" s="2"/>
      <c r="B1814" s="2"/>
      <c r="C1814" s="2"/>
      <c r="D1814" s="2"/>
    </row>
    <row r="1815">
      <c r="A1815" s="2"/>
      <c r="B1815" s="2"/>
      <c r="C1815" s="2"/>
      <c r="D1815" s="2"/>
    </row>
    <row r="1816">
      <c r="A1816" s="2"/>
      <c r="B1816" s="2"/>
      <c r="C1816" s="2"/>
      <c r="D1816" s="2"/>
    </row>
    <row r="1817">
      <c r="A1817" s="2"/>
      <c r="B1817" s="2"/>
      <c r="C1817" s="2"/>
      <c r="D1817" s="2"/>
    </row>
    <row r="1818">
      <c r="A1818" s="2"/>
      <c r="B1818" s="2"/>
      <c r="C1818" s="2"/>
      <c r="D1818" s="2"/>
    </row>
    <row r="1819">
      <c r="A1819" s="2"/>
      <c r="B1819" s="2"/>
      <c r="C1819" s="2"/>
      <c r="D1819" s="2"/>
    </row>
    <row r="1820">
      <c r="A1820" s="2"/>
      <c r="B1820" s="2"/>
      <c r="C1820" s="2"/>
      <c r="D1820" s="2"/>
    </row>
    <row r="1821">
      <c r="A1821" s="2"/>
      <c r="B1821" s="2"/>
      <c r="C1821" s="2"/>
      <c r="D1821" s="2"/>
    </row>
    <row r="1822">
      <c r="A1822" s="2"/>
      <c r="B1822" s="2"/>
      <c r="C1822" s="2"/>
      <c r="D1822" s="2"/>
    </row>
    <row r="1823">
      <c r="A1823" s="2"/>
      <c r="B1823" s="2"/>
      <c r="C1823" s="2"/>
      <c r="D1823" s="2"/>
    </row>
    <row r="1824">
      <c r="A1824" s="2"/>
      <c r="B1824" s="2"/>
      <c r="C1824" s="2"/>
      <c r="D1824" s="2"/>
    </row>
    <row r="1825">
      <c r="A1825" s="2"/>
      <c r="B1825" s="2"/>
      <c r="C1825" s="2"/>
      <c r="D1825" s="2"/>
    </row>
    <row r="1826">
      <c r="A1826" s="2"/>
      <c r="B1826" s="2"/>
      <c r="C1826" s="2"/>
      <c r="D1826" s="2"/>
    </row>
    <row r="1827">
      <c r="A1827" s="2"/>
      <c r="B1827" s="2"/>
      <c r="C1827" s="2"/>
      <c r="D1827" s="2"/>
    </row>
    <row r="1828">
      <c r="A1828" s="2"/>
      <c r="B1828" s="2"/>
      <c r="C1828" s="2"/>
      <c r="D1828" s="2"/>
    </row>
    <row r="1829">
      <c r="A1829" s="2"/>
      <c r="B1829" s="2"/>
      <c r="C1829" s="2"/>
      <c r="D1829" s="2"/>
    </row>
    <row r="1830">
      <c r="A1830" s="2"/>
      <c r="B1830" s="2"/>
      <c r="C1830" s="2"/>
      <c r="D1830" s="2"/>
    </row>
    <row r="1831">
      <c r="A1831" s="2"/>
      <c r="B1831" s="2"/>
      <c r="C1831" s="2"/>
      <c r="D1831" s="2"/>
    </row>
    <row r="1832">
      <c r="A1832" s="2"/>
      <c r="B1832" s="2"/>
      <c r="C1832" s="2"/>
      <c r="D1832" s="2"/>
    </row>
    <row r="1833">
      <c r="A1833" s="2"/>
      <c r="B1833" s="2"/>
      <c r="C1833" s="2"/>
      <c r="D1833" s="2"/>
    </row>
    <row r="1834">
      <c r="A1834" s="2"/>
      <c r="B1834" s="2"/>
      <c r="C1834" s="2"/>
      <c r="D1834" s="2"/>
    </row>
    <row r="1835">
      <c r="A1835" s="2"/>
      <c r="B1835" s="2"/>
      <c r="C1835" s="2"/>
      <c r="D1835" s="2"/>
    </row>
    <row r="1836">
      <c r="A1836" s="2"/>
      <c r="B1836" s="2"/>
      <c r="C1836" s="2"/>
      <c r="D1836" s="2"/>
    </row>
    <row r="1837">
      <c r="A1837" s="2"/>
      <c r="B1837" s="2"/>
      <c r="C1837" s="2"/>
      <c r="D1837" s="2"/>
    </row>
    <row r="1838">
      <c r="A1838" s="2"/>
      <c r="B1838" s="2"/>
      <c r="C1838" s="2"/>
      <c r="D1838" s="2"/>
    </row>
    <row r="1839">
      <c r="A1839" s="2"/>
      <c r="B1839" s="2"/>
      <c r="C1839" s="2"/>
      <c r="D1839" s="2"/>
    </row>
    <row r="1840">
      <c r="A1840" s="2"/>
      <c r="B1840" s="2"/>
      <c r="C1840" s="2"/>
      <c r="D1840" s="2"/>
    </row>
    <row r="1841">
      <c r="A1841" s="2"/>
      <c r="B1841" s="2"/>
      <c r="C1841" s="2"/>
      <c r="D1841" s="2"/>
    </row>
    <row r="1842">
      <c r="A1842" s="2"/>
      <c r="B1842" s="2"/>
      <c r="C1842" s="2"/>
      <c r="D1842" s="2"/>
    </row>
    <row r="1843">
      <c r="A1843" s="2"/>
      <c r="B1843" s="2"/>
      <c r="C1843" s="2"/>
      <c r="D1843" s="2"/>
    </row>
    <row r="1844">
      <c r="A1844" s="2"/>
      <c r="B1844" s="2"/>
      <c r="C1844" s="2"/>
      <c r="D1844" s="2"/>
    </row>
    <row r="1845">
      <c r="A1845" s="2"/>
      <c r="B1845" s="2"/>
      <c r="C1845" s="2"/>
      <c r="D1845" s="2"/>
    </row>
    <row r="1846">
      <c r="A1846" s="2"/>
      <c r="B1846" s="2"/>
      <c r="C1846" s="2"/>
      <c r="D1846" s="2"/>
    </row>
    <row r="1847">
      <c r="A1847" s="2"/>
      <c r="B1847" s="2"/>
      <c r="C1847" s="2"/>
      <c r="D1847" s="2"/>
    </row>
    <row r="1848">
      <c r="A1848" s="2"/>
      <c r="B1848" s="2"/>
      <c r="C1848" s="2"/>
      <c r="D1848" s="2"/>
    </row>
    <row r="1849">
      <c r="A1849" s="2"/>
      <c r="B1849" s="2"/>
      <c r="C1849" s="2"/>
      <c r="D1849" s="2"/>
    </row>
    <row r="1850">
      <c r="A1850" s="2"/>
      <c r="B1850" s="2"/>
      <c r="C1850" s="2"/>
      <c r="D1850" s="2"/>
    </row>
    <row r="1851">
      <c r="A1851" s="2"/>
      <c r="B1851" s="2"/>
      <c r="C1851" s="2"/>
      <c r="D1851" s="2"/>
    </row>
    <row r="1852">
      <c r="A1852" s="2"/>
      <c r="B1852" s="2"/>
      <c r="C1852" s="2"/>
      <c r="D1852" s="2"/>
    </row>
    <row r="1853">
      <c r="A1853" s="2"/>
      <c r="B1853" s="2"/>
      <c r="C1853" s="2"/>
      <c r="D1853" s="2"/>
    </row>
    <row r="1854">
      <c r="A1854" s="2"/>
      <c r="B1854" s="2"/>
      <c r="C1854" s="2"/>
      <c r="D1854" s="2"/>
    </row>
    <row r="1855">
      <c r="A1855" s="2"/>
      <c r="B1855" s="2"/>
      <c r="C1855" s="2"/>
      <c r="D1855" s="2"/>
    </row>
    <row r="1856">
      <c r="A1856" s="2"/>
      <c r="B1856" s="2"/>
      <c r="C1856" s="2"/>
      <c r="D1856" s="2"/>
    </row>
    <row r="1857">
      <c r="A1857" s="2"/>
      <c r="B1857" s="2"/>
      <c r="C1857" s="2"/>
      <c r="D1857" s="2"/>
    </row>
    <row r="1858">
      <c r="A1858" s="2"/>
      <c r="B1858" s="2"/>
      <c r="C1858" s="2"/>
      <c r="D1858" s="2"/>
    </row>
    <row r="1859">
      <c r="A1859" s="2"/>
      <c r="B1859" s="2"/>
      <c r="C1859" s="2"/>
      <c r="D1859" s="2"/>
    </row>
    <row r="1860">
      <c r="A1860" s="2"/>
      <c r="B1860" s="2"/>
      <c r="C1860" s="2"/>
      <c r="D1860" s="2"/>
    </row>
    <row r="1861">
      <c r="A1861" s="2"/>
      <c r="B1861" s="2"/>
      <c r="C1861" s="2"/>
      <c r="D1861" s="2"/>
    </row>
    <row r="1862">
      <c r="A1862" s="2"/>
      <c r="B1862" s="2"/>
      <c r="C1862" s="2"/>
      <c r="D1862" s="2"/>
    </row>
    <row r="1863">
      <c r="A1863" s="2"/>
      <c r="B1863" s="2"/>
      <c r="C1863" s="2"/>
      <c r="D1863" s="2"/>
    </row>
    <row r="1864">
      <c r="A1864" s="2"/>
      <c r="B1864" s="2"/>
      <c r="C1864" s="2"/>
      <c r="D1864" s="2"/>
    </row>
    <row r="1865">
      <c r="A1865" s="2"/>
      <c r="B1865" s="2"/>
      <c r="C1865" s="2"/>
      <c r="D1865" s="2"/>
    </row>
    <row r="1866">
      <c r="A1866" s="2"/>
      <c r="B1866" s="2"/>
      <c r="C1866" s="2"/>
      <c r="D1866" s="2"/>
    </row>
    <row r="1867">
      <c r="A1867" s="2"/>
      <c r="B1867" s="2"/>
      <c r="C1867" s="2"/>
      <c r="D1867" s="2"/>
    </row>
    <row r="1868">
      <c r="A1868" s="2"/>
      <c r="B1868" s="2"/>
      <c r="C1868" s="2"/>
      <c r="D1868" s="2"/>
    </row>
    <row r="1869">
      <c r="A1869" s="2"/>
      <c r="B1869" s="2"/>
      <c r="C1869" s="2"/>
      <c r="D1869" s="2"/>
    </row>
    <row r="1870">
      <c r="A1870" s="2"/>
      <c r="B1870" s="2"/>
      <c r="C1870" s="2"/>
      <c r="D1870" s="2"/>
    </row>
    <row r="1871">
      <c r="A1871" s="2"/>
      <c r="B1871" s="2"/>
      <c r="C1871" s="2"/>
      <c r="D1871" s="2"/>
    </row>
    <row r="1872">
      <c r="A1872" s="2"/>
      <c r="B1872" s="2"/>
      <c r="C1872" s="2"/>
      <c r="D1872" s="2"/>
    </row>
    <row r="1873">
      <c r="A1873" s="2"/>
      <c r="B1873" s="2"/>
      <c r="C1873" s="2"/>
      <c r="D1873" s="2"/>
    </row>
    <row r="1874">
      <c r="A1874" s="2"/>
      <c r="B1874" s="2"/>
      <c r="C1874" s="2"/>
      <c r="D1874" s="2"/>
    </row>
    <row r="1875">
      <c r="A1875" s="2"/>
      <c r="B1875" s="2"/>
      <c r="C1875" s="2"/>
      <c r="D1875" s="2"/>
    </row>
    <row r="1876">
      <c r="A1876" s="2"/>
      <c r="B1876" s="2"/>
      <c r="C1876" s="2"/>
      <c r="D1876" s="2"/>
    </row>
    <row r="1877">
      <c r="A1877" s="2"/>
      <c r="B1877" s="2"/>
      <c r="C1877" s="2"/>
      <c r="D1877" s="2"/>
    </row>
    <row r="1878">
      <c r="A1878" s="2"/>
      <c r="B1878" s="2"/>
      <c r="C1878" s="2"/>
      <c r="D1878" s="2"/>
    </row>
    <row r="1879">
      <c r="A1879" s="2"/>
      <c r="B1879" s="2"/>
      <c r="C1879" s="2"/>
      <c r="D1879" s="2"/>
    </row>
    <row r="1880">
      <c r="A1880" s="2"/>
      <c r="B1880" s="2"/>
      <c r="C1880" s="2"/>
      <c r="D1880" s="2"/>
    </row>
    <row r="1881">
      <c r="A1881" s="2"/>
      <c r="B1881" s="2"/>
      <c r="C1881" s="2"/>
      <c r="D1881" s="2"/>
    </row>
    <row r="1882">
      <c r="A1882" s="2"/>
      <c r="B1882" s="2"/>
      <c r="C1882" s="2"/>
      <c r="D1882" s="2"/>
    </row>
    <row r="1883">
      <c r="A1883" s="2"/>
      <c r="B1883" s="2"/>
      <c r="C1883" s="2"/>
      <c r="D1883" s="2"/>
    </row>
    <row r="1884">
      <c r="A1884" s="2"/>
      <c r="B1884" s="2"/>
      <c r="C1884" s="2"/>
      <c r="D1884" s="2"/>
    </row>
    <row r="1885">
      <c r="A1885" s="2"/>
      <c r="B1885" s="2"/>
      <c r="C1885" s="2"/>
      <c r="D1885" s="2"/>
    </row>
    <row r="1886">
      <c r="A1886" s="2"/>
      <c r="B1886" s="2"/>
      <c r="C1886" s="2"/>
      <c r="D1886" s="2"/>
    </row>
    <row r="1887">
      <c r="A1887" s="2"/>
      <c r="B1887" s="2"/>
      <c r="C1887" s="2"/>
      <c r="D1887" s="2"/>
    </row>
    <row r="1888">
      <c r="A1888" s="2"/>
      <c r="B1888" s="2"/>
      <c r="C1888" s="2"/>
      <c r="D1888" s="2"/>
    </row>
    <row r="1889">
      <c r="A1889" s="2"/>
      <c r="B1889" s="2"/>
      <c r="C1889" s="2"/>
      <c r="D1889" s="2"/>
    </row>
    <row r="1890">
      <c r="A1890" s="2"/>
      <c r="B1890" s="2"/>
      <c r="C1890" s="2"/>
      <c r="D1890" s="2"/>
    </row>
    <row r="1891">
      <c r="A1891" s="2"/>
      <c r="B1891" s="2"/>
      <c r="C1891" s="2"/>
      <c r="D1891" s="2"/>
    </row>
    <row r="1892">
      <c r="A1892" s="2"/>
      <c r="B1892" s="2"/>
      <c r="C1892" s="2"/>
      <c r="D1892" s="2"/>
    </row>
    <row r="1893">
      <c r="A1893" s="2"/>
      <c r="B1893" s="2"/>
      <c r="C1893" s="2"/>
      <c r="D1893" s="2"/>
    </row>
    <row r="1894">
      <c r="A1894" s="2"/>
      <c r="B1894" s="2"/>
      <c r="C1894" s="2"/>
      <c r="D1894" s="2"/>
    </row>
    <row r="1895">
      <c r="A1895" s="2"/>
      <c r="B1895" s="2"/>
      <c r="C1895" s="2"/>
      <c r="D1895" s="2"/>
    </row>
    <row r="1896">
      <c r="A1896" s="2"/>
      <c r="B1896" s="2"/>
      <c r="C1896" s="2"/>
      <c r="D1896" s="2"/>
    </row>
    <row r="1897">
      <c r="A1897" s="2"/>
      <c r="B1897" s="2"/>
      <c r="C1897" s="2"/>
      <c r="D1897" s="2"/>
    </row>
    <row r="1898">
      <c r="A1898" s="2"/>
      <c r="B1898" s="2"/>
      <c r="C1898" s="2"/>
      <c r="D1898" s="2"/>
    </row>
    <row r="1899">
      <c r="A1899" s="2"/>
      <c r="B1899" s="2"/>
      <c r="C1899" s="2"/>
      <c r="D1899" s="2"/>
    </row>
    <row r="1900">
      <c r="A1900" s="2"/>
      <c r="B1900" s="2"/>
      <c r="C1900" s="2"/>
      <c r="D1900" s="2"/>
    </row>
    <row r="1901">
      <c r="A1901" s="2"/>
      <c r="B1901" s="2"/>
      <c r="C1901" s="2"/>
      <c r="D1901" s="2"/>
    </row>
    <row r="1902">
      <c r="A1902" s="2"/>
      <c r="B1902" s="2"/>
      <c r="C1902" s="2"/>
      <c r="D1902" s="2"/>
    </row>
    <row r="1903">
      <c r="A1903" s="2"/>
      <c r="B1903" s="2"/>
      <c r="C1903" s="2"/>
      <c r="D1903" s="2"/>
    </row>
    <row r="1904">
      <c r="A1904" s="2"/>
      <c r="B1904" s="2"/>
      <c r="C1904" s="2"/>
      <c r="D1904" s="2"/>
    </row>
    <row r="1905">
      <c r="A1905" s="2"/>
      <c r="B1905" s="2"/>
      <c r="C1905" s="2"/>
      <c r="D1905" s="2"/>
    </row>
    <row r="1906">
      <c r="A1906" s="2"/>
      <c r="B1906" s="2"/>
      <c r="C1906" s="2"/>
      <c r="D1906" s="2"/>
    </row>
    <row r="1907">
      <c r="A1907" s="2"/>
      <c r="B1907" s="2"/>
      <c r="C1907" s="2"/>
      <c r="D1907" s="2"/>
    </row>
    <row r="1908">
      <c r="A1908" s="2"/>
      <c r="B1908" s="2"/>
      <c r="C1908" s="2"/>
      <c r="D1908" s="2"/>
    </row>
    <row r="1909">
      <c r="A1909" s="2"/>
      <c r="B1909" s="2"/>
      <c r="C1909" s="2"/>
      <c r="D1909" s="2"/>
    </row>
    <row r="1910">
      <c r="A1910" s="2"/>
      <c r="B1910" s="2"/>
      <c r="C1910" s="2"/>
      <c r="D1910" s="2"/>
    </row>
    <row r="1911">
      <c r="A1911" s="2"/>
      <c r="B1911" s="2"/>
      <c r="C1911" s="2"/>
      <c r="D1911" s="2"/>
    </row>
    <row r="1912">
      <c r="A1912" s="2"/>
      <c r="B1912" s="2"/>
      <c r="C1912" s="2"/>
      <c r="D1912" s="2"/>
    </row>
    <row r="1913">
      <c r="A1913" s="2"/>
      <c r="B1913" s="2"/>
      <c r="C1913" s="2"/>
      <c r="D1913" s="2"/>
    </row>
    <row r="1914">
      <c r="A1914" s="2"/>
      <c r="B1914" s="2"/>
      <c r="C1914" s="2"/>
      <c r="D1914" s="2"/>
    </row>
    <row r="1915">
      <c r="A1915" s="2"/>
      <c r="B1915" s="2"/>
      <c r="C1915" s="2"/>
      <c r="D1915" s="2"/>
    </row>
    <row r="1916">
      <c r="A1916" s="2"/>
      <c r="B1916" s="2"/>
      <c r="C1916" s="2"/>
      <c r="D1916" s="2"/>
    </row>
    <row r="1917">
      <c r="A1917" s="2"/>
      <c r="B1917" s="2"/>
      <c r="C1917" s="2"/>
      <c r="D1917" s="2"/>
    </row>
    <row r="1918">
      <c r="A1918" s="2"/>
      <c r="B1918" s="2"/>
      <c r="C1918" s="2"/>
      <c r="D1918" s="2"/>
    </row>
    <row r="1919">
      <c r="A1919" s="2"/>
      <c r="B1919" s="2"/>
      <c r="C1919" s="2"/>
      <c r="D1919" s="2"/>
    </row>
    <row r="1920">
      <c r="A1920" s="2"/>
      <c r="B1920" s="2"/>
      <c r="C1920" s="2"/>
      <c r="D1920" s="2"/>
    </row>
    <row r="1921">
      <c r="A1921" s="2"/>
      <c r="B1921" s="2"/>
      <c r="C1921" s="2"/>
      <c r="D1921" s="2"/>
    </row>
    <row r="1922">
      <c r="A1922" s="2"/>
      <c r="B1922" s="2"/>
      <c r="C1922" s="2"/>
      <c r="D1922" s="2"/>
    </row>
    <row r="1923">
      <c r="A1923" s="2"/>
      <c r="B1923" s="2"/>
      <c r="C1923" s="2"/>
      <c r="D1923" s="2"/>
    </row>
    <row r="1924">
      <c r="A1924" s="2"/>
      <c r="B1924" s="2"/>
      <c r="C1924" s="2"/>
      <c r="D1924" s="2"/>
    </row>
    <row r="1925">
      <c r="A1925" s="2"/>
      <c r="B1925" s="2"/>
      <c r="C1925" s="2"/>
      <c r="D1925" s="2"/>
    </row>
    <row r="1926">
      <c r="A1926" s="2"/>
      <c r="B1926" s="2"/>
      <c r="C1926" s="2"/>
      <c r="D1926" s="2"/>
    </row>
    <row r="1927">
      <c r="A1927" s="2"/>
      <c r="B1927" s="2"/>
      <c r="C1927" s="2"/>
      <c r="D1927" s="2"/>
    </row>
    <row r="1928">
      <c r="A1928" s="2"/>
      <c r="B1928" s="2"/>
      <c r="C1928" s="2"/>
      <c r="D1928" s="2"/>
    </row>
    <row r="1929">
      <c r="A1929" s="2"/>
      <c r="B1929" s="2"/>
      <c r="C1929" s="2"/>
      <c r="D1929" s="2"/>
    </row>
    <row r="1930">
      <c r="A1930" s="2"/>
      <c r="B1930" s="2"/>
      <c r="C1930" s="2"/>
      <c r="D1930" s="2"/>
    </row>
    <row r="1931">
      <c r="A1931" s="2"/>
      <c r="B1931" s="2"/>
      <c r="C1931" s="2"/>
      <c r="D1931" s="2"/>
    </row>
    <row r="1932">
      <c r="A1932" s="2"/>
      <c r="B1932" s="2"/>
      <c r="C1932" s="2"/>
      <c r="D1932" s="2"/>
    </row>
    <row r="1933">
      <c r="A1933" s="2"/>
      <c r="B1933" s="2"/>
      <c r="C1933" s="2"/>
      <c r="D1933" s="2"/>
    </row>
    <row r="1934">
      <c r="A1934" s="2"/>
      <c r="B1934" s="2"/>
      <c r="C1934" s="2"/>
      <c r="D1934" s="2"/>
    </row>
    <row r="1935">
      <c r="A1935" s="2"/>
      <c r="B1935" s="2"/>
      <c r="C1935" s="2"/>
      <c r="D1935" s="2"/>
    </row>
    <row r="1936">
      <c r="A1936" s="2"/>
      <c r="B1936" s="2"/>
      <c r="C1936" s="2"/>
      <c r="D1936" s="2"/>
    </row>
    <row r="1937">
      <c r="A1937" s="2"/>
      <c r="B1937" s="2"/>
      <c r="C1937" s="2"/>
      <c r="D1937" s="2"/>
    </row>
    <row r="1938">
      <c r="A1938" s="2"/>
      <c r="B1938" s="2"/>
      <c r="C1938" s="2"/>
      <c r="D1938" s="2"/>
    </row>
    <row r="1939">
      <c r="A1939" s="2"/>
      <c r="B1939" s="2"/>
      <c r="C1939" s="2"/>
      <c r="D1939" s="2"/>
    </row>
    <row r="1940">
      <c r="A1940" s="2"/>
      <c r="B1940" s="2"/>
      <c r="C1940" s="2"/>
      <c r="D1940" s="2"/>
    </row>
    <row r="1941">
      <c r="A1941" s="2"/>
      <c r="B1941" s="2"/>
      <c r="C1941" s="2"/>
      <c r="D1941" s="2"/>
    </row>
    <row r="1942">
      <c r="A1942" s="2"/>
      <c r="B1942" s="2"/>
      <c r="C1942" s="2"/>
      <c r="D1942" s="2"/>
    </row>
    <row r="1943">
      <c r="A1943" s="2"/>
      <c r="B1943" s="2"/>
      <c r="C1943" s="2"/>
      <c r="D1943" s="2"/>
    </row>
    <row r="1944">
      <c r="A1944" s="2"/>
      <c r="B1944" s="2"/>
      <c r="C1944" s="2"/>
      <c r="D1944" s="2"/>
    </row>
    <row r="1945">
      <c r="A1945" s="2"/>
      <c r="B1945" s="2"/>
      <c r="C1945" s="2"/>
      <c r="D1945" s="2"/>
    </row>
    <row r="1946">
      <c r="A1946" s="2"/>
      <c r="B1946" s="2"/>
      <c r="C1946" s="2"/>
      <c r="D1946" s="2"/>
    </row>
    <row r="1947">
      <c r="A1947" s="2"/>
      <c r="B1947" s="2"/>
      <c r="C1947" s="2"/>
      <c r="D1947" s="2"/>
    </row>
    <row r="1948">
      <c r="A1948" s="2"/>
      <c r="B1948" s="2"/>
      <c r="C1948" s="2"/>
      <c r="D1948" s="2"/>
    </row>
    <row r="1949">
      <c r="A1949" s="2"/>
      <c r="B1949" s="2"/>
      <c r="C1949" s="2"/>
      <c r="D1949" s="2"/>
    </row>
    <row r="1950">
      <c r="A1950" s="2"/>
      <c r="B1950" s="2"/>
      <c r="C1950" s="2"/>
      <c r="D1950" s="2"/>
    </row>
    <row r="1951">
      <c r="A1951" s="2"/>
      <c r="B1951" s="2"/>
      <c r="C1951" s="2"/>
      <c r="D1951" s="2"/>
    </row>
    <row r="1952">
      <c r="A1952" s="2"/>
      <c r="B1952" s="2"/>
      <c r="C1952" s="2"/>
      <c r="D1952" s="2"/>
    </row>
    <row r="1953">
      <c r="A1953" s="2"/>
      <c r="B1953" s="2"/>
      <c r="C1953" s="2"/>
      <c r="D1953" s="2"/>
    </row>
    <row r="1954">
      <c r="A1954" s="2"/>
      <c r="B1954" s="2"/>
      <c r="C1954" s="2"/>
      <c r="D1954" s="2"/>
    </row>
    <row r="1955">
      <c r="A1955" s="2"/>
      <c r="B1955" s="2"/>
      <c r="C1955" s="2"/>
      <c r="D1955" s="2"/>
    </row>
    <row r="1956">
      <c r="A1956" s="2"/>
      <c r="B1956" s="2"/>
      <c r="C1956" s="2"/>
      <c r="D1956" s="2"/>
    </row>
    <row r="1957">
      <c r="A1957" s="2"/>
      <c r="B1957" s="2"/>
      <c r="C1957" s="2"/>
      <c r="D1957" s="2"/>
    </row>
    <row r="1958">
      <c r="A1958" s="2"/>
      <c r="B1958" s="2"/>
      <c r="C1958" s="2"/>
      <c r="D1958" s="2"/>
    </row>
    <row r="1959">
      <c r="A1959" s="2"/>
      <c r="B1959" s="2"/>
      <c r="C1959" s="2"/>
      <c r="D1959" s="2"/>
    </row>
    <row r="1960">
      <c r="A1960" s="2"/>
      <c r="B1960" s="2"/>
      <c r="C1960" s="2"/>
      <c r="D1960" s="2"/>
    </row>
    <row r="1961">
      <c r="A1961" s="2"/>
      <c r="B1961" s="2"/>
      <c r="C1961" s="2"/>
      <c r="D1961" s="2"/>
    </row>
    <row r="1962">
      <c r="A1962" s="2"/>
      <c r="B1962" s="2"/>
      <c r="C1962" s="2"/>
      <c r="D1962" s="2"/>
    </row>
    <row r="1963">
      <c r="A1963" s="2"/>
      <c r="B1963" s="2"/>
      <c r="C1963" s="2"/>
      <c r="D1963" s="2"/>
    </row>
    <row r="1964">
      <c r="A1964" s="2"/>
      <c r="B1964" s="2"/>
      <c r="C1964" s="2"/>
      <c r="D1964" s="2"/>
    </row>
    <row r="1965">
      <c r="A1965" s="2"/>
      <c r="B1965" s="2"/>
      <c r="C1965" s="2"/>
      <c r="D1965" s="2"/>
    </row>
    <row r="1966">
      <c r="A1966" s="2"/>
      <c r="B1966" s="2"/>
      <c r="C1966" s="2"/>
      <c r="D1966" s="2"/>
    </row>
    <row r="1967">
      <c r="A1967" s="2"/>
      <c r="B1967" s="2"/>
      <c r="C1967" s="2"/>
      <c r="D1967" s="2"/>
    </row>
    <row r="1968">
      <c r="A1968" s="2"/>
      <c r="B1968" s="2"/>
      <c r="C1968" s="2"/>
      <c r="D1968" s="2"/>
    </row>
    <row r="1969">
      <c r="A1969" s="2"/>
      <c r="B1969" s="2"/>
      <c r="C1969" s="2"/>
      <c r="D1969" s="2"/>
    </row>
    <row r="1970">
      <c r="A1970" s="2"/>
      <c r="B1970" s="2"/>
      <c r="C1970" s="2"/>
      <c r="D1970" s="2"/>
    </row>
    <row r="1971">
      <c r="A1971" s="2"/>
      <c r="B1971" s="2"/>
      <c r="C1971" s="2"/>
      <c r="D1971" s="2"/>
    </row>
    <row r="1972">
      <c r="A1972" s="2"/>
      <c r="B1972" s="2"/>
      <c r="C1972" s="2"/>
      <c r="D1972" s="2"/>
    </row>
    <row r="1973">
      <c r="A1973" s="2"/>
      <c r="B1973" s="2"/>
      <c r="C1973" s="2"/>
      <c r="D1973" s="2"/>
    </row>
    <row r="1974">
      <c r="A1974" s="2"/>
      <c r="B1974" s="2"/>
      <c r="C1974" s="2"/>
      <c r="D1974" s="2"/>
    </row>
    <row r="1975">
      <c r="A1975" s="2"/>
      <c r="B1975" s="2"/>
      <c r="C1975" s="2"/>
      <c r="D1975" s="2"/>
    </row>
    <row r="1976">
      <c r="A1976" s="2"/>
      <c r="B1976" s="2"/>
      <c r="C1976" s="2"/>
      <c r="D1976" s="2"/>
    </row>
    <row r="1977">
      <c r="A1977" s="2"/>
      <c r="B1977" s="2"/>
      <c r="C1977" s="2"/>
      <c r="D1977" s="2"/>
    </row>
    <row r="1978">
      <c r="A1978" s="2"/>
      <c r="B1978" s="2"/>
      <c r="C1978" s="2"/>
      <c r="D1978" s="2"/>
    </row>
    <row r="1979">
      <c r="A1979" s="2"/>
      <c r="B1979" s="2"/>
      <c r="C1979" s="2"/>
      <c r="D1979" s="2"/>
    </row>
    <row r="1980">
      <c r="A1980" s="2"/>
      <c r="B1980" s="2"/>
      <c r="C1980" s="2"/>
      <c r="D1980" s="2"/>
    </row>
    <row r="1981">
      <c r="A1981" s="2"/>
      <c r="B1981" s="2"/>
      <c r="C1981" s="2"/>
      <c r="D1981" s="2"/>
    </row>
    <row r="1982">
      <c r="A1982" s="2"/>
      <c r="B1982" s="2"/>
      <c r="C1982" s="2"/>
      <c r="D1982" s="2"/>
    </row>
    <row r="1983">
      <c r="A1983" s="2"/>
      <c r="B1983" s="2"/>
      <c r="C1983" s="2"/>
      <c r="D1983" s="2"/>
    </row>
    <row r="1984">
      <c r="A1984" s="2"/>
      <c r="B1984" s="2"/>
      <c r="C1984" s="2"/>
      <c r="D1984" s="2"/>
    </row>
    <row r="1985">
      <c r="A1985" s="2"/>
      <c r="B1985" s="2"/>
      <c r="C1985" s="2"/>
      <c r="D1985" s="2"/>
    </row>
    <row r="1986">
      <c r="A1986" s="2"/>
      <c r="B1986" s="2"/>
      <c r="C1986" s="2"/>
      <c r="D1986" s="2"/>
    </row>
    <row r="1987">
      <c r="A1987" s="2"/>
      <c r="B1987" s="2"/>
      <c r="C1987" s="2"/>
      <c r="D1987" s="2"/>
    </row>
    <row r="1988">
      <c r="A1988" s="2"/>
      <c r="B1988" s="2"/>
      <c r="C1988" s="2"/>
      <c r="D1988" s="2"/>
    </row>
    <row r="1989">
      <c r="A1989" s="2"/>
      <c r="B1989" s="2"/>
      <c r="C1989" s="2"/>
      <c r="D1989" s="2"/>
    </row>
    <row r="1990">
      <c r="A1990" s="2"/>
      <c r="B1990" s="2"/>
      <c r="C1990" s="2"/>
      <c r="D1990" s="2"/>
    </row>
    <row r="1991">
      <c r="A1991" s="2"/>
      <c r="B1991" s="2"/>
      <c r="C1991" s="2"/>
      <c r="D1991" s="2"/>
    </row>
    <row r="1992">
      <c r="A1992" s="2"/>
      <c r="B1992" s="2"/>
      <c r="C1992" s="2"/>
      <c r="D1992" s="2"/>
    </row>
    <row r="1993">
      <c r="A1993" s="2"/>
      <c r="B1993" s="2"/>
      <c r="C1993" s="2"/>
      <c r="D1993" s="2"/>
    </row>
    <row r="1994">
      <c r="A1994" s="2"/>
      <c r="B1994" s="2"/>
      <c r="C1994" s="2"/>
      <c r="D1994" s="2"/>
    </row>
    <row r="1995">
      <c r="A1995" s="2"/>
      <c r="B1995" s="2"/>
      <c r="C1995" s="2"/>
      <c r="D1995" s="2"/>
    </row>
    <row r="1996">
      <c r="A1996" s="2"/>
      <c r="B1996" s="2"/>
      <c r="C1996" s="2"/>
      <c r="D1996" s="2"/>
    </row>
    <row r="1997">
      <c r="A1997" s="2"/>
      <c r="B1997" s="2"/>
      <c r="C1997" s="2"/>
      <c r="D1997" s="2"/>
    </row>
    <row r="1998">
      <c r="A1998" s="2"/>
      <c r="B1998" s="2"/>
      <c r="C1998" s="2"/>
      <c r="D1998" s="2"/>
    </row>
    <row r="1999">
      <c r="A1999" s="2"/>
      <c r="B1999" s="2"/>
      <c r="C1999" s="2"/>
      <c r="D1999" s="2"/>
    </row>
    <row r="2000">
      <c r="A2000" s="2"/>
      <c r="B2000" s="2"/>
      <c r="C2000" s="2"/>
      <c r="D2000" s="2"/>
    </row>
  </sheetData>
  <drawing r:id="rId1"/>
</worksheet>
</file>